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D61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Contractors" sheetId="4" state="visible" r:id="rId4"/>
    <sheet name="Payments" sheetId="5" state="visible" r:id="rId5"/>
    <sheet name="Timeline" sheetId="6" state="visible" r:id="rId6"/>
    <sheet name="Issues &amp; Punch List" sheetId="7" state="visible" r:id="rId7"/>
    <sheet name="Engine" sheetId="8" state="hidden" r:id="rId8"/>
    <sheet name="Lists" sheetId="9" state="hidden" r:id="rId9"/>
  </sheets>
  <definedNames>
    <definedName name="ProjName">'Start Here'!$C$5</definedName>
    <definedName name="Address">'Start Here'!$C$6</definedName>
    <definedName name="ProjStart">'Start Here'!$C$7</definedName>
    <definedName name="TargetEnd">'Start Here'!$C$8</definedName>
    <definedName name="TotalBudget">'Start Here'!$C$9</definedName>
    <definedName name="TotalArea">'Start Here'!$C$10</definedName>
    <definedName name="AsOfOverride">'Start Here'!$C$11</definedName>
    <definedName name="Currency">'Start Here'!$C$14</definedName>
    <definedName name="CustomSym">'Start Here'!$C$15</definedName>
    <definedName name="TaxName">'Start Here'!$C$16</definedName>
    <definedName name="AreaUnit">'Start Here'!$C$17</definedName>
    <definedName name="WeekStart">'Start Here'!$C$18</definedName>
    <definedName name="BudgetWarnPct">'Start Here'!$C$19</definedName>
    <definedName name="ContPct">'Start Here'!$C$24</definedName>
    <definedName name="AlertDays">'Start Here'!$C$25</definedName>
    <definedName name="OverpayTol">'Start Here'!$C$26</definedName>
    <definedName name="ContAmt">'Start Here'!$C$31</definedName>
    <definedName name="WorkBudget">'Start Here'!$C$32</definedName>
    <definedName name="CurSym">'Start Here'!$C$33</definedName>
    <definedName name="AsOf">'Start Here'!$C$34</definedName>
    <definedName name="TaxWord">'Start Here'!$C$35</definedName>
    <definedName name="BudgetSum">'Budget'!$C$38</definedName>
    <definedName name="CommittedTotal">'Budget'!$I$38</definedName>
    <definedName name="InvoicedTotal">'Budget'!$J$38</definedName>
    <definedName name="PaidTotal">'Budget'!$K$38</definedName>
    <definedName name="ForecastTotal">'Budget'!$L$38</definedName>
    <definedName name="PendingCO">'Budget'!$L$40</definedName>
    <definedName name="IssuesOpenCost">'Budget'!$L$41</definedName>
    <definedName name="RiskTotal">'Budget'!$L$42</definedName>
    <definedName name="ForecastRisk">'Budget'!$L$43</definedName>
    <definedName name="ContUsed">'Budget'!$L$44</definedName>
    <definedName name="Cash30">'Payments'!$AC$38</definedName>
    <definedName name="CashMonths">'Payments'!$Z$41:$Z$52</definedName>
    <definedName name="ForecastEnd">'Timeline'!$D$4</definedName>
    <definedName name="OpenHigh">'Issues &amp; Punch List'!$B$5</definedName>
    <definedName name="OpenIssues">'Issues &amp; Punch List'!$O$8:$O$207</definedName>
    <definedName name="AlertCount">'Engine'!$Y$2</definedName>
    <definedName name="OverdueCount">'Engine'!$Y$3</definedName>
    <definedName name="UrgentCount">'Engine'!$Y$4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 mmm yyyy"/>
    <numFmt numFmtId="166" formatCode="#,##0;[Red]-#,##0;&quot;–&quot;"/>
    <numFmt numFmtId="167" formatCode="0.#"/>
    <numFmt numFmtId="168" formatCode="mmm yyyy"/>
    <numFmt numFmtId="169" formatCode="dd mmm"/>
    <numFmt numFmtId="170" formatCode="+#,##0;-#,##0;0"/>
  </numFmts>
  <fonts count="2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F5E5E"/>
      <sz val="18"/>
    </font>
    <font>
      <name val="Arial"/>
      <i val="1"/>
      <color rgb="006B7280"/>
      <sz val="10"/>
    </font>
    <font>
      <name val="Arial"/>
      <b val="1"/>
      <color rgb="000F5E5E"/>
      <sz val="11"/>
    </font>
    <font>
      <name val="Arial"/>
      <b val="1"/>
      <color rgb="001F2937"/>
      <sz val="10"/>
    </font>
    <font>
      <name val="Arial"/>
      <color rgb="001F2937"/>
      <sz val="10"/>
    </font>
    <font>
      <name val="Arial"/>
      <i val="1"/>
      <color rgb="006B7280"/>
      <sz val="9"/>
    </font>
    <font>
      <name val="Arial"/>
      <b val="1"/>
      <i val="1"/>
      <color rgb="00991B1B"/>
      <sz val="9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F5E5E"/>
      <sz val="10"/>
    </font>
    <font>
      <name val="Arial"/>
      <b val="1"/>
      <color rgb="000F5E5E"/>
      <sz val="10"/>
      <u val="single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0F5E5E"/>
      <sz val="10"/>
    </font>
    <font>
      <name val="Arial"/>
      <b val="1"/>
      <color rgb="000F5E5E"/>
      <sz val="12"/>
    </font>
    <font>
      <name val="Arial"/>
      <b val="1"/>
      <color rgb="000F5E5E"/>
      <sz val="16"/>
    </font>
    <font>
      <name val="Arial"/>
      <b val="1"/>
      <color rgb="006B7280"/>
      <sz val="9"/>
    </font>
    <font>
      <name val="Arial"/>
      <color rgb="006B7280"/>
      <sz val="8.5"/>
    </font>
    <font>
      <name val="Arial"/>
      <b val="1"/>
      <color rgb="001F2937"/>
      <sz val="16"/>
    </font>
    <font>
      <name val="Arial"/>
      <color rgb="001F2937"/>
      <sz val="12"/>
    </font>
    <font>
      <name val="Arial"/>
      <b val="1"/>
      <color rgb="001F2937"/>
      <sz val="14"/>
    </font>
    <font>
      <name val="Arial"/>
      <color rgb="001F2937"/>
      <sz val="9"/>
    </font>
    <font>
      <name val="Arial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FFF7CC"/>
        <bgColor rgb="00FFF7CC"/>
      </patternFill>
    </fill>
    <fill>
      <patternFill patternType="solid">
        <fgColor rgb="00F3F4F6"/>
        <bgColor rgb="00F3F4F6"/>
      </patternFill>
    </fill>
    <fill>
      <patternFill patternType="solid">
        <fgColor rgb="000F5E5E"/>
        <bgColor rgb="000F5E5E"/>
      </patternFill>
    </fill>
    <fill>
      <patternFill patternType="solid">
        <fgColor rgb="00E3F1F1"/>
        <bgColor rgb="00E3F1F1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9">
    <border>
      <left/>
      <right/>
      <top/>
      <bottom/>
      <diagonal/>
    </border>
    <border>
      <bottom style="medium">
        <color rgb="000F5E5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hair">
        <color rgb="00E5E7EB"/>
      </left>
    </border>
    <border>
      <bottom style="thin">
        <color rgb="00D1D5DB"/>
      </bottom>
    </border>
  </borders>
  <cellStyleXfs count="1">
    <xf numFmtId="0" fontId="1" fillId="0" borderId="0"/>
  </cellStyleXfs>
  <cellXfs count="1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24" fillId="0" borderId="0" pivotButton="0" quotePrefix="0" xfId="0"/>
    <xf numFmtId="0" fontId="4" fillId="0" borderId="1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5" fontId="6" fillId="2" borderId="2" applyAlignment="1" applyProtection="1" pivotButton="0" quotePrefix="0" xfId="0">
      <alignment horizontal="left" vertical="center"/>
      <protection locked="0" hidden="0"/>
    </xf>
    <xf numFmtId="0" fontId="5" fillId="0" borderId="0" applyAlignment="1" applyProtection="1" pivotButton="0" quotePrefix="0" xfId="0">
      <alignment vertical="center"/>
      <protection locked="1" hidden="1"/>
    </xf>
    <xf numFmtId="166" fontId="6" fillId="2" borderId="2" applyAlignment="1" applyProtection="1" pivotButton="0" quotePrefix="0" xfId="0">
      <alignment horizontal="left" vertical="center"/>
      <protection locked="0" hidden="0"/>
    </xf>
    <xf numFmtId="3" fontId="6" fillId="2" borderId="2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vertical="center"/>
    </xf>
    <xf numFmtId="0" fontId="0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9" fontId="6" fillId="2" borderId="2" applyAlignment="1" applyProtection="1" pivotButton="0" quotePrefix="0" xfId="0">
      <alignment horizontal="left" vertical="center"/>
      <protection locked="0" hidden="0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left" vertical="center"/>
      <protection locked="0" hidden="0"/>
    </xf>
    <xf numFmtId="0" fontId="11" fillId="0" borderId="0" pivotButton="0" quotePrefix="0" xfId="0"/>
    <xf numFmtId="0" fontId="12" fillId="0" borderId="0" applyProtection="1" pivotButton="0" quotePrefix="0" xfId="0">
      <protection locked="0" hidden="0"/>
    </xf>
    <xf numFmtId="0" fontId="10" fillId="0" borderId="0" applyAlignment="1" pivotButton="0" quotePrefix="0" xfId="0">
      <alignment vertical="center"/>
    </xf>
    <xf numFmtId="166" fontId="5" fillId="3" borderId="2" applyAlignment="1" applyProtection="1" pivotButton="0" quotePrefix="0" xfId="0">
      <alignment horizontal="left" vertical="center"/>
      <protection locked="1" hidden="1"/>
    </xf>
    <xf numFmtId="0" fontId="5" fillId="3" borderId="2" applyAlignment="1" applyProtection="1" pivotButton="0" quotePrefix="0" xfId="0">
      <alignment horizontal="left" vertical="center"/>
      <protection locked="1" hidden="1"/>
    </xf>
    <xf numFmtId="0" fontId="11" fillId="5" borderId="0" applyAlignment="1" pivotButton="0" quotePrefix="0" xfId="0">
      <alignment vertical="center" wrapText="1" indent="1"/>
    </xf>
    <xf numFmtId="165" fontId="5" fillId="3" borderId="2" applyAlignment="1" applyProtection="1" pivotButton="0" quotePrefix="0" xfId="0">
      <alignment horizontal="left" vertical="center"/>
      <protection locked="1" hidden="1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vertical="center"/>
      <protection locked="1" hidden="1"/>
    </xf>
    <xf numFmtId="0" fontId="10" fillId="0" borderId="0" applyAlignment="1" pivotButton="0" quotePrefix="0" xfId="0">
      <alignment horizontal="right" vertical="center"/>
    </xf>
    <xf numFmtId="165" fontId="11" fillId="0" borderId="0" applyAlignment="1" applyProtection="1" pivotButton="0" quotePrefix="0" xfId="0">
      <alignment vertical="center"/>
      <protection locked="1" hidden="1"/>
    </xf>
    <xf numFmtId="0" fontId="18" fillId="5" borderId="0" applyAlignment="1" applyProtection="1" pivotButton="0" quotePrefix="0" xfId="0">
      <alignment horizontal="left" vertical="bottom" indent="1"/>
      <protection locked="1" hidden="1"/>
    </xf>
    <xf numFmtId="0" fontId="0" fillId="5" borderId="0" pivotButton="0" quotePrefix="0" xfId="0"/>
    <xf numFmtId="166" fontId="2" fillId="5" borderId="0" applyAlignment="1" applyProtection="1" pivotButton="0" quotePrefix="0" xfId="0">
      <alignment horizontal="left" vertical="center" indent="1"/>
      <protection locked="1" hidden="1"/>
    </xf>
    <xf numFmtId="0" fontId="19" fillId="5" borderId="0" applyAlignment="1" applyProtection="1" pivotButton="0" quotePrefix="0" xfId="0">
      <alignment horizontal="left" vertical="top" indent="1"/>
      <protection locked="1" hidden="1"/>
    </xf>
    <xf numFmtId="0" fontId="18" fillId="5" borderId="0" applyAlignment="1" pivotButton="0" quotePrefix="0" xfId="0">
      <alignment horizontal="left" vertical="bottom" indent="1"/>
    </xf>
    <xf numFmtId="170" fontId="2" fillId="5" borderId="0" applyAlignment="1" applyProtection="1" pivotButton="0" quotePrefix="0" xfId="0">
      <alignment horizontal="left" vertical="center" indent="1"/>
      <protection locked="1" hidden="1"/>
    </xf>
    <xf numFmtId="9" fontId="2" fillId="5" borderId="0" applyAlignment="1" applyProtection="1" pivotButton="0" quotePrefix="0" xfId="0">
      <alignment horizontal="left" vertical="center" indent="1"/>
      <protection locked="1" hidden="1"/>
    </xf>
    <xf numFmtId="0" fontId="2" fillId="5" borderId="0" applyAlignment="1" applyProtection="1" pivotButton="0" quotePrefix="0" xfId="0">
      <alignment horizontal="left" vertical="center" indent="1"/>
      <protection locked="1" hidden="1"/>
    </xf>
    <xf numFmtId="165" fontId="2" fillId="5" borderId="0" applyAlignment="1" applyProtection="1" pivotButton="0" quotePrefix="0" xfId="0">
      <alignment horizontal="left" vertical="center" indent="1"/>
      <protection locked="1" hidden="1"/>
    </xf>
    <xf numFmtId="1" fontId="2" fillId="5" borderId="0" applyAlignment="1" applyProtection="1" pivotButton="0" quotePrefix="0" xfId="0">
      <alignment horizontal="left" vertical="center" indent="1"/>
      <protection locked="1" hidden="1"/>
    </xf>
    <xf numFmtId="0" fontId="20" fillId="6" borderId="2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" fillId="0" borderId="8" applyAlignment="1" pivotButton="0" quotePrefix="0" xfId="0">
      <alignment vertical="center"/>
    </xf>
    <xf numFmtId="0" fontId="0" fillId="0" borderId="8" pivotButton="0" quotePrefix="0" xfId="0"/>
    <xf numFmtId="0" fontId="21" fillId="6" borderId="8" applyAlignment="1" applyProtection="1" pivotButton="0" quotePrefix="0" xfId="0">
      <alignment horizontal="center" vertical="center"/>
      <protection locked="1" hidden="1"/>
    </xf>
    <xf numFmtId="0" fontId="6" fillId="0" borderId="8" applyAlignment="1" applyProtection="1" pivotButton="0" quotePrefix="0" xfId="0">
      <alignment vertical="center"/>
      <protection locked="1" hidden="1"/>
    </xf>
    <xf numFmtId="0" fontId="22" fillId="6" borderId="2" applyAlignment="1" applyProtection="1" pivotButton="0" quotePrefix="0" xfId="0">
      <alignment horizontal="center" vertical="center"/>
      <protection locked="1" hidden="1"/>
    </xf>
    <xf numFmtId="0" fontId="13" fillId="4" borderId="2" applyAlignment="1" pivotButton="0" quotePrefix="0" xfId="0">
      <alignment horizontal="center" vertical="center" wrapText="1"/>
    </xf>
    <xf numFmtId="1" fontId="10" fillId="6" borderId="2" applyAlignment="1" applyProtection="1" pivotButton="0" quotePrefix="0" xfId="0">
      <alignment horizontal="center" vertical="center"/>
      <protection locked="1" hidden="1"/>
    </xf>
    <xf numFmtId="0" fontId="23" fillId="6" borderId="2" applyAlignment="1" applyProtection="1" pivotButton="0" quotePrefix="0" xfId="0">
      <alignment horizontal="center" vertical="center"/>
      <protection locked="1" hidden="1"/>
    </xf>
    <xf numFmtId="0" fontId="23" fillId="6" borderId="2" applyAlignment="1" applyProtection="1" pivotButton="0" quotePrefix="0" xfId="0">
      <alignment vertical="center" wrapText="1"/>
      <protection locked="1" hidden="1"/>
    </xf>
    <xf numFmtId="0" fontId="10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horizontal="center"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166" fontId="5" fillId="3" borderId="2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3" fillId="4" borderId="2" applyAlignment="1" applyProtection="1" pivotButton="0" quotePrefix="0" xfId="0">
      <alignment horizontal="center" vertical="center" wrapText="1"/>
      <protection locked="1" hidden="1"/>
    </xf>
    <xf numFmtId="0" fontId="14" fillId="0" borderId="0" applyAlignment="1" applyProtection="1" pivotButton="0" quotePrefix="0" xfId="0">
      <alignment vertical="center"/>
      <protection locked="1" hidden="1"/>
    </xf>
    <xf numFmtId="0" fontId="14" fillId="0" borderId="0" applyAlignment="1" pivotButton="0" quotePrefix="0" xfId="0">
      <alignment vertical="center"/>
    </xf>
    <xf numFmtId="0" fontId="6" fillId="2" borderId="2" applyAlignment="1" applyProtection="1" pivotButton="0" quotePrefix="0" xfId="0">
      <alignment vertical="center"/>
      <protection locked="0" hidden="0"/>
    </xf>
    <xf numFmtId="166" fontId="6" fillId="2" borderId="2" applyAlignment="1" applyProtection="1" pivotButton="0" quotePrefix="0" xfId="0">
      <alignment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6" fontId="14" fillId="0" borderId="0" applyAlignment="1" applyProtection="1" pivotButton="0" quotePrefix="0" xfId="0">
      <alignment vertical="center"/>
      <protection locked="1" hidden="1"/>
    </xf>
    <xf numFmtId="166" fontId="6" fillId="3" borderId="2" applyAlignment="1" applyProtection="1" pivotButton="0" quotePrefix="0" xfId="0">
      <alignment vertical="center"/>
      <protection locked="1" hidden="1"/>
    </xf>
    <xf numFmtId="166" fontId="5" fillId="6" borderId="2" applyAlignment="1" applyProtection="1" pivotButton="0" quotePrefix="0" xfId="0">
      <alignment vertical="center"/>
      <protection locked="1" hidden="1"/>
    </xf>
    <xf numFmtId="166" fontId="6" fillId="6" borderId="2" applyAlignment="1" applyProtection="1" pivotButton="0" quotePrefix="0" xfId="0">
      <alignment vertical="center"/>
      <protection locked="1" hidden="1"/>
    </xf>
    <xf numFmtId="0" fontId="6" fillId="6" borderId="2" applyAlignment="1" applyProtection="1" pivotButton="0" quotePrefix="0" xfId="0">
      <alignment horizontal="center" vertical="center"/>
      <protection locked="1" hidden="1"/>
    </xf>
    <xf numFmtId="0" fontId="11" fillId="5" borderId="2" applyAlignment="1" pivotButton="0" quotePrefix="0" xfId="0">
      <alignment vertical="center"/>
    </xf>
    <xf numFmtId="166" fontId="11" fillId="5" borderId="2" applyAlignment="1" applyProtection="1" pivotButton="0" quotePrefix="0" xfId="0">
      <alignment vertical="center"/>
      <protection locked="1" hidden="1"/>
    </xf>
    <xf numFmtId="0" fontId="11" fillId="5" borderId="2" applyAlignment="1" applyProtection="1" pivotButton="0" quotePrefix="0" xfId="0">
      <alignment horizontal="center" vertical="center"/>
      <protection locked="1" hidden="1"/>
    </xf>
    <xf numFmtId="0" fontId="6" fillId="0" borderId="0" applyAlignment="1" pivotButton="0" quotePrefix="0" xfId="0">
      <alignment horizontal="right" vertical="center"/>
    </xf>
    <xf numFmtId="165" fontId="0" fillId="0" borderId="0" applyProtection="1" pivotButton="0" quotePrefix="0" xfId="0">
      <protection locked="1" hidden="1"/>
    </xf>
    <xf numFmtId="0" fontId="5" fillId="0" borderId="0" applyAlignment="1" pivotButton="0" quotePrefix="0" xfId="0">
      <alignment horizontal="right" vertical="center"/>
    </xf>
    <xf numFmtId="9" fontId="11" fillId="5" borderId="2" applyAlignment="1" applyProtection="1" pivotButton="0" quotePrefix="0" xfId="0">
      <alignment vertical="center"/>
      <protection locked="1" hidden="1"/>
    </xf>
    <xf numFmtId="0" fontId="15" fillId="0" borderId="0" applyAlignment="1" applyProtection="1" pivotButton="0" quotePrefix="0" xfId="0">
      <alignment vertical="center"/>
      <protection locked="1" hidden="1"/>
    </xf>
    <xf numFmtId="165" fontId="6" fillId="2" borderId="2" applyAlignment="1" applyProtection="1" pivotButton="0" quotePrefix="0" xfId="0">
      <alignment vertical="center"/>
      <protection locked="0" hidden="0"/>
    </xf>
    <xf numFmtId="167" fontId="6" fillId="2" borderId="2" applyAlignment="1" applyProtection="1" pivotButton="0" quotePrefix="0" xfId="0">
      <alignment horizontal="center" vertical="center"/>
      <protection locked="0" hidden="0"/>
    </xf>
    <xf numFmtId="9" fontId="6" fillId="2" borderId="2" applyAlignment="1" applyProtection="1" pivotButton="0" quotePrefix="0" xfId="0">
      <alignment horizontal="center" vertical="center"/>
      <protection locked="0" hidden="0"/>
    </xf>
    <xf numFmtId="9" fontId="6" fillId="6" borderId="2" applyAlignment="1" applyProtection="1" pivotButton="0" quotePrefix="0" xfId="0">
      <alignment horizontal="center" vertical="center"/>
      <protection locked="1" hidden="1"/>
    </xf>
    <xf numFmtId="165" fontId="14" fillId="0" borderId="0" applyAlignment="1" applyProtection="1" pivotButton="0" quotePrefix="0" xfId="0">
      <alignment vertical="center"/>
      <protection locked="1" hidden="1"/>
    </xf>
    <xf numFmtId="0" fontId="0" fillId="0" borderId="5" pivotButton="0" quotePrefix="0" xfId="0"/>
    <xf numFmtId="0" fontId="0" fillId="0" borderId="6" pivotButton="0" quotePrefix="0" xfId="0"/>
    <xf numFmtId="0" fontId="6" fillId="2" borderId="2" applyAlignment="1" applyProtection="1" pivotButton="0" quotePrefix="0" xfId="0">
      <alignment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6" borderId="2" applyAlignment="1" applyProtection="1" pivotButton="0" quotePrefix="0" xfId="0">
      <alignment horizontal="center" vertical="center"/>
      <protection locked="1" hidden="1"/>
    </xf>
    <xf numFmtId="0" fontId="6" fillId="3" borderId="2" applyAlignment="1" applyProtection="1" pivotButton="0" quotePrefix="0" xfId="0">
      <alignment vertical="center"/>
      <protection locked="1" hidden="1"/>
    </xf>
    <xf numFmtId="0" fontId="5" fillId="6" borderId="2" applyAlignment="1" applyProtection="1" pivotButton="0" quotePrefix="0" xfId="0">
      <alignment vertical="center"/>
      <protection locked="1" hidden="1"/>
    </xf>
    <xf numFmtId="165" fontId="6" fillId="6" borderId="2" applyAlignment="1" applyProtection="1" pivotButton="0" quotePrefix="0" xfId="0">
      <alignment vertical="center"/>
      <protection locked="1" hidden="1"/>
    </xf>
    <xf numFmtId="166" fontId="16" fillId="5" borderId="2" applyAlignment="1" applyProtection="1" pivotButton="0" quotePrefix="0" xfId="0">
      <alignment vertical="center"/>
      <protection locked="1" hidden="1"/>
    </xf>
    <xf numFmtId="168" fontId="5" fillId="6" borderId="2" applyAlignment="1" applyProtection="1" pivotButton="0" quotePrefix="0" xfId="0">
      <alignment vertical="center"/>
      <protection locked="1" hidden="1"/>
    </xf>
    <xf numFmtId="165" fontId="16" fillId="5" borderId="2" applyAlignment="1" applyProtection="1" pivotButton="0" quotePrefix="0" xfId="0">
      <alignment horizontal="center" vertical="center"/>
      <protection locked="1" hidden="1"/>
    </xf>
    <xf numFmtId="165" fontId="5" fillId="3" borderId="2" applyAlignment="1" applyProtection="1" pivotButton="0" quotePrefix="0" xfId="0">
      <alignment vertical="center"/>
      <protection locked="1" hidden="1"/>
    </xf>
    <xf numFmtId="169" fontId="13" fillId="4" borderId="2" applyAlignment="1" applyProtection="1" pivotButton="0" quotePrefix="0" xfId="0">
      <alignment horizontal="center" vertical="center" textRotation="90"/>
      <protection locked="1" hidden="1"/>
    </xf>
    <xf numFmtId="1" fontId="10" fillId="3" borderId="2" applyAlignment="1" pivotButton="0" quotePrefix="0" xfId="0">
      <alignment horizontal="center" vertical="center"/>
    </xf>
    <xf numFmtId="1" fontId="6" fillId="2" borderId="2" applyAlignment="1" applyProtection="1" pivotButton="0" quotePrefix="0" xfId="0">
      <alignment horizontal="center" vertical="center"/>
      <protection locked="0" hidden="0"/>
    </xf>
    <xf numFmtId="165" fontId="5" fillId="6" borderId="2" applyAlignment="1" applyProtection="1" pivotButton="0" quotePrefix="0" xfId="0">
      <alignment vertical="center"/>
      <protection locked="1" hidden="1"/>
    </xf>
    <xf numFmtId="0" fontId="6" fillId="3" borderId="2" applyAlignment="1" applyProtection="1" pivotButton="0" quotePrefix="0" xfId="0">
      <alignment horizontal="center" vertical="center"/>
      <protection locked="1" hidden="1"/>
    </xf>
    <xf numFmtId="0" fontId="0" fillId="0" borderId="7" pivotButton="0" quotePrefix="0" xfId="0"/>
    <xf numFmtId="1" fontId="17" fillId="5" borderId="2" applyAlignment="1" applyProtection="1" pivotButton="0" quotePrefix="0" xfId="0">
      <alignment horizontal="left" vertical="center"/>
      <protection locked="1" hidden="1"/>
    </xf>
    <xf numFmtId="166" fontId="17" fillId="5" borderId="2" applyAlignment="1" applyProtection="1" pivotButton="0" quotePrefix="0" xfId="0">
      <alignment horizontal="left" vertical="center"/>
      <protection locked="1" hidden="1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11">
    <dxf>
      <font>
        <name val="Arial"/>
        <b val="1"/>
        <color rgb="00991B1B"/>
      </font>
      <fill>
        <patternFill patternType="solid">
          <fgColor rgb="00FEE2E2"/>
          <bgColor rgb="00FEE2E2"/>
        </patternFill>
      </fill>
    </dxf>
    <dxf>
      <font>
        <name val="Arial"/>
        <b val="1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2400E"/>
      </font>
      <fill>
        <patternFill patternType="solid">
          <fgColor rgb="00FEF3C7"/>
          <bgColor rgb="00FEF3C7"/>
        </patternFill>
      </fill>
    </dxf>
    <dxf>
      <font>
        <name val="Arial"/>
        <color rgb="00065F46"/>
      </font>
      <fill>
        <patternFill patternType="solid">
          <fgColor rgb="00D1FAE5"/>
          <bgColor rgb="00D1FAE5"/>
        </patternFill>
      </fill>
    </dxf>
    <dxf>
      <font>
        <name val="Arial"/>
        <color rgb="001E3A8A"/>
      </font>
      <fill>
        <patternFill patternType="solid">
          <fgColor rgb="00DBEAFE"/>
          <bgColor rgb="00DBEAFE"/>
        </patternFill>
      </fill>
    </dxf>
    <dxf>
      <font>
        <name val="Arial"/>
        <color rgb="0092400E"/>
      </font>
      <fill>
        <patternFill patternType="solid">
          <fgColor rgb="00FEF3C7"/>
          <bgColor rgb="00FEF3C7"/>
        </patternFill>
      </fill>
    </dxf>
    <dxf>
      <fill>
        <patternFill patternType="solid">
          <fgColor rgb="00DC2626"/>
          <bgColor rgb="00DC2626"/>
        </patternFill>
      </fill>
    </dxf>
    <dxf>
      <fill>
        <patternFill patternType="solid">
          <fgColor rgb="009CA3AF"/>
          <bgColor rgb="009CA3AF"/>
        </patternFill>
      </fill>
    </dxf>
    <dxf>
      <fill>
        <patternFill patternType="solid">
          <fgColor rgb="0014B8A6"/>
          <bgColor rgb="0014B8A6"/>
        </patternFill>
      </fill>
    </dxf>
    <dxf>
      <fill>
        <patternFill patternType="solid">
          <fgColor rgb="00FDE68A"/>
          <bgColor rgb="00FDE68A"/>
        </patternFill>
      </fill>
    </dxf>
    <dxf>
      <font>
        <name val="Arial"/>
        <color rgb="00FFFFFF"/>
      </font>
      <fill>
        <patternFill patternType="solid">
          <fgColor rgb="00F59E0B"/>
          <bgColor rgb="00F59E0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Budget vs forecast (top 12 categories)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'Engine'!AC1</f>
            </strRef>
          </tx>
          <spPr>
            <a:solidFill>
              <a:srgbClr val="CBD5E1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'Engine'!$AC$2:$AC$13</f>
            </numRef>
          </val>
        </ser>
        <ser>
          <idx val="1"/>
          <order val="1"/>
          <tx>
            <strRef>
              <f>'Engine'!AD1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'Engine'!$AB$2:$AB$13</f>
            </numRef>
          </cat>
          <val>
            <numRef>
              <f>'Engine'!$AD$2:$AD$13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0F5E5E"/>
                </a:solidFill>
              </a:defRPr>
            </a:pPr>
            <a:r>
              <a:rPr sz="1100" b="1">
                <a:solidFill>
                  <a:srgbClr val="0F5E5E"/>
                </a:solidFill>
              </a:rPr>
              <a:t>Cash flow per month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'Payments'!AA40</f>
            </strRef>
          </tx>
          <spPr>
            <a:solidFill>
              <a:srgbClr val="0F5E5E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'Payments'!$AA$41:$AA$52</f>
            </numRef>
          </val>
        </ser>
        <ser>
          <idx val="1"/>
          <order val="1"/>
          <tx>
            <strRef>
              <f>'Payments'!AB40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'Payments'!$Z$41:$Z$52</f>
            </numRef>
          </cat>
          <val>
            <numRef>
              <f>'Payments'!$AB$41:$AB$52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Renovation OS</author>
  </authors>
  <commentList>
    <comment ref="B9" authorId="0" shapeId="0">
      <text>
        <t>Your total renovation budget including tax. Renovation OS keeps the contingency % aside as a safety buffer, the rest is your working budget.</t>
      </text>
    </comment>
    <comment ref="B11" authorId="0" shapeId="0">
      <text>
        <t>Normally empty. Type a date here to see the workbook as it was/will be on that date. The demo file is frozen on a date so every feature shows data.</t>
      </text>
    </comment>
    <comment ref="B24" authorId="0" shapeId="0">
      <text>
        <t>Money you keep aside for surprises. Working budget = total budget − contingency.</t>
      </text>
    </comment>
    <comment ref="B26" authorId="0" shapeId="0">
      <text>
        <t>Protects you from paying ahead of progress. Example: 10% means paying 50% for 35% of the work triggers a warning.</t>
      </text>
    </comment>
  </commentList>
</comments>
</file>

<file path=xl/comments/comment2.xml><?xml version="1.0" encoding="utf-8"?>
<comments xmlns="http://schemas.openxmlformats.org/spreadsheetml/2006/main">
  <authors>
    <author>Renovation OS</author>
  </authors>
  <commentList>
    <comment ref="B7" authorId="0" shapeId="0">
      <text>
        <t>Rename, add or clear categories (up to 30). They feed every Category dropdown in the workbook.</t>
      </text>
    </comment>
    <comment ref="D7" authorId="0" shapeId="0">
      <text>
        <t>Estimating = still collecting quotes. Contracted = contract signed. Complete = work finished and final invoice received.</t>
      </text>
    </comment>
    <comment ref="E7" authorId="0" shapeId="0">
      <text>
        <t>Lowest TRUE cost (incl. hidden costs) from the Quotes tab for this category.</t>
      </text>
    </comment>
    <comment ref="F7" authorId="0" shapeId="0">
      <text>
        <t>Sum of SIGNED contracts on the Contractors tab with this category.</t>
      </text>
    </comment>
    <comment ref="G7" authorId="0" shapeId="0">
      <text>
        <t>Materials you buy yourself: selected option prices on Selections &amp; Orders.</t>
      </text>
    </comment>
    <comment ref="H7" authorId="0" shapeId="0">
      <text>
        <t>Approved change orders for this category.</t>
      </text>
    </comment>
    <comment ref="I7" authorId="0" shapeId="0">
      <text>
        <t>Signed contracts: money you have promised to spend.</t>
      </text>
    </comment>
    <comment ref="L7" authorId="0" shapeId="0">
      <text>
        <t>Estimating: the highest of budget, committed and invoiced (be pessimistic until signed). Contracted/Complete: committed (or invoiced if higher).</t>
      </text>
    </comment>
    <comment ref="M7" authorId="0" shapeId="0">
      <text>
        <t>Budget − forecast. Negative (red) = over budget.</t>
      </text>
    </comment>
  </commentList>
</comments>
</file>

<file path=xl/comments/comment3.xml><?xml version="1.0" encoding="utf-8"?>
<comments xmlns="http://schemas.openxmlformats.org/spreadsheetml/2006/main">
  <authors>
    <author>Renovation OS</author>
  </authors>
  <commentList>
    <comment ref="D5" authorId="0" shapeId="0">
      <text>
        <t>Links this contract to a Budget line.</t>
      </text>
    </comment>
    <comment ref="E5" authorId="0" shapeId="0">
      <text>
        <t>Where most of their work happens (or Whole house). Used by the Rooms tab.</t>
      </text>
    </comment>
    <comment ref="I5" authorId="0" shapeId="0">
      <text>
        <t>Signed contract amount incl. tax. Add approved extras to it.</t>
      </text>
    </comment>
    <comment ref="L5" authorId="0" shapeId="0">
      <text>
        <t>Only signed contracts count as Committed on the Budget.</t>
      </text>
    </comment>
    <comment ref="O5" authorId="0" shapeId="0">
      <text>
        <t>Have you seen a valid liability insurance certificate?</t>
      </text>
    </comment>
    <comment ref="P5" authorId="0" shapeId="0">
      <text>
        <t>Registered / licensed for this trade where required?</t>
      </text>
    </comment>
    <comment ref="R5" authorId="0" shapeId="0">
      <text>
        <t>YOUR estimate of how much of their work is done. Update weekly — it drives the overpayment check.</t>
      </text>
    </comment>
    <comment ref="U5" authorId="0" shapeId="0">
      <text>
        <t>⚠️ appears when paid % is ahead of work complete % by more than your tolerance (Start Here).</t>
      </text>
    </comment>
  </commentList>
</comments>
</file>

<file path=xl/comments/comment4.xml><?xml version="1.0" encoding="utf-8"?>
<comments xmlns="http://schemas.openxmlformats.org/spreadsheetml/2006/main">
  <authors>
    <author>Renovation OS</author>
  </authors>
  <commentList>
    <comment ref="B5" authorId="0" shapeId="0">
      <text>
        <t>Pick a contractor, or type any supplier name (you'll get a warning you can accept).</t>
      </text>
    </comment>
    <comment ref="D5" authorId="0" shapeId="0">
      <text>
        <t>Leave empty to use the contractor's main room.</t>
      </text>
    </comment>
    <comment ref="E5" authorId="0" shapeId="0">
      <text>
        <t>Only needed for suppliers that are not on the Contractors tab, so the payment lands on the right Budget line.</t>
      </text>
    </comment>
    <comment ref="F5" authorId="0" shapeId="0">
      <text>
        <t>Milestone as % of the contract value…</t>
      </text>
    </comment>
    <comment ref="G5" authorId="0" shapeId="0">
      <text>
        <t>…or a fixed amount (wins over %).</t>
      </text>
    </comment>
    <comment ref="M5" authorId="0" shapeId="0">
      <text>
        <t>Enter the date you paid — this marks the row as Paid.</t>
      </text>
    </comment>
    <comment ref="AC38" authorId="0" shapeId="0">
      <text>
        <t>All unpaid amounts due in the next 30 days, including anything overdue.</t>
      </text>
    </comment>
  </commentList>
</comments>
</file>

<file path=xl/comments/comment5.xml><?xml version="1.0" encoding="utf-8"?>
<comments xmlns="http://schemas.openxmlformats.org/spreadsheetml/2006/main">
  <authors>
    <author>Renovation OS</author>
  </authors>
  <commentList>
    <comment ref="B6" authorId="0" shapeId="0">
      <text>
        <t>Fixed task number. Use it in the Predecessor column of later tasks.</t>
      </text>
    </comment>
    <comment ref="G6" authorId="0" shapeId="0">
      <text>
        <t>Calendar days the task takes.</t>
      </text>
    </comment>
    <comment ref="H6" authorId="0" shapeId="0">
      <text>
        <t>ID of the task that must finish first. It must be a LOWER ID (a task listed above this one). Leave empty if none.</t>
      </text>
    </comment>
    <comment ref="I6" authorId="0" shapeId="0">
      <text>
        <t>Optional: the task cannot start before this date (e.g. contractor availability).</t>
      </text>
    </comment>
    <comment ref="J6" authorId="0" shapeId="0">
      <text>
        <t>Latest of: project start, your earliest start, predecessor end + 1.</t>
      </text>
    </comment>
    <comment ref="K6" authorId="0" shapeId="0">
      <text>
        <t>Days this task slipped. Everything that depends on it moves too.</t>
      </text>
    </comment>
    <comment ref="O6" authorId="0" shapeId="0">
      <text>
        <t>How many tasks list this one as predecessor. &gt;0 = on the critical path: a delay here pushes them.</t>
      </text>
    </comment>
  </commentList>
</comments>
</file>

<file path=xl/comments/comment6.xml><?xml version="1.0" encoding="utf-8"?>
<comments xmlns="http://schemas.openxmlformats.org/spreadsheetml/2006/main">
  <authors>
    <author>Renovation OS</author>
  </authors>
  <commentList>
    <comment ref="H7" authorId="0" shapeId="0">
      <text>
        <t>High = safety, structure, water, or blocks other work. Always shows as 🔴.</t>
      </text>
    </comment>
    <comment ref="I7" authorId="0" shapeId="0">
      <text>
        <t>What it may cost YOU (0 if the contractor pays). Open issue costs are shown as risk on the Budget tab.</t>
      </text>
    </comment>
    <comment ref="N7" authorId="0" shapeId="0">
      <text>
        <t>Paste a Google Photos / Drive / OneDrive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40</row>
      <rowOff>0</rowOff>
    </from>
    <ext cx="4536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40</row>
      <rowOff>0</rowOff>
    </from>
    <ext cx="4536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Contractors'!A1" TargetMode="External" Id="rId3" /><Relationship Type="http://schemas.openxmlformats.org/officeDocument/2006/relationships/hyperlink" Target="#'Payments'!A1" TargetMode="External" Id="rId4" /><Relationship Type="http://schemas.openxmlformats.org/officeDocument/2006/relationships/hyperlink" Target="#'Timeline'!A1" TargetMode="External" Id="rId5" /><Relationship Type="http://schemas.openxmlformats.org/officeDocument/2006/relationships/hyperlink" Target="#'Issues &amp; Punch List'!A1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rgb="000F5E5E"/>
    <outlinePr summaryBelow="1" summaryRight="1"/>
    <pageSetUpPr/>
  </sheetPr>
  <dimension ref="A1:K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22" customWidth="1" min="3" max="3"/>
    <col width="50" customWidth="1" min="4" max="4"/>
    <col width="3" customWidth="1" min="5" max="5"/>
    <col width="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" customWidth="1" min="12" max="12"/>
  </cols>
  <sheetData>
    <row r="1" ht="36" customHeight="1">
      <c r="B1" s="1" t="inlineStr">
        <is>
          <t>🏠 Renovation OS Lite — Start Here</t>
        </is>
      </c>
    </row>
    <row r="2" ht="20" customHeight="1">
      <c r="B2" s="2" t="inlineStr">
        <is>
          <t>What this tab does: set up your project once (yellow cells), then follow the 5 steps on the right.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4" t="inlineStr">
        <is>
          <t>YOUR PROJECT</t>
        </is>
      </c>
      <c r="C4" s="5" t="n"/>
      <c r="D4" s="5" t="n"/>
      <c r="F4" s="4" t="inlineStr">
        <is>
          <t>GET STARTED IN 10 MINUTES</t>
        </is>
      </c>
      <c r="G4" s="5" t="n"/>
      <c r="H4" s="5" t="n"/>
      <c r="I4" s="5" t="n"/>
      <c r="J4" s="5" t="n"/>
      <c r="K4" s="5" t="n"/>
    </row>
    <row r="5" ht="22" customHeight="1">
      <c r="B5" s="6" t="inlineStr">
        <is>
          <t>Project name</t>
        </is>
      </c>
      <c r="C5" s="7" t="inlineStr">
        <is>
          <t>Maple Lane Renovation</t>
        </is>
      </c>
      <c r="D5" s="8" t="inlineStr">
        <is>
          <t>Shown as the Dashboard title.</t>
        </is>
      </c>
      <c r="F5" s="9" t="n">
        <v>1</v>
      </c>
      <c r="G5" s="10" t="inlineStr">
        <is>
          <t>Fill in the yellow cells on the left</t>
        </is>
      </c>
    </row>
    <row r="6" ht="30" customHeight="1">
      <c r="B6" s="6" t="inlineStr">
        <is>
          <t>Property address</t>
        </is>
      </c>
      <c r="C6" s="7" t="inlineStr">
        <is>
          <t>12 Maple Lane</t>
        </is>
      </c>
      <c r="D6" s="8" t="inlineStr">
        <is>
          <t>For your own reference.</t>
        </is>
      </c>
      <c r="G6" s="11" t="inlineStr">
        <is>
          <t>Project dates, total budget, currency, tax. Everything else calculates itself.</t>
        </is>
      </c>
    </row>
    <row r="7" ht="22" customHeight="1">
      <c r="B7" s="6" t="inlineStr">
        <is>
          <t>Project start date</t>
        </is>
      </c>
      <c r="C7" s="12" t="n">
        <v>46083</v>
      </c>
      <c r="D7" s="8" t="inlineStr">
        <is>
          <t>First day of the project (design counts!). The Timeline starts here.</t>
        </is>
      </c>
      <c r="F7" s="9" t="n">
        <v>2</v>
      </c>
      <c r="G7" s="10" t="inlineStr">
        <is>
          <t>Budget tab: set a budget per category</t>
        </is>
      </c>
    </row>
    <row r="8" ht="30" customHeight="1">
      <c r="B8" s="6" t="inlineStr">
        <is>
          <t>Target move-in date</t>
        </is>
      </c>
      <c r="C8" s="12" t="n">
        <v>46255</v>
      </c>
      <c r="D8" s="8" t="inlineStr">
        <is>
          <t>The date you want to live in the house again.</t>
        </is>
      </c>
      <c r="G8" s="11" t="inlineStr">
        <is>
          <t>Rename categories if you like. Aim for the total to match your working budget.</t>
        </is>
      </c>
    </row>
    <row r="9" ht="22" customHeight="1">
      <c r="B9" s="13">
        <f>"Total budget incl. "&amp;TaxWord&amp;" ("&amp;CurSym&amp;")"</f>
        <v/>
      </c>
      <c r="C9" s="14" t="n">
        <v>135000</v>
      </c>
      <c r="D9" s="8" t="inlineStr">
        <is>
          <t>Everything you can spend, including tax and your safety buffer.</t>
        </is>
      </c>
      <c r="F9" s="9" t="n">
        <v>3</v>
      </c>
      <c r="G9" s="10" t="inlineStr">
        <is>
          <t>Contractors + Payments: who you pay, and when</t>
        </is>
      </c>
    </row>
    <row r="10" ht="30" customHeight="1">
      <c r="B10" s="13">
        <f>"Total floor area ("&amp;AreaUnit&amp;")"</f>
        <v/>
      </c>
      <c r="C10" s="15" t="n">
        <v>1528</v>
      </c>
      <c r="D10" s="8" t="inlineStr">
        <is>
          <t>Optional — used for cost per m² / ft².</t>
        </is>
      </c>
      <c r="G10" s="11" t="inlineStr">
        <is>
          <t>Enter each contract and its payment milestones — you get a warning if you pay ahead of the work.</t>
        </is>
      </c>
    </row>
    <row r="11" ht="22" customHeight="1">
      <c r="B11" s="6" t="inlineStr">
        <is>
          <t>“Today” override (optional)</t>
        </is>
      </c>
      <c r="C11" s="12" t="n">
        <v>46188</v>
      </c>
      <c r="D11" s="16" t="inlineStr">
        <is>
          <t>DEMO is frozen on this date so every feature shows data — clear this cell to use today's date.</t>
        </is>
      </c>
      <c r="F11" s="9" t="n">
        <v>4</v>
      </c>
      <c r="G11" s="10" t="inlineStr">
        <is>
          <t>Timeline: set durations and dependencies</t>
        </is>
      </c>
    </row>
    <row r="12" ht="30" customHeight="1">
      <c r="G12" s="11" t="inlineStr">
        <is>
          <t>Dates, the Gantt chart and late-task alerts follow automatically.</t>
        </is>
      </c>
    </row>
    <row r="13">
      <c r="B13" s="4" t="inlineStr">
        <is>
          <t>PREFERENCES</t>
        </is>
      </c>
      <c r="C13" s="5" t="n"/>
      <c r="D13" s="5" t="n"/>
      <c r="F13" s="9" t="n">
        <v>5</v>
      </c>
      <c r="G13" s="10" t="inlineStr">
        <is>
          <t>Every Monday open the Dashboard</t>
        </is>
      </c>
    </row>
    <row r="14" ht="30" customHeight="1">
      <c r="B14" s="6" t="inlineStr">
        <is>
          <t>Currency</t>
        </is>
      </c>
      <c r="C14" s="7" t="inlineStr">
        <is>
          <t>USD $</t>
        </is>
      </c>
      <c r="D14" s="8" t="inlineStr">
        <is>
          <t>Shown next to every amount header. Pick ‘Other’ to type your own symbol.</t>
        </is>
      </c>
      <c r="G14" s="11" t="inlineStr">
        <is>
          <t>Do the ranked actions, top to bottom. That's the whole routine.</t>
        </is>
      </c>
    </row>
    <row r="15" ht="22" customHeight="1">
      <c r="B15" s="6" t="inlineStr">
        <is>
          <t>Custom currency symbol</t>
        </is>
      </c>
      <c r="C15" s="7" t="n"/>
      <c r="D15" s="8" t="inlineStr">
        <is>
          <t>Only used when Currency = Other.</t>
        </is>
      </c>
    </row>
    <row r="16" ht="22" customHeight="1">
      <c r="B16" s="6" t="inlineStr">
        <is>
          <t>Tax name</t>
        </is>
      </c>
      <c r="C16" s="7" t="inlineStr">
        <is>
          <t>Sales tax</t>
        </is>
      </c>
      <c r="D16" s="8" t="inlineStr">
        <is>
          <t>VAT, Sales tax, GST… used in labels.</t>
        </is>
      </c>
    </row>
    <row r="17" ht="22" customHeight="1">
      <c r="B17" s="6" t="inlineStr">
        <is>
          <t>Area unit</t>
        </is>
      </c>
      <c r="C17" s="7" t="inlineStr">
        <is>
          <t>ft²</t>
        </is>
      </c>
      <c r="D17" s="8" t="inlineStr">
        <is>
          <t>m² or ft² for room sizes.</t>
        </is>
      </c>
      <c r="F17" s="4" t="inlineStr">
        <is>
          <t>COLOUR LEGEND</t>
        </is>
      </c>
      <c r="G17" s="5" t="n"/>
      <c r="H17" s="5" t="n"/>
      <c r="I17" s="5" t="n"/>
      <c r="J17" s="5" t="n"/>
      <c r="K17" s="5" t="n"/>
    </row>
    <row r="18" ht="22" customHeight="1">
      <c r="B18" s="6" t="inlineStr">
        <is>
          <t>Week starts on</t>
        </is>
      </c>
      <c r="C18" s="7" t="inlineStr">
        <is>
          <t>Sunday</t>
        </is>
      </c>
      <c r="D18" s="8" t="inlineStr">
        <is>
          <t>Used by This Week and the Gantt chart.</t>
        </is>
      </c>
      <c r="F18" s="17" t="inlineStr"/>
      <c r="G18" s="18" t="inlineStr">
        <is>
          <t>Light-yellow cell = YOU TYPE HERE (or pick from the dropdown).</t>
        </is>
      </c>
    </row>
    <row r="19" ht="22" customHeight="1">
      <c r="B19" s="6" t="inlineStr">
        <is>
          <t>Budget ‘attention’ band</t>
        </is>
      </c>
      <c r="C19" s="19" t="n">
        <v>0.05</v>
      </c>
      <c r="D19" s="8" t="inlineStr">
        <is>
          <t>A budget line turns 🟡 when forecast is over budget by up to this %, 🔴 above.</t>
        </is>
      </c>
      <c r="F19" s="20" t="inlineStr"/>
      <c r="G19" s="18" t="inlineStr">
        <is>
          <t>White / grey cell = automatic. Protected so you can't break a formula.</t>
        </is>
      </c>
    </row>
    <row r="20" ht="22" customHeight="1">
      <c r="F20" s="21" t="inlineStr">
        <is>
          <t>🟢</t>
        </is>
      </c>
      <c r="G20" s="18" t="inlineStr">
        <is>
          <t>On track — nothing to do.</t>
        </is>
      </c>
    </row>
    <row r="21" ht="22" customHeight="1">
      <c r="F21" s="22" t="inlineStr">
        <is>
          <t>🟡</t>
        </is>
      </c>
      <c r="G21" s="18" t="inlineStr">
        <is>
          <t>Needs attention soon (within your alert window).</t>
        </is>
      </c>
    </row>
    <row r="22" ht="22" customHeight="1">
      <c r="F22" s="23" t="inlineStr">
        <is>
          <t>🔴</t>
        </is>
      </c>
      <c r="G22" s="18" t="inlineStr">
        <is>
          <t>Urgent — overdue, over budget or at risk.</t>
        </is>
      </c>
    </row>
    <row r="23">
      <c r="B23" s="4" t="inlineStr">
        <is>
          <t>ALERT SETTINGS</t>
        </is>
      </c>
      <c r="C23" s="5" t="n"/>
      <c r="D23" s="5" t="n"/>
      <c r="G23" s="8" t="inlineStr">
        <is>
          <t>White cells are locked and protected, so a formula can never be broken by accident. Type only in the yellow cells.</t>
        </is>
      </c>
    </row>
    <row r="24" ht="22" customHeight="1">
      <c r="B24" s="6" t="inlineStr">
        <is>
          <t>Contingency (safety buffer) %</t>
        </is>
      </c>
      <c r="C24" s="19" t="n">
        <v>0.1</v>
      </c>
      <c r="D24" s="8" t="inlineStr">
        <is>
          <t>10–15% is typical. Kept aside from your total budget.</t>
        </is>
      </c>
    </row>
    <row r="25" ht="22" customHeight="1">
      <c r="B25" s="6" t="inlineStr">
        <is>
          <t>Alert window (days)</t>
        </is>
      </c>
      <c r="C25" s="24" t="n">
        <v>7</v>
      </c>
      <c r="D25" s="8" t="inlineStr">
        <is>
          <t>Things due within this many days show as 🟡 ‘this week’.</t>
        </is>
      </c>
      <c r="F25" s="4" t="inlineStr">
        <is>
          <t>YOUR TABS</t>
        </is>
      </c>
      <c r="G25" s="5" t="n"/>
      <c r="H25" s="5" t="n"/>
      <c r="I25" s="5" t="n"/>
      <c r="J25" s="5" t="n"/>
      <c r="K25" s="5" t="n"/>
    </row>
    <row r="26" ht="22" customHeight="1">
      <c r="B26" s="6" t="inlineStr">
        <is>
          <t>Overpayment tolerance %</t>
        </is>
      </c>
      <c r="C26" s="19" t="n">
        <v>0.1</v>
      </c>
      <c r="D26" s="8" t="inlineStr">
        <is>
          <t>Warn when paid % is more than this ahead of work done %.</t>
        </is>
      </c>
      <c r="F26" s="25" t="inlineStr">
        <is>
          <t>▸</t>
        </is>
      </c>
      <c r="G26" s="26" t="inlineStr">
        <is>
          <t>Dashboard</t>
        </is>
      </c>
      <c r="I26" s="27" t="inlineStr">
        <is>
          <t>Your renovation at a glance + ranked next actions.</t>
        </is>
      </c>
    </row>
    <row r="27">
      <c r="F27" s="25" t="inlineStr">
        <is>
          <t>▸</t>
        </is>
      </c>
      <c r="G27" s="26" t="inlineStr">
        <is>
          <t>Budget</t>
        </is>
      </c>
      <c r="I27" s="27" t="inlineStr">
        <is>
          <t>Budget vs committed vs forecast per category.</t>
        </is>
      </c>
    </row>
    <row r="28">
      <c r="F28" s="25" t="inlineStr">
        <is>
          <t>▸</t>
        </is>
      </c>
      <c r="G28" s="26" t="inlineStr">
        <is>
          <t>Contractors</t>
        </is>
      </c>
      <c r="I28" s="27" t="inlineStr">
        <is>
          <t>Contractors, overpayment check and communication log.</t>
        </is>
      </c>
    </row>
    <row r="29">
      <c r="F29" s="25" t="inlineStr">
        <is>
          <t>▸</t>
        </is>
      </c>
      <c r="G29" s="26" t="inlineStr">
        <is>
          <t>Payments</t>
        </is>
      </c>
      <c r="I29" s="27" t="inlineStr">
        <is>
          <t>Payment schedule, invoices and 12-month cash flow.</t>
        </is>
      </c>
    </row>
    <row r="30">
      <c r="B30" s="4" t="inlineStr">
        <is>
          <t>CALCULATED FOR YOU</t>
        </is>
      </c>
      <c r="C30" s="5" t="n"/>
      <c r="D30" s="5" t="n"/>
      <c r="F30" s="25" t="inlineStr">
        <is>
          <t>▸</t>
        </is>
      </c>
      <c r="G30" s="26" t="inlineStr">
        <is>
          <t>Timeline</t>
        </is>
      </c>
      <c r="I30" s="27" t="inlineStr">
        <is>
          <t>Tasks, dependencies and Gantt chart.</t>
        </is>
      </c>
    </row>
    <row r="31" ht="22" customHeight="1">
      <c r="B31" s="13">
        <f>"Contingency amount ("&amp;CurSym&amp;")"</f>
        <v/>
      </c>
      <c r="C31" s="28">
        <f>IF(TotalBudget="",0,TotalBudget*ContPct)</f>
        <v/>
      </c>
      <c r="D31" s="8" t="inlineStr">
        <is>
          <t>Kept aside for surprises — not part of your working budget.</t>
        </is>
      </c>
      <c r="F31" s="25" t="inlineStr">
        <is>
          <t>▸</t>
        </is>
      </c>
      <c r="G31" s="26" t="inlineStr">
        <is>
          <t>Issues &amp; Punch List</t>
        </is>
      </c>
      <c r="I31" s="27" t="inlineStr">
        <is>
          <t>Problems found on site and the final punch list.</t>
        </is>
      </c>
    </row>
    <row r="32" ht="22" customHeight="1">
      <c r="B32" s="13">
        <f>"Working budget ("&amp;CurSym&amp;")"</f>
        <v/>
      </c>
      <c r="C32" s="28">
        <f>IF(TotalBudget="",0,TotalBudget-ContAmt)</f>
        <v/>
      </c>
      <c r="D32" s="8" t="inlineStr">
        <is>
          <t>What you plan to spend. Budget lines should add up to this.</t>
        </is>
      </c>
    </row>
    <row r="33" ht="22" customHeight="1">
      <c r="B33" s="6" t="inlineStr">
        <is>
          <t>Currency symbol in use</t>
        </is>
      </c>
      <c r="C33" s="29">
        <f>IF(Currency="Other",IF(CustomSym="","¤",CustomSym),IFERROR(INDEX('Lists'!$Q$2:$Q$14,MATCH(Currency,'Lists'!$P$2:$P$14,0)),"¤"))</f>
        <v/>
      </c>
      <c r="F33" s="30" t="inlineStr">
        <is>
          <t>⭐ Renovation OS Pro adds: quote comparison with hidden costs, change-order impact preview, decide-by / order-by dates for materials, room cards, This Week planner, document vault and warranty tracker.</t>
        </is>
      </c>
    </row>
    <row r="34" ht="22" customHeight="1">
      <c r="B34" s="6" t="inlineStr">
        <is>
          <t>Today (as used by all tabs)</t>
        </is>
      </c>
      <c r="C34" s="31">
        <f>IF(AsOfOverride="",TODAY(),AsOfOverride)</f>
        <v/>
      </c>
    </row>
    <row r="35" ht="22" customHeight="1">
      <c r="B35" s="6" t="inlineStr">
        <is>
          <t>Tax word used in labels</t>
        </is>
      </c>
      <c r="C35" s="29">
        <f>IF(OR(TaxName="None",TaxName=""),"tax",TaxName)</f>
        <v/>
      </c>
    </row>
    <row r="36"/>
    <row r="37"/>
    <row r="38"/>
    <row r="39"/>
    <row r="40"/>
    <row r="41">
      <c r="B41" s="4" t="inlineStr">
        <is>
          <t>LICENCE &amp; TERMS OF USE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8" customHeight="1">
      <c r="B42" s="32" t="inlineStr">
        <is>
          <t>Renovation OS © 2026 Hang Nguyen. All rights reserved.</t>
        </is>
      </c>
    </row>
    <row r="43" ht="28" customHeight="1">
      <c r="B43" s="11" t="inlineStr">
        <is>
          <t>• This file is licensed, not sold, to the original purchaser for personal, non-commercial use on their own home renovation.</t>
        </is>
      </c>
    </row>
    <row r="44" ht="28" customHeight="1">
      <c r="B44" s="11" t="inlineStr">
        <is>
          <t>• You may NOT share, copy, resell, redistribute, sublicense, give away or upload this file (or any modified version or part of it) to any website, marketplace, group or other person.</t>
        </is>
      </c>
    </row>
    <row r="45" ht="28" customHeight="1">
      <c r="B45" s="11" t="inlineStr">
        <is>
          <t>• The formulas, structure, layout and design are the intellectual property of Hang Nguyen. Removing this notice or the sheet protection is not permitted.</t>
        </is>
      </c>
    </row>
    <row r="46" ht="28" customHeight="1">
      <c r="B46" s="11" t="inlineStr">
        <is>
          <t>• Digital product: all sales are final. No refunds once the file has been delivered.</t>
        </is>
      </c>
    </row>
    <row r="47" ht="28" customHeight="1">
      <c r="B47" s="11" t="inlineStr">
        <is>
          <t>• Provided “as is” as a planning aid, without warranty. It is not financial, legal or construction advice — always check figures before you act on them.</t>
        </is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9">
    <mergeCell ref="G21:K21"/>
    <mergeCell ref="G12:K12"/>
    <mergeCell ref="I28:K28"/>
    <mergeCell ref="G27:H27"/>
    <mergeCell ref="G11:K11"/>
    <mergeCell ref="F5:F6"/>
    <mergeCell ref="G8:K8"/>
    <mergeCell ref="B45:K45"/>
    <mergeCell ref="G7:K7"/>
    <mergeCell ref="G10:K10"/>
    <mergeCell ref="G13:K13"/>
    <mergeCell ref="G19:K19"/>
    <mergeCell ref="G28:H28"/>
    <mergeCell ref="B47:K47"/>
    <mergeCell ref="G6:K6"/>
    <mergeCell ref="I29:K29"/>
    <mergeCell ref="G18:K18"/>
    <mergeCell ref="F13:F14"/>
    <mergeCell ref="B46:K46"/>
    <mergeCell ref="F9:F10"/>
    <mergeCell ref="G30:H30"/>
    <mergeCell ref="I31:K31"/>
    <mergeCell ref="G14:K14"/>
    <mergeCell ref="B43:K43"/>
    <mergeCell ref="G5:K5"/>
    <mergeCell ref="I30:K30"/>
    <mergeCell ref="F33:K34"/>
    <mergeCell ref="F11:F12"/>
    <mergeCell ref="G26:H26"/>
    <mergeCell ref="B42:K42"/>
    <mergeCell ref="G29:H29"/>
    <mergeCell ref="G20:K20"/>
    <mergeCell ref="I27:K27"/>
    <mergeCell ref="B44:K44"/>
    <mergeCell ref="I26:K26"/>
    <mergeCell ref="G31:H31"/>
    <mergeCell ref="F7:F8"/>
    <mergeCell ref="G22:K22"/>
    <mergeCell ref="G9:K9"/>
  </mergeCells>
  <dataValidations count="5">
    <dataValidation sqref="C14" showDropDown="0" showInputMessage="0" showErrorMessage="1" allowBlank="1" errorTitle="Renovation OS" error="Please pick a value from the dropdown list." type="list">
      <formula1>='Lists'!$P$2:$P$14</formula1>
    </dataValidation>
    <dataValidation sqref="C16" showDropDown="0" showInputMessage="0" showErrorMessage="1" allowBlank="1" errorTitle="Renovation OS" error="Please pick a value from the dropdown list." type="list">
      <formula1>='Lists'!$R$2:$R$10</formula1>
    </dataValidation>
    <dataValidation sqref="C17" showDropDown="0" showInputMessage="0" showErrorMessage="1" allowBlank="1" errorTitle="Renovation OS" error="Please pick a value from the dropdown list." type="list">
      <formula1>='Lists'!$S$2:$S$3</formula1>
    </dataValidation>
    <dataValidation sqref="C18" showDropDown="0" showInputMessage="0" showErrorMessage="1" allowBlank="1" errorTitle="Renovation OS" error="Please pick a value from the dropdown list." type="list">
      <formula1>='Lists'!$T$2:$T$3</formula1>
    </dataValidation>
    <dataValidation sqref="C19" showDropDown="0" showInputMessage="0" showErrorMessage="1" allowBlank="1" errorTitle="Renovation OS" error="Please pick a value from the dropdown list." type="list">
      <formula1>='Lists'!$U$2:$U$4</formula1>
    </dataValidation>
  </dataValidations>
  <hyperlinks>
    <hyperlink xmlns:r="http://schemas.openxmlformats.org/officeDocument/2006/relationships" ref="G26" r:id="rId1"/>
    <hyperlink xmlns:r="http://schemas.openxmlformats.org/officeDocument/2006/relationships" ref="G27" r:id="rId2"/>
    <hyperlink xmlns:r="http://schemas.openxmlformats.org/officeDocument/2006/relationships" ref="G28" r:id="rId3"/>
    <hyperlink xmlns:r="http://schemas.openxmlformats.org/officeDocument/2006/relationships" ref="G29" r:id="rId4"/>
    <hyperlink xmlns:r="http://schemas.openxmlformats.org/officeDocument/2006/relationships" ref="G30" r:id="rId5"/>
    <hyperlink xmlns:r="http://schemas.openxmlformats.org/officeDocument/2006/relationships" ref="G31" r:id="rId6"/>
  </hyperlink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5E5E"/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3" customWidth="1" min="12" max="12"/>
    <col width="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36" customHeight="1">
      <c r="B1" s="33">
        <f>"🏠 "&amp;IF(ProjName="","My renovation",ProjName)</f>
        <v/>
      </c>
    </row>
    <row r="2" ht="20" customHeight="1">
      <c r="B2" s="2" t="inlineStr">
        <is>
          <t>What this tab does: your renovation at a glance — updated automatically. Nothing to type here.</t>
        </is>
      </c>
      <c r="I2" s="34" t="inlineStr">
        <is>
          <t>As of</t>
        </is>
      </c>
      <c r="J2" s="35">
        <f>AsOf</f>
        <v/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 ht="18" customHeight="1">
      <c r="B4" s="36">
        <f>"Working budget ("&amp;CurSym&amp;")"</f>
        <v/>
      </c>
      <c r="C4" s="37" t="n"/>
      <c r="D4" s="36">
        <f>"Committed ("&amp;CurSym&amp;")"</f>
        <v/>
      </c>
      <c r="E4" s="37" t="n"/>
      <c r="F4" s="36">
        <f>"Invoiced ("&amp;CurSym&amp;")"</f>
        <v/>
      </c>
      <c r="G4" s="37" t="n"/>
      <c r="H4" s="36">
        <f>"Paid ("&amp;CurSym&amp;")"</f>
        <v/>
      </c>
      <c r="I4" s="37" t="n"/>
      <c r="J4" s="36">
        <f>"Remaining to commit ("&amp;CurSym&amp;")"</f>
        <v/>
      </c>
      <c r="K4" s="37" t="n"/>
    </row>
    <row r="5" ht="30" customHeight="1">
      <c r="B5" s="38">
        <f>WorkBudget</f>
        <v/>
      </c>
      <c r="C5" s="37" t="n"/>
      <c r="D5" s="38">
        <f>CommittedTotal</f>
        <v/>
      </c>
      <c r="E5" s="37" t="n"/>
      <c r="F5" s="38">
        <f>InvoicedTotal</f>
        <v/>
      </c>
      <c r="G5" s="37" t="n"/>
      <c r="H5" s="38">
        <f>PaidTotal</f>
        <v/>
      </c>
      <c r="I5" s="37" t="n"/>
      <c r="J5" s="38">
        <f>WorkBudget-CommittedTotal</f>
        <v/>
      </c>
      <c r="K5" s="37" t="n"/>
    </row>
    <row r="6" ht="18" customHeight="1">
      <c r="B6" s="39">
        <f>"of "&amp;FIXED(TotalBudget,0)&amp;" total budget"</f>
        <v/>
      </c>
      <c r="C6" s="37" t="n"/>
      <c r="D6" s="39">
        <f>IF(WorkBudget=0,"",ROUND(CommittedTotal/WorkBudget*100,0)&amp;"% of working budget")</f>
        <v/>
      </c>
      <c r="E6" s="37" t="n"/>
      <c r="F6" s="39">
        <f>IF(CommittedTotal=0,"",ROUND(InvoicedTotal/CommittedTotal*100,0)&amp;"% of committed")</f>
        <v/>
      </c>
      <c r="G6" s="37" t="n"/>
      <c r="H6" s="39">
        <f>"Cash needed next 30 days: "&amp;FIXED(Cash30,0)</f>
        <v/>
      </c>
      <c r="I6" s="37" t="n"/>
      <c r="J6" s="39">
        <f>"working budget − committed"</f>
        <v/>
      </c>
      <c r="K6" s="37" t="n"/>
    </row>
    <row r="7" ht="8" customHeight="1"/>
    <row r="8" ht="18" customHeight="1">
      <c r="B8" s="36">
        <f>"Forecast final cost ("&amp;CurSym&amp;")"</f>
        <v/>
      </c>
      <c r="C8" s="37" t="n"/>
      <c r="D8" s="36">
        <f>"Over / under budget ("&amp;CurSym&amp;")"</f>
        <v/>
      </c>
      <c r="E8" s="37" t="n"/>
      <c r="F8" s="40" t="inlineStr">
        <is>
          <t>Contingency used</t>
        </is>
      </c>
      <c r="G8" s="37" t="n"/>
      <c r="H8" s="40" t="inlineStr">
        <is>
          <t>Project day</t>
        </is>
      </c>
      <c r="I8" s="37" t="n"/>
      <c r="J8" s="40" t="inlineStr">
        <is>
          <t>Time elapsed</t>
        </is>
      </c>
      <c r="K8" s="37" t="n"/>
    </row>
    <row r="9" ht="30" customHeight="1">
      <c r="B9" s="38">
        <f>ForecastTotal</f>
        <v/>
      </c>
      <c r="C9" s="37" t="n"/>
      <c r="D9" s="41">
        <f>ForecastTotal-WorkBudget</f>
        <v/>
      </c>
      <c r="E9" s="37" t="n"/>
      <c r="F9" s="42">
        <f>ContUsed</f>
        <v/>
      </c>
      <c r="G9" s="37" t="n"/>
      <c r="H9" s="43">
        <f>IF(OR(ProjStart="",TargetEnd=""),"–","Day "&amp;MAX(0,AsOf-ProjStart+1)&amp;" of "&amp;(TargetEnd-ProjStart+1))</f>
        <v/>
      </c>
      <c r="I9" s="37" t="n"/>
      <c r="J9" s="42">
        <f>IF(OR(ProjStart="",TargetEnd=""),"–",IF(TargetEnd&lt;=ProjStart,"–",MAX(0,MIN(1,(AsOf-ProjStart)/(TargetEnd-ProjStart)))))</f>
        <v/>
      </c>
      <c r="K9" s="37" t="n"/>
    </row>
    <row r="10" ht="18" customHeight="1">
      <c r="B10" s="39">
        <f>"incl. risk: "&amp;FIXED(ForecastRisk,0)</f>
        <v/>
      </c>
      <c r="C10" s="37" t="n"/>
      <c r="D10" s="39">
        <f>IF(ForecastTotal&gt;WorkBudget,"▲ over working budget",IF(ForecastTotal&lt;WorkBudget,"▼ under working budget","exactly on budget"))</f>
        <v/>
      </c>
      <c r="E10" s="37" t="n"/>
      <c r="F10" s="39">
        <f>REPT("█",ROUND(MIN(1,MAX(0,ContUsed))*10,0))&amp;REPT("░",10-ROUND(MIN(1,MAX(0,ContUsed))*10,0))</f>
        <v/>
      </c>
      <c r="G10" s="37" t="n"/>
      <c r="H10" s="39">
        <f>IF(TargetEnd="","set dates on Start Here",IF(TargetEnd&gt;=AsOf,(TargetEnd-AsOf)&amp;" days to target move-in","target date has passed"))</f>
        <v/>
      </c>
      <c r="I10" s="37" t="n"/>
      <c r="J10" s="39">
        <f>IF(J9="–","",REPT("█",ROUND(J9*10,0))&amp;REPT("░",10-ROUND(J9*10,0)))</f>
        <v/>
      </c>
      <c r="K10" s="37" t="n"/>
    </row>
    <row r="11" ht="8" customHeight="1"/>
    <row r="12" ht="18" customHeight="1">
      <c r="B12" s="40" t="inlineStr">
        <is>
          <t>Forecast move-in</t>
        </is>
      </c>
      <c r="C12" s="37" t="n"/>
      <c r="D12" s="40" t="inlineStr">
        <is>
          <t>Open issues</t>
        </is>
      </c>
      <c r="E12" s="37" t="n"/>
      <c r="F12" s="40" t="inlineStr">
        <is>
          <t>Overdue items</t>
        </is>
      </c>
      <c r="G12" s="37" t="n"/>
      <c r="H12" s="40" t="inlineStr">
        <is>
          <t>Late tasks</t>
        </is>
      </c>
      <c r="I12" s="37" t="n"/>
      <c r="J12" s="40" t="inlineStr">
        <is>
          <t>Payments due soon</t>
        </is>
      </c>
      <c r="K12" s="37" t="n"/>
    </row>
    <row r="13" ht="30" customHeight="1">
      <c r="B13" s="44">
        <f>IF(ForecastEnd="","–",ForecastEnd)</f>
        <v/>
      </c>
      <c r="C13" s="37" t="n"/>
      <c r="D13" s="45">
        <f>SUM(OpenIssues)</f>
        <v/>
      </c>
      <c r="E13" s="37" t="n"/>
      <c r="F13" s="45">
        <f>OverdueCount</f>
        <v/>
      </c>
      <c r="G13" s="37" t="n"/>
      <c r="H13" s="45">
        <f>COUNTIF('Timeline'!$Q$7:$Q$156,3)</f>
        <v/>
      </c>
      <c r="I13" s="37" t="n"/>
      <c r="J13" s="45">
        <f>COUNTIF('Payments'!$R$6:$R$205,1)</f>
        <v/>
      </c>
      <c r="K13" s="37" t="n"/>
    </row>
    <row r="14" ht="18" customHeight="1">
      <c r="B14" s="39">
        <f>IF(OR(ForecastEnd="",TargetEnd=""),"",IF(ForecastEnd&gt;TargetEnd,(ForecastEnd-TargetEnd)&amp;" days after target",IF(ForecastEnd&lt;TargetEnd,(TargetEnd-ForecastEnd)&amp;" days before target","on target")))</f>
        <v/>
      </c>
      <c r="C14" s="37" t="n"/>
      <c r="D14" s="39">
        <f>OpenHigh&amp;" high severity"</f>
        <v/>
      </c>
      <c r="E14" s="37" t="n"/>
      <c r="F14" s="39">
        <f>"of "&amp;AlertCount&amp;" alerts in total"</f>
        <v/>
      </c>
      <c r="G14" s="37" t="n"/>
      <c r="H14" s="39">
        <f>"see Timeline"</f>
        <v/>
      </c>
      <c r="I14" s="37" t="n"/>
      <c r="J14" s="39">
        <f>"within "&amp;AlertDays&amp;" days"</f>
        <v/>
      </c>
      <c r="K14" s="37" t="n"/>
    </row>
    <row r="15" ht="8" customHeight="1"/>
    <row r="16">
      <c r="B16" s="4" t="inlineStr">
        <is>
          <t>RENOVATION HEALTH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6" customHeight="1">
      <c r="B17" s="46">
        <f>IF(N17=0,"🟢  ON TRACK",IF(N17=1,"🟡  NEEDS ATTENTION","🔴  ACTION REQUIRED"))</f>
        <v/>
      </c>
      <c r="N17" s="47">
        <f>MAX(N18:N23)</f>
        <v/>
      </c>
    </row>
    <row r="18" ht="24" customHeight="1">
      <c r="B18" s="48" t="inlineStr">
        <is>
          <t>Budget</t>
        </is>
      </c>
      <c r="C18" s="49" t="n"/>
      <c r="D18" s="50">
        <f>IF(N18=0,"🟢",IF(N18=1,"🟡","🔴"))</f>
        <v/>
      </c>
      <c r="E18" s="51">
        <f>"Forecast "&amp;CurSym&amp;" "&amp;FIXED(ForecastTotal,0)&amp;" vs working budget "&amp;CurSym&amp;" "&amp;FIXED(WorkBudget,0)&amp;IF(N18=0,"  — within budget",IF(N18=1,"  — eating into contingency","  — above your TOTAL budget!"))</f>
        <v/>
      </c>
      <c r="F18" s="49" t="n"/>
      <c r="G18" s="49" t="n"/>
      <c r="H18" s="49" t="n"/>
      <c r="I18" s="49" t="n"/>
      <c r="J18" s="49" t="n"/>
      <c r="K18" s="49" t="n"/>
      <c r="N18" s="47">
        <f>IF(ForecastTotal&lt;=WorkBudget,0,IF(ForecastTotal&lt;=TotalBudget,1,2))</f>
        <v/>
      </c>
    </row>
    <row r="19" ht="24" customHeight="1">
      <c r="B19" s="48" t="inlineStr">
        <is>
          <t>Timeline</t>
        </is>
      </c>
      <c r="C19" s="49" t="n"/>
      <c r="D19" s="50">
        <f>IF(N19=0,"🟢",IF(N19=1,"🟡","🔴"))</f>
        <v/>
      </c>
      <c r="E19" s="51">
        <f>IF(ForecastEnd="","Add a project start date and tasks",IF(O19&gt;0,O19&amp;" late task(s) that other tasks depend on · ","")&amp;"forecast move-in "&amp;IF(TargetEnd="","",IF(ForecastEnd&gt;TargetEnd,(ForecastEnd-TargetEnd)&amp;" days after target","on or before target")))</f>
        <v/>
      </c>
      <c r="F19" s="49" t="n"/>
      <c r="G19" s="49" t="n"/>
      <c r="H19" s="49" t="n"/>
      <c r="I19" s="49" t="n"/>
      <c r="J19" s="49" t="n"/>
      <c r="K19" s="49" t="n"/>
      <c r="N19" s="47">
        <f>IF(O19&gt;0,2,IF(OR(ForecastEnd="",TargetEnd=""),0,IF(ForecastEnd&gt;TargetEnd+14,2,IF(ForecastEnd&gt;TargetEnd,1,0))))</f>
        <v/>
      </c>
      <c r="O19" s="47">
        <f>COUNTIFS('Timeline'!$Q$7:$Q$156,3,'Timeline'!$O$7:$O$156,"&gt;=1")</f>
        <v/>
      </c>
    </row>
    <row r="20" ht="24" customHeight="1">
      <c r="B20" s="48" t="inlineStr">
        <is>
          <t>Contractors &amp; payments</t>
        </is>
      </c>
      <c r="C20" s="49" t="n"/>
      <c r="D20" s="50">
        <f>IF(N20=0,"🟢",IF(N20=1,"🟡","🔴"))</f>
        <v/>
      </c>
      <c r="E20" s="51">
        <f>O20&amp;" overdue payment(s) · "&amp;P20&amp;" paying-ahead warning(s) · "&amp;Q20&amp;" payment(s) due within "&amp;AlertDays&amp;" days"</f>
        <v/>
      </c>
      <c r="F20" s="49" t="n"/>
      <c r="G20" s="49" t="n"/>
      <c r="H20" s="49" t="n"/>
      <c r="I20" s="49" t="n"/>
      <c r="J20" s="49" t="n"/>
      <c r="K20" s="49" t="n"/>
      <c r="N20" s="47">
        <f>IF(OR(O20&gt;0,P20&gt;0),2,IF(Q20&gt;0,1,0))</f>
        <v/>
      </c>
      <c r="O20" s="47">
        <f>COUNTIF('Payments'!$O$6:$O$205,"OVERDUE")</f>
        <v/>
      </c>
      <c r="P20" s="47">
        <f>COUNTIF('Contractors'!$V$6:$V$35,2)</f>
        <v/>
      </c>
      <c r="Q20" s="47">
        <f>COUNTIF('Payments'!$R$6:$R$205,1)</f>
        <v/>
      </c>
    </row>
    <row r="21" ht="24" customHeight="1">
      <c r="B21" s="48" t="inlineStr">
        <is>
          <t>Issues</t>
        </is>
      </c>
      <c r="C21" s="49" t="n"/>
      <c r="D21" s="50">
        <f>IF(N21=0,"🟢",IF(N21=1,"🟡","🔴"))</f>
        <v/>
      </c>
      <c r="E21" s="51">
        <f>OpenHigh&amp;" open high-severity · "&amp;SUM(OpenIssues)&amp;" open in total"</f>
        <v/>
      </c>
      <c r="F21" s="49" t="n"/>
      <c r="G21" s="49" t="n"/>
      <c r="H21" s="49" t="n"/>
      <c r="I21" s="49" t="n"/>
      <c r="J21" s="49" t="n"/>
      <c r="K21" s="49" t="n"/>
      <c r="N21" s="47">
        <f>IF(OpenHigh&gt;0,2,IF(SUM(OpenIssues)&gt;0,1,0))</f>
        <v/>
      </c>
    </row>
    <row r="22" hidden="1"/>
    <row r="23" hidden="1"/>
    <row r="24"/>
    <row r="25">
      <c r="B25" s="4" t="inlineStr">
        <is>
          <t>YOUR NEXT ACTIONS — ranked by urgency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32" customHeight="1">
      <c r="B26" s="52">
        <f>IF(AlertCount=0,"🟢  Nothing needs your attention right now",IF(UrgentCount&gt;0,"🔴  ","🟡  ")&amp;AlertCount&amp;IF(AlertCount=1," ACTION NEEDS"," ACTIONS NEED")&amp;" YOUR ATTENTION")</f>
        <v/>
      </c>
      <c r="N26" s="47">
        <f>IF(AlertCount=0,0,IF(UrgentCount&gt;0,2,1))</f>
        <v/>
      </c>
    </row>
    <row r="27">
      <c r="B27" s="53" t="inlineStr">
        <is>
          <t>#</t>
        </is>
      </c>
      <c r="C27" s="53" t="inlineStr">
        <is>
          <t>Priority</t>
        </is>
      </c>
      <c r="D27" s="53" t="inlineStr">
        <is>
          <t>What to do</t>
        </is>
      </c>
      <c r="H27" s="53" t="inlineStr">
        <is>
          <t>Where</t>
        </is>
      </c>
      <c r="J27" s="53" t="inlineStr">
        <is>
          <t>Due</t>
        </is>
      </c>
      <c r="K27" s="53" t="inlineStr">
        <is>
          <t>When</t>
        </is>
      </c>
    </row>
    <row r="28" ht="30" customHeight="1">
      <c r="B28" s="54">
        <f>IF('Engine'!L2="","",1)</f>
        <v/>
      </c>
      <c r="C28" s="55">
        <f>IF(O28="","",IF(O28=1,"🔴 Urgent",IF(O28=2,"🟡 This week","🔵 Upcoming")))</f>
        <v/>
      </c>
      <c r="D28" s="56">
        <f>IF('Engine'!L2="","",'Engine'!L2)</f>
        <v/>
      </c>
      <c r="H28" s="57">
        <f>IF('Engine'!K2="","",'Engine'!K2)</f>
        <v/>
      </c>
      <c r="J28" s="58">
        <f>IF('Engine'!M2="","",'Engine'!M2)</f>
        <v/>
      </c>
      <c r="K28" s="55">
        <f>IF(J28="","",IF(J28&lt;AsOf,(AsOf-J28)&amp;IF(AsOf-J28=1," day"," days")&amp;" overdue",IF(J28=AsOf,"today","in "&amp;(J28-AsOf)&amp;IF(J28-AsOf=1," day"," days"))))</f>
        <v/>
      </c>
      <c r="O28" s="47">
        <f>'Engine'!N2</f>
        <v/>
      </c>
    </row>
    <row r="29" ht="30" customHeight="1">
      <c r="B29" s="54">
        <f>IF('Engine'!L3="","",2)</f>
        <v/>
      </c>
      <c r="C29" s="55">
        <f>IF(O29="","",IF(O29=1,"🔴 Urgent",IF(O29=2,"🟡 This week","🔵 Upcoming")))</f>
        <v/>
      </c>
      <c r="D29" s="56">
        <f>IF('Engine'!L3="","",'Engine'!L3)</f>
        <v/>
      </c>
      <c r="H29" s="57">
        <f>IF('Engine'!K3="","",'Engine'!K3)</f>
        <v/>
      </c>
      <c r="J29" s="58">
        <f>IF('Engine'!M3="","",'Engine'!M3)</f>
        <v/>
      </c>
      <c r="K29" s="55">
        <f>IF(J29="","",IF(J29&lt;AsOf,(AsOf-J29)&amp;IF(AsOf-J29=1," day"," days")&amp;" overdue",IF(J29=AsOf,"today","in "&amp;(J29-AsOf)&amp;IF(J29-AsOf=1," day"," days"))))</f>
        <v/>
      </c>
      <c r="O29" s="47">
        <f>'Engine'!N3</f>
        <v/>
      </c>
    </row>
    <row r="30" ht="30" customHeight="1">
      <c r="B30" s="54">
        <f>IF('Engine'!L4="","",3)</f>
        <v/>
      </c>
      <c r="C30" s="55">
        <f>IF(O30="","",IF(O30=1,"🔴 Urgent",IF(O30=2,"🟡 This week","🔵 Upcoming")))</f>
        <v/>
      </c>
      <c r="D30" s="56">
        <f>IF('Engine'!L4="","",'Engine'!L4)</f>
        <v/>
      </c>
      <c r="H30" s="57">
        <f>IF('Engine'!K4="","",'Engine'!K4)</f>
        <v/>
      </c>
      <c r="J30" s="58">
        <f>IF('Engine'!M4="","",'Engine'!M4)</f>
        <v/>
      </c>
      <c r="K30" s="55">
        <f>IF(J30="","",IF(J30&lt;AsOf,(AsOf-J30)&amp;IF(AsOf-J30=1," day"," days")&amp;" overdue",IF(J30=AsOf,"today","in "&amp;(J30-AsOf)&amp;IF(J30-AsOf=1," day"," days"))))</f>
        <v/>
      </c>
      <c r="O30" s="47">
        <f>'Engine'!N4</f>
        <v/>
      </c>
    </row>
    <row r="31" ht="30" customHeight="1">
      <c r="B31" s="54">
        <f>IF('Engine'!L5="","",4)</f>
        <v/>
      </c>
      <c r="C31" s="55">
        <f>IF(O31="","",IF(O31=1,"🔴 Urgent",IF(O31=2,"🟡 This week","🔵 Upcoming")))</f>
        <v/>
      </c>
      <c r="D31" s="56">
        <f>IF('Engine'!L5="","",'Engine'!L5)</f>
        <v/>
      </c>
      <c r="H31" s="57">
        <f>IF('Engine'!K5="","",'Engine'!K5)</f>
        <v/>
      </c>
      <c r="J31" s="58">
        <f>IF('Engine'!M5="","",'Engine'!M5)</f>
        <v/>
      </c>
      <c r="K31" s="55">
        <f>IF(J31="","",IF(J31&lt;AsOf,(AsOf-J31)&amp;IF(AsOf-J31=1," day"," days")&amp;" overdue",IF(J31=AsOf,"today","in "&amp;(J31-AsOf)&amp;IF(J31-AsOf=1," day"," days"))))</f>
        <v/>
      </c>
      <c r="O31" s="47">
        <f>'Engine'!N5</f>
        <v/>
      </c>
    </row>
    <row r="32" ht="30" customHeight="1">
      <c r="B32" s="54">
        <f>IF('Engine'!L6="","",5)</f>
        <v/>
      </c>
      <c r="C32" s="55">
        <f>IF(O32="","",IF(O32=1,"🔴 Urgent",IF(O32=2,"🟡 This week","🔵 Upcoming")))</f>
        <v/>
      </c>
      <c r="D32" s="56">
        <f>IF('Engine'!L6="","",'Engine'!L6)</f>
        <v/>
      </c>
      <c r="H32" s="57">
        <f>IF('Engine'!K6="","",'Engine'!K6)</f>
        <v/>
      </c>
      <c r="J32" s="58">
        <f>IF('Engine'!M6="","",'Engine'!M6)</f>
        <v/>
      </c>
      <c r="K32" s="55">
        <f>IF(J32="","",IF(J32&lt;AsOf,(AsOf-J32)&amp;IF(AsOf-J32=1," day"," days")&amp;" overdue",IF(J32=AsOf,"today","in "&amp;(J32-AsOf)&amp;IF(J32-AsOf=1," day"," days"))))</f>
        <v/>
      </c>
      <c r="O32" s="47">
        <f>'Engine'!N6</f>
        <v/>
      </c>
    </row>
    <row r="33" ht="30" customHeight="1">
      <c r="B33" s="54">
        <f>IF('Engine'!L7="","",6)</f>
        <v/>
      </c>
      <c r="C33" s="55">
        <f>IF(O33="","",IF(O33=1,"🔴 Urgent",IF(O33=2,"🟡 This week","🔵 Upcoming")))</f>
        <v/>
      </c>
      <c r="D33" s="56">
        <f>IF('Engine'!L7="","",'Engine'!L7)</f>
        <v/>
      </c>
      <c r="H33" s="57">
        <f>IF('Engine'!K7="","",'Engine'!K7)</f>
        <v/>
      </c>
      <c r="J33" s="58">
        <f>IF('Engine'!M7="","",'Engine'!M7)</f>
        <v/>
      </c>
      <c r="K33" s="55">
        <f>IF(J33="","",IF(J33&lt;AsOf,(AsOf-J33)&amp;IF(AsOf-J33=1," day"," days")&amp;" overdue",IF(J33=AsOf,"today","in "&amp;(J33-AsOf)&amp;IF(J33-AsOf=1," day"," days"))))</f>
        <v/>
      </c>
      <c r="O33" s="47">
        <f>'Engine'!N7</f>
        <v/>
      </c>
    </row>
    <row r="34" ht="30" customHeight="1">
      <c r="B34" s="54">
        <f>IF('Engine'!L8="","",7)</f>
        <v/>
      </c>
      <c r="C34" s="55">
        <f>IF(O34="","",IF(O34=1,"🔴 Urgent",IF(O34=2,"🟡 This week","🔵 Upcoming")))</f>
        <v/>
      </c>
      <c r="D34" s="56">
        <f>IF('Engine'!L8="","",'Engine'!L8)</f>
        <v/>
      </c>
      <c r="H34" s="57">
        <f>IF('Engine'!K8="","",'Engine'!K8)</f>
        <v/>
      </c>
      <c r="J34" s="58">
        <f>IF('Engine'!M8="","",'Engine'!M8)</f>
        <v/>
      </c>
      <c r="K34" s="55">
        <f>IF(J34="","",IF(J34&lt;AsOf,(AsOf-J34)&amp;IF(AsOf-J34=1," day"," days")&amp;" overdue",IF(J34=AsOf,"today","in "&amp;(J34-AsOf)&amp;IF(J34-AsOf=1," day"," days"))))</f>
        <v/>
      </c>
      <c r="O34" s="47">
        <f>'Engine'!N8</f>
        <v/>
      </c>
    </row>
    <row r="35" ht="30" customHeight="1">
      <c r="B35" s="54">
        <f>IF('Engine'!L9="","",8)</f>
        <v/>
      </c>
      <c r="C35" s="55">
        <f>IF(O35="","",IF(O35=1,"🔴 Urgent",IF(O35=2,"🟡 This week","🔵 Upcoming")))</f>
        <v/>
      </c>
      <c r="D35" s="56">
        <f>IF('Engine'!L9="","",'Engine'!L9)</f>
        <v/>
      </c>
      <c r="H35" s="57">
        <f>IF('Engine'!K9="","",'Engine'!K9)</f>
        <v/>
      </c>
      <c r="J35" s="58">
        <f>IF('Engine'!M9="","",'Engine'!M9)</f>
        <v/>
      </c>
      <c r="K35" s="55">
        <f>IF(J35="","",IF(J35&lt;AsOf,(AsOf-J35)&amp;IF(AsOf-J35=1," day"," days")&amp;" overdue",IF(J35=AsOf,"today","in "&amp;(J35-AsOf)&amp;IF(J35-AsOf=1," day"," days"))))</f>
        <v/>
      </c>
      <c r="O35" s="47">
        <f>'Engine'!N9</f>
        <v/>
      </c>
    </row>
    <row r="36" ht="30" customHeight="1">
      <c r="B36" s="54">
        <f>IF('Engine'!L10="","",9)</f>
        <v/>
      </c>
      <c r="C36" s="55">
        <f>IF(O36="","",IF(O36=1,"🔴 Urgent",IF(O36=2,"🟡 This week","🔵 Upcoming")))</f>
        <v/>
      </c>
      <c r="D36" s="56">
        <f>IF('Engine'!L10="","",'Engine'!L10)</f>
        <v/>
      </c>
      <c r="H36" s="57">
        <f>IF('Engine'!K10="","",'Engine'!K10)</f>
        <v/>
      </c>
      <c r="J36" s="58">
        <f>IF('Engine'!M10="","",'Engine'!M10)</f>
        <v/>
      </c>
      <c r="K36" s="55">
        <f>IF(J36="","",IF(J36&lt;AsOf,(AsOf-J36)&amp;IF(AsOf-J36=1," day"," days")&amp;" overdue",IF(J36=AsOf,"today","in "&amp;(J36-AsOf)&amp;IF(J36-AsOf=1," day"," days"))))</f>
        <v/>
      </c>
      <c r="O36" s="47">
        <f>'Engine'!N10</f>
        <v/>
      </c>
    </row>
    <row r="37" ht="30" customHeight="1">
      <c r="B37" s="54">
        <f>IF('Engine'!L11="","",10)</f>
        <v/>
      </c>
      <c r="C37" s="55">
        <f>IF(O37="","",IF(O37=1,"🔴 Urgent",IF(O37=2,"🟡 This week","🔵 Upcoming")))</f>
        <v/>
      </c>
      <c r="D37" s="56">
        <f>IF('Engine'!L11="","",'Engine'!L11)</f>
        <v/>
      </c>
      <c r="H37" s="57">
        <f>IF('Engine'!K11="","",'Engine'!K11)</f>
        <v/>
      </c>
      <c r="J37" s="58">
        <f>IF('Engine'!M11="","",'Engine'!M11)</f>
        <v/>
      </c>
      <c r="K37" s="55">
        <f>IF(J37="","",IF(J37&lt;AsOf,(AsOf-J37)&amp;IF(AsOf-J37=1," day"," days")&amp;" overdue",IF(J37=AsOf,"today","in "&amp;(J37-AsOf)&amp;IF(J37-AsOf=1," day"," days"))))</f>
        <v/>
      </c>
      <c r="O37" s="47">
        <f>'Engine'!N11</f>
        <v/>
      </c>
    </row>
    <row r="38">
      <c r="B38" s="59">
        <f>IF(AlertCount&gt;10,"+ "&amp;(AlertCount-10)&amp;" more — see each tab.","")</f>
        <v/>
      </c>
    </row>
    <row r="39"/>
    <row r="40">
      <c r="B40" s="4" t="inlineStr">
        <is>
          <t>CHARTS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7">
    <mergeCell ref="H35:I35"/>
    <mergeCell ref="H10:I10"/>
    <mergeCell ref="J10:K10"/>
    <mergeCell ref="H9:I9"/>
    <mergeCell ref="J9:K9"/>
    <mergeCell ref="B12:C12"/>
    <mergeCell ref="D6:E6"/>
    <mergeCell ref="B21:C21"/>
    <mergeCell ref="D13:E13"/>
    <mergeCell ref="B14:C14"/>
    <mergeCell ref="B13:C13"/>
    <mergeCell ref="J4:K4"/>
    <mergeCell ref="D31:G31"/>
    <mergeCell ref="D4:E4"/>
    <mergeCell ref="H37:I37"/>
    <mergeCell ref="F13:G13"/>
    <mergeCell ref="H13:I13"/>
    <mergeCell ref="B17:K17"/>
    <mergeCell ref="D10:E10"/>
    <mergeCell ref="F10:G10"/>
    <mergeCell ref="F6:G6"/>
    <mergeCell ref="D33:G33"/>
    <mergeCell ref="B18:C18"/>
    <mergeCell ref="H34:I34"/>
    <mergeCell ref="E18:K18"/>
    <mergeCell ref="D35:G35"/>
    <mergeCell ref="F5:G5"/>
    <mergeCell ref="D34:G34"/>
    <mergeCell ref="H36:I36"/>
    <mergeCell ref="D36:G36"/>
    <mergeCell ref="E20:K20"/>
    <mergeCell ref="H28:I28"/>
    <mergeCell ref="D9:E9"/>
    <mergeCell ref="F9:G9"/>
    <mergeCell ref="B6:C6"/>
    <mergeCell ref="H12:I12"/>
    <mergeCell ref="J12:K12"/>
    <mergeCell ref="H5:I5"/>
    <mergeCell ref="H14:I14"/>
    <mergeCell ref="D37:G37"/>
    <mergeCell ref="F4:G4"/>
    <mergeCell ref="D29:G29"/>
    <mergeCell ref="H31:I31"/>
    <mergeCell ref="F8:G8"/>
    <mergeCell ref="B19:C19"/>
    <mergeCell ref="B9:C9"/>
    <mergeCell ref="D27:G27"/>
    <mergeCell ref="E19:K19"/>
    <mergeCell ref="D12:E12"/>
    <mergeCell ref="B5:C5"/>
    <mergeCell ref="B20:C20"/>
    <mergeCell ref="D5:E5"/>
    <mergeCell ref="D14:E14"/>
    <mergeCell ref="F14:G14"/>
    <mergeCell ref="B4:C4"/>
    <mergeCell ref="H30:I30"/>
    <mergeCell ref="D28:G28"/>
    <mergeCell ref="J5:K5"/>
    <mergeCell ref="H29:I29"/>
    <mergeCell ref="J14:K14"/>
    <mergeCell ref="D30:G30"/>
    <mergeCell ref="H4:I4"/>
    <mergeCell ref="J13:K13"/>
    <mergeCell ref="F12:G12"/>
    <mergeCell ref="H6:I6"/>
    <mergeCell ref="J6:K6"/>
    <mergeCell ref="B26:K26"/>
    <mergeCell ref="E21:K21"/>
    <mergeCell ref="B8:C8"/>
    <mergeCell ref="H32:I32"/>
    <mergeCell ref="B10:C10"/>
    <mergeCell ref="H27:I27"/>
    <mergeCell ref="D32:G32"/>
    <mergeCell ref="D8:E8"/>
    <mergeCell ref="H33:I33"/>
    <mergeCell ref="H8:I8"/>
    <mergeCell ref="J8:K8"/>
  </mergeCells>
  <conditionalFormatting sqref="D9">
    <cfRule type="expression" priority="1" dxfId="0" stopIfTrue="0">
      <formula>D9&gt;0</formula>
    </cfRule>
    <cfRule type="expression" priority="2" dxfId="1" stopIfTrue="0">
      <formula>D9&lt;=0</formula>
    </cfRule>
  </conditionalFormatting>
  <conditionalFormatting sqref="F9">
    <cfRule type="expression" priority="3" dxfId="0" stopIfTrue="0">
      <formula>F9&gt;0.75</formula>
    </cfRule>
    <cfRule type="expression" priority="4" dxfId="2" stopIfTrue="0">
      <formula>AND(F9&gt;0.5,F9&lt;=0.75)</formula>
    </cfRule>
  </conditionalFormatting>
  <conditionalFormatting sqref="B13">
    <cfRule type="expression" priority="5" dxfId="0" stopIfTrue="0">
      <formula>AND(B13&lt;&gt;"–",TargetEnd&lt;&gt;"",B13&gt;TargetEnd)</formula>
    </cfRule>
  </conditionalFormatting>
  <conditionalFormatting sqref="F13">
    <cfRule type="expression" priority="6" dxfId="0" stopIfTrue="0">
      <formula>F13&gt;0</formula>
    </cfRule>
  </conditionalFormatting>
  <conditionalFormatting sqref="D13">
    <cfRule type="expression" priority="7" dxfId="0" stopIfTrue="0">
      <formula>OpenHigh&gt;0</formula>
    </cfRule>
  </conditionalFormatting>
  <conditionalFormatting sqref="H13">
    <cfRule type="expression" priority="8" dxfId="0" stopIfTrue="0">
      <formula>H13&gt;0</formula>
    </cfRule>
  </conditionalFormatting>
  <conditionalFormatting sqref="J13">
    <cfRule type="expression" priority="9" dxfId="2" stopIfTrue="0">
      <formula>J13&gt;0</formula>
    </cfRule>
  </conditionalFormatting>
  <conditionalFormatting sqref="B17">
    <cfRule type="expression" priority="10" dxfId="0" stopIfTrue="0">
      <formula>$N$17=2</formula>
    </cfRule>
    <cfRule type="expression" priority="11" dxfId="2" stopIfTrue="0">
      <formula>$N$17=1</formula>
    </cfRule>
    <cfRule type="expression" priority="12" dxfId="3" stopIfTrue="0">
      <formula>$N$17=0</formula>
    </cfRule>
  </conditionalFormatting>
  <conditionalFormatting sqref="D18">
    <cfRule type="expression" priority="13" dxfId="0" stopIfTrue="0">
      <formula>$N$18=2</formula>
    </cfRule>
    <cfRule type="expression" priority="14" dxfId="2" stopIfTrue="0">
      <formula>$N$18=1</formula>
    </cfRule>
    <cfRule type="expression" priority="15" dxfId="3" stopIfTrue="0">
      <formula>$N$18=0</formula>
    </cfRule>
  </conditionalFormatting>
  <conditionalFormatting sqref="D19">
    <cfRule type="expression" priority="16" dxfId="0" stopIfTrue="0">
      <formula>$N$19=2</formula>
    </cfRule>
    <cfRule type="expression" priority="17" dxfId="2" stopIfTrue="0">
      <formula>$N$19=1</formula>
    </cfRule>
    <cfRule type="expression" priority="18" dxfId="3" stopIfTrue="0">
      <formula>$N$19=0</formula>
    </cfRule>
  </conditionalFormatting>
  <conditionalFormatting sqref="D20">
    <cfRule type="expression" priority="19" dxfId="0" stopIfTrue="0">
      <formula>$N$20=2</formula>
    </cfRule>
    <cfRule type="expression" priority="20" dxfId="2" stopIfTrue="0">
      <formula>$N$20=1</formula>
    </cfRule>
    <cfRule type="expression" priority="21" dxfId="3" stopIfTrue="0">
      <formula>$N$20=0</formula>
    </cfRule>
  </conditionalFormatting>
  <conditionalFormatting sqref="D21">
    <cfRule type="expression" priority="22" dxfId="0" stopIfTrue="0">
      <formula>$N$21=2</formula>
    </cfRule>
    <cfRule type="expression" priority="23" dxfId="2" stopIfTrue="0">
      <formula>$N$21=1</formula>
    </cfRule>
    <cfRule type="expression" priority="24" dxfId="3" stopIfTrue="0">
      <formula>$N$21=0</formula>
    </cfRule>
  </conditionalFormatting>
  <conditionalFormatting sqref="B26">
    <cfRule type="expression" priority="25" dxfId="0" stopIfTrue="0">
      <formula>$N$26=2</formula>
    </cfRule>
    <cfRule type="expression" priority="26" dxfId="2" stopIfTrue="0">
      <formula>$N$26=1</formula>
    </cfRule>
    <cfRule type="expression" priority="27" dxfId="3" stopIfTrue="0">
      <formula>$N$26=0</formula>
    </cfRule>
  </conditionalFormatting>
  <conditionalFormatting sqref="C28:C37">
    <cfRule type="expression" priority="28" dxfId="0" stopIfTrue="0">
      <formula>$O28=1</formula>
    </cfRule>
    <cfRule type="expression" priority="29" dxfId="2" stopIfTrue="0">
      <formula>$O28=2</formula>
    </cfRule>
    <cfRule type="expression" priority="30" dxfId="4" stopIfTrue="0">
      <formula>$O28=3</formula>
    </cfRule>
  </conditionalFormatting>
  <conditionalFormatting sqref="K28:K37">
    <cfRule type="expression" priority="31" dxfId="0" stopIfTrue="0">
      <formula>$O28=1</formula>
    </cfRule>
  </conditionalFormatting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S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2" customWidth="1" min="2" max="2"/>
    <col width="13" customWidth="1" min="3" max="3"/>
    <col width="13" customWidth="1" min="4" max="4"/>
    <col hidden="1" width="13" customWidth="1" min="5" max="5"/>
    <col width="13" customWidth="1" min="6" max="6"/>
    <col hidden="1" width="13" customWidth="1" min="7" max="7"/>
    <col hidden="1"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B1" s="1" t="inlineStr">
        <is>
          <t>💶 Budget</t>
        </is>
      </c>
    </row>
    <row r="2" ht="20" customHeight="1">
      <c r="B2" s="2" t="inlineStr">
        <is>
          <t>What this tab does: compares your budget per category with what you have committed, invoiced and paid, and forecasts the final cost.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13">
        <f>"Working budget ("&amp;CurSym&amp;")"</f>
        <v/>
      </c>
      <c r="C4" s="60">
        <f>WorkBudget</f>
        <v/>
      </c>
      <c r="E4" s="6" t="inlineStr">
        <is>
          <t>Sum of category budgets</t>
        </is>
      </c>
      <c r="G4" s="60">
        <f>BudgetSum</f>
        <v/>
      </c>
      <c r="H4" s="61">
        <f>IF(WorkBudget=0,"",IF(ABS(BudgetSum-WorkBudget)&lt;1,"✓ matches",IF(BudgetSum&gt;WorkBudget,"▲ "&amp;FIXED(BudgetSum-WorkBudget,0)&amp;" more than working budget","▼ "&amp;FIXED(WorkBudget-BudgetSum,0)&amp;" not yet allocated")))</f>
        <v/>
      </c>
    </row>
    <row r="5"/>
    <row r="6"/>
    <row r="7" ht="32" customHeight="1">
      <c r="B7" s="53" t="inlineStr">
        <is>
          <t>Category</t>
        </is>
      </c>
      <c r="C7" s="62">
        <f>"Budget ("&amp;CurSym&amp;")"</f>
        <v/>
      </c>
      <c r="D7" s="53" t="inlineStr">
        <is>
          <t>Stage</t>
        </is>
      </c>
      <c r="E7" s="63">
        <f>"Best quote ("&amp;CurSym&amp;")"</f>
        <v/>
      </c>
      <c r="F7" s="62">
        <f>"Contracted ("&amp;CurSym&amp;")"</f>
        <v/>
      </c>
      <c r="G7" s="63">
        <f>"Materials ("&amp;CurSym&amp;")"</f>
        <v/>
      </c>
      <c r="H7" s="63">
        <f>"Approved changes ("&amp;CurSym&amp;")"</f>
        <v/>
      </c>
      <c r="I7" s="62">
        <f>"Committed ("&amp;CurSym&amp;")"</f>
        <v/>
      </c>
      <c r="J7" s="62">
        <f>"Invoiced ("&amp;CurSym&amp;")"</f>
        <v/>
      </c>
      <c r="K7" s="62">
        <f>"Paid ("&amp;CurSym&amp;")"</f>
        <v/>
      </c>
      <c r="L7" s="62">
        <f>"Forecast ("&amp;CurSym&amp;")"</f>
        <v/>
      </c>
      <c r="M7" s="62">
        <f>"Variance ("&amp;CurSym&amp;")"</f>
        <v/>
      </c>
      <c r="N7" s="53" t="inlineStr">
        <is>
          <t>Status</t>
        </is>
      </c>
      <c r="O7" s="64" t="inlineStr">
        <is>
          <t>lvl</t>
        </is>
      </c>
      <c r="P7" s="64" t="inlineStr">
        <is>
          <t>chart key</t>
        </is>
      </c>
    </row>
    <row r="8" ht="20" customHeight="1">
      <c r="B8" s="65" t="inlineStr">
        <is>
          <t>Demolition</t>
        </is>
      </c>
      <c r="C8" s="66" t="n">
        <v>4000</v>
      </c>
      <c r="D8" s="67" t="inlineStr">
        <is>
          <t>Complete</t>
        </is>
      </c>
      <c r="E8" s="68">
        <f>""</f>
        <v/>
      </c>
      <c r="F8" s="69">
        <f>IF(B8="","",SUMIFS('Contractors'!$I$6:$I$35,'Contractors'!$D$6:$D$35,B8,'Contractors'!$L$6:$L$35,"Yes"))</f>
        <v/>
      </c>
      <c r="G8" s="68">
        <f>0</f>
        <v/>
      </c>
      <c r="H8" s="68">
        <f>0</f>
        <v/>
      </c>
      <c r="I8" s="70">
        <f>IF(B8="","",F8+G8+H8)</f>
        <v/>
      </c>
      <c r="J8" s="69">
        <f>IF(B8="","",SUMIFS('Payments'!$L$6:$L$205,'Payments'!$P$6:$P$205,B8))</f>
        <v/>
      </c>
      <c r="K8" s="69">
        <f>IF(B8="","",SUMIFS('Payments'!$N$6:$N$205,'Payments'!$P$6:$P$205,B8))</f>
        <v/>
      </c>
      <c r="L8" s="70">
        <f>IF(B8="","",IF(OR(D8="Estimating",D8=""),MAX(C8,E8,I8,J8),MAX(I8,J8)))</f>
        <v/>
      </c>
      <c r="M8" s="71">
        <f>IF(B8="","",C8-L8)</f>
        <v/>
      </c>
      <c r="N8" s="72">
        <f>IF(O8="","",IF(O8=0,"🟢 On track",IF(O8=1,"🟡 Watch","🔴 Over")))</f>
        <v/>
      </c>
      <c r="O8" s="63">
        <f>IF(B8="","",IF(L8&lt;=C8,0,IF(L8&lt;=C8*(1+BudgetWarnPct),1,2)))</f>
        <v/>
      </c>
      <c r="P8" s="63">
        <f>IF(B8="","",IF(MAX(C8,L8)&gt;0,MAX(C8,L8)+ROW()/100000,""))</f>
        <v/>
      </c>
    </row>
    <row r="9" ht="20" customHeight="1">
      <c r="B9" s="65" t="inlineStr">
        <is>
          <t>Structural</t>
        </is>
      </c>
      <c r="C9" s="66" t="n">
        <v>9000</v>
      </c>
      <c r="D9" s="67" t="inlineStr">
        <is>
          <t>Complete</t>
        </is>
      </c>
      <c r="E9" s="68">
        <f>""</f>
        <v/>
      </c>
      <c r="F9" s="69">
        <f>IF(B9="","",SUMIFS('Contractors'!$I$6:$I$35,'Contractors'!$D$6:$D$35,B9,'Contractors'!$L$6:$L$35,"Yes"))</f>
        <v/>
      </c>
      <c r="G9" s="68">
        <f>0</f>
        <v/>
      </c>
      <c r="H9" s="68">
        <f>0</f>
        <v/>
      </c>
      <c r="I9" s="70">
        <f>IF(B9="","",F9+G9+H9)</f>
        <v/>
      </c>
      <c r="J9" s="69">
        <f>IF(B9="","",SUMIFS('Payments'!$L$6:$L$205,'Payments'!$P$6:$P$205,B9))</f>
        <v/>
      </c>
      <c r="K9" s="69">
        <f>IF(B9="","",SUMIFS('Payments'!$N$6:$N$205,'Payments'!$P$6:$P$205,B9))</f>
        <v/>
      </c>
      <c r="L9" s="70">
        <f>IF(B9="","",IF(OR(D9="Estimating",D9=""),MAX(C9,E9,I9,J9),MAX(I9,J9)))</f>
        <v/>
      </c>
      <c r="M9" s="71">
        <f>IF(B9="","",C9-L9)</f>
        <v/>
      </c>
      <c r="N9" s="72">
        <f>IF(O9="","",IF(O9=0,"🟢 On track",IF(O9=1,"🟡 Watch","🔴 Over")))</f>
        <v/>
      </c>
      <c r="O9" s="63">
        <f>IF(B9="","",IF(L9&lt;=C9,0,IF(L9&lt;=C9*(1+BudgetWarnPct),1,2)))</f>
        <v/>
      </c>
      <c r="P9" s="63">
        <f>IF(B9="","",IF(MAX(C9,L9)&gt;0,MAX(C9,L9)+ROW()/100000,""))</f>
        <v/>
      </c>
    </row>
    <row r="10" ht="20" customHeight="1">
      <c r="B10" s="65" t="inlineStr">
        <is>
          <t>Plumbing</t>
        </is>
      </c>
      <c r="C10" s="66" t="n">
        <v>9500</v>
      </c>
      <c r="D10" s="67" t="inlineStr">
        <is>
          <t>Contracted</t>
        </is>
      </c>
      <c r="E10" s="68">
        <f>""</f>
        <v/>
      </c>
      <c r="F10" s="69">
        <f>IF(B10="","",SUMIFS('Contractors'!$I$6:$I$35,'Contractors'!$D$6:$D$35,B10,'Contractors'!$L$6:$L$35,"Yes"))</f>
        <v/>
      </c>
      <c r="G10" s="68">
        <f>0</f>
        <v/>
      </c>
      <c r="H10" s="68">
        <f>0</f>
        <v/>
      </c>
      <c r="I10" s="70">
        <f>IF(B10="","",F10+G10+H10)</f>
        <v/>
      </c>
      <c r="J10" s="69">
        <f>IF(B10="","",SUMIFS('Payments'!$L$6:$L$205,'Payments'!$P$6:$P$205,B10))</f>
        <v/>
      </c>
      <c r="K10" s="69">
        <f>IF(B10="","",SUMIFS('Payments'!$N$6:$N$205,'Payments'!$P$6:$P$205,B10))</f>
        <v/>
      </c>
      <c r="L10" s="70">
        <f>IF(B10="","",IF(OR(D10="Estimating",D10=""),MAX(C10,E10,I10,J10),MAX(I10,J10)))</f>
        <v/>
      </c>
      <c r="M10" s="71">
        <f>IF(B10="","",C10-L10)</f>
        <v/>
      </c>
      <c r="N10" s="72">
        <f>IF(O10="","",IF(O10=0,"🟢 On track",IF(O10=1,"🟡 Watch","🔴 Over")))</f>
        <v/>
      </c>
      <c r="O10" s="63">
        <f>IF(B10="","",IF(L10&lt;=C10,0,IF(L10&lt;=C10*(1+BudgetWarnPct),1,2)))</f>
        <v/>
      </c>
      <c r="P10" s="63">
        <f>IF(B10="","",IF(MAX(C10,L10)&gt;0,MAX(C10,L10)+ROW()/100000,""))</f>
        <v/>
      </c>
    </row>
    <row r="11" ht="20" customHeight="1">
      <c r="B11" s="65" t="inlineStr">
        <is>
          <t>Electrical</t>
        </is>
      </c>
      <c r="C11" s="66" t="n">
        <v>10000</v>
      </c>
      <c r="D11" s="67" t="inlineStr">
        <is>
          <t>Contracted</t>
        </is>
      </c>
      <c r="E11" s="68">
        <f>""</f>
        <v/>
      </c>
      <c r="F11" s="69">
        <f>IF(B11="","",SUMIFS('Contractors'!$I$6:$I$35,'Contractors'!$D$6:$D$35,B11,'Contractors'!$L$6:$L$35,"Yes"))</f>
        <v/>
      </c>
      <c r="G11" s="68">
        <f>0</f>
        <v/>
      </c>
      <c r="H11" s="68">
        <f>0</f>
        <v/>
      </c>
      <c r="I11" s="70">
        <f>IF(B11="","",F11+G11+H11)</f>
        <v/>
      </c>
      <c r="J11" s="69">
        <f>IF(B11="","",SUMIFS('Payments'!$L$6:$L$205,'Payments'!$P$6:$P$205,B11))</f>
        <v/>
      </c>
      <c r="K11" s="69">
        <f>IF(B11="","",SUMIFS('Payments'!$N$6:$N$205,'Payments'!$P$6:$P$205,B11))</f>
        <v/>
      </c>
      <c r="L11" s="70">
        <f>IF(B11="","",IF(OR(D11="Estimating",D11=""),MAX(C11,E11,I11,J11),MAX(I11,J11)))</f>
        <v/>
      </c>
      <c r="M11" s="71">
        <f>IF(B11="","",C11-L11)</f>
        <v/>
      </c>
      <c r="N11" s="72">
        <f>IF(O11="","",IF(O11=0,"🟢 On track",IF(O11=1,"🟡 Watch","🔴 Over")))</f>
        <v/>
      </c>
      <c r="O11" s="63">
        <f>IF(B11="","",IF(L11&lt;=C11,0,IF(L11&lt;=C11*(1+BudgetWarnPct),1,2)))</f>
        <v/>
      </c>
      <c r="P11" s="63">
        <f>IF(B11="","",IF(MAX(C11,L11)&gt;0,MAX(C11,L11)+ROW()/100000,""))</f>
        <v/>
      </c>
    </row>
    <row r="12" ht="20" customHeight="1">
      <c r="B12" s="65" t="inlineStr">
        <is>
          <t>HVAC</t>
        </is>
      </c>
      <c r="C12" s="66" t="n">
        <v>9000</v>
      </c>
      <c r="D12" s="67" t="inlineStr">
        <is>
          <t>Contracted</t>
        </is>
      </c>
      <c r="E12" s="68">
        <f>""</f>
        <v/>
      </c>
      <c r="F12" s="69">
        <f>IF(B12="","",SUMIFS('Contractors'!$I$6:$I$35,'Contractors'!$D$6:$D$35,B12,'Contractors'!$L$6:$L$35,"Yes"))</f>
        <v/>
      </c>
      <c r="G12" s="68">
        <f>0</f>
        <v/>
      </c>
      <c r="H12" s="68">
        <f>0</f>
        <v/>
      </c>
      <c r="I12" s="70">
        <f>IF(B12="","",F12+G12+H12)</f>
        <v/>
      </c>
      <c r="J12" s="69">
        <f>IF(B12="","",SUMIFS('Payments'!$L$6:$L$205,'Payments'!$P$6:$P$205,B12))</f>
        <v/>
      </c>
      <c r="K12" s="69">
        <f>IF(B12="","",SUMIFS('Payments'!$N$6:$N$205,'Payments'!$P$6:$P$205,B12))</f>
        <v/>
      </c>
      <c r="L12" s="70">
        <f>IF(B12="","",IF(OR(D12="Estimating",D12=""),MAX(C12,E12,I12,J12),MAX(I12,J12)))</f>
        <v/>
      </c>
      <c r="M12" s="71">
        <f>IF(B12="","",C12-L12)</f>
        <v/>
      </c>
      <c r="N12" s="72">
        <f>IF(O12="","",IF(O12=0,"🟢 On track",IF(O12=1,"🟡 Watch","🔴 Over")))</f>
        <v/>
      </c>
      <c r="O12" s="63">
        <f>IF(B12="","",IF(L12&lt;=C12,0,IF(L12&lt;=C12*(1+BudgetWarnPct),1,2)))</f>
        <v/>
      </c>
      <c r="P12" s="63">
        <f>IF(B12="","",IF(MAX(C12,L12)&gt;0,MAX(C12,L12)+ROW()/100000,""))</f>
        <v/>
      </c>
    </row>
    <row r="13" ht="20" customHeight="1">
      <c r="B13" s="65" t="inlineStr">
        <is>
          <t>Windows &amp; doors</t>
        </is>
      </c>
      <c r="C13" s="66" t="n">
        <v>12000</v>
      </c>
      <c r="D13" s="67" t="inlineStr">
        <is>
          <t>Contracted</t>
        </is>
      </c>
      <c r="E13" s="68">
        <f>""</f>
        <v/>
      </c>
      <c r="F13" s="69">
        <f>IF(B13="","",SUMIFS('Contractors'!$I$6:$I$35,'Contractors'!$D$6:$D$35,B13,'Contractors'!$L$6:$L$35,"Yes"))</f>
        <v/>
      </c>
      <c r="G13" s="68">
        <f>0</f>
        <v/>
      </c>
      <c r="H13" s="68">
        <f>0</f>
        <v/>
      </c>
      <c r="I13" s="70">
        <f>IF(B13="","",F13+G13+H13)</f>
        <v/>
      </c>
      <c r="J13" s="69">
        <f>IF(B13="","",SUMIFS('Payments'!$L$6:$L$205,'Payments'!$P$6:$P$205,B13))</f>
        <v/>
      </c>
      <c r="K13" s="69">
        <f>IF(B13="","",SUMIFS('Payments'!$N$6:$N$205,'Payments'!$P$6:$P$205,B13))</f>
        <v/>
      </c>
      <c r="L13" s="70">
        <f>IF(B13="","",IF(OR(D13="Estimating",D13=""),MAX(C13,E13,I13,J13),MAX(I13,J13)))</f>
        <v/>
      </c>
      <c r="M13" s="71">
        <f>IF(B13="","",C13-L13)</f>
        <v/>
      </c>
      <c r="N13" s="72">
        <f>IF(O13="","",IF(O13=0,"🟢 On track",IF(O13=1,"🟡 Watch","🔴 Over")))</f>
        <v/>
      </c>
      <c r="O13" s="63">
        <f>IF(B13="","",IF(L13&lt;=C13,0,IF(L13&lt;=C13*(1+BudgetWarnPct),1,2)))</f>
        <v/>
      </c>
      <c r="P13" s="63">
        <f>IF(B13="","",IF(MAX(C13,L13)&gt;0,MAX(C13,L13)+ROW()/100000,""))</f>
        <v/>
      </c>
    </row>
    <row r="14" ht="20" customHeight="1">
      <c r="B14" s="65" t="inlineStr">
        <is>
          <t>Roofing</t>
        </is>
      </c>
      <c r="C14" s="66" t="n">
        <v>3000</v>
      </c>
      <c r="D14" s="67" t="inlineStr">
        <is>
          <t>Estimating</t>
        </is>
      </c>
      <c r="E14" s="68">
        <f>""</f>
        <v/>
      </c>
      <c r="F14" s="69">
        <f>IF(B14="","",SUMIFS('Contractors'!$I$6:$I$35,'Contractors'!$D$6:$D$35,B14,'Contractors'!$L$6:$L$35,"Yes"))</f>
        <v/>
      </c>
      <c r="G14" s="68">
        <f>0</f>
        <v/>
      </c>
      <c r="H14" s="68">
        <f>0</f>
        <v/>
      </c>
      <c r="I14" s="70">
        <f>IF(B14="","",F14+G14+H14)</f>
        <v/>
      </c>
      <c r="J14" s="69">
        <f>IF(B14="","",SUMIFS('Payments'!$L$6:$L$205,'Payments'!$P$6:$P$205,B14))</f>
        <v/>
      </c>
      <c r="K14" s="69">
        <f>IF(B14="","",SUMIFS('Payments'!$N$6:$N$205,'Payments'!$P$6:$P$205,B14))</f>
        <v/>
      </c>
      <c r="L14" s="70">
        <f>IF(B14="","",IF(OR(D14="Estimating",D14=""),MAX(C14,E14,I14,J14),MAX(I14,J14)))</f>
        <v/>
      </c>
      <c r="M14" s="71">
        <f>IF(B14="","",C14-L14)</f>
        <v/>
      </c>
      <c r="N14" s="72">
        <f>IF(O14="","",IF(O14=0,"🟢 On track",IF(O14=1,"🟡 Watch","🔴 Over")))</f>
        <v/>
      </c>
      <c r="O14" s="63">
        <f>IF(B14="","",IF(L14&lt;=C14,0,IF(L14&lt;=C14*(1+BudgetWarnPct),1,2)))</f>
        <v/>
      </c>
      <c r="P14" s="63">
        <f>IF(B14="","",IF(MAX(C14,L14)&gt;0,MAX(C14,L14)+ROW()/100000,""))</f>
        <v/>
      </c>
    </row>
    <row r="15" ht="20" customHeight="1">
      <c r="B15" s="65" t="inlineStr">
        <is>
          <t>Kitchen</t>
        </is>
      </c>
      <c r="C15" s="66" t="n">
        <v>20000</v>
      </c>
      <c r="D15" s="67" t="inlineStr">
        <is>
          <t>Contracted</t>
        </is>
      </c>
      <c r="E15" s="68">
        <f>""</f>
        <v/>
      </c>
      <c r="F15" s="69">
        <f>IF(B15="","",SUMIFS('Contractors'!$I$6:$I$35,'Contractors'!$D$6:$D$35,B15,'Contractors'!$L$6:$L$35,"Yes"))</f>
        <v/>
      </c>
      <c r="G15" s="68">
        <f>0</f>
        <v/>
      </c>
      <c r="H15" s="68">
        <f>0</f>
        <v/>
      </c>
      <c r="I15" s="70">
        <f>IF(B15="","",F15+G15+H15)</f>
        <v/>
      </c>
      <c r="J15" s="69">
        <f>IF(B15="","",SUMIFS('Payments'!$L$6:$L$205,'Payments'!$P$6:$P$205,B15))</f>
        <v/>
      </c>
      <c r="K15" s="69">
        <f>IF(B15="","",SUMIFS('Payments'!$N$6:$N$205,'Payments'!$P$6:$P$205,B15))</f>
        <v/>
      </c>
      <c r="L15" s="70">
        <f>IF(B15="","",IF(OR(D15="Estimating",D15=""),MAX(C15,E15,I15,J15),MAX(I15,J15)))</f>
        <v/>
      </c>
      <c r="M15" s="71">
        <f>IF(B15="","",C15-L15)</f>
        <v/>
      </c>
      <c r="N15" s="72">
        <f>IF(O15="","",IF(O15=0,"🟢 On track",IF(O15=1,"🟡 Watch","🔴 Over")))</f>
        <v/>
      </c>
      <c r="O15" s="63">
        <f>IF(B15="","",IF(L15&lt;=C15,0,IF(L15&lt;=C15*(1+BudgetWarnPct),1,2)))</f>
        <v/>
      </c>
      <c r="P15" s="63">
        <f>IF(B15="","",IF(MAX(C15,L15)&gt;0,MAX(C15,L15)+ROW()/100000,""))</f>
        <v/>
      </c>
    </row>
    <row r="16" ht="20" customHeight="1">
      <c r="B16" s="65" t="inlineStr">
        <is>
          <t>Bathrooms</t>
        </is>
      </c>
      <c r="C16" s="66" t="n">
        <v>15000</v>
      </c>
      <c r="D16" s="67" t="inlineStr">
        <is>
          <t>Contracted</t>
        </is>
      </c>
      <c r="E16" s="68">
        <f>""</f>
        <v/>
      </c>
      <c r="F16" s="69">
        <f>IF(B16="","",SUMIFS('Contractors'!$I$6:$I$35,'Contractors'!$D$6:$D$35,B16,'Contractors'!$L$6:$L$35,"Yes"))</f>
        <v/>
      </c>
      <c r="G16" s="68">
        <f>0</f>
        <v/>
      </c>
      <c r="H16" s="68">
        <f>0</f>
        <v/>
      </c>
      <c r="I16" s="70">
        <f>IF(B16="","",F16+G16+H16)</f>
        <v/>
      </c>
      <c r="J16" s="69">
        <f>IF(B16="","",SUMIFS('Payments'!$L$6:$L$205,'Payments'!$P$6:$P$205,B16))</f>
        <v/>
      </c>
      <c r="K16" s="69">
        <f>IF(B16="","",SUMIFS('Payments'!$N$6:$N$205,'Payments'!$P$6:$P$205,B16))</f>
        <v/>
      </c>
      <c r="L16" s="70">
        <f>IF(B16="","",IF(OR(D16="Estimating",D16=""),MAX(C16,E16,I16,J16),MAX(I16,J16)))</f>
        <v/>
      </c>
      <c r="M16" s="71">
        <f>IF(B16="","",C16-L16)</f>
        <v/>
      </c>
      <c r="N16" s="72">
        <f>IF(O16="","",IF(O16=0,"🟢 On track",IF(O16=1,"🟡 Watch","🔴 Over")))</f>
        <v/>
      </c>
      <c r="O16" s="63">
        <f>IF(B16="","",IF(L16&lt;=C16,0,IF(L16&lt;=C16*(1+BudgetWarnPct),1,2)))</f>
        <v/>
      </c>
      <c r="P16" s="63">
        <f>IF(B16="","",IF(MAX(C16,L16)&gt;0,MAX(C16,L16)+ROW()/100000,""))</f>
        <v/>
      </c>
    </row>
    <row r="17" ht="20" customHeight="1">
      <c r="B17" s="65" t="inlineStr">
        <is>
          <t>Flooring</t>
        </is>
      </c>
      <c r="C17" s="66" t="n">
        <v>8500</v>
      </c>
      <c r="D17" s="67" t="inlineStr">
        <is>
          <t>Estimating</t>
        </is>
      </c>
      <c r="E17" s="68">
        <f>""</f>
        <v/>
      </c>
      <c r="F17" s="69">
        <f>IF(B17="","",SUMIFS('Contractors'!$I$6:$I$35,'Contractors'!$D$6:$D$35,B17,'Contractors'!$L$6:$L$35,"Yes"))</f>
        <v/>
      </c>
      <c r="G17" s="68">
        <f>0</f>
        <v/>
      </c>
      <c r="H17" s="68">
        <f>0</f>
        <v/>
      </c>
      <c r="I17" s="70">
        <f>IF(B17="","",F17+G17+H17)</f>
        <v/>
      </c>
      <c r="J17" s="69">
        <f>IF(B17="","",SUMIFS('Payments'!$L$6:$L$205,'Payments'!$P$6:$P$205,B17))</f>
        <v/>
      </c>
      <c r="K17" s="69">
        <f>IF(B17="","",SUMIFS('Payments'!$N$6:$N$205,'Payments'!$P$6:$P$205,B17))</f>
        <v/>
      </c>
      <c r="L17" s="70">
        <f>IF(B17="","",IF(OR(D17="Estimating",D17=""),MAX(C17,E17,I17,J17),MAX(I17,J17)))</f>
        <v/>
      </c>
      <c r="M17" s="71">
        <f>IF(B17="","",C17-L17)</f>
        <v/>
      </c>
      <c r="N17" s="72">
        <f>IF(O17="","",IF(O17=0,"🟢 On track",IF(O17=1,"🟡 Watch","🔴 Over")))</f>
        <v/>
      </c>
      <c r="O17" s="63">
        <f>IF(B17="","",IF(L17&lt;=C17,0,IF(L17&lt;=C17*(1+BudgetWarnPct),1,2)))</f>
        <v/>
      </c>
      <c r="P17" s="63">
        <f>IF(B17="","",IF(MAX(C17,L17)&gt;0,MAX(C17,L17)+ROW()/100000,""))</f>
        <v/>
      </c>
    </row>
    <row r="18" ht="20" customHeight="1">
      <c r="B18" s="65" t="inlineStr">
        <is>
          <t>Painting</t>
        </is>
      </c>
      <c r="C18" s="66" t="n">
        <v>4500</v>
      </c>
      <c r="D18" s="67" t="inlineStr">
        <is>
          <t>Estimating</t>
        </is>
      </c>
      <c r="E18" s="68">
        <f>""</f>
        <v/>
      </c>
      <c r="F18" s="69">
        <f>IF(B18="","",SUMIFS('Contractors'!$I$6:$I$35,'Contractors'!$D$6:$D$35,B18,'Contractors'!$L$6:$L$35,"Yes"))</f>
        <v/>
      </c>
      <c r="G18" s="68">
        <f>0</f>
        <v/>
      </c>
      <c r="H18" s="68">
        <f>0</f>
        <v/>
      </c>
      <c r="I18" s="70">
        <f>IF(B18="","",F18+G18+H18)</f>
        <v/>
      </c>
      <c r="J18" s="69">
        <f>IF(B18="","",SUMIFS('Payments'!$L$6:$L$205,'Payments'!$P$6:$P$205,B18))</f>
        <v/>
      </c>
      <c r="K18" s="69">
        <f>IF(B18="","",SUMIFS('Payments'!$N$6:$N$205,'Payments'!$P$6:$P$205,B18))</f>
        <v/>
      </c>
      <c r="L18" s="70">
        <f>IF(B18="","",IF(OR(D18="Estimating",D18=""),MAX(C18,E18,I18,J18),MAX(I18,J18)))</f>
        <v/>
      </c>
      <c r="M18" s="71">
        <f>IF(B18="","",C18-L18)</f>
        <v/>
      </c>
      <c r="N18" s="72">
        <f>IF(O18="","",IF(O18=0,"🟢 On track",IF(O18=1,"🟡 Watch","🔴 Over")))</f>
        <v/>
      </c>
      <c r="O18" s="63">
        <f>IF(B18="","",IF(L18&lt;=C18,0,IF(L18&lt;=C18*(1+BudgetWarnPct),1,2)))</f>
        <v/>
      </c>
      <c r="P18" s="63">
        <f>IF(B18="","",IF(MAX(C18,L18)&gt;0,MAX(C18,L18)+ROW()/100000,""))</f>
        <v/>
      </c>
    </row>
    <row r="19" ht="20" customHeight="1">
      <c r="B19" s="65" t="inlineStr">
        <is>
          <t>Landscaping</t>
        </is>
      </c>
      <c r="C19" s="66" t="n">
        <v>2000</v>
      </c>
      <c r="D19" s="67" t="inlineStr">
        <is>
          <t>Estimating</t>
        </is>
      </c>
      <c r="E19" s="68">
        <f>""</f>
        <v/>
      </c>
      <c r="F19" s="69">
        <f>IF(B19="","",SUMIFS('Contractors'!$I$6:$I$35,'Contractors'!$D$6:$D$35,B19,'Contractors'!$L$6:$L$35,"Yes"))</f>
        <v/>
      </c>
      <c r="G19" s="68">
        <f>0</f>
        <v/>
      </c>
      <c r="H19" s="68">
        <f>0</f>
        <v/>
      </c>
      <c r="I19" s="70">
        <f>IF(B19="","",F19+G19+H19)</f>
        <v/>
      </c>
      <c r="J19" s="69">
        <f>IF(B19="","",SUMIFS('Payments'!$L$6:$L$205,'Payments'!$P$6:$P$205,B19))</f>
        <v/>
      </c>
      <c r="K19" s="69">
        <f>IF(B19="","",SUMIFS('Payments'!$N$6:$N$205,'Payments'!$P$6:$P$205,B19))</f>
        <v/>
      </c>
      <c r="L19" s="70">
        <f>IF(B19="","",IF(OR(D19="Estimating",D19=""),MAX(C19,E19,I19,J19),MAX(I19,J19)))</f>
        <v/>
      </c>
      <c r="M19" s="71">
        <f>IF(B19="","",C19-L19)</f>
        <v/>
      </c>
      <c r="N19" s="72">
        <f>IF(O19="","",IF(O19=0,"🟢 On track",IF(O19=1,"🟡 Watch","🔴 Over")))</f>
        <v/>
      </c>
      <c r="O19" s="63">
        <f>IF(B19="","",IF(L19&lt;=C19,0,IF(L19&lt;=C19*(1+BudgetWarnPct),1,2)))</f>
        <v/>
      </c>
      <c r="P19" s="63">
        <f>IF(B19="","",IF(MAX(C19,L19)&gt;0,MAX(C19,L19)+ROW()/100000,""))</f>
        <v/>
      </c>
    </row>
    <row r="20" ht="20" customHeight="1">
      <c r="B20" s="65" t="inlineStr">
        <is>
          <t>Furniture</t>
        </is>
      </c>
      <c r="C20" s="66" t="n">
        <v>3000</v>
      </c>
      <c r="D20" s="67" t="inlineStr">
        <is>
          <t>Estimating</t>
        </is>
      </c>
      <c r="E20" s="68">
        <f>""</f>
        <v/>
      </c>
      <c r="F20" s="69">
        <f>IF(B20="","",SUMIFS('Contractors'!$I$6:$I$35,'Contractors'!$D$6:$D$35,B20,'Contractors'!$L$6:$L$35,"Yes"))</f>
        <v/>
      </c>
      <c r="G20" s="68">
        <f>0</f>
        <v/>
      </c>
      <c r="H20" s="68">
        <f>0</f>
        <v/>
      </c>
      <c r="I20" s="70">
        <f>IF(B20="","",F20+G20+H20)</f>
        <v/>
      </c>
      <c r="J20" s="69">
        <f>IF(B20="","",SUMIFS('Payments'!$L$6:$L$205,'Payments'!$P$6:$P$205,B20))</f>
        <v/>
      </c>
      <c r="K20" s="69">
        <f>IF(B20="","",SUMIFS('Payments'!$N$6:$N$205,'Payments'!$P$6:$P$205,B20))</f>
        <v/>
      </c>
      <c r="L20" s="70">
        <f>IF(B20="","",IF(OR(D20="Estimating",D20=""),MAX(C20,E20,I20,J20),MAX(I20,J20)))</f>
        <v/>
      </c>
      <c r="M20" s="71">
        <f>IF(B20="","",C20-L20)</f>
        <v/>
      </c>
      <c r="N20" s="72">
        <f>IF(O20="","",IF(O20=0,"🟢 On track",IF(O20=1,"🟡 Watch","🔴 Over")))</f>
        <v/>
      </c>
      <c r="O20" s="63">
        <f>IF(B20="","",IF(L20&lt;=C20,0,IF(L20&lt;=C20*(1+BudgetWarnPct),1,2)))</f>
        <v/>
      </c>
      <c r="P20" s="63">
        <f>IF(B20="","",IF(MAX(C20,L20)&gt;0,MAX(C20,L20)+ROW()/100000,""))</f>
        <v/>
      </c>
    </row>
    <row r="21" ht="20" customHeight="1">
      <c r="B21" s="65" t="inlineStr">
        <is>
          <t>Appliances</t>
        </is>
      </c>
      <c r="C21" s="66" t="n">
        <v>3500</v>
      </c>
      <c r="D21" s="67" t="inlineStr">
        <is>
          <t>Estimating</t>
        </is>
      </c>
      <c r="E21" s="68">
        <f>""</f>
        <v/>
      </c>
      <c r="F21" s="69">
        <f>IF(B21="","",SUMIFS('Contractors'!$I$6:$I$35,'Contractors'!$D$6:$D$35,B21,'Contractors'!$L$6:$L$35,"Yes"))</f>
        <v/>
      </c>
      <c r="G21" s="68">
        <f>0</f>
        <v/>
      </c>
      <c r="H21" s="68">
        <f>0</f>
        <v/>
      </c>
      <c r="I21" s="70">
        <f>IF(B21="","",F21+G21+H21)</f>
        <v/>
      </c>
      <c r="J21" s="69">
        <f>IF(B21="","",SUMIFS('Payments'!$L$6:$L$205,'Payments'!$P$6:$P$205,B21))</f>
        <v/>
      </c>
      <c r="K21" s="69">
        <f>IF(B21="","",SUMIFS('Payments'!$N$6:$N$205,'Payments'!$P$6:$P$205,B21))</f>
        <v/>
      </c>
      <c r="L21" s="70">
        <f>IF(B21="","",IF(OR(D21="Estimating",D21=""),MAX(C21,E21,I21,J21),MAX(I21,J21)))</f>
        <v/>
      </c>
      <c r="M21" s="71">
        <f>IF(B21="","",C21-L21)</f>
        <v/>
      </c>
      <c r="N21" s="72">
        <f>IF(O21="","",IF(O21=0,"🟢 On track",IF(O21=1,"🟡 Watch","🔴 Over")))</f>
        <v/>
      </c>
      <c r="O21" s="63">
        <f>IF(B21="","",IF(L21&lt;=C21,0,IF(L21&lt;=C21*(1+BudgetWarnPct),1,2)))</f>
        <v/>
      </c>
      <c r="P21" s="63">
        <f>IF(B21="","",IF(MAX(C21,L21)&gt;0,MAX(C21,L21)+ROW()/100000,""))</f>
        <v/>
      </c>
    </row>
    <row r="22" ht="20" customHeight="1">
      <c r="B22" s="65" t="inlineStr">
        <is>
          <t>Permits</t>
        </is>
      </c>
      <c r="C22" s="66" t="n">
        <v>1500</v>
      </c>
      <c r="D22" s="67" t="inlineStr">
        <is>
          <t>Complete</t>
        </is>
      </c>
      <c r="E22" s="68">
        <f>""</f>
        <v/>
      </c>
      <c r="F22" s="69">
        <f>IF(B22="","",SUMIFS('Contractors'!$I$6:$I$35,'Contractors'!$D$6:$D$35,B22,'Contractors'!$L$6:$L$35,"Yes"))</f>
        <v/>
      </c>
      <c r="G22" s="68">
        <f>0</f>
        <v/>
      </c>
      <c r="H22" s="68">
        <f>0</f>
        <v/>
      </c>
      <c r="I22" s="70">
        <f>IF(B22="","",F22+G22+H22)</f>
        <v/>
      </c>
      <c r="J22" s="69">
        <f>IF(B22="","",SUMIFS('Payments'!$L$6:$L$205,'Payments'!$P$6:$P$205,B22))</f>
        <v/>
      </c>
      <c r="K22" s="69">
        <f>IF(B22="","",SUMIFS('Payments'!$N$6:$N$205,'Payments'!$P$6:$P$205,B22))</f>
        <v/>
      </c>
      <c r="L22" s="70">
        <f>IF(B22="","",IF(OR(D22="Estimating",D22=""),MAX(C22,E22,I22,J22),MAX(I22,J22)))</f>
        <v/>
      </c>
      <c r="M22" s="71">
        <f>IF(B22="","",C22-L22)</f>
        <v/>
      </c>
      <c r="N22" s="72">
        <f>IF(O22="","",IF(O22=0,"🟢 On track",IF(O22=1,"🟡 Watch","🔴 Over")))</f>
        <v/>
      </c>
      <c r="O22" s="63">
        <f>IF(B22="","",IF(L22&lt;=C22,0,IF(L22&lt;=C22*(1+BudgetWarnPct),1,2)))</f>
        <v/>
      </c>
      <c r="P22" s="63">
        <f>IF(B22="","",IF(MAX(C22,L22)&gt;0,MAX(C22,L22)+ROW()/100000,""))</f>
        <v/>
      </c>
    </row>
    <row r="23" ht="20" customHeight="1">
      <c r="B23" s="65" t="inlineStr">
        <is>
          <t>Professional fees</t>
        </is>
      </c>
      <c r="C23" s="66" t="n">
        <v>5000</v>
      </c>
      <c r="D23" s="67" t="inlineStr">
        <is>
          <t>Contracted</t>
        </is>
      </c>
      <c r="E23" s="68">
        <f>""</f>
        <v/>
      </c>
      <c r="F23" s="69">
        <f>IF(B23="","",SUMIFS('Contractors'!$I$6:$I$35,'Contractors'!$D$6:$D$35,B23,'Contractors'!$L$6:$L$35,"Yes"))</f>
        <v/>
      </c>
      <c r="G23" s="68">
        <f>0</f>
        <v/>
      </c>
      <c r="H23" s="68">
        <f>0</f>
        <v/>
      </c>
      <c r="I23" s="70">
        <f>IF(B23="","",F23+G23+H23)</f>
        <v/>
      </c>
      <c r="J23" s="69">
        <f>IF(B23="","",SUMIFS('Payments'!$L$6:$L$205,'Payments'!$P$6:$P$205,B23))</f>
        <v/>
      </c>
      <c r="K23" s="69">
        <f>IF(B23="","",SUMIFS('Payments'!$N$6:$N$205,'Payments'!$P$6:$P$205,B23))</f>
        <v/>
      </c>
      <c r="L23" s="70">
        <f>IF(B23="","",IF(OR(D23="Estimating",D23=""),MAX(C23,E23,I23,J23),MAX(I23,J23)))</f>
        <v/>
      </c>
      <c r="M23" s="71">
        <f>IF(B23="","",C23-L23)</f>
        <v/>
      </c>
      <c r="N23" s="72">
        <f>IF(O23="","",IF(O23=0,"🟢 On track",IF(O23=1,"🟡 Watch","🔴 Over")))</f>
        <v/>
      </c>
      <c r="O23" s="63">
        <f>IF(B23="","",IF(L23&lt;=C23,0,IF(L23&lt;=C23*(1+BudgetWarnPct),1,2)))</f>
        <v/>
      </c>
      <c r="P23" s="63">
        <f>IF(B23="","",IF(MAX(C23,L23)&gt;0,MAX(C23,L23)+ROW()/100000,""))</f>
        <v/>
      </c>
    </row>
    <row r="24" ht="20" customHeight="1">
      <c r="B24" s="65" t="inlineStr">
        <is>
          <t>Waste removal</t>
        </is>
      </c>
      <c r="C24" s="66" t="n">
        <v>1500</v>
      </c>
      <c r="D24" s="67" t="inlineStr">
        <is>
          <t>Estimating</t>
        </is>
      </c>
      <c r="E24" s="68">
        <f>""</f>
        <v/>
      </c>
      <c r="F24" s="69">
        <f>IF(B24="","",SUMIFS('Contractors'!$I$6:$I$35,'Contractors'!$D$6:$D$35,B24,'Contractors'!$L$6:$L$35,"Yes"))</f>
        <v/>
      </c>
      <c r="G24" s="68">
        <f>0</f>
        <v/>
      </c>
      <c r="H24" s="68">
        <f>0</f>
        <v/>
      </c>
      <c r="I24" s="70">
        <f>IF(B24="","",F24+G24+H24)</f>
        <v/>
      </c>
      <c r="J24" s="69">
        <f>IF(B24="","",SUMIFS('Payments'!$L$6:$L$205,'Payments'!$P$6:$P$205,B24))</f>
        <v/>
      </c>
      <c r="K24" s="69">
        <f>IF(B24="","",SUMIFS('Payments'!$N$6:$N$205,'Payments'!$P$6:$P$205,B24))</f>
        <v/>
      </c>
      <c r="L24" s="70">
        <f>IF(B24="","",IF(OR(D24="Estimating",D24=""),MAX(C24,E24,I24,J24),MAX(I24,J24)))</f>
        <v/>
      </c>
      <c r="M24" s="71">
        <f>IF(B24="","",C24-L24)</f>
        <v/>
      </c>
      <c r="N24" s="72">
        <f>IF(O24="","",IF(O24=0,"🟢 On track",IF(O24=1,"🟡 Watch","🔴 Over")))</f>
        <v/>
      </c>
      <c r="O24" s="63">
        <f>IF(B24="","",IF(L24&lt;=C24,0,IF(L24&lt;=C24*(1+BudgetWarnPct),1,2)))</f>
        <v/>
      </c>
      <c r="P24" s="63">
        <f>IF(B24="","",IF(MAX(C24,L24)&gt;0,MAX(C24,L24)+ROW()/100000,""))</f>
        <v/>
      </c>
    </row>
    <row r="25" ht="20" customHeight="1">
      <c r="B25" s="65" t="inlineStr">
        <is>
          <t>Other</t>
        </is>
      </c>
      <c r="C25" s="66" t="n">
        <v>500</v>
      </c>
      <c r="D25" s="67" t="inlineStr">
        <is>
          <t>Estimating</t>
        </is>
      </c>
      <c r="E25" s="68">
        <f>""</f>
        <v/>
      </c>
      <c r="F25" s="69">
        <f>IF(B25="","",SUMIFS('Contractors'!$I$6:$I$35,'Contractors'!$D$6:$D$35,B25,'Contractors'!$L$6:$L$35,"Yes"))</f>
        <v/>
      </c>
      <c r="G25" s="68">
        <f>0</f>
        <v/>
      </c>
      <c r="H25" s="68">
        <f>0</f>
        <v/>
      </c>
      <c r="I25" s="70">
        <f>IF(B25="","",F25+G25+H25)</f>
        <v/>
      </c>
      <c r="J25" s="69">
        <f>IF(B25="","",SUMIFS('Payments'!$L$6:$L$205,'Payments'!$P$6:$P$205,B25))</f>
        <v/>
      </c>
      <c r="K25" s="69">
        <f>IF(B25="","",SUMIFS('Payments'!$N$6:$N$205,'Payments'!$P$6:$P$205,B25))</f>
        <v/>
      </c>
      <c r="L25" s="70">
        <f>IF(B25="","",IF(OR(D25="Estimating",D25=""),MAX(C25,E25,I25,J25),MAX(I25,J25)))</f>
        <v/>
      </c>
      <c r="M25" s="71">
        <f>IF(B25="","",C25-L25)</f>
        <v/>
      </c>
      <c r="N25" s="72">
        <f>IF(O25="","",IF(O25=0,"🟢 On track",IF(O25=1,"🟡 Watch","🔴 Over")))</f>
        <v/>
      </c>
      <c r="O25" s="63">
        <f>IF(B25="","",IF(L25&lt;=C25,0,IF(L25&lt;=C25*(1+BudgetWarnPct),1,2)))</f>
        <v/>
      </c>
      <c r="P25" s="63">
        <f>IF(B25="","",IF(MAX(C25,L25)&gt;0,MAX(C25,L25)+ROW()/100000,""))</f>
        <v/>
      </c>
    </row>
    <row r="26" ht="20" customHeight="1">
      <c r="B26" s="65" t="n"/>
      <c r="C26" s="66" t="n"/>
      <c r="D26" s="67" t="n"/>
      <c r="E26" s="68">
        <f>""</f>
        <v/>
      </c>
      <c r="F26" s="69">
        <f>IF(B26="","",SUMIFS('Contractors'!$I$6:$I$35,'Contractors'!$D$6:$D$35,B26,'Contractors'!$L$6:$L$35,"Yes"))</f>
        <v/>
      </c>
      <c r="G26" s="68">
        <f>0</f>
        <v/>
      </c>
      <c r="H26" s="68">
        <f>0</f>
        <v/>
      </c>
      <c r="I26" s="70">
        <f>IF(B26="","",F26+G26+H26)</f>
        <v/>
      </c>
      <c r="J26" s="69">
        <f>IF(B26="","",SUMIFS('Payments'!$L$6:$L$205,'Payments'!$P$6:$P$205,B26))</f>
        <v/>
      </c>
      <c r="K26" s="69">
        <f>IF(B26="","",SUMIFS('Payments'!$N$6:$N$205,'Payments'!$P$6:$P$205,B26))</f>
        <v/>
      </c>
      <c r="L26" s="70">
        <f>IF(B26="","",IF(OR(D26="Estimating",D26=""),MAX(C26,E26,I26,J26),MAX(I26,J26)))</f>
        <v/>
      </c>
      <c r="M26" s="71">
        <f>IF(B26="","",C26-L26)</f>
        <v/>
      </c>
      <c r="N26" s="72">
        <f>IF(O26="","",IF(O26=0,"🟢 On track",IF(O26=1,"🟡 Watch","🔴 Over")))</f>
        <v/>
      </c>
      <c r="O26" s="63">
        <f>IF(B26="","",IF(L26&lt;=C26,0,IF(L26&lt;=C26*(1+BudgetWarnPct),1,2)))</f>
        <v/>
      </c>
      <c r="P26" s="63">
        <f>IF(B26="","",IF(MAX(C26,L26)&gt;0,MAX(C26,L26)+ROW()/100000,""))</f>
        <v/>
      </c>
    </row>
    <row r="27" ht="20" customHeight="1">
      <c r="B27" s="65" t="n"/>
      <c r="C27" s="66" t="n"/>
      <c r="D27" s="67" t="n"/>
      <c r="E27" s="68">
        <f>""</f>
        <v/>
      </c>
      <c r="F27" s="69">
        <f>IF(B27="","",SUMIFS('Contractors'!$I$6:$I$35,'Contractors'!$D$6:$D$35,B27,'Contractors'!$L$6:$L$35,"Yes"))</f>
        <v/>
      </c>
      <c r="G27" s="68">
        <f>0</f>
        <v/>
      </c>
      <c r="H27" s="68">
        <f>0</f>
        <v/>
      </c>
      <c r="I27" s="70">
        <f>IF(B27="","",F27+G27+H27)</f>
        <v/>
      </c>
      <c r="J27" s="69">
        <f>IF(B27="","",SUMIFS('Payments'!$L$6:$L$205,'Payments'!$P$6:$P$205,B27))</f>
        <v/>
      </c>
      <c r="K27" s="69">
        <f>IF(B27="","",SUMIFS('Payments'!$N$6:$N$205,'Payments'!$P$6:$P$205,B27))</f>
        <v/>
      </c>
      <c r="L27" s="70">
        <f>IF(B27="","",IF(OR(D27="Estimating",D27=""),MAX(C27,E27,I27,J27),MAX(I27,J27)))</f>
        <v/>
      </c>
      <c r="M27" s="71">
        <f>IF(B27="","",C27-L27)</f>
        <v/>
      </c>
      <c r="N27" s="72">
        <f>IF(O27="","",IF(O27=0,"🟢 On track",IF(O27=1,"🟡 Watch","🔴 Over")))</f>
        <v/>
      </c>
      <c r="O27" s="63">
        <f>IF(B27="","",IF(L27&lt;=C27,0,IF(L27&lt;=C27*(1+BudgetWarnPct),1,2)))</f>
        <v/>
      </c>
      <c r="P27" s="63">
        <f>IF(B27="","",IF(MAX(C27,L27)&gt;0,MAX(C27,L27)+ROW()/100000,""))</f>
        <v/>
      </c>
    </row>
    <row r="28" ht="20" customHeight="1">
      <c r="B28" s="65" t="n"/>
      <c r="C28" s="66" t="n"/>
      <c r="D28" s="67" t="n"/>
      <c r="E28" s="68">
        <f>""</f>
        <v/>
      </c>
      <c r="F28" s="69">
        <f>IF(B28="","",SUMIFS('Contractors'!$I$6:$I$35,'Contractors'!$D$6:$D$35,B28,'Contractors'!$L$6:$L$35,"Yes"))</f>
        <v/>
      </c>
      <c r="G28" s="68">
        <f>0</f>
        <v/>
      </c>
      <c r="H28" s="68">
        <f>0</f>
        <v/>
      </c>
      <c r="I28" s="70">
        <f>IF(B28="","",F28+G28+H28)</f>
        <v/>
      </c>
      <c r="J28" s="69">
        <f>IF(B28="","",SUMIFS('Payments'!$L$6:$L$205,'Payments'!$P$6:$P$205,B28))</f>
        <v/>
      </c>
      <c r="K28" s="69">
        <f>IF(B28="","",SUMIFS('Payments'!$N$6:$N$205,'Payments'!$P$6:$P$205,B28))</f>
        <v/>
      </c>
      <c r="L28" s="70">
        <f>IF(B28="","",IF(OR(D28="Estimating",D28=""),MAX(C28,E28,I28,J28),MAX(I28,J28)))</f>
        <v/>
      </c>
      <c r="M28" s="71">
        <f>IF(B28="","",C28-L28)</f>
        <v/>
      </c>
      <c r="N28" s="72">
        <f>IF(O28="","",IF(O28=0,"🟢 On track",IF(O28=1,"🟡 Watch","🔴 Over")))</f>
        <v/>
      </c>
      <c r="O28" s="63">
        <f>IF(B28="","",IF(L28&lt;=C28,0,IF(L28&lt;=C28*(1+BudgetWarnPct),1,2)))</f>
        <v/>
      </c>
      <c r="P28" s="63">
        <f>IF(B28="","",IF(MAX(C28,L28)&gt;0,MAX(C28,L28)+ROW()/100000,""))</f>
        <v/>
      </c>
    </row>
    <row r="29" ht="20" customHeight="1">
      <c r="B29" s="65" t="n"/>
      <c r="C29" s="66" t="n"/>
      <c r="D29" s="67" t="n"/>
      <c r="E29" s="68">
        <f>""</f>
        <v/>
      </c>
      <c r="F29" s="69">
        <f>IF(B29="","",SUMIFS('Contractors'!$I$6:$I$35,'Contractors'!$D$6:$D$35,B29,'Contractors'!$L$6:$L$35,"Yes"))</f>
        <v/>
      </c>
      <c r="G29" s="68">
        <f>0</f>
        <v/>
      </c>
      <c r="H29" s="68">
        <f>0</f>
        <v/>
      </c>
      <c r="I29" s="70">
        <f>IF(B29="","",F29+G29+H29)</f>
        <v/>
      </c>
      <c r="J29" s="69">
        <f>IF(B29="","",SUMIFS('Payments'!$L$6:$L$205,'Payments'!$P$6:$P$205,B29))</f>
        <v/>
      </c>
      <c r="K29" s="69">
        <f>IF(B29="","",SUMIFS('Payments'!$N$6:$N$205,'Payments'!$P$6:$P$205,B29))</f>
        <v/>
      </c>
      <c r="L29" s="70">
        <f>IF(B29="","",IF(OR(D29="Estimating",D29=""),MAX(C29,E29,I29,J29),MAX(I29,J29)))</f>
        <v/>
      </c>
      <c r="M29" s="71">
        <f>IF(B29="","",C29-L29)</f>
        <v/>
      </c>
      <c r="N29" s="72">
        <f>IF(O29="","",IF(O29=0,"🟢 On track",IF(O29=1,"🟡 Watch","🔴 Over")))</f>
        <v/>
      </c>
      <c r="O29" s="63">
        <f>IF(B29="","",IF(L29&lt;=C29,0,IF(L29&lt;=C29*(1+BudgetWarnPct),1,2)))</f>
        <v/>
      </c>
      <c r="P29" s="63">
        <f>IF(B29="","",IF(MAX(C29,L29)&gt;0,MAX(C29,L29)+ROW()/100000,""))</f>
        <v/>
      </c>
    </row>
    <row r="30" ht="20" customHeight="1">
      <c r="B30" s="65" t="n"/>
      <c r="C30" s="66" t="n"/>
      <c r="D30" s="67" t="n"/>
      <c r="E30" s="68">
        <f>""</f>
        <v/>
      </c>
      <c r="F30" s="69">
        <f>IF(B30="","",SUMIFS('Contractors'!$I$6:$I$35,'Contractors'!$D$6:$D$35,B30,'Contractors'!$L$6:$L$35,"Yes"))</f>
        <v/>
      </c>
      <c r="G30" s="68">
        <f>0</f>
        <v/>
      </c>
      <c r="H30" s="68">
        <f>0</f>
        <v/>
      </c>
      <c r="I30" s="70">
        <f>IF(B30="","",F30+G30+H30)</f>
        <v/>
      </c>
      <c r="J30" s="69">
        <f>IF(B30="","",SUMIFS('Payments'!$L$6:$L$205,'Payments'!$P$6:$P$205,B30))</f>
        <v/>
      </c>
      <c r="K30" s="69">
        <f>IF(B30="","",SUMIFS('Payments'!$N$6:$N$205,'Payments'!$P$6:$P$205,B30))</f>
        <v/>
      </c>
      <c r="L30" s="70">
        <f>IF(B30="","",IF(OR(D30="Estimating",D30=""),MAX(C30,E30,I30,J30),MAX(I30,J30)))</f>
        <v/>
      </c>
      <c r="M30" s="71">
        <f>IF(B30="","",C30-L30)</f>
        <v/>
      </c>
      <c r="N30" s="72">
        <f>IF(O30="","",IF(O30=0,"🟢 On track",IF(O30=1,"🟡 Watch","🔴 Over")))</f>
        <v/>
      </c>
      <c r="O30" s="63">
        <f>IF(B30="","",IF(L30&lt;=C30,0,IF(L30&lt;=C30*(1+BudgetWarnPct),1,2)))</f>
        <v/>
      </c>
      <c r="P30" s="63">
        <f>IF(B30="","",IF(MAX(C30,L30)&gt;0,MAX(C30,L30)+ROW()/100000,""))</f>
        <v/>
      </c>
    </row>
    <row r="31" ht="20" customHeight="1">
      <c r="B31" s="65" t="n"/>
      <c r="C31" s="66" t="n"/>
      <c r="D31" s="67" t="n"/>
      <c r="E31" s="68">
        <f>""</f>
        <v/>
      </c>
      <c r="F31" s="69">
        <f>IF(B31="","",SUMIFS('Contractors'!$I$6:$I$35,'Contractors'!$D$6:$D$35,B31,'Contractors'!$L$6:$L$35,"Yes"))</f>
        <v/>
      </c>
      <c r="G31" s="68">
        <f>0</f>
        <v/>
      </c>
      <c r="H31" s="68">
        <f>0</f>
        <v/>
      </c>
      <c r="I31" s="70">
        <f>IF(B31="","",F31+G31+H31)</f>
        <v/>
      </c>
      <c r="J31" s="69">
        <f>IF(B31="","",SUMIFS('Payments'!$L$6:$L$205,'Payments'!$P$6:$P$205,B31))</f>
        <v/>
      </c>
      <c r="K31" s="69">
        <f>IF(B31="","",SUMIFS('Payments'!$N$6:$N$205,'Payments'!$P$6:$P$205,B31))</f>
        <v/>
      </c>
      <c r="L31" s="70">
        <f>IF(B31="","",IF(OR(D31="Estimating",D31=""),MAX(C31,E31,I31,J31),MAX(I31,J31)))</f>
        <v/>
      </c>
      <c r="M31" s="71">
        <f>IF(B31="","",C31-L31)</f>
        <v/>
      </c>
      <c r="N31" s="72">
        <f>IF(O31="","",IF(O31=0,"🟢 On track",IF(O31=1,"🟡 Watch","🔴 Over")))</f>
        <v/>
      </c>
      <c r="O31" s="63">
        <f>IF(B31="","",IF(L31&lt;=C31,0,IF(L31&lt;=C31*(1+BudgetWarnPct),1,2)))</f>
        <v/>
      </c>
      <c r="P31" s="63">
        <f>IF(B31="","",IF(MAX(C31,L31)&gt;0,MAX(C31,L31)+ROW()/100000,""))</f>
        <v/>
      </c>
    </row>
    <row r="32" ht="20" customHeight="1">
      <c r="B32" s="65" t="n"/>
      <c r="C32" s="66" t="n"/>
      <c r="D32" s="67" t="n"/>
      <c r="E32" s="68">
        <f>""</f>
        <v/>
      </c>
      <c r="F32" s="69">
        <f>IF(B32="","",SUMIFS('Contractors'!$I$6:$I$35,'Contractors'!$D$6:$D$35,B32,'Contractors'!$L$6:$L$35,"Yes"))</f>
        <v/>
      </c>
      <c r="G32" s="68">
        <f>0</f>
        <v/>
      </c>
      <c r="H32" s="68">
        <f>0</f>
        <v/>
      </c>
      <c r="I32" s="70">
        <f>IF(B32="","",F32+G32+H32)</f>
        <v/>
      </c>
      <c r="J32" s="69">
        <f>IF(B32="","",SUMIFS('Payments'!$L$6:$L$205,'Payments'!$P$6:$P$205,B32))</f>
        <v/>
      </c>
      <c r="K32" s="69">
        <f>IF(B32="","",SUMIFS('Payments'!$N$6:$N$205,'Payments'!$P$6:$P$205,B32))</f>
        <v/>
      </c>
      <c r="L32" s="70">
        <f>IF(B32="","",IF(OR(D32="Estimating",D32=""),MAX(C32,E32,I32,J32),MAX(I32,J32)))</f>
        <v/>
      </c>
      <c r="M32" s="71">
        <f>IF(B32="","",C32-L32)</f>
        <v/>
      </c>
      <c r="N32" s="72">
        <f>IF(O32="","",IF(O32=0,"🟢 On track",IF(O32=1,"🟡 Watch","🔴 Over")))</f>
        <v/>
      </c>
      <c r="O32" s="63">
        <f>IF(B32="","",IF(L32&lt;=C32,0,IF(L32&lt;=C32*(1+BudgetWarnPct),1,2)))</f>
        <v/>
      </c>
      <c r="P32" s="63">
        <f>IF(B32="","",IF(MAX(C32,L32)&gt;0,MAX(C32,L32)+ROW()/100000,""))</f>
        <v/>
      </c>
    </row>
    <row r="33" ht="20" customHeight="1">
      <c r="B33" s="65" t="n"/>
      <c r="C33" s="66" t="n"/>
      <c r="D33" s="67" t="n"/>
      <c r="E33" s="68">
        <f>""</f>
        <v/>
      </c>
      <c r="F33" s="69">
        <f>IF(B33="","",SUMIFS('Contractors'!$I$6:$I$35,'Contractors'!$D$6:$D$35,B33,'Contractors'!$L$6:$L$35,"Yes"))</f>
        <v/>
      </c>
      <c r="G33" s="68">
        <f>0</f>
        <v/>
      </c>
      <c r="H33" s="68">
        <f>0</f>
        <v/>
      </c>
      <c r="I33" s="70">
        <f>IF(B33="","",F33+G33+H33)</f>
        <v/>
      </c>
      <c r="J33" s="69">
        <f>IF(B33="","",SUMIFS('Payments'!$L$6:$L$205,'Payments'!$P$6:$P$205,B33))</f>
        <v/>
      </c>
      <c r="K33" s="69">
        <f>IF(B33="","",SUMIFS('Payments'!$N$6:$N$205,'Payments'!$P$6:$P$205,B33))</f>
        <v/>
      </c>
      <c r="L33" s="70">
        <f>IF(B33="","",IF(OR(D33="Estimating",D33=""),MAX(C33,E33,I33,J33),MAX(I33,J33)))</f>
        <v/>
      </c>
      <c r="M33" s="71">
        <f>IF(B33="","",C33-L33)</f>
        <v/>
      </c>
      <c r="N33" s="72">
        <f>IF(O33="","",IF(O33=0,"🟢 On track",IF(O33=1,"🟡 Watch","🔴 Over")))</f>
        <v/>
      </c>
      <c r="O33" s="63">
        <f>IF(B33="","",IF(L33&lt;=C33,0,IF(L33&lt;=C33*(1+BudgetWarnPct),1,2)))</f>
        <v/>
      </c>
      <c r="P33" s="63">
        <f>IF(B33="","",IF(MAX(C33,L33)&gt;0,MAX(C33,L33)+ROW()/100000,""))</f>
        <v/>
      </c>
    </row>
    <row r="34" ht="20" customHeight="1">
      <c r="B34" s="65" t="n"/>
      <c r="C34" s="66" t="n"/>
      <c r="D34" s="67" t="n"/>
      <c r="E34" s="68">
        <f>""</f>
        <v/>
      </c>
      <c r="F34" s="69">
        <f>IF(B34="","",SUMIFS('Contractors'!$I$6:$I$35,'Contractors'!$D$6:$D$35,B34,'Contractors'!$L$6:$L$35,"Yes"))</f>
        <v/>
      </c>
      <c r="G34" s="68">
        <f>0</f>
        <v/>
      </c>
      <c r="H34" s="68">
        <f>0</f>
        <v/>
      </c>
      <c r="I34" s="70">
        <f>IF(B34="","",F34+G34+H34)</f>
        <v/>
      </c>
      <c r="J34" s="69">
        <f>IF(B34="","",SUMIFS('Payments'!$L$6:$L$205,'Payments'!$P$6:$P$205,B34))</f>
        <v/>
      </c>
      <c r="K34" s="69">
        <f>IF(B34="","",SUMIFS('Payments'!$N$6:$N$205,'Payments'!$P$6:$P$205,B34))</f>
        <v/>
      </c>
      <c r="L34" s="70">
        <f>IF(B34="","",IF(OR(D34="Estimating",D34=""),MAX(C34,E34,I34,J34),MAX(I34,J34)))</f>
        <v/>
      </c>
      <c r="M34" s="71">
        <f>IF(B34="","",C34-L34)</f>
        <v/>
      </c>
      <c r="N34" s="72">
        <f>IF(O34="","",IF(O34=0,"🟢 On track",IF(O34=1,"🟡 Watch","🔴 Over")))</f>
        <v/>
      </c>
      <c r="O34" s="63">
        <f>IF(B34="","",IF(L34&lt;=C34,0,IF(L34&lt;=C34*(1+BudgetWarnPct),1,2)))</f>
        <v/>
      </c>
      <c r="P34" s="63">
        <f>IF(B34="","",IF(MAX(C34,L34)&gt;0,MAX(C34,L34)+ROW()/100000,""))</f>
        <v/>
      </c>
    </row>
    <row r="35" ht="20" customHeight="1">
      <c r="B35" s="65" t="n"/>
      <c r="C35" s="66" t="n"/>
      <c r="D35" s="67" t="n"/>
      <c r="E35" s="68">
        <f>""</f>
        <v/>
      </c>
      <c r="F35" s="69">
        <f>IF(B35="","",SUMIFS('Contractors'!$I$6:$I$35,'Contractors'!$D$6:$D$35,B35,'Contractors'!$L$6:$L$35,"Yes"))</f>
        <v/>
      </c>
      <c r="G35" s="68">
        <f>0</f>
        <v/>
      </c>
      <c r="H35" s="68">
        <f>0</f>
        <v/>
      </c>
      <c r="I35" s="70">
        <f>IF(B35="","",F35+G35+H35)</f>
        <v/>
      </c>
      <c r="J35" s="69">
        <f>IF(B35="","",SUMIFS('Payments'!$L$6:$L$205,'Payments'!$P$6:$P$205,B35))</f>
        <v/>
      </c>
      <c r="K35" s="69">
        <f>IF(B35="","",SUMIFS('Payments'!$N$6:$N$205,'Payments'!$P$6:$P$205,B35))</f>
        <v/>
      </c>
      <c r="L35" s="70">
        <f>IF(B35="","",IF(OR(D35="Estimating",D35=""),MAX(C35,E35,I35,J35),MAX(I35,J35)))</f>
        <v/>
      </c>
      <c r="M35" s="71">
        <f>IF(B35="","",C35-L35)</f>
        <v/>
      </c>
      <c r="N35" s="72">
        <f>IF(O35="","",IF(O35=0,"🟢 On track",IF(O35=1,"🟡 Watch","🔴 Over")))</f>
        <v/>
      </c>
      <c r="O35" s="63">
        <f>IF(B35="","",IF(L35&lt;=C35,0,IF(L35&lt;=C35*(1+BudgetWarnPct),1,2)))</f>
        <v/>
      </c>
      <c r="P35" s="63">
        <f>IF(B35="","",IF(MAX(C35,L35)&gt;0,MAX(C35,L35)+ROW()/100000,""))</f>
        <v/>
      </c>
    </row>
    <row r="36" ht="20" customHeight="1">
      <c r="B36" s="65" t="n"/>
      <c r="C36" s="66" t="n"/>
      <c r="D36" s="67" t="n"/>
      <c r="E36" s="68">
        <f>""</f>
        <v/>
      </c>
      <c r="F36" s="69">
        <f>IF(B36="","",SUMIFS('Contractors'!$I$6:$I$35,'Contractors'!$D$6:$D$35,B36,'Contractors'!$L$6:$L$35,"Yes"))</f>
        <v/>
      </c>
      <c r="G36" s="68">
        <f>0</f>
        <v/>
      </c>
      <c r="H36" s="68">
        <f>0</f>
        <v/>
      </c>
      <c r="I36" s="70">
        <f>IF(B36="","",F36+G36+H36)</f>
        <v/>
      </c>
      <c r="J36" s="69">
        <f>IF(B36="","",SUMIFS('Payments'!$L$6:$L$205,'Payments'!$P$6:$P$205,B36))</f>
        <v/>
      </c>
      <c r="K36" s="69">
        <f>IF(B36="","",SUMIFS('Payments'!$N$6:$N$205,'Payments'!$P$6:$P$205,B36))</f>
        <v/>
      </c>
      <c r="L36" s="70">
        <f>IF(B36="","",IF(OR(D36="Estimating",D36=""),MAX(C36,E36,I36,J36),MAX(I36,J36)))</f>
        <v/>
      </c>
      <c r="M36" s="71">
        <f>IF(B36="","",C36-L36)</f>
        <v/>
      </c>
      <c r="N36" s="72">
        <f>IF(O36="","",IF(O36=0,"🟢 On track",IF(O36=1,"🟡 Watch","🔴 Over")))</f>
        <v/>
      </c>
      <c r="O36" s="63">
        <f>IF(B36="","",IF(L36&lt;=C36,0,IF(L36&lt;=C36*(1+BudgetWarnPct),1,2)))</f>
        <v/>
      </c>
      <c r="P36" s="63">
        <f>IF(B36="","",IF(MAX(C36,L36)&gt;0,MAX(C36,L36)+ROW()/100000,""))</f>
        <v/>
      </c>
    </row>
    <row r="37" ht="20" customHeight="1">
      <c r="B37" s="65" t="n"/>
      <c r="C37" s="66" t="n"/>
      <c r="D37" s="67" t="n"/>
      <c r="E37" s="68">
        <f>""</f>
        <v/>
      </c>
      <c r="F37" s="69">
        <f>IF(B37="","",SUMIFS('Contractors'!$I$6:$I$35,'Contractors'!$D$6:$D$35,B37,'Contractors'!$L$6:$L$35,"Yes"))</f>
        <v/>
      </c>
      <c r="G37" s="68">
        <f>0</f>
        <v/>
      </c>
      <c r="H37" s="68">
        <f>0</f>
        <v/>
      </c>
      <c r="I37" s="70">
        <f>IF(B37="","",F37+G37+H37)</f>
        <v/>
      </c>
      <c r="J37" s="69">
        <f>IF(B37="","",SUMIFS('Payments'!$L$6:$L$205,'Payments'!$P$6:$P$205,B37))</f>
        <v/>
      </c>
      <c r="K37" s="69">
        <f>IF(B37="","",SUMIFS('Payments'!$N$6:$N$205,'Payments'!$P$6:$P$205,B37))</f>
        <v/>
      </c>
      <c r="L37" s="70">
        <f>IF(B37="","",IF(OR(D37="Estimating",D37=""),MAX(C37,E37,I37,J37),MAX(I37,J37)))</f>
        <v/>
      </c>
      <c r="M37" s="71">
        <f>IF(B37="","",C37-L37)</f>
        <v/>
      </c>
      <c r="N37" s="72">
        <f>IF(O37="","",IF(O37=0,"🟢 On track",IF(O37=1,"🟡 Watch","🔴 Over")))</f>
        <v/>
      </c>
      <c r="O37" s="63">
        <f>IF(B37="","",IF(L37&lt;=C37,0,IF(L37&lt;=C37*(1+BudgetWarnPct),1,2)))</f>
        <v/>
      </c>
      <c r="P37" s="63">
        <f>IF(B37="","",IF(MAX(C37,L37)&gt;0,MAX(C37,L37)+ROW()/100000,""))</f>
        <v/>
      </c>
    </row>
    <row r="38" ht="26" customHeight="1">
      <c r="B38" s="73" t="inlineStr">
        <is>
          <t>TOTAL</t>
        </is>
      </c>
      <c r="C38" s="74">
        <f>SUM(C8:C37)</f>
        <v/>
      </c>
      <c r="D38" s="73" t="n"/>
      <c r="E38" s="73" t="n"/>
      <c r="F38" s="74">
        <f>SUM(F8:F37)</f>
        <v/>
      </c>
      <c r="G38" s="74">
        <f>SUM(G8:G37)</f>
        <v/>
      </c>
      <c r="H38" s="74">
        <f>SUM(H8:H37)</f>
        <v/>
      </c>
      <c r="I38" s="74">
        <f>SUM(I8:I37)</f>
        <v/>
      </c>
      <c r="J38" s="74">
        <f>SUM(J8:J37)</f>
        <v/>
      </c>
      <c r="K38" s="74">
        <f>SUM(K8:K37)</f>
        <v/>
      </c>
      <c r="L38" s="74">
        <f>SUM(L8:L37)</f>
        <v/>
      </c>
      <c r="M38" s="74">
        <f>SUM(M8:M37)</f>
        <v/>
      </c>
      <c r="N38" s="75">
        <f>IF(O38=0,"🟢 On track",IF(O38=1,"🟡 Watch","🔴 Over"))</f>
        <v/>
      </c>
      <c r="O38" s="63">
        <f>IF(L38&lt;=C38,0,IF(L38&lt;=C38*(1+BudgetWarnPct),1,2))</f>
        <v/>
      </c>
    </row>
    <row r="39">
      <c r="B39" s="4" t="inlineStr">
        <is>
          <t>RISK — what could still come on top of the forecast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 hidden="1" ht="22" customHeight="1">
      <c r="B40" s="76" t="inlineStr">
        <is>
          <t>Pending change orders (not approved yet)</t>
        </is>
      </c>
      <c r="L40" s="60">
        <f>0</f>
        <v/>
      </c>
      <c r="Q40" s="77">
        <f>IF(AND(WorkBudget&gt;0,ForecastTotal&gt;WorkBudget),AsOf,"")</f>
        <v/>
      </c>
      <c r="R40" s="47">
        <f>IF(Q40="","",1)</f>
        <v/>
      </c>
      <c r="S40" s="47">
        <f>IF(R40="","","Forecast is over your working budget by "&amp;CurSym&amp;" "&amp;FIXED(ForecastTotal-WorkBudget,0)&amp;" — review Budget")</f>
        <v/>
      </c>
    </row>
    <row r="41" ht="22" customHeight="1">
      <c r="B41" s="76" t="inlineStr">
        <is>
          <t>Estimated cost of open issues</t>
        </is>
      </c>
      <c r="L41" s="60">
        <f>SUM('Issues &amp; Punch List'!$T$8:$T$207)</f>
        <v/>
      </c>
      <c r="Q41" s="77">
        <f>IF(ContUsed&gt;0.75,AsOf,"")</f>
        <v/>
      </c>
      <c r="R41" s="47">
        <f>IF(Q41="","",1)</f>
        <v/>
      </c>
      <c r="S41" s="47">
        <f>IF(R41="","","Contingency "&amp;ROUND(ContUsed*100,0)&amp;"% used — pause optional changes")</f>
        <v/>
      </c>
    </row>
    <row r="42" ht="22" customHeight="1">
      <c r="B42" s="78" t="inlineStr">
        <is>
          <t>RISK (could still be added)</t>
        </is>
      </c>
      <c r="L42" s="74">
        <f>L40+L41</f>
        <v/>
      </c>
    </row>
    <row r="43" ht="22" customHeight="1">
      <c r="B43" s="78" t="inlineStr">
        <is>
          <t>FORECAST INCL. RISK</t>
        </is>
      </c>
      <c r="L43" s="74">
        <f>ForecastTotal+L42</f>
        <v/>
      </c>
    </row>
    <row r="44" ht="22" customHeight="1">
      <c r="B44" s="76" t="inlineStr">
        <is>
          <t>Contingency used by forecast</t>
        </is>
      </c>
      <c r="L44" s="79">
        <f>IF(ContAmt&gt;0,MAX(0,ForecastTotal-WorkBudget)/ContAmt,0)</f>
        <v/>
      </c>
      <c r="M44" s="80">
        <f>REPT("█",ROUND(MIN(1,ContUsed)*10,0))&amp;REPT("░",10-ROUND(MIN(1,ContUsed)*10,0))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7">
    <mergeCell ref="E4:F4"/>
    <mergeCell ref="B41:K41"/>
    <mergeCell ref="B40:K40"/>
    <mergeCell ref="B44:K44"/>
    <mergeCell ref="B43:K43"/>
    <mergeCell ref="H4:L4"/>
    <mergeCell ref="B42:K42"/>
  </mergeCells>
  <conditionalFormatting sqref="L44">
    <cfRule type="expression" priority="1" dxfId="0" stopIfTrue="0">
      <formula>L44&gt;0.75</formula>
    </cfRule>
  </conditionalFormatting>
  <conditionalFormatting sqref="N8:N38">
    <cfRule type="expression" priority="2" dxfId="0" stopIfTrue="0">
      <formula>$O8=2</formula>
    </cfRule>
    <cfRule type="expression" priority="3" dxfId="2" stopIfTrue="0">
      <formula>$O8=1</formula>
    </cfRule>
    <cfRule type="expression" priority="4" dxfId="3" stopIfTrue="0">
      <formula>$O8=0</formula>
    </cfRule>
  </conditionalFormatting>
  <dataValidations count="1">
    <dataValidation sqref="D8:D37" showDropDown="0" showInputMessage="0" showErrorMessage="1" allowBlank="1" errorTitle="Renovation OS" error="Please pick a value from the dropdown list." type="list">
      <formula1>='Lists'!$B$2:$B$4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Y19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20" customWidth="1" min="3" max="3"/>
    <col width="17" customWidth="1" min="4" max="4"/>
    <col width="15" customWidth="1" min="5" max="5"/>
    <col width="16" customWidth="1" min="6" max="6"/>
    <col width="15" customWidth="1" min="7" max="7"/>
    <col width="24" customWidth="1" min="8" max="8"/>
    <col width="14" customWidth="1" min="9" max="9"/>
    <col hidden="1" width="14" customWidth="1" min="10" max="10"/>
    <col width="14" customWidth="1" min="11" max="11"/>
    <col width="11" customWidth="1" min="12" max="12"/>
    <col width="13" customWidth="1" min="13" max="13"/>
    <col width="13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9" customWidth="1" min="20" max="20"/>
    <col width="24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 ht="36" customHeight="1">
      <c r="B1" s="1" t="inlineStr">
        <is>
          <t>👷 Contractors</t>
        </is>
      </c>
    </row>
    <row r="2" ht="20" customHeight="1">
      <c r="B2" s="2" t="inlineStr">
        <is>
          <t>What this tab does: one row per contractor — contract, paperwork, progress and a warning when you pay ahead of the work. Communication log below.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/>
    <row r="5" ht="32" customHeight="1">
      <c r="B5" s="53" t="inlineStr">
        <is>
          <t>Company</t>
        </is>
      </c>
      <c r="C5" s="53" t="inlineStr">
        <is>
          <t>Trade</t>
        </is>
      </c>
      <c r="D5" s="53" t="inlineStr">
        <is>
          <t>Budget category</t>
        </is>
      </c>
      <c r="E5" s="53" t="inlineStr">
        <is>
          <t>Main room</t>
        </is>
      </c>
      <c r="F5" s="53" t="inlineStr">
        <is>
          <t>Contact person</t>
        </is>
      </c>
      <c r="G5" s="53" t="inlineStr">
        <is>
          <t>Phone</t>
        </is>
      </c>
      <c r="H5" s="53" t="inlineStr">
        <is>
          <t>Email</t>
        </is>
      </c>
      <c r="I5" s="62">
        <f>"Contract value ("&amp;CurSym&amp;")"</f>
        <v/>
      </c>
      <c r="J5" s="63">
        <f>"Approved changes ("&amp;CurSym&amp;")"</f>
        <v/>
      </c>
      <c r="K5" s="62">
        <f>"Total contract ("&amp;CurSym&amp;")"</f>
        <v/>
      </c>
      <c r="L5" s="53" t="inlineStr">
        <is>
          <t>Contract signed?</t>
        </is>
      </c>
      <c r="M5" s="53" t="inlineStr">
        <is>
          <t>Start</t>
        </is>
      </c>
      <c r="N5" s="53" t="inlineStr">
        <is>
          <t>Expected completion</t>
        </is>
      </c>
      <c r="O5" s="53" t="inlineStr">
        <is>
          <t>Insurance ✓</t>
        </is>
      </c>
      <c r="P5" s="53" t="inlineStr">
        <is>
          <t>License ✓</t>
        </is>
      </c>
      <c r="Q5" s="53" t="inlineStr">
        <is>
          <t>Warranty (years)</t>
        </is>
      </c>
      <c r="R5" s="53" t="inlineStr">
        <is>
          <t>% work complete</t>
        </is>
      </c>
      <c r="S5" s="62">
        <f>"Paid to date ("&amp;CurSym&amp;")"</f>
        <v/>
      </c>
      <c r="T5" s="53" t="inlineStr">
        <is>
          <t>Paid %</t>
        </is>
      </c>
      <c r="U5" s="53" t="inlineStr">
        <is>
          <t>Overpayment check</t>
        </is>
      </c>
      <c r="V5" s="64" t="inlineStr">
        <is>
          <t>lvl</t>
        </is>
      </c>
      <c r="W5" s="64" t="inlineStr">
        <is>
          <t>due</t>
        </is>
      </c>
      <c r="X5" s="64" t="inlineStr">
        <is>
          <t>pri</t>
        </is>
      </c>
      <c r="Y5" s="64" t="inlineStr">
        <is>
          <t>text</t>
        </is>
      </c>
    </row>
    <row r="6" ht="20" customHeight="1">
      <c r="B6" s="65" t="inlineStr">
        <is>
          <t>Hansen Demolition</t>
        </is>
      </c>
      <c r="C6" s="65" t="inlineStr">
        <is>
          <t>Demolition &amp; strip-out</t>
        </is>
      </c>
      <c r="D6" s="65" t="inlineStr">
        <is>
          <t>Demolition</t>
        </is>
      </c>
      <c r="E6" s="65" t="inlineStr">
        <is>
          <t>Whole house</t>
        </is>
      </c>
      <c r="F6" s="65" t="inlineStr">
        <is>
          <t>Lars Hansen</t>
        </is>
      </c>
      <c r="G6" s="65" t="inlineStr">
        <is>
          <t>+31 6 1234 5678</t>
        </is>
      </c>
      <c r="H6" s="65" t="inlineStr">
        <is>
          <t>lars@hansen-demo.example</t>
        </is>
      </c>
      <c r="I6" s="66" t="n">
        <v>3800</v>
      </c>
      <c r="J6" s="68">
        <f>0</f>
        <v/>
      </c>
      <c r="K6" s="70">
        <f>IF(B6="","",I6+J6)</f>
        <v/>
      </c>
      <c r="L6" s="67" t="inlineStr">
        <is>
          <t>Yes</t>
        </is>
      </c>
      <c r="M6" s="81" t="n">
        <v>46132</v>
      </c>
      <c r="N6" s="81" t="n">
        <v>46141</v>
      </c>
      <c r="O6" s="67" t="inlineStr">
        <is>
          <t>Yes</t>
        </is>
      </c>
      <c r="P6" s="67" t="inlineStr">
        <is>
          <t>Yes</t>
        </is>
      </c>
      <c r="Q6" s="82" t="n">
        <v>1</v>
      </c>
      <c r="R6" s="83" t="n">
        <v>1</v>
      </c>
      <c r="S6" s="69">
        <f>IF(B6="","",SUMIFS('Payments'!$N$6:$N$205,'Payments'!$B$6:$B$205,B6))</f>
        <v/>
      </c>
      <c r="T6" s="84">
        <f>IF(OR(B6="",K6=0),"",S6/K6)</f>
        <v/>
      </c>
      <c r="U6" s="72">
        <f>IF(V6="","",IF(V6=2,"⚠️ Paying ahead of work","✓ OK"))</f>
        <v/>
      </c>
      <c r="V6" s="63">
        <f>IF(T6="","",IF(T6-R6&gt;OverpayTol,2,0))</f>
        <v/>
      </c>
      <c r="W6" s="85">
        <f>IF(V6=2,AsOf,"")</f>
        <v/>
      </c>
      <c r="X6" s="63">
        <f>IF(W6="","",1)</f>
        <v/>
      </c>
      <c r="Y6" s="63">
        <f>IF(X6="","","Paying ahead of work: "&amp;B6&amp;" — paid "&amp;ROUND(T6*100,0)&amp;"%, work done "&amp;ROUND(R6*100,0)&amp;"%")</f>
        <v/>
      </c>
    </row>
    <row r="7" ht="20" customHeight="1">
      <c r="B7" s="65" t="inlineStr">
        <is>
          <t>Solid Structures Ltd</t>
        </is>
      </c>
      <c r="C7" s="65" t="inlineStr">
        <is>
          <t>Builder / structural</t>
        </is>
      </c>
      <c r="D7" s="65" t="inlineStr">
        <is>
          <t>Structural</t>
        </is>
      </c>
      <c r="E7" s="65" t="inlineStr">
        <is>
          <t>Living room</t>
        </is>
      </c>
      <c r="F7" s="65" t="inlineStr">
        <is>
          <t>Maria Costa</t>
        </is>
      </c>
      <c r="G7" s="65" t="inlineStr">
        <is>
          <t>+31 6 2345 6789</t>
        </is>
      </c>
      <c r="H7" s="65" t="inlineStr">
        <is>
          <t>maria@solidstructures.example</t>
        </is>
      </c>
      <c r="I7" s="66" t="n">
        <v>10600</v>
      </c>
      <c r="J7" s="68">
        <f>0</f>
        <v/>
      </c>
      <c r="K7" s="70">
        <f>IF(B7="","",I7+J7)</f>
        <v/>
      </c>
      <c r="L7" s="67" t="inlineStr">
        <is>
          <t>Yes</t>
        </is>
      </c>
      <c r="M7" s="81" t="n">
        <v>46142</v>
      </c>
      <c r="N7" s="81" t="n">
        <v>46153</v>
      </c>
      <c r="O7" s="67" t="inlineStr">
        <is>
          <t>Yes</t>
        </is>
      </c>
      <c r="P7" s="67" t="inlineStr">
        <is>
          <t>Yes</t>
        </is>
      </c>
      <c r="Q7" s="82" t="n">
        <v>10</v>
      </c>
      <c r="R7" s="83" t="n">
        <v>1</v>
      </c>
      <c r="S7" s="69">
        <f>IF(B7="","",SUMIFS('Payments'!$N$6:$N$205,'Payments'!$B$6:$B$205,B7))</f>
        <v/>
      </c>
      <c r="T7" s="84">
        <f>IF(OR(B7="",K7=0),"",S7/K7)</f>
        <v/>
      </c>
      <c r="U7" s="72">
        <f>IF(V7="","",IF(V7=2,"⚠️ Paying ahead of work","✓ OK"))</f>
        <v/>
      </c>
      <c r="V7" s="63">
        <f>IF(T7="","",IF(T7-R7&gt;OverpayTol,2,0))</f>
        <v/>
      </c>
      <c r="W7" s="85">
        <f>IF(V7=2,AsOf,"")</f>
        <v/>
      </c>
      <c r="X7" s="63">
        <f>IF(W7="","",1)</f>
        <v/>
      </c>
      <c r="Y7" s="63">
        <f>IF(X7="","","Paying ahead of work: "&amp;B7&amp;" — paid "&amp;ROUND(T7*100,0)&amp;"%, work done "&amp;ROUND(R7*100,0)&amp;"%")</f>
        <v/>
      </c>
    </row>
    <row r="8" ht="20" customHeight="1">
      <c r="B8" s="65" t="inlineStr">
        <is>
          <t>FlowRight Plumbing</t>
        </is>
      </c>
      <c r="C8" s="65" t="inlineStr">
        <is>
          <t>Plumbing</t>
        </is>
      </c>
      <c r="D8" s="65" t="inlineStr">
        <is>
          <t>Plumbing</t>
        </is>
      </c>
      <c r="E8" s="65" t="inlineStr">
        <is>
          <t>Whole house</t>
        </is>
      </c>
      <c r="F8" s="65" t="inlineStr">
        <is>
          <t>Tom de Vries</t>
        </is>
      </c>
      <c r="G8" s="65" t="inlineStr">
        <is>
          <t>+31 6 3456 7890</t>
        </is>
      </c>
      <c r="H8" s="65" t="inlineStr">
        <is>
          <t>tom@flowright.example</t>
        </is>
      </c>
      <c r="I8" s="66" t="n">
        <v>9200</v>
      </c>
      <c r="J8" s="68">
        <f>0</f>
        <v/>
      </c>
      <c r="K8" s="70">
        <f>IF(B8="","",I8+J8)</f>
        <v/>
      </c>
      <c r="L8" s="67" t="inlineStr">
        <is>
          <t>Yes</t>
        </is>
      </c>
      <c r="M8" s="81" t="n">
        <v>46154</v>
      </c>
      <c r="N8" s="81" t="n">
        <v>46178</v>
      </c>
      <c r="O8" s="67" t="inlineStr">
        <is>
          <t>Yes</t>
        </is>
      </c>
      <c r="P8" s="67" t="inlineStr">
        <is>
          <t>Yes</t>
        </is>
      </c>
      <c r="Q8" s="82" t="n">
        <v>2</v>
      </c>
      <c r="R8" s="83" t="n">
        <v>0.6</v>
      </c>
      <c r="S8" s="69">
        <f>IF(B8="","",SUMIFS('Payments'!$N$6:$N$205,'Payments'!$B$6:$B$205,B8))</f>
        <v/>
      </c>
      <c r="T8" s="84">
        <f>IF(OR(B8="",K8=0),"",S8/K8)</f>
        <v/>
      </c>
      <c r="U8" s="72">
        <f>IF(V8="","",IF(V8=2,"⚠️ Paying ahead of work","✓ OK"))</f>
        <v/>
      </c>
      <c r="V8" s="63">
        <f>IF(T8="","",IF(T8-R8&gt;OverpayTol,2,0))</f>
        <v/>
      </c>
      <c r="W8" s="85">
        <f>IF(V8=2,AsOf,"")</f>
        <v/>
      </c>
      <c r="X8" s="63">
        <f>IF(W8="","",1)</f>
        <v/>
      </c>
      <c r="Y8" s="63">
        <f>IF(X8="","","Paying ahead of work: "&amp;B8&amp;" — paid "&amp;ROUND(T8*100,0)&amp;"%, work done "&amp;ROUND(R8*100,0)&amp;"%")</f>
        <v/>
      </c>
    </row>
    <row r="9" ht="20" customHeight="1">
      <c r="B9" s="65" t="inlineStr">
        <is>
          <t>Bright Spark Electric</t>
        </is>
      </c>
      <c r="C9" s="65" t="inlineStr">
        <is>
          <t>Electrical</t>
        </is>
      </c>
      <c r="D9" s="65" t="inlineStr">
        <is>
          <t>Electrical</t>
        </is>
      </c>
      <c r="E9" s="65" t="inlineStr">
        <is>
          <t>Whole house</t>
        </is>
      </c>
      <c r="F9" s="65" t="inlineStr">
        <is>
          <t>Ahmed Karimi</t>
        </is>
      </c>
      <c r="G9" s="65" t="inlineStr">
        <is>
          <t>+31 6 4567 8901</t>
        </is>
      </c>
      <c r="H9" s="65" t="inlineStr">
        <is>
          <t>ahmed@brightspark.example</t>
        </is>
      </c>
      <c r="I9" s="66" t="n">
        <v>10500</v>
      </c>
      <c r="J9" s="68">
        <f>0</f>
        <v/>
      </c>
      <c r="K9" s="70">
        <f>IF(B9="","",I9+J9)</f>
        <v/>
      </c>
      <c r="L9" s="67" t="inlineStr">
        <is>
          <t>Yes</t>
        </is>
      </c>
      <c r="M9" s="81" t="n">
        <v>46154</v>
      </c>
      <c r="N9" s="81" t="n">
        <v>46188</v>
      </c>
      <c r="O9" s="67" t="inlineStr">
        <is>
          <t>Yes</t>
        </is>
      </c>
      <c r="P9" s="67" t="inlineStr">
        <is>
          <t>No</t>
        </is>
      </c>
      <c r="Q9" s="82" t="n">
        <v>2</v>
      </c>
      <c r="R9" s="83" t="n">
        <v>0.35</v>
      </c>
      <c r="S9" s="69">
        <f>IF(B9="","",SUMIFS('Payments'!$N$6:$N$205,'Payments'!$B$6:$B$205,B9))</f>
        <v/>
      </c>
      <c r="T9" s="84">
        <f>IF(OR(B9="",K9=0),"",S9/K9)</f>
        <v/>
      </c>
      <c r="U9" s="72">
        <f>IF(V9="","",IF(V9=2,"⚠️ Paying ahead of work","✓ OK"))</f>
        <v/>
      </c>
      <c r="V9" s="63">
        <f>IF(T9="","",IF(T9-R9&gt;OverpayTol,2,0))</f>
        <v/>
      </c>
      <c r="W9" s="85">
        <f>IF(V9=2,AsOf,"")</f>
        <v/>
      </c>
      <c r="X9" s="63">
        <f>IF(W9="","",1)</f>
        <v/>
      </c>
      <c r="Y9" s="63">
        <f>IF(X9="","","Paying ahead of work: "&amp;B9&amp;" — paid "&amp;ROUND(T9*100,0)&amp;"%, work done "&amp;ROUND(R9*100,0)&amp;"%")</f>
        <v/>
      </c>
    </row>
    <row r="10" ht="20" customHeight="1">
      <c r="B10" s="65" t="inlineStr">
        <is>
          <t>ClimaHeat HVAC</t>
        </is>
      </c>
      <c r="C10" s="65" t="inlineStr">
        <is>
          <t>Heat pump &amp; ventilation</t>
        </is>
      </c>
      <c r="D10" s="65" t="inlineStr">
        <is>
          <t>HVAC</t>
        </is>
      </c>
      <c r="E10" s="65" t="inlineStr">
        <is>
          <t>Whole house</t>
        </is>
      </c>
      <c r="F10" s="65" t="inlineStr">
        <is>
          <t>Eva Jansen</t>
        </is>
      </c>
      <c r="G10" s="65" t="inlineStr">
        <is>
          <t>+31 6 5678 9012</t>
        </is>
      </c>
      <c r="H10" s="65" t="inlineStr">
        <is>
          <t>eva@climaheat.example</t>
        </is>
      </c>
      <c r="I10" s="66" t="n">
        <v>9300</v>
      </c>
      <c r="J10" s="68">
        <f>0</f>
        <v/>
      </c>
      <c r="K10" s="70">
        <f>IF(B10="","",I10+J10)</f>
        <v/>
      </c>
      <c r="L10" s="67" t="inlineStr">
        <is>
          <t>Yes</t>
        </is>
      </c>
      <c r="M10" s="81" t="n">
        <v>46179</v>
      </c>
      <c r="N10" s="81" t="n">
        <v>46188</v>
      </c>
      <c r="O10" s="67" t="inlineStr">
        <is>
          <t>Yes</t>
        </is>
      </c>
      <c r="P10" s="67" t="inlineStr">
        <is>
          <t>Yes</t>
        </is>
      </c>
      <c r="Q10" s="82" t="n">
        <v>5</v>
      </c>
      <c r="R10" s="83" t="n">
        <v>0.25</v>
      </c>
      <c r="S10" s="69">
        <f>IF(B10="","",SUMIFS('Payments'!$N$6:$N$205,'Payments'!$B$6:$B$205,B10))</f>
        <v/>
      </c>
      <c r="T10" s="84">
        <f>IF(OR(B10="",K10=0),"",S10/K10)</f>
        <v/>
      </c>
      <c r="U10" s="72">
        <f>IF(V10="","",IF(V10=2,"⚠️ Paying ahead of work","✓ OK"))</f>
        <v/>
      </c>
      <c r="V10" s="63">
        <f>IF(T10="","",IF(T10-R10&gt;OverpayTol,2,0))</f>
        <v/>
      </c>
      <c r="W10" s="85">
        <f>IF(V10=2,AsOf,"")</f>
        <v/>
      </c>
      <c r="X10" s="63">
        <f>IF(W10="","",1)</f>
        <v/>
      </c>
      <c r="Y10" s="63">
        <f>IF(X10="","","Paying ahead of work: "&amp;B10&amp;" — paid "&amp;ROUND(T10*100,0)&amp;"%, work done "&amp;ROUND(R10*100,0)&amp;"%")</f>
        <v/>
      </c>
    </row>
    <row r="11" ht="20" customHeight="1">
      <c r="B11" s="65" t="inlineStr">
        <is>
          <t>ClearView Windows</t>
        </is>
      </c>
      <c r="C11" s="65" t="inlineStr">
        <is>
          <t>Windows &amp; doors</t>
        </is>
      </c>
      <c r="D11" s="65" t="inlineStr">
        <is>
          <t>Windows &amp; doors</t>
        </is>
      </c>
      <c r="E11" s="65" t="inlineStr">
        <is>
          <t>Whole house</t>
        </is>
      </c>
      <c r="F11" s="65" t="inlineStr">
        <is>
          <t>Pieter Smit</t>
        </is>
      </c>
      <c r="G11" s="65" t="inlineStr">
        <is>
          <t>+31 6 6789 0123</t>
        </is>
      </c>
      <c r="H11" s="65" t="inlineStr">
        <is>
          <t>pieter@clearview.example</t>
        </is>
      </c>
      <c r="I11" s="66" t="n">
        <v>12400</v>
      </c>
      <c r="J11" s="68">
        <f>0</f>
        <v/>
      </c>
      <c r="K11" s="70">
        <f>IF(B11="","",I11+J11)</f>
        <v/>
      </c>
      <c r="L11" s="67" t="inlineStr">
        <is>
          <t>Yes</t>
        </is>
      </c>
      <c r="M11" s="81" t="n">
        <v>46142</v>
      </c>
      <c r="N11" s="81" t="n">
        <v>46149</v>
      </c>
      <c r="O11" s="67" t="inlineStr">
        <is>
          <t>Yes</t>
        </is>
      </c>
      <c r="P11" s="67" t="inlineStr">
        <is>
          <t>Yes</t>
        </is>
      </c>
      <c r="Q11" s="82" t="n">
        <v>10</v>
      </c>
      <c r="R11" s="83" t="n">
        <v>0.9</v>
      </c>
      <c r="S11" s="69">
        <f>IF(B11="","",SUMIFS('Payments'!$N$6:$N$205,'Payments'!$B$6:$B$205,B11))</f>
        <v/>
      </c>
      <c r="T11" s="84">
        <f>IF(OR(B11="",K11=0),"",S11/K11)</f>
        <v/>
      </c>
      <c r="U11" s="72">
        <f>IF(V11="","",IF(V11=2,"⚠️ Paying ahead of work","✓ OK"))</f>
        <v/>
      </c>
      <c r="V11" s="63">
        <f>IF(T11="","",IF(T11-R11&gt;OverpayTol,2,0))</f>
        <v/>
      </c>
      <c r="W11" s="85">
        <f>IF(V11=2,AsOf,"")</f>
        <v/>
      </c>
      <c r="X11" s="63">
        <f>IF(W11="","",1)</f>
        <v/>
      </c>
      <c r="Y11" s="63">
        <f>IF(X11="","","Paying ahead of work: "&amp;B11&amp;" — paid "&amp;ROUND(T11*100,0)&amp;"%, work done "&amp;ROUND(R11*100,0)&amp;"%")</f>
        <v/>
      </c>
    </row>
    <row r="12" ht="20" customHeight="1">
      <c r="B12" s="65" t="inlineStr">
        <is>
          <t>Nordic Kitchens</t>
        </is>
      </c>
      <c r="C12" s="65" t="inlineStr">
        <is>
          <t>Kitchen supply &amp; install</t>
        </is>
      </c>
      <c r="D12" s="65" t="inlineStr">
        <is>
          <t>Kitchen</t>
        </is>
      </c>
      <c r="E12" s="65" t="inlineStr">
        <is>
          <t>Kitchen</t>
        </is>
      </c>
      <c r="F12" s="65" t="inlineStr">
        <is>
          <t>Sofie Berg</t>
        </is>
      </c>
      <c r="G12" s="65" t="inlineStr">
        <is>
          <t>+31 6 7890 1234</t>
        </is>
      </c>
      <c r="H12" s="65" t="inlineStr">
        <is>
          <t>sofie@nordickitchens.example</t>
        </is>
      </c>
      <c r="I12" s="66" t="n">
        <v>20300</v>
      </c>
      <c r="J12" s="68">
        <f>0</f>
        <v/>
      </c>
      <c r="K12" s="70">
        <f>IF(B12="","",I12+J12)</f>
        <v/>
      </c>
      <c r="L12" s="67" t="inlineStr">
        <is>
          <t>Yes</t>
        </is>
      </c>
      <c r="M12" s="81" t="n">
        <v>46205</v>
      </c>
      <c r="N12" s="81" t="n">
        <v>46216</v>
      </c>
      <c r="O12" s="67" t="inlineStr">
        <is>
          <t>Yes</t>
        </is>
      </c>
      <c r="P12" s="67" t="inlineStr">
        <is>
          <t>Yes</t>
        </is>
      </c>
      <c r="Q12" s="82" t="n">
        <v>5</v>
      </c>
      <c r="R12" s="83" t="n">
        <v>0</v>
      </c>
      <c r="S12" s="69">
        <f>IF(B12="","",SUMIFS('Payments'!$N$6:$N$205,'Payments'!$B$6:$B$205,B12))</f>
        <v/>
      </c>
      <c r="T12" s="84">
        <f>IF(OR(B12="",K12=0),"",S12/K12)</f>
        <v/>
      </c>
      <c r="U12" s="72">
        <f>IF(V12="","",IF(V12=2,"⚠️ Paying ahead of work","✓ OK"))</f>
        <v/>
      </c>
      <c r="V12" s="63">
        <f>IF(T12="","",IF(T12-R12&gt;OverpayTol,2,0))</f>
        <v/>
      </c>
      <c r="W12" s="85">
        <f>IF(V12=2,AsOf,"")</f>
        <v/>
      </c>
      <c r="X12" s="63">
        <f>IF(W12="","",1)</f>
        <v/>
      </c>
      <c r="Y12" s="63">
        <f>IF(X12="","","Paying ahead of work: "&amp;B12&amp;" — paid "&amp;ROUND(T12*100,0)&amp;"%, work done "&amp;ROUND(R12*100,0)&amp;"%")</f>
        <v/>
      </c>
    </row>
    <row r="13" ht="20" customHeight="1">
      <c r="B13" s="65" t="inlineStr">
        <is>
          <t>Aqua Bath Studio</t>
        </is>
      </c>
      <c r="C13" s="65" t="inlineStr">
        <is>
          <t>Bathroom fit-out</t>
        </is>
      </c>
      <c r="D13" s="65" t="inlineStr">
        <is>
          <t>Bathrooms</t>
        </is>
      </c>
      <c r="E13" s="65" t="inlineStr">
        <is>
          <t>Bathroom 1</t>
        </is>
      </c>
      <c r="F13" s="65" t="inlineStr">
        <is>
          <t>Luca Romano</t>
        </is>
      </c>
      <c r="G13" s="65" t="inlineStr">
        <is>
          <t>+31 6 8901 2345</t>
        </is>
      </c>
      <c r="H13" s="65" t="inlineStr">
        <is>
          <t>luca@aquabath.example</t>
        </is>
      </c>
      <c r="I13" s="66" t="n">
        <v>12850</v>
      </c>
      <c r="J13" s="68">
        <f>0</f>
        <v/>
      </c>
      <c r="K13" s="70">
        <f>IF(B13="","",I13+J13)</f>
        <v/>
      </c>
      <c r="L13" s="67" t="inlineStr">
        <is>
          <t>Yes</t>
        </is>
      </c>
      <c r="M13" s="81" t="n">
        <v>46205</v>
      </c>
      <c r="N13" s="81" t="n">
        <v>46229</v>
      </c>
      <c r="O13" s="67" t="inlineStr">
        <is>
          <t>Yes</t>
        </is>
      </c>
      <c r="P13" s="67" t="inlineStr">
        <is>
          <t>Yes</t>
        </is>
      </c>
      <c r="Q13" s="82" t="n">
        <v>5</v>
      </c>
      <c r="R13" s="83" t="n">
        <v>0</v>
      </c>
      <c r="S13" s="69">
        <f>IF(B13="","",SUMIFS('Payments'!$N$6:$N$205,'Payments'!$B$6:$B$205,B13))</f>
        <v/>
      </c>
      <c r="T13" s="84">
        <f>IF(OR(B13="",K13=0),"",S13/K13)</f>
        <v/>
      </c>
      <c r="U13" s="72">
        <f>IF(V13="","",IF(V13=2,"⚠️ Paying ahead of work","✓ OK"))</f>
        <v/>
      </c>
      <c r="V13" s="63">
        <f>IF(T13="","",IF(T13-R13&gt;OverpayTol,2,0))</f>
        <v/>
      </c>
      <c r="W13" s="85">
        <f>IF(V13=2,AsOf,"")</f>
        <v/>
      </c>
      <c r="X13" s="63">
        <f>IF(W13="","",1)</f>
        <v/>
      </c>
      <c r="Y13" s="63">
        <f>IF(X13="","","Paying ahead of work: "&amp;B13&amp;" — paid "&amp;ROUND(T13*100,0)&amp;"%, work done "&amp;ROUND(R13*100,0)&amp;"%")</f>
        <v/>
      </c>
    </row>
    <row r="14" ht="20" customHeight="1">
      <c r="B14" s="65" t="inlineStr">
        <is>
          <t>GreenPlan Architects</t>
        </is>
      </c>
      <c r="C14" s="65" t="inlineStr">
        <is>
          <t>Architect &amp; permits</t>
        </is>
      </c>
      <c r="D14" s="65" t="inlineStr">
        <is>
          <t>Professional fees</t>
        </is>
      </c>
      <c r="E14" s="65" t="inlineStr">
        <is>
          <t>Whole house</t>
        </is>
      </c>
      <c r="F14" s="65" t="inlineStr">
        <is>
          <t>Nina Visser</t>
        </is>
      </c>
      <c r="G14" s="65" t="inlineStr">
        <is>
          <t>+31 6 9012 3456</t>
        </is>
      </c>
      <c r="H14" s="65" t="inlineStr">
        <is>
          <t>nina@greenplan.example</t>
        </is>
      </c>
      <c r="I14" s="66" t="n">
        <v>4800</v>
      </c>
      <c r="J14" s="68">
        <f>0</f>
        <v/>
      </c>
      <c r="K14" s="70">
        <f>IF(B14="","",I14+J14)</f>
        <v/>
      </c>
      <c r="L14" s="67" t="inlineStr">
        <is>
          <t>Yes</t>
        </is>
      </c>
      <c r="M14" s="81" t="n">
        <v>46083</v>
      </c>
      <c r="N14" s="81" t="n">
        <v>46248</v>
      </c>
      <c r="O14" s="67" t="inlineStr">
        <is>
          <t>Yes</t>
        </is>
      </c>
      <c r="P14" s="67" t="inlineStr">
        <is>
          <t>Yes</t>
        </is>
      </c>
      <c r="Q14" s="82" t="n">
        <v>0</v>
      </c>
      <c r="R14" s="83" t="n">
        <v>0.75</v>
      </c>
      <c r="S14" s="69">
        <f>IF(B14="","",SUMIFS('Payments'!$N$6:$N$205,'Payments'!$B$6:$B$205,B14))</f>
        <v/>
      </c>
      <c r="T14" s="84">
        <f>IF(OR(B14="",K14=0),"",S14/K14)</f>
        <v/>
      </c>
      <c r="U14" s="72">
        <f>IF(V14="","",IF(V14=2,"⚠️ Paying ahead of work","✓ OK"))</f>
        <v/>
      </c>
      <c r="V14" s="63">
        <f>IF(T14="","",IF(T14-R14&gt;OverpayTol,2,0))</f>
        <v/>
      </c>
      <c r="W14" s="85">
        <f>IF(V14=2,AsOf,"")</f>
        <v/>
      </c>
      <c r="X14" s="63">
        <f>IF(W14="","",1)</f>
        <v/>
      </c>
      <c r="Y14" s="63">
        <f>IF(X14="","","Paying ahead of work: "&amp;B14&amp;" — paid "&amp;ROUND(T14*100,0)&amp;"%, work done "&amp;ROUND(R14*100,0)&amp;"%")</f>
        <v/>
      </c>
    </row>
    <row r="15" ht="20" customHeight="1">
      <c r="B15" s="65" t="inlineStr">
        <is>
          <t>Finish Line Painters</t>
        </is>
      </c>
      <c r="C15" s="65" t="inlineStr">
        <is>
          <t>Painting &amp; decorating</t>
        </is>
      </c>
      <c r="D15" s="65" t="inlineStr">
        <is>
          <t>Painting</t>
        </is>
      </c>
      <c r="E15" s="65" t="inlineStr">
        <is>
          <t>Whole house</t>
        </is>
      </c>
      <c r="F15" s="65" t="inlineStr">
        <is>
          <t>Johan Bakker</t>
        </is>
      </c>
      <c r="G15" s="65" t="inlineStr">
        <is>
          <t>+31 6 0123 4567</t>
        </is>
      </c>
      <c r="H15" s="65" t="inlineStr">
        <is>
          <t>johan@finishline.example</t>
        </is>
      </c>
      <c r="I15" s="66" t="n">
        <v>4700</v>
      </c>
      <c r="J15" s="68">
        <f>0</f>
        <v/>
      </c>
      <c r="K15" s="70">
        <f>IF(B15="","",I15+J15)</f>
        <v/>
      </c>
      <c r="L15" s="67" t="inlineStr">
        <is>
          <t>No</t>
        </is>
      </c>
      <c r="M15" s="81" t="n"/>
      <c r="N15" s="81" t="n"/>
      <c r="O15" s="67" t="inlineStr">
        <is>
          <t>Yes</t>
        </is>
      </c>
      <c r="P15" s="67" t="inlineStr">
        <is>
          <t>Yes</t>
        </is>
      </c>
      <c r="Q15" s="82" t="n">
        <v>2</v>
      </c>
      <c r="R15" s="83" t="n">
        <v>0</v>
      </c>
      <c r="S15" s="69">
        <f>IF(B15="","",SUMIFS('Payments'!$N$6:$N$205,'Payments'!$B$6:$B$205,B15))</f>
        <v/>
      </c>
      <c r="T15" s="84">
        <f>IF(OR(B15="",K15=0),"",S15/K15)</f>
        <v/>
      </c>
      <c r="U15" s="72">
        <f>IF(V15="","",IF(V15=2,"⚠️ Paying ahead of work","✓ OK"))</f>
        <v/>
      </c>
      <c r="V15" s="63">
        <f>IF(T15="","",IF(T15-R15&gt;OverpayTol,2,0))</f>
        <v/>
      </c>
      <c r="W15" s="85">
        <f>IF(V15=2,AsOf,"")</f>
        <v/>
      </c>
      <c r="X15" s="63">
        <f>IF(W15="","",1)</f>
        <v/>
      </c>
      <c r="Y15" s="63">
        <f>IF(X15="","","Paying ahead of work: "&amp;B15&amp;" — paid "&amp;ROUND(T15*100,0)&amp;"%, work done "&amp;ROUND(R15*100,0)&amp;"%")</f>
        <v/>
      </c>
    </row>
    <row r="16" ht="20" customHeight="1">
      <c r="B16" s="65" t="inlineStr">
        <is>
          <t>Oak &amp; Plank Flooring</t>
        </is>
      </c>
      <c r="C16" s="65" t="inlineStr">
        <is>
          <t>Flooring</t>
        </is>
      </c>
      <c r="D16" s="65" t="inlineStr">
        <is>
          <t>Flooring</t>
        </is>
      </c>
      <c r="E16" s="65" t="inlineStr">
        <is>
          <t>Whole house</t>
        </is>
      </c>
      <c r="F16" s="65" t="inlineStr">
        <is>
          <t>Mila Peters</t>
        </is>
      </c>
      <c r="G16" s="65" t="inlineStr">
        <is>
          <t>+31 6 1122 3344</t>
        </is>
      </c>
      <c r="H16" s="65" t="inlineStr">
        <is>
          <t>mila@oakplank.example</t>
        </is>
      </c>
      <c r="I16" s="66" t="n"/>
      <c r="J16" s="68">
        <f>0</f>
        <v/>
      </c>
      <c r="K16" s="70">
        <f>IF(B16="","",I16+J16)</f>
        <v/>
      </c>
      <c r="L16" s="67" t="inlineStr">
        <is>
          <t>No</t>
        </is>
      </c>
      <c r="M16" s="81" t="n"/>
      <c r="N16" s="81" t="n"/>
      <c r="O16" s="67" t="inlineStr">
        <is>
          <t>Yes</t>
        </is>
      </c>
      <c r="P16" s="67" t="inlineStr">
        <is>
          <t>Yes</t>
        </is>
      </c>
      <c r="Q16" s="82" t="n">
        <v>10</v>
      </c>
      <c r="R16" s="83" t="n"/>
      <c r="S16" s="69">
        <f>IF(B16="","",SUMIFS('Payments'!$N$6:$N$205,'Payments'!$B$6:$B$205,B16))</f>
        <v/>
      </c>
      <c r="T16" s="84">
        <f>IF(OR(B16="",K16=0),"",S16/K16)</f>
        <v/>
      </c>
      <c r="U16" s="72">
        <f>IF(V16="","",IF(V16=2,"⚠️ Paying ahead of work","✓ OK"))</f>
        <v/>
      </c>
      <c r="V16" s="63">
        <f>IF(T16="","",IF(T16-R16&gt;OverpayTol,2,0))</f>
        <v/>
      </c>
      <c r="W16" s="85">
        <f>IF(V16=2,AsOf,"")</f>
        <v/>
      </c>
      <c r="X16" s="63">
        <f>IF(W16="","",1)</f>
        <v/>
      </c>
      <c r="Y16" s="63">
        <f>IF(X16="","","Paying ahead of work: "&amp;B16&amp;" — paid "&amp;ROUND(T16*100,0)&amp;"%, work done "&amp;ROUND(R16*100,0)&amp;"%")</f>
        <v/>
      </c>
    </row>
    <row r="17" ht="20" customHeight="1">
      <c r="B17" s="65" t="inlineStr">
        <is>
          <t>StoneWorks</t>
        </is>
      </c>
      <c r="C17" s="65" t="inlineStr">
        <is>
          <t>Quartz worktop (supply)</t>
        </is>
      </c>
      <c r="D17" s="65" t="inlineStr">
        <is>
          <t>Kitchen</t>
        </is>
      </c>
      <c r="E17" s="65" t="inlineStr">
        <is>
          <t>Kitchen</t>
        </is>
      </c>
      <c r="F17" s="65" t="inlineStr">
        <is>
          <t>Order desk</t>
        </is>
      </c>
      <c r="G17" s="65" t="inlineStr">
        <is>
          <t>+31 20 555 0101</t>
        </is>
      </c>
      <c r="H17" s="65" t="inlineStr">
        <is>
          <t>orders@stoneworks.example</t>
        </is>
      </c>
      <c r="I17" s="66" t="n">
        <v>2450</v>
      </c>
      <c r="J17" s="68">
        <f>0</f>
        <v/>
      </c>
      <c r="K17" s="70">
        <f>IF(B17="","",I17+J17)</f>
        <v/>
      </c>
      <c r="L17" s="67" t="inlineStr">
        <is>
          <t>Yes</t>
        </is>
      </c>
      <c r="M17" s="81" t="n">
        <v>46174</v>
      </c>
      <c r="N17" s="81" t="n">
        <v>46199</v>
      </c>
      <c r="O17" s="67" t="inlineStr">
        <is>
          <t>Yes</t>
        </is>
      </c>
      <c r="P17" s="67" t="inlineStr">
        <is>
          <t>Yes</t>
        </is>
      </c>
      <c r="Q17" s="82" t="n">
        <v>10</v>
      </c>
      <c r="R17" s="83" t="n">
        <v>0</v>
      </c>
      <c r="S17" s="69">
        <f>IF(B17="","",SUMIFS('Payments'!$N$6:$N$205,'Payments'!$B$6:$B$205,B17))</f>
        <v/>
      </c>
      <c r="T17" s="84">
        <f>IF(OR(B17="",K17=0),"",S17/K17)</f>
        <v/>
      </c>
      <c r="U17" s="72">
        <f>IF(V17="","",IF(V17=2,"⚠️ Paying ahead of work","✓ OK"))</f>
        <v/>
      </c>
      <c r="V17" s="63">
        <f>IF(T17="","",IF(T17-R17&gt;OverpayTol,2,0))</f>
        <v/>
      </c>
      <c r="W17" s="85">
        <f>IF(V17=2,AsOf,"")</f>
        <v/>
      </c>
      <c r="X17" s="63">
        <f>IF(W17="","",1)</f>
        <v/>
      </c>
      <c r="Y17" s="63">
        <f>IF(X17="","","Paying ahead of work: "&amp;B17&amp;" — paid "&amp;ROUND(T17*100,0)&amp;"%, work done "&amp;ROUND(R17*100,0)&amp;"%")</f>
        <v/>
      </c>
    </row>
    <row r="18" ht="20" customHeight="1">
      <c r="B18" s="65" t="inlineStr">
        <is>
          <t>ApplianceHub</t>
        </is>
      </c>
      <c r="C18" s="65" t="inlineStr">
        <is>
          <t>Kitchen appliances (supply)</t>
        </is>
      </c>
      <c r="D18" s="65" t="inlineStr">
        <is>
          <t>Appliances</t>
        </is>
      </c>
      <c r="E18" s="65" t="inlineStr">
        <is>
          <t>Kitchen</t>
        </is>
      </c>
      <c r="F18" s="65" t="inlineStr">
        <is>
          <t>Web shop</t>
        </is>
      </c>
      <c r="G18" s="65" t="inlineStr">
        <is>
          <t>+31 20 555 0102</t>
        </is>
      </c>
      <c r="H18" s="65" t="inlineStr">
        <is>
          <t>service@appliancehub.example</t>
        </is>
      </c>
      <c r="I18" s="66" t="n">
        <v>3230</v>
      </c>
      <c r="J18" s="68">
        <f>0</f>
        <v/>
      </c>
      <c r="K18" s="70">
        <f>IF(B18="","",I18+J18)</f>
        <v/>
      </c>
      <c r="L18" s="67" t="inlineStr">
        <is>
          <t>Yes</t>
        </is>
      </c>
      <c r="M18" s="81" t="n">
        <v>46167</v>
      </c>
      <c r="N18" s="81" t="n">
        <v>46211</v>
      </c>
      <c r="O18" s="67" t="inlineStr">
        <is>
          <t>Yes</t>
        </is>
      </c>
      <c r="P18" s="67" t="inlineStr">
        <is>
          <t>Yes</t>
        </is>
      </c>
      <c r="Q18" s="82" t="n">
        <v>2</v>
      </c>
      <c r="R18" s="83" t="n">
        <v>0.4</v>
      </c>
      <c r="S18" s="69">
        <f>IF(B18="","",SUMIFS('Payments'!$N$6:$N$205,'Payments'!$B$6:$B$205,B18))</f>
        <v/>
      </c>
      <c r="T18" s="84">
        <f>IF(OR(B18="",K18=0),"",S18/K18)</f>
        <v/>
      </c>
      <c r="U18" s="72">
        <f>IF(V18="","",IF(V18=2,"⚠️ Paying ahead of work","✓ OK"))</f>
        <v/>
      </c>
      <c r="V18" s="63">
        <f>IF(T18="","",IF(T18-R18&gt;OverpayTol,2,0))</f>
        <v/>
      </c>
      <c r="W18" s="85">
        <f>IF(V18=2,AsOf,"")</f>
        <v/>
      </c>
      <c r="X18" s="63">
        <f>IF(W18="","",1)</f>
        <v/>
      </c>
      <c r="Y18" s="63">
        <f>IF(X18="","","Paying ahead of work: "&amp;B18&amp;" — paid "&amp;ROUND(T18*100,0)&amp;"%, work done "&amp;ROUND(R18*100,0)&amp;"%")</f>
        <v/>
      </c>
    </row>
    <row r="19" ht="20" customHeight="1">
      <c r="B19" s="65" t="inlineStr">
        <is>
          <t>BathWorld</t>
        </is>
      </c>
      <c r="C19" s="65" t="inlineStr">
        <is>
          <t>Vanity + shower enclosure (supply)</t>
        </is>
      </c>
      <c r="D19" s="65" t="inlineStr">
        <is>
          <t>Bathrooms</t>
        </is>
      </c>
      <c r="E19" s="65" t="inlineStr">
        <is>
          <t>Bathroom 1</t>
        </is>
      </c>
      <c r="F19" s="65" t="inlineStr">
        <is>
          <t>Showroom</t>
        </is>
      </c>
      <c r="G19" s="65" t="inlineStr">
        <is>
          <t>+31 20 555 0103</t>
        </is>
      </c>
      <c r="H19" s="65" t="inlineStr">
        <is>
          <t>sales@bathworld.example</t>
        </is>
      </c>
      <c r="I19" s="66" t="n">
        <v>2040</v>
      </c>
      <c r="J19" s="68">
        <f>0</f>
        <v/>
      </c>
      <c r="K19" s="70">
        <f>IF(B19="","",I19+J19)</f>
        <v/>
      </c>
      <c r="L19" s="67" t="inlineStr">
        <is>
          <t>Yes</t>
        </is>
      </c>
      <c r="M19" s="81" t="n">
        <v>46162</v>
      </c>
      <c r="N19" s="81" t="n">
        <v>46203</v>
      </c>
      <c r="O19" s="67" t="inlineStr">
        <is>
          <t>Yes</t>
        </is>
      </c>
      <c r="P19" s="67" t="inlineStr">
        <is>
          <t>Yes</t>
        </is>
      </c>
      <c r="Q19" s="82" t="n">
        <v>5</v>
      </c>
      <c r="R19" s="83" t="n">
        <v>0.55</v>
      </c>
      <c r="S19" s="69">
        <f>IF(B19="","",SUMIFS('Payments'!$N$6:$N$205,'Payments'!$B$6:$B$205,B19))</f>
        <v/>
      </c>
      <c r="T19" s="84">
        <f>IF(OR(B19="",K19=0),"",S19/K19)</f>
        <v/>
      </c>
      <c r="U19" s="72">
        <f>IF(V19="","",IF(V19=2,"⚠️ Paying ahead of work","✓ OK"))</f>
        <v/>
      </c>
      <c r="V19" s="63">
        <f>IF(T19="","",IF(T19-R19&gt;OverpayTol,2,0))</f>
        <v/>
      </c>
      <c r="W19" s="85">
        <f>IF(V19=2,AsOf,"")</f>
        <v/>
      </c>
      <c r="X19" s="63">
        <f>IF(W19="","",1)</f>
        <v/>
      </c>
      <c r="Y19" s="63">
        <f>IF(X19="","","Paying ahead of work: "&amp;B19&amp;" — paid "&amp;ROUND(T19*100,0)&amp;"%, work done "&amp;ROUND(R19*100,0)&amp;"%")</f>
        <v/>
      </c>
    </row>
    <row r="20" ht="20" customHeight="1">
      <c r="B20" s="65" t="n"/>
      <c r="C20" s="65" t="n"/>
      <c r="D20" s="65" t="n"/>
      <c r="E20" s="65" t="n"/>
      <c r="F20" s="65" t="n"/>
      <c r="G20" s="65" t="n"/>
      <c r="H20" s="65" t="n"/>
      <c r="I20" s="66" t="n"/>
      <c r="J20" s="68">
        <f>0</f>
        <v/>
      </c>
      <c r="K20" s="70">
        <f>IF(B20="","",I20+J20)</f>
        <v/>
      </c>
      <c r="L20" s="67" t="n"/>
      <c r="M20" s="81" t="n"/>
      <c r="N20" s="81" t="n"/>
      <c r="O20" s="67" t="n"/>
      <c r="P20" s="67" t="n"/>
      <c r="Q20" s="82" t="n"/>
      <c r="R20" s="83" t="n"/>
      <c r="S20" s="69">
        <f>IF(B20="","",SUMIFS('Payments'!$N$6:$N$205,'Payments'!$B$6:$B$205,B20))</f>
        <v/>
      </c>
      <c r="T20" s="84">
        <f>IF(OR(B20="",K20=0),"",S20/K20)</f>
        <v/>
      </c>
      <c r="U20" s="72">
        <f>IF(V20="","",IF(V20=2,"⚠️ Paying ahead of work","✓ OK"))</f>
        <v/>
      </c>
      <c r="V20" s="63">
        <f>IF(T20="","",IF(T20-R20&gt;OverpayTol,2,0))</f>
        <v/>
      </c>
      <c r="W20" s="85">
        <f>IF(V20=2,AsOf,"")</f>
        <v/>
      </c>
      <c r="X20" s="63">
        <f>IF(W20="","",1)</f>
        <v/>
      </c>
      <c r="Y20" s="63">
        <f>IF(X20="","","Paying ahead of work: "&amp;B20&amp;" — paid "&amp;ROUND(T20*100,0)&amp;"%, work done "&amp;ROUND(R20*100,0)&amp;"%")</f>
        <v/>
      </c>
    </row>
    <row r="21" ht="20" customHeight="1">
      <c r="B21" s="65" t="n"/>
      <c r="C21" s="65" t="n"/>
      <c r="D21" s="65" t="n"/>
      <c r="E21" s="65" t="n"/>
      <c r="F21" s="65" t="n"/>
      <c r="G21" s="65" t="n"/>
      <c r="H21" s="65" t="n"/>
      <c r="I21" s="66" t="n"/>
      <c r="J21" s="68">
        <f>0</f>
        <v/>
      </c>
      <c r="K21" s="70">
        <f>IF(B21="","",I21+J21)</f>
        <v/>
      </c>
      <c r="L21" s="67" t="n"/>
      <c r="M21" s="81" t="n"/>
      <c r="N21" s="81" t="n"/>
      <c r="O21" s="67" t="n"/>
      <c r="P21" s="67" t="n"/>
      <c r="Q21" s="82" t="n"/>
      <c r="R21" s="83" t="n"/>
      <c r="S21" s="69">
        <f>IF(B21="","",SUMIFS('Payments'!$N$6:$N$205,'Payments'!$B$6:$B$205,B21))</f>
        <v/>
      </c>
      <c r="T21" s="84">
        <f>IF(OR(B21="",K21=0),"",S21/K21)</f>
        <v/>
      </c>
      <c r="U21" s="72">
        <f>IF(V21="","",IF(V21=2,"⚠️ Paying ahead of work","✓ OK"))</f>
        <v/>
      </c>
      <c r="V21" s="63">
        <f>IF(T21="","",IF(T21-R21&gt;OverpayTol,2,0))</f>
        <v/>
      </c>
      <c r="W21" s="85">
        <f>IF(V21=2,AsOf,"")</f>
        <v/>
      </c>
      <c r="X21" s="63">
        <f>IF(W21="","",1)</f>
        <v/>
      </c>
      <c r="Y21" s="63">
        <f>IF(X21="","","Paying ahead of work: "&amp;B21&amp;" — paid "&amp;ROUND(T21*100,0)&amp;"%, work done "&amp;ROUND(R21*100,0)&amp;"%")</f>
        <v/>
      </c>
    </row>
    <row r="22" ht="20" customHeight="1">
      <c r="B22" s="65" t="n"/>
      <c r="C22" s="65" t="n"/>
      <c r="D22" s="65" t="n"/>
      <c r="E22" s="65" t="n"/>
      <c r="F22" s="65" t="n"/>
      <c r="G22" s="65" t="n"/>
      <c r="H22" s="65" t="n"/>
      <c r="I22" s="66" t="n"/>
      <c r="J22" s="68">
        <f>0</f>
        <v/>
      </c>
      <c r="K22" s="70">
        <f>IF(B22="","",I22+J22)</f>
        <v/>
      </c>
      <c r="L22" s="67" t="n"/>
      <c r="M22" s="81" t="n"/>
      <c r="N22" s="81" t="n"/>
      <c r="O22" s="67" t="n"/>
      <c r="P22" s="67" t="n"/>
      <c r="Q22" s="82" t="n"/>
      <c r="R22" s="83" t="n"/>
      <c r="S22" s="69">
        <f>IF(B22="","",SUMIFS('Payments'!$N$6:$N$205,'Payments'!$B$6:$B$205,B22))</f>
        <v/>
      </c>
      <c r="T22" s="84">
        <f>IF(OR(B22="",K22=0),"",S22/K22)</f>
        <v/>
      </c>
      <c r="U22" s="72">
        <f>IF(V22="","",IF(V22=2,"⚠️ Paying ahead of work","✓ OK"))</f>
        <v/>
      </c>
      <c r="V22" s="63">
        <f>IF(T22="","",IF(T22-R22&gt;OverpayTol,2,0))</f>
        <v/>
      </c>
      <c r="W22" s="85">
        <f>IF(V22=2,AsOf,"")</f>
        <v/>
      </c>
      <c r="X22" s="63">
        <f>IF(W22="","",1)</f>
        <v/>
      </c>
      <c r="Y22" s="63">
        <f>IF(X22="","","Paying ahead of work: "&amp;B22&amp;" — paid "&amp;ROUND(T22*100,0)&amp;"%, work done "&amp;ROUND(R22*100,0)&amp;"%")</f>
        <v/>
      </c>
    </row>
    <row r="23" ht="20" customHeight="1">
      <c r="B23" s="65" t="n"/>
      <c r="C23" s="65" t="n"/>
      <c r="D23" s="65" t="n"/>
      <c r="E23" s="65" t="n"/>
      <c r="F23" s="65" t="n"/>
      <c r="G23" s="65" t="n"/>
      <c r="H23" s="65" t="n"/>
      <c r="I23" s="66" t="n"/>
      <c r="J23" s="68">
        <f>0</f>
        <v/>
      </c>
      <c r="K23" s="70">
        <f>IF(B23="","",I23+J23)</f>
        <v/>
      </c>
      <c r="L23" s="67" t="n"/>
      <c r="M23" s="81" t="n"/>
      <c r="N23" s="81" t="n"/>
      <c r="O23" s="67" t="n"/>
      <c r="P23" s="67" t="n"/>
      <c r="Q23" s="82" t="n"/>
      <c r="R23" s="83" t="n"/>
      <c r="S23" s="69">
        <f>IF(B23="","",SUMIFS('Payments'!$N$6:$N$205,'Payments'!$B$6:$B$205,B23))</f>
        <v/>
      </c>
      <c r="T23" s="84">
        <f>IF(OR(B23="",K23=0),"",S23/K23)</f>
        <v/>
      </c>
      <c r="U23" s="72">
        <f>IF(V23="","",IF(V23=2,"⚠️ Paying ahead of work","✓ OK"))</f>
        <v/>
      </c>
      <c r="V23" s="63">
        <f>IF(T23="","",IF(T23-R23&gt;OverpayTol,2,0))</f>
        <v/>
      </c>
      <c r="W23" s="85">
        <f>IF(V23=2,AsOf,"")</f>
        <v/>
      </c>
      <c r="X23" s="63">
        <f>IF(W23="","",1)</f>
        <v/>
      </c>
      <c r="Y23" s="63">
        <f>IF(X23="","","Paying ahead of work: "&amp;B23&amp;" — paid "&amp;ROUND(T23*100,0)&amp;"%, work done "&amp;ROUND(R23*100,0)&amp;"%")</f>
        <v/>
      </c>
    </row>
    <row r="24" ht="20" customHeight="1">
      <c r="B24" s="65" t="n"/>
      <c r="C24" s="65" t="n"/>
      <c r="D24" s="65" t="n"/>
      <c r="E24" s="65" t="n"/>
      <c r="F24" s="65" t="n"/>
      <c r="G24" s="65" t="n"/>
      <c r="H24" s="65" t="n"/>
      <c r="I24" s="66" t="n"/>
      <c r="J24" s="68">
        <f>0</f>
        <v/>
      </c>
      <c r="K24" s="70">
        <f>IF(B24="","",I24+J24)</f>
        <v/>
      </c>
      <c r="L24" s="67" t="n"/>
      <c r="M24" s="81" t="n"/>
      <c r="N24" s="81" t="n"/>
      <c r="O24" s="67" t="n"/>
      <c r="P24" s="67" t="n"/>
      <c r="Q24" s="82" t="n"/>
      <c r="R24" s="83" t="n"/>
      <c r="S24" s="69">
        <f>IF(B24="","",SUMIFS('Payments'!$N$6:$N$205,'Payments'!$B$6:$B$205,B24))</f>
        <v/>
      </c>
      <c r="T24" s="84">
        <f>IF(OR(B24="",K24=0),"",S24/K24)</f>
        <v/>
      </c>
      <c r="U24" s="72">
        <f>IF(V24="","",IF(V24=2,"⚠️ Paying ahead of work","✓ OK"))</f>
        <v/>
      </c>
      <c r="V24" s="63">
        <f>IF(T24="","",IF(T24-R24&gt;OverpayTol,2,0))</f>
        <v/>
      </c>
      <c r="W24" s="85">
        <f>IF(V24=2,AsOf,"")</f>
        <v/>
      </c>
      <c r="X24" s="63">
        <f>IF(W24="","",1)</f>
        <v/>
      </c>
      <c r="Y24" s="63">
        <f>IF(X24="","","Paying ahead of work: "&amp;B24&amp;" — paid "&amp;ROUND(T24*100,0)&amp;"%, work done "&amp;ROUND(R24*100,0)&amp;"%")</f>
        <v/>
      </c>
    </row>
    <row r="25" ht="20" customHeight="1">
      <c r="B25" s="65" t="n"/>
      <c r="C25" s="65" t="n"/>
      <c r="D25" s="65" t="n"/>
      <c r="E25" s="65" t="n"/>
      <c r="F25" s="65" t="n"/>
      <c r="G25" s="65" t="n"/>
      <c r="H25" s="65" t="n"/>
      <c r="I25" s="66" t="n"/>
      <c r="J25" s="68">
        <f>0</f>
        <v/>
      </c>
      <c r="K25" s="70">
        <f>IF(B25="","",I25+J25)</f>
        <v/>
      </c>
      <c r="L25" s="67" t="n"/>
      <c r="M25" s="81" t="n"/>
      <c r="N25" s="81" t="n"/>
      <c r="O25" s="67" t="n"/>
      <c r="P25" s="67" t="n"/>
      <c r="Q25" s="82" t="n"/>
      <c r="R25" s="83" t="n"/>
      <c r="S25" s="69">
        <f>IF(B25="","",SUMIFS('Payments'!$N$6:$N$205,'Payments'!$B$6:$B$205,B25))</f>
        <v/>
      </c>
      <c r="T25" s="84">
        <f>IF(OR(B25="",K25=0),"",S25/K25)</f>
        <v/>
      </c>
      <c r="U25" s="72">
        <f>IF(V25="","",IF(V25=2,"⚠️ Paying ahead of work","✓ OK"))</f>
        <v/>
      </c>
      <c r="V25" s="63">
        <f>IF(T25="","",IF(T25-R25&gt;OverpayTol,2,0))</f>
        <v/>
      </c>
      <c r="W25" s="85">
        <f>IF(V25=2,AsOf,"")</f>
        <v/>
      </c>
      <c r="X25" s="63">
        <f>IF(W25="","",1)</f>
        <v/>
      </c>
      <c r="Y25" s="63">
        <f>IF(X25="","","Paying ahead of work: "&amp;B25&amp;" — paid "&amp;ROUND(T25*100,0)&amp;"%, work done "&amp;ROUND(R25*100,0)&amp;"%")</f>
        <v/>
      </c>
    </row>
    <row r="26" ht="20" customHeight="1">
      <c r="B26" s="65" t="n"/>
      <c r="C26" s="65" t="n"/>
      <c r="D26" s="65" t="n"/>
      <c r="E26" s="65" t="n"/>
      <c r="F26" s="65" t="n"/>
      <c r="G26" s="65" t="n"/>
      <c r="H26" s="65" t="n"/>
      <c r="I26" s="66" t="n"/>
      <c r="J26" s="68">
        <f>0</f>
        <v/>
      </c>
      <c r="K26" s="70">
        <f>IF(B26="","",I26+J26)</f>
        <v/>
      </c>
      <c r="L26" s="67" t="n"/>
      <c r="M26" s="81" t="n"/>
      <c r="N26" s="81" t="n"/>
      <c r="O26" s="67" t="n"/>
      <c r="P26" s="67" t="n"/>
      <c r="Q26" s="82" t="n"/>
      <c r="R26" s="83" t="n"/>
      <c r="S26" s="69">
        <f>IF(B26="","",SUMIFS('Payments'!$N$6:$N$205,'Payments'!$B$6:$B$205,B26))</f>
        <v/>
      </c>
      <c r="T26" s="84">
        <f>IF(OR(B26="",K26=0),"",S26/K26)</f>
        <v/>
      </c>
      <c r="U26" s="72">
        <f>IF(V26="","",IF(V26=2,"⚠️ Paying ahead of work","✓ OK"))</f>
        <v/>
      </c>
      <c r="V26" s="63">
        <f>IF(T26="","",IF(T26-R26&gt;OverpayTol,2,0))</f>
        <v/>
      </c>
      <c r="W26" s="85">
        <f>IF(V26=2,AsOf,"")</f>
        <v/>
      </c>
      <c r="X26" s="63">
        <f>IF(W26="","",1)</f>
        <v/>
      </c>
      <c r="Y26" s="63">
        <f>IF(X26="","","Paying ahead of work: "&amp;B26&amp;" — paid "&amp;ROUND(T26*100,0)&amp;"%, work done "&amp;ROUND(R26*100,0)&amp;"%")</f>
        <v/>
      </c>
    </row>
    <row r="27" ht="20" customHeight="1">
      <c r="B27" s="65" t="n"/>
      <c r="C27" s="65" t="n"/>
      <c r="D27" s="65" t="n"/>
      <c r="E27" s="65" t="n"/>
      <c r="F27" s="65" t="n"/>
      <c r="G27" s="65" t="n"/>
      <c r="H27" s="65" t="n"/>
      <c r="I27" s="66" t="n"/>
      <c r="J27" s="68">
        <f>0</f>
        <v/>
      </c>
      <c r="K27" s="70">
        <f>IF(B27="","",I27+J27)</f>
        <v/>
      </c>
      <c r="L27" s="67" t="n"/>
      <c r="M27" s="81" t="n"/>
      <c r="N27" s="81" t="n"/>
      <c r="O27" s="67" t="n"/>
      <c r="P27" s="67" t="n"/>
      <c r="Q27" s="82" t="n"/>
      <c r="R27" s="83" t="n"/>
      <c r="S27" s="69">
        <f>IF(B27="","",SUMIFS('Payments'!$N$6:$N$205,'Payments'!$B$6:$B$205,B27))</f>
        <v/>
      </c>
      <c r="T27" s="84">
        <f>IF(OR(B27="",K27=0),"",S27/K27)</f>
        <v/>
      </c>
      <c r="U27" s="72">
        <f>IF(V27="","",IF(V27=2,"⚠️ Paying ahead of work","✓ OK"))</f>
        <v/>
      </c>
      <c r="V27" s="63">
        <f>IF(T27="","",IF(T27-R27&gt;OverpayTol,2,0))</f>
        <v/>
      </c>
      <c r="W27" s="85">
        <f>IF(V27=2,AsOf,"")</f>
        <v/>
      </c>
      <c r="X27" s="63">
        <f>IF(W27="","",1)</f>
        <v/>
      </c>
      <c r="Y27" s="63">
        <f>IF(X27="","","Paying ahead of work: "&amp;B27&amp;" — paid "&amp;ROUND(T27*100,0)&amp;"%, work done "&amp;ROUND(R27*100,0)&amp;"%")</f>
        <v/>
      </c>
    </row>
    <row r="28" ht="20" customHeight="1">
      <c r="B28" s="65" t="n"/>
      <c r="C28" s="65" t="n"/>
      <c r="D28" s="65" t="n"/>
      <c r="E28" s="65" t="n"/>
      <c r="F28" s="65" t="n"/>
      <c r="G28" s="65" t="n"/>
      <c r="H28" s="65" t="n"/>
      <c r="I28" s="66" t="n"/>
      <c r="J28" s="68">
        <f>0</f>
        <v/>
      </c>
      <c r="K28" s="70">
        <f>IF(B28="","",I28+J28)</f>
        <v/>
      </c>
      <c r="L28" s="67" t="n"/>
      <c r="M28" s="81" t="n"/>
      <c r="N28" s="81" t="n"/>
      <c r="O28" s="67" t="n"/>
      <c r="P28" s="67" t="n"/>
      <c r="Q28" s="82" t="n"/>
      <c r="R28" s="83" t="n"/>
      <c r="S28" s="69">
        <f>IF(B28="","",SUMIFS('Payments'!$N$6:$N$205,'Payments'!$B$6:$B$205,B28))</f>
        <v/>
      </c>
      <c r="T28" s="84">
        <f>IF(OR(B28="",K28=0),"",S28/K28)</f>
        <v/>
      </c>
      <c r="U28" s="72">
        <f>IF(V28="","",IF(V28=2,"⚠️ Paying ahead of work","✓ OK"))</f>
        <v/>
      </c>
      <c r="V28" s="63">
        <f>IF(T28="","",IF(T28-R28&gt;OverpayTol,2,0))</f>
        <v/>
      </c>
      <c r="W28" s="85">
        <f>IF(V28=2,AsOf,"")</f>
        <v/>
      </c>
      <c r="X28" s="63">
        <f>IF(W28="","",1)</f>
        <v/>
      </c>
      <c r="Y28" s="63">
        <f>IF(X28="","","Paying ahead of work: "&amp;B28&amp;" — paid "&amp;ROUND(T28*100,0)&amp;"%, work done "&amp;ROUND(R28*100,0)&amp;"%")</f>
        <v/>
      </c>
    </row>
    <row r="29" ht="20" customHeight="1">
      <c r="B29" s="65" t="n"/>
      <c r="C29" s="65" t="n"/>
      <c r="D29" s="65" t="n"/>
      <c r="E29" s="65" t="n"/>
      <c r="F29" s="65" t="n"/>
      <c r="G29" s="65" t="n"/>
      <c r="H29" s="65" t="n"/>
      <c r="I29" s="66" t="n"/>
      <c r="J29" s="68">
        <f>0</f>
        <v/>
      </c>
      <c r="K29" s="70">
        <f>IF(B29="","",I29+J29)</f>
        <v/>
      </c>
      <c r="L29" s="67" t="n"/>
      <c r="M29" s="81" t="n"/>
      <c r="N29" s="81" t="n"/>
      <c r="O29" s="67" t="n"/>
      <c r="P29" s="67" t="n"/>
      <c r="Q29" s="82" t="n"/>
      <c r="R29" s="83" t="n"/>
      <c r="S29" s="69">
        <f>IF(B29="","",SUMIFS('Payments'!$N$6:$N$205,'Payments'!$B$6:$B$205,B29))</f>
        <v/>
      </c>
      <c r="T29" s="84">
        <f>IF(OR(B29="",K29=0),"",S29/K29)</f>
        <v/>
      </c>
      <c r="U29" s="72">
        <f>IF(V29="","",IF(V29=2,"⚠️ Paying ahead of work","✓ OK"))</f>
        <v/>
      </c>
      <c r="V29" s="63">
        <f>IF(T29="","",IF(T29-R29&gt;OverpayTol,2,0))</f>
        <v/>
      </c>
      <c r="W29" s="85">
        <f>IF(V29=2,AsOf,"")</f>
        <v/>
      </c>
      <c r="X29" s="63">
        <f>IF(W29="","",1)</f>
        <v/>
      </c>
      <c r="Y29" s="63">
        <f>IF(X29="","","Paying ahead of work: "&amp;B29&amp;" — paid "&amp;ROUND(T29*100,0)&amp;"%, work done "&amp;ROUND(R29*100,0)&amp;"%")</f>
        <v/>
      </c>
    </row>
    <row r="30" ht="20" customHeight="1">
      <c r="B30" s="65" t="n"/>
      <c r="C30" s="65" t="n"/>
      <c r="D30" s="65" t="n"/>
      <c r="E30" s="65" t="n"/>
      <c r="F30" s="65" t="n"/>
      <c r="G30" s="65" t="n"/>
      <c r="H30" s="65" t="n"/>
      <c r="I30" s="66" t="n"/>
      <c r="J30" s="68">
        <f>0</f>
        <v/>
      </c>
      <c r="K30" s="70">
        <f>IF(B30="","",I30+J30)</f>
        <v/>
      </c>
      <c r="L30" s="67" t="n"/>
      <c r="M30" s="81" t="n"/>
      <c r="N30" s="81" t="n"/>
      <c r="O30" s="67" t="n"/>
      <c r="P30" s="67" t="n"/>
      <c r="Q30" s="82" t="n"/>
      <c r="R30" s="83" t="n"/>
      <c r="S30" s="69">
        <f>IF(B30="","",SUMIFS('Payments'!$N$6:$N$205,'Payments'!$B$6:$B$205,B30))</f>
        <v/>
      </c>
      <c r="T30" s="84">
        <f>IF(OR(B30="",K30=0),"",S30/K30)</f>
        <v/>
      </c>
      <c r="U30" s="72">
        <f>IF(V30="","",IF(V30=2,"⚠️ Paying ahead of work","✓ OK"))</f>
        <v/>
      </c>
      <c r="V30" s="63">
        <f>IF(T30="","",IF(T30-R30&gt;OverpayTol,2,0))</f>
        <v/>
      </c>
      <c r="W30" s="85">
        <f>IF(V30=2,AsOf,"")</f>
        <v/>
      </c>
      <c r="X30" s="63">
        <f>IF(W30="","",1)</f>
        <v/>
      </c>
      <c r="Y30" s="63">
        <f>IF(X30="","","Paying ahead of work: "&amp;B30&amp;" — paid "&amp;ROUND(T30*100,0)&amp;"%, work done "&amp;ROUND(R30*100,0)&amp;"%")</f>
        <v/>
      </c>
    </row>
    <row r="31" ht="20" customHeight="1">
      <c r="B31" s="65" t="n"/>
      <c r="C31" s="65" t="n"/>
      <c r="D31" s="65" t="n"/>
      <c r="E31" s="65" t="n"/>
      <c r="F31" s="65" t="n"/>
      <c r="G31" s="65" t="n"/>
      <c r="H31" s="65" t="n"/>
      <c r="I31" s="66" t="n"/>
      <c r="J31" s="68">
        <f>0</f>
        <v/>
      </c>
      <c r="K31" s="70">
        <f>IF(B31="","",I31+J31)</f>
        <v/>
      </c>
      <c r="L31" s="67" t="n"/>
      <c r="M31" s="81" t="n"/>
      <c r="N31" s="81" t="n"/>
      <c r="O31" s="67" t="n"/>
      <c r="P31" s="67" t="n"/>
      <c r="Q31" s="82" t="n"/>
      <c r="R31" s="83" t="n"/>
      <c r="S31" s="69">
        <f>IF(B31="","",SUMIFS('Payments'!$N$6:$N$205,'Payments'!$B$6:$B$205,B31))</f>
        <v/>
      </c>
      <c r="T31" s="84">
        <f>IF(OR(B31="",K31=0),"",S31/K31)</f>
        <v/>
      </c>
      <c r="U31" s="72">
        <f>IF(V31="","",IF(V31=2,"⚠️ Paying ahead of work","✓ OK"))</f>
        <v/>
      </c>
      <c r="V31" s="63">
        <f>IF(T31="","",IF(T31-R31&gt;OverpayTol,2,0))</f>
        <v/>
      </c>
      <c r="W31" s="85">
        <f>IF(V31=2,AsOf,"")</f>
        <v/>
      </c>
      <c r="X31" s="63">
        <f>IF(W31="","",1)</f>
        <v/>
      </c>
      <c r="Y31" s="63">
        <f>IF(X31="","","Paying ahead of work: "&amp;B31&amp;" — paid "&amp;ROUND(T31*100,0)&amp;"%, work done "&amp;ROUND(R31*100,0)&amp;"%")</f>
        <v/>
      </c>
    </row>
    <row r="32" ht="20" customHeight="1">
      <c r="B32" s="65" t="n"/>
      <c r="C32" s="65" t="n"/>
      <c r="D32" s="65" t="n"/>
      <c r="E32" s="65" t="n"/>
      <c r="F32" s="65" t="n"/>
      <c r="G32" s="65" t="n"/>
      <c r="H32" s="65" t="n"/>
      <c r="I32" s="66" t="n"/>
      <c r="J32" s="68">
        <f>0</f>
        <v/>
      </c>
      <c r="K32" s="70">
        <f>IF(B32="","",I32+J32)</f>
        <v/>
      </c>
      <c r="L32" s="67" t="n"/>
      <c r="M32" s="81" t="n"/>
      <c r="N32" s="81" t="n"/>
      <c r="O32" s="67" t="n"/>
      <c r="P32" s="67" t="n"/>
      <c r="Q32" s="82" t="n"/>
      <c r="R32" s="83" t="n"/>
      <c r="S32" s="69">
        <f>IF(B32="","",SUMIFS('Payments'!$N$6:$N$205,'Payments'!$B$6:$B$205,B32))</f>
        <v/>
      </c>
      <c r="T32" s="84">
        <f>IF(OR(B32="",K32=0),"",S32/K32)</f>
        <v/>
      </c>
      <c r="U32" s="72">
        <f>IF(V32="","",IF(V32=2,"⚠️ Paying ahead of work","✓ OK"))</f>
        <v/>
      </c>
      <c r="V32" s="63">
        <f>IF(T32="","",IF(T32-R32&gt;OverpayTol,2,0))</f>
        <v/>
      </c>
      <c r="W32" s="85">
        <f>IF(V32=2,AsOf,"")</f>
        <v/>
      </c>
      <c r="X32" s="63">
        <f>IF(W32="","",1)</f>
        <v/>
      </c>
      <c r="Y32" s="63">
        <f>IF(X32="","","Paying ahead of work: "&amp;B32&amp;" — paid "&amp;ROUND(T32*100,0)&amp;"%, work done "&amp;ROUND(R32*100,0)&amp;"%")</f>
        <v/>
      </c>
    </row>
    <row r="33" ht="20" customHeight="1">
      <c r="B33" s="65" t="n"/>
      <c r="C33" s="65" t="n"/>
      <c r="D33" s="65" t="n"/>
      <c r="E33" s="65" t="n"/>
      <c r="F33" s="65" t="n"/>
      <c r="G33" s="65" t="n"/>
      <c r="H33" s="65" t="n"/>
      <c r="I33" s="66" t="n"/>
      <c r="J33" s="68">
        <f>0</f>
        <v/>
      </c>
      <c r="K33" s="70">
        <f>IF(B33="","",I33+J33)</f>
        <v/>
      </c>
      <c r="L33" s="67" t="n"/>
      <c r="M33" s="81" t="n"/>
      <c r="N33" s="81" t="n"/>
      <c r="O33" s="67" t="n"/>
      <c r="P33" s="67" t="n"/>
      <c r="Q33" s="82" t="n"/>
      <c r="R33" s="83" t="n"/>
      <c r="S33" s="69">
        <f>IF(B33="","",SUMIFS('Payments'!$N$6:$N$205,'Payments'!$B$6:$B$205,B33))</f>
        <v/>
      </c>
      <c r="T33" s="84">
        <f>IF(OR(B33="",K33=0),"",S33/K33)</f>
        <v/>
      </c>
      <c r="U33" s="72">
        <f>IF(V33="","",IF(V33=2,"⚠️ Paying ahead of work","✓ OK"))</f>
        <v/>
      </c>
      <c r="V33" s="63">
        <f>IF(T33="","",IF(T33-R33&gt;OverpayTol,2,0))</f>
        <v/>
      </c>
      <c r="W33" s="85">
        <f>IF(V33=2,AsOf,"")</f>
        <v/>
      </c>
      <c r="X33" s="63">
        <f>IF(W33="","",1)</f>
        <v/>
      </c>
      <c r="Y33" s="63">
        <f>IF(X33="","","Paying ahead of work: "&amp;B33&amp;" — paid "&amp;ROUND(T33*100,0)&amp;"%, work done "&amp;ROUND(R33*100,0)&amp;"%")</f>
        <v/>
      </c>
    </row>
    <row r="34" ht="20" customHeight="1">
      <c r="B34" s="65" t="n"/>
      <c r="C34" s="65" t="n"/>
      <c r="D34" s="65" t="n"/>
      <c r="E34" s="65" t="n"/>
      <c r="F34" s="65" t="n"/>
      <c r="G34" s="65" t="n"/>
      <c r="H34" s="65" t="n"/>
      <c r="I34" s="66" t="n"/>
      <c r="J34" s="68">
        <f>0</f>
        <v/>
      </c>
      <c r="K34" s="70">
        <f>IF(B34="","",I34+J34)</f>
        <v/>
      </c>
      <c r="L34" s="67" t="n"/>
      <c r="M34" s="81" t="n"/>
      <c r="N34" s="81" t="n"/>
      <c r="O34" s="67" t="n"/>
      <c r="P34" s="67" t="n"/>
      <c r="Q34" s="82" t="n"/>
      <c r="R34" s="83" t="n"/>
      <c r="S34" s="69">
        <f>IF(B34="","",SUMIFS('Payments'!$N$6:$N$205,'Payments'!$B$6:$B$205,B34))</f>
        <v/>
      </c>
      <c r="T34" s="84">
        <f>IF(OR(B34="",K34=0),"",S34/K34)</f>
        <v/>
      </c>
      <c r="U34" s="72">
        <f>IF(V34="","",IF(V34=2,"⚠️ Paying ahead of work","✓ OK"))</f>
        <v/>
      </c>
      <c r="V34" s="63">
        <f>IF(T34="","",IF(T34-R34&gt;OverpayTol,2,0))</f>
        <v/>
      </c>
      <c r="W34" s="85">
        <f>IF(V34=2,AsOf,"")</f>
        <v/>
      </c>
      <c r="X34" s="63">
        <f>IF(W34="","",1)</f>
        <v/>
      </c>
      <c r="Y34" s="63">
        <f>IF(X34="","","Paying ahead of work: "&amp;B34&amp;" — paid "&amp;ROUND(T34*100,0)&amp;"%, work done "&amp;ROUND(R34*100,0)&amp;"%")</f>
        <v/>
      </c>
    </row>
    <row r="35" ht="20" customHeight="1">
      <c r="B35" s="65" t="n"/>
      <c r="C35" s="65" t="n"/>
      <c r="D35" s="65" t="n"/>
      <c r="E35" s="65" t="n"/>
      <c r="F35" s="65" t="n"/>
      <c r="G35" s="65" t="n"/>
      <c r="H35" s="65" t="n"/>
      <c r="I35" s="66" t="n"/>
      <c r="J35" s="68">
        <f>0</f>
        <v/>
      </c>
      <c r="K35" s="70">
        <f>IF(B35="","",I35+J35)</f>
        <v/>
      </c>
      <c r="L35" s="67" t="n"/>
      <c r="M35" s="81" t="n"/>
      <c r="N35" s="81" t="n"/>
      <c r="O35" s="67" t="n"/>
      <c r="P35" s="67" t="n"/>
      <c r="Q35" s="82" t="n"/>
      <c r="R35" s="83" t="n"/>
      <c r="S35" s="69">
        <f>IF(B35="","",SUMIFS('Payments'!$N$6:$N$205,'Payments'!$B$6:$B$205,B35))</f>
        <v/>
      </c>
      <c r="T35" s="84">
        <f>IF(OR(B35="",K35=0),"",S35/K35)</f>
        <v/>
      </c>
      <c r="U35" s="72">
        <f>IF(V35="","",IF(V35=2,"⚠️ Paying ahead of work","✓ OK"))</f>
        <v/>
      </c>
      <c r="V35" s="63">
        <f>IF(T35="","",IF(T35-R35&gt;OverpayTol,2,0))</f>
        <v/>
      </c>
      <c r="W35" s="85">
        <f>IF(V35=2,AsOf,"")</f>
        <v/>
      </c>
      <c r="X35" s="63">
        <f>IF(W35="","",1)</f>
        <v/>
      </c>
      <c r="Y35" s="63">
        <f>IF(X35="","","Paying ahead of work: "&amp;B35&amp;" — paid "&amp;ROUND(T35*100,0)&amp;"%, work done "&amp;ROUND(R35*100,0)&amp;"%")</f>
        <v/>
      </c>
    </row>
    <row r="36"/>
    <row r="37"/>
    <row r="38">
      <c r="B38" s="4" t="inlineStr">
        <is>
          <t>COMMUNICATION LOG — every call, email and site conversation. Follow-ups turn into alerts.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/>
    <row r="40" ht="32" customHeight="1">
      <c r="B40" s="53" t="inlineStr">
        <is>
          <t>Contractor</t>
        </is>
      </c>
      <c r="C40" s="53" t="inlineStr">
        <is>
          <t>Date</t>
        </is>
      </c>
      <c r="D40" s="53" t="inlineStr">
        <is>
          <t>What was said / agreed</t>
        </is>
      </c>
      <c r="E40" s="86" t="n"/>
      <c r="F40" s="86" t="n"/>
      <c r="G40" s="86" t="n"/>
      <c r="H40" s="87" t="n"/>
      <c r="I40" s="53" t="inlineStr">
        <is>
          <t>Follow-up needed?</t>
        </is>
      </c>
      <c r="J40" s="53" t="inlineStr">
        <is>
          <t>Follow-up date</t>
        </is>
      </c>
      <c r="K40" s="53" t="inlineStr">
        <is>
          <t>Follow-up done?</t>
        </is>
      </c>
      <c r="W40" s="64" t="inlineStr">
        <is>
          <t>due</t>
        </is>
      </c>
      <c r="X40" s="64" t="inlineStr">
        <is>
          <t>pri</t>
        </is>
      </c>
      <c r="Y40" s="64" t="inlineStr">
        <is>
          <t>text</t>
        </is>
      </c>
    </row>
    <row r="41" ht="20" customHeight="1">
      <c r="B41" s="65" t="inlineStr">
        <is>
          <t>Bright Spark Electric</t>
        </is>
      </c>
      <c r="C41" s="81" t="n">
        <v>46175</v>
      </c>
      <c r="D41" s="88" t="inlineStr">
        <is>
          <t>Asked for revised schedule after 1-week slip — no reply yet</t>
        </is>
      </c>
      <c r="E41" s="89" t="n"/>
      <c r="F41" s="89" t="n"/>
      <c r="G41" s="89" t="n"/>
      <c r="H41" s="90" t="n"/>
      <c r="I41" s="67" t="inlineStr">
        <is>
          <t>Yes</t>
        </is>
      </c>
      <c r="J41" s="81" t="n">
        <v>46183</v>
      </c>
      <c r="K41" s="67" t="inlineStr">
        <is>
          <t>No</t>
        </is>
      </c>
      <c r="W41" s="85">
        <f>IF(AND(B41&lt;&gt;"",I41="Yes",K41&lt;&gt;"Yes",J41&lt;&gt;""),J41,"")</f>
        <v/>
      </c>
      <c r="X41" s="63">
        <f>IF(W41="","",IF(W41&lt;AsOf,1,IF(W41&lt;=AsOf+AlertDays,2,IF(W41&lt;=AsOf+2*AlertDays,3,""))))</f>
        <v/>
      </c>
      <c r="Y41" s="63">
        <f>IF(X41="","","Follow up with "&amp;B41&amp;": "&amp;D41)</f>
        <v/>
      </c>
    </row>
    <row r="42" ht="20" customHeight="1">
      <c r="B42" s="65" t="inlineStr">
        <is>
          <t>Oak &amp; Plank Flooring</t>
        </is>
      </c>
      <c r="C42" s="81" t="n">
        <v>46185</v>
      </c>
      <c r="D42" s="88" t="inlineStr">
        <is>
          <t>Quote received; asked them to include skirting boards</t>
        </is>
      </c>
      <c r="E42" s="89" t="n"/>
      <c r="F42" s="89" t="n"/>
      <c r="G42" s="89" t="n"/>
      <c r="H42" s="90" t="n"/>
      <c r="I42" s="67" t="inlineStr">
        <is>
          <t>Yes</t>
        </is>
      </c>
      <c r="J42" s="81" t="n">
        <v>46191</v>
      </c>
      <c r="K42" s="67" t="inlineStr">
        <is>
          <t>No</t>
        </is>
      </c>
      <c r="W42" s="85">
        <f>IF(AND(B42&lt;&gt;"",I42="Yes",K42&lt;&gt;"Yes",J42&lt;&gt;""),J42,"")</f>
        <v/>
      </c>
      <c r="X42" s="63">
        <f>IF(W42="","",IF(W42&lt;AsOf,1,IF(W42&lt;=AsOf+AlertDays,2,IF(W42&lt;=AsOf+2*AlertDays,3,""))))</f>
        <v/>
      </c>
      <c r="Y42" s="63">
        <f>IF(X42="","","Follow up with "&amp;B42&amp;": "&amp;D42)</f>
        <v/>
      </c>
    </row>
    <row r="43" ht="20" customHeight="1">
      <c r="B43" s="65" t="inlineStr">
        <is>
          <t>Nordic Kitchens</t>
        </is>
      </c>
      <c r="C43" s="81" t="n">
        <v>46170</v>
      </c>
      <c r="D43" s="88" t="inlineStr">
        <is>
          <t>Confirmed install start 2 July, delivery 1 July</t>
        </is>
      </c>
      <c r="E43" s="89" t="n"/>
      <c r="F43" s="89" t="n"/>
      <c r="G43" s="89" t="n"/>
      <c r="H43" s="90" t="n"/>
      <c r="I43" s="67" t="inlineStr">
        <is>
          <t>No</t>
        </is>
      </c>
      <c r="J43" s="81" t="n"/>
      <c r="K43" s="67" t="n"/>
      <c r="W43" s="85">
        <f>IF(AND(B43&lt;&gt;"",I43="Yes",K43&lt;&gt;"Yes",J43&lt;&gt;""),J43,"")</f>
        <v/>
      </c>
      <c r="X43" s="63">
        <f>IF(W43="","",IF(W43&lt;AsOf,1,IF(W43&lt;=AsOf+AlertDays,2,IF(W43&lt;=AsOf+2*AlertDays,3,""))))</f>
        <v/>
      </c>
      <c r="Y43" s="63">
        <f>IF(X43="","","Follow up with "&amp;B43&amp;": "&amp;D43)</f>
        <v/>
      </c>
    </row>
    <row r="44" ht="20" customHeight="1">
      <c r="B44" s="65" t="inlineStr">
        <is>
          <t>FlowRight Plumbing</t>
        </is>
      </c>
      <c r="C44" s="81" t="n">
        <v>46182</v>
      </c>
      <c r="D44" s="88" t="inlineStr">
        <is>
          <t>Pipe re-routing caused delay; rough-in now late</t>
        </is>
      </c>
      <c r="E44" s="89" t="n"/>
      <c r="F44" s="89" t="n"/>
      <c r="G44" s="89" t="n"/>
      <c r="H44" s="90" t="n"/>
      <c r="I44" s="67" t="inlineStr">
        <is>
          <t>Yes</t>
        </is>
      </c>
      <c r="J44" s="81" t="n">
        <v>46174</v>
      </c>
      <c r="K44" s="67" t="inlineStr">
        <is>
          <t>Yes</t>
        </is>
      </c>
      <c r="W44" s="85">
        <f>IF(AND(B44&lt;&gt;"",I44="Yes",K44&lt;&gt;"Yes",J44&lt;&gt;""),J44,"")</f>
        <v/>
      </c>
      <c r="X44" s="63">
        <f>IF(W44="","",IF(W44&lt;AsOf,1,IF(W44&lt;=AsOf+AlertDays,2,IF(W44&lt;=AsOf+2*AlertDays,3,""))))</f>
        <v/>
      </c>
      <c r="Y44" s="63">
        <f>IF(X44="","","Follow up with "&amp;B44&amp;": "&amp;D44)</f>
        <v/>
      </c>
    </row>
    <row r="45" ht="20" customHeight="1">
      <c r="B45" s="65" t="n"/>
      <c r="C45" s="81" t="n"/>
      <c r="D45" s="88" t="n"/>
      <c r="E45" s="89" t="n"/>
      <c r="F45" s="89" t="n"/>
      <c r="G45" s="89" t="n"/>
      <c r="H45" s="90" t="n"/>
      <c r="I45" s="67" t="n"/>
      <c r="J45" s="81" t="n"/>
      <c r="K45" s="67" t="n"/>
      <c r="W45" s="85">
        <f>IF(AND(B45&lt;&gt;"",I45="Yes",K45&lt;&gt;"Yes",J45&lt;&gt;""),J45,"")</f>
        <v/>
      </c>
      <c r="X45" s="63">
        <f>IF(W45="","",IF(W45&lt;AsOf,1,IF(W45&lt;=AsOf+AlertDays,2,IF(W45&lt;=AsOf+2*AlertDays,3,""))))</f>
        <v/>
      </c>
      <c r="Y45" s="63">
        <f>IF(X45="","","Follow up with "&amp;B45&amp;": "&amp;D45)</f>
        <v/>
      </c>
    </row>
    <row r="46" ht="20" customHeight="1">
      <c r="B46" s="65" t="n"/>
      <c r="C46" s="81" t="n"/>
      <c r="D46" s="88" t="n"/>
      <c r="E46" s="89" t="n"/>
      <c r="F46" s="89" t="n"/>
      <c r="G46" s="89" t="n"/>
      <c r="H46" s="90" t="n"/>
      <c r="I46" s="67" t="n"/>
      <c r="J46" s="81" t="n"/>
      <c r="K46" s="67" t="n"/>
      <c r="W46" s="85">
        <f>IF(AND(B46&lt;&gt;"",I46="Yes",K46&lt;&gt;"Yes",J46&lt;&gt;""),J46,"")</f>
        <v/>
      </c>
      <c r="X46" s="63">
        <f>IF(W46="","",IF(W46&lt;AsOf,1,IF(W46&lt;=AsOf+AlertDays,2,IF(W46&lt;=AsOf+2*AlertDays,3,""))))</f>
        <v/>
      </c>
      <c r="Y46" s="63">
        <f>IF(X46="","","Follow up with "&amp;B46&amp;": "&amp;D46)</f>
        <v/>
      </c>
    </row>
    <row r="47" ht="20" customHeight="1">
      <c r="B47" s="65" t="n"/>
      <c r="C47" s="81" t="n"/>
      <c r="D47" s="88" t="n"/>
      <c r="E47" s="89" t="n"/>
      <c r="F47" s="89" t="n"/>
      <c r="G47" s="89" t="n"/>
      <c r="H47" s="90" t="n"/>
      <c r="I47" s="67" t="n"/>
      <c r="J47" s="81" t="n"/>
      <c r="K47" s="67" t="n"/>
      <c r="W47" s="85">
        <f>IF(AND(B47&lt;&gt;"",I47="Yes",K47&lt;&gt;"Yes",J47&lt;&gt;""),J47,"")</f>
        <v/>
      </c>
      <c r="X47" s="63">
        <f>IF(W47="","",IF(W47&lt;AsOf,1,IF(W47&lt;=AsOf+AlertDays,2,IF(W47&lt;=AsOf+2*AlertDays,3,""))))</f>
        <v/>
      </c>
      <c r="Y47" s="63">
        <f>IF(X47="","","Follow up with "&amp;B47&amp;": "&amp;D47)</f>
        <v/>
      </c>
    </row>
    <row r="48" ht="20" customHeight="1">
      <c r="B48" s="65" t="n"/>
      <c r="C48" s="81" t="n"/>
      <c r="D48" s="88" t="n"/>
      <c r="E48" s="89" t="n"/>
      <c r="F48" s="89" t="n"/>
      <c r="G48" s="89" t="n"/>
      <c r="H48" s="90" t="n"/>
      <c r="I48" s="67" t="n"/>
      <c r="J48" s="81" t="n"/>
      <c r="K48" s="67" t="n"/>
      <c r="W48" s="85">
        <f>IF(AND(B48&lt;&gt;"",I48="Yes",K48&lt;&gt;"Yes",J48&lt;&gt;""),J48,"")</f>
        <v/>
      </c>
      <c r="X48" s="63">
        <f>IF(W48="","",IF(W48&lt;AsOf,1,IF(W48&lt;=AsOf+AlertDays,2,IF(W48&lt;=AsOf+2*AlertDays,3,""))))</f>
        <v/>
      </c>
      <c r="Y48" s="63">
        <f>IF(X48="","","Follow up with "&amp;B48&amp;": "&amp;D48)</f>
        <v/>
      </c>
    </row>
    <row r="49" ht="20" customHeight="1">
      <c r="B49" s="65" t="n"/>
      <c r="C49" s="81" t="n"/>
      <c r="D49" s="88" t="n"/>
      <c r="E49" s="89" t="n"/>
      <c r="F49" s="89" t="n"/>
      <c r="G49" s="89" t="n"/>
      <c r="H49" s="90" t="n"/>
      <c r="I49" s="67" t="n"/>
      <c r="J49" s="81" t="n"/>
      <c r="K49" s="67" t="n"/>
      <c r="W49" s="85">
        <f>IF(AND(B49&lt;&gt;"",I49="Yes",K49&lt;&gt;"Yes",J49&lt;&gt;""),J49,"")</f>
        <v/>
      </c>
      <c r="X49" s="63">
        <f>IF(W49="","",IF(W49&lt;AsOf,1,IF(W49&lt;=AsOf+AlertDays,2,IF(W49&lt;=AsOf+2*AlertDays,3,""))))</f>
        <v/>
      </c>
      <c r="Y49" s="63">
        <f>IF(X49="","","Follow up with "&amp;B49&amp;": "&amp;D49)</f>
        <v/>
      </c>
    </row>
    <row r="50" ht="20" customHeight="1">
      <c r="B50" s="65" t="n"/>
      <c r="C50" s="81" t="n"/>
      <c r="D50" s="88" t="n"/>
      <c r="E50" s="89" t="n"/>
      <c r="F50" s="89" t="n"/>
      <c r="G50" s="89" t="n"/>
      <c r="H50" s="90" t="n"/>
      <c r="I50" s="67" t="n"/>
      <c r="J50" s="81" t="n"/>
      <c r="K50" s="67" t="n"/>
      <c r="W50" s="85">
        <f>IF(AND(B50&lt;&gt;"",I50="Yes",K50&lt;&gt;"Yes",J50&lt;&gt;""),J50,"")</f>
        <v/>
      </c>
      <c r="X50" s="63">
        <f>IF(W50="","",IF(W50&lt;AsOf,1,IF(W50&lt;=AsOf+AlertDays,2,IF(W50&lt;=AsOf+2*AlertDays,3,""))))</f>
        <v/>
      </c>
      <c r="Y50" s="63">
        <f>IF(X50="","","Follow up with "&amp;B50&amp;": "&amp;D50)</f>
        <v/>
      </c>
    </row>
    <row r="51" ht="20" customHeight="1">
      <c r="B51" s="65" t="n"/>
      <c r="C51" s="81" t="n"/>
      <c r="D51" s="88" t="n"/>
      <c r="E51" s="89" t="n"/>
      <c r="F51" s="89" t="n"/>
      <c r="G51" s="89" t="n"/>
      <c r="H51" s="90" t="n"/>
      <c r="I51" s="67" t="n"/>
      <c r="J51" s="81" t="n"/>
      <c r="K51" s="67" t="n"/>
      <c r="W51" s="85">
        <f>IF(AND(B51&lt;&gt;"",I51="Yes",K51&lt;&gt;"Yes",J51&lt;&gt;""),J51,"")</f>
        <v/>
      </c>
      <c r="X51" s="63">
        <f>IF(W51="","",IF(W51&lt;AsOf,1,IF(W51&lt;=AsOf+AlertDays,2,IF(W51&lt;=AsOf+2*AlertDays,3,""))))</f>
        <v/>
      </c>
      <c r="Y51" s="63">
        <f>IF(X51="","","Follow up with "&amp;B51&amp;": "&amp;D51)</f>
        <v/>
      </c>
    </row>
    <row r="52" ht="20" customHeight="1">
      <c r="B52" s="65" t="n"/>
      <c r="C52" s="81" t="n"/>
      <c r="D52" s="88" t="n"/>
      <c r="E52" s="89" t="n"/>
      <c r="F52" s="89" t="n"/>
      <c r="G52" s="89" t="n"/>
      <c r="H52" s="90" t="n"/>
      <c r="I52" s="67" t="n"/>
      <c r="J52" s="81" t="n"/>
      <c r="K52" s="67" t="n"/>
      <c r="W52" s="85">
        <f>IF(AND(B52&lt;&gt;"",I52="Yes",K52&lt;&gt;"Yes",J52&lt;&gt;""),J52,"")</f>
        <v/>
      </c>
      <c r="X52" s="63">
        <f>IF(W52="","",IF(W52&lt;AsOf,1,IF(W52&lt;=AsOf+AlertDays,2,IF(W52&lt;=AsOf+2*AlertDays,3,""))))</f>
        <v/>
      </c>
      <c r="Y52" s="63">
        <f>IF(X52="","","Follow up with "&amp;B52&amp;": "&amp;D52)</f>
        <v/>
      </c>
    </row>
    <row r="53" ht="20" customHeight="1">
      <c r="B53" s="65" t="n"/>
      <c r="C53" s="81" t="n"/>
      <c r="D53" s="88" t="n"/>
      <c r="E53" s="89" t="n"/>
      <c r="F53" s="89" t="n"/>
      <c r="G53" s="89" t="n"/>
      <c r="H53" s="90" t="n"/>
      <c r="I53" s="67" t="n"/>
      <c r="J53" s="81" t="n"/>
      <c r="K53" s="67" t="n"/>
      <c r="W53" s="85">
        <f>IF(AND(B53&lt;&gt;"",I53="Yes",K53&lt;&gt;"Yes",J53&lt;&gt;""),J53,"")</f>
        <v/>
      </c>
      <c r="X53" s="63">
        <f>IF(W53="","",IF(W53&lt;AsOf,1,IF(W53&lt;=AsOf+AlertDays,2,IF(W53&lt;=AsOf+2*AlertDays,3,""))))</f>
        <v/>
      </c>
      <c r="Y53" s="63">
        <f>IF(X53="","","Follow up with "&amp;B53&amp;": "&amp;D53)</f>
        <v/>
      </c>
    </row>
    <row r="54" ht="20" customHeight="1">
      <c r="B54" s="65" t="n"/>
      <c r="C54" s="81" t="n"/>
      <c r="D54" s="88" t="n"/>
      <c r="E54" s="89" t="n"/>
      <c r="F54" s="89" t="n"/>
      <c r="G54" s="89" t="n"/>
      <c r="H54" s="90" t="n"/>
      <c r="I54" s="67" t="n"/>
      <c r="J54" s="81" t="n"/>
      <c r="K54" s="67" t="n"/>
      <c r="W54" s="85">
        <f>IF(AND(B54&lt;&gt;"",I54="Yes",K54&lt;&gt;"Yes",J54&lt;&gt;""),J54,"")</f>
        <v/>
      </c>
      <c r="X54" s="63">
        <f>IF(W54="","",IF(W54&lt;AsOf,1,IF(W54&lt;=AsOf+AlertDays,2,IF(W54&lt;=AsOf+2*AlertDays,3,""))))</f>
        <v/>
      </c>
      <c r="Y54" s="63">
        <f>IF(X54="","","Follow up with "&amp;B54&amp;": "&amp;D54)</f>
        <v/>
      </c>
    </row>
    <row r="55" ht="20" customHeight="1">
      <c r="B55" s="65" t="n"/>
      <c r="C55" s="81" t="n"/>
      <c r="D55" s="88" t="n"/>
      <c r="E55" s="89" t="n"/>
      <c r="F55" s="89" t="n"/>
      <c r="G55" s="89" t="n"/>
      <c r="H55" s="90" t="n"/>
      <c r="I55" s="67" t="n"/>
      <c r="J55" s="81" t="n"/>
      <c r="K55" s="67" t="n"/>
      <c r="W55" s="85">
        <f>IF(AND(B55&lt;&gt;"",I55="Yes",K55&lt;&gt;"Yes",J55&lt;&gt;""),J55,"")</f>
        <v/>
      </c>
      <c r="X55" s="63">
        <f>IF(W55="","",IF(W55&lt;AsOf,1,IF(W55&lt;=AsOf+AlertDays,2,IF(W55&lt;=AsOf+2*AlertDays,3,""))))</f>
        <v/>
      </c>
      <c r="Y55" s="63">
        <f>IF(X55="","","Follow up with "&amp;B55&amp;": "&amp;D55)</f>
        <v/>
      </c>
    </row>
    <row r="56" ht="20" customHeight="1">
      <c r="B56" s="65" t="n"/>
      <c r="C56" s="81" t="n"/>
      <c r="D56" s="88" t="n"/>
      <c r="E56" s="89" t="n"/>
      <c r="F56" s="89" t="n"/>
      <c r="G56" s="89" t="n"/>
      <c r="H56" s="90" t="n"/>
      <c r="I56" s="67" t="n"/>
      <c r="J56" s="81" t="n"/>
      <c r="K56" s="67" t="n"/>
      <c r="W56" s="85">
        <f>IF(AND(B56&lt;&gt;"",I56="Yes",K56&lt;&gt;"Yes",J56&lt;&gt;""),J56,"")</f>
        <v/>
      </c>
      <c r="X56" s="63">
        <f>IF(W56="","",IF(W56&lt;AsOf,1,IF(W56&lt;=AsOf+AlertDays,2,IF(W56&lt;=AsOf+2*AlertDays,3,""))))</f>
        <v/>
      </c>
      <c r="Y56" s="63">
        <f>IF(X56="","","Follow up with "&amp;B56&amp;": "&amp;D56)</f>
        <v/>
      </c>
    </row>
    <row r="57" ht="20" customHeight="1">
      <c r="B57" s="65" t="n"/>
      <c r="C57" s="81" t="n"/>
      <c r="D57" s="88" t="n"/>
      <c r="E57" s="89" t="n"/>
      <c r="F57" s="89" t="n"/>
      <c r="G57" s="89" t="n"/>
      <c r="H57" s="90" t="n"/>
      <c r="I57" s="67" t="n"/>
      <c r="J57" s="81" t="n"/>
      <c r="K57" s="67" t="n"/>
      <c r="W57" s="85">
        <f>IF(AND(B57&lt;&gt;"",I57="Yes",K57&lt;&gt;"Yes",J57&lt;&gt;""),J57,"")</f>
        <v/>
      </c>
      <c r="X57" s="63">
        <f>IF(W57="","",IF(W57&lt;AsOf,1,IF(W57&lt;=AsOf+AlertDays,2,IF(W57&lt;=AsOf+2*AlertDays,3,""))))</f>
        <v/>
      </c>
      <c r="Y57" s="63">
        <f>IF(X57="","","Follow up with "&amp;B57&amp;": "&amp;D57)</f>
        <v/>
      </c>
    </row>
    <row r="58" ht="20" customHeight="1">
      <c r="B58" s="65" t="n"/>
      <c r="C58" s="81" t="n"/>
      <c r="D58" s="88" t="n"/>
      <c r="E58" s="89" t="n"/>
      <c r="F58" s="89" t="n"/>
      <c r="G58" s="89" t="n"/>
      <c r="H58" s="90" t="n"/>
      <c r="I58" s="67" t="n"/>
      <c r="J58" s="81" t="n"/>
      <c r="K58" s="67" t="n"/>
      <c r="W58" s="85">
        <f>IF(AND(B58&lt;&gt;"",I58="Yes",K58&lt;&gt;"Yes",J58&lt;&gt;""),J58,"")</f>
        <v/>
      </c>
      <c r="X58" s="63">
        <f>IF(W58="","",IF(W58&lt;AsOf,1,IF(W58&lt;=AsOf+AlertDays,2,IF(W58&lt;=AsOf+2*AlertDays,3,""))))</f>
        <v/>
      </c>
      <c r="Y58" s="63">
        <f>IF(X58="","","Follow up with "&amp;B58&amp;": "&amp;D58)</f>
        <v/>
      </c>
    </row>
    <row r="59" ht="20" customHeight="1">
      <c r="B59" s="65" t="n"/>
      <c r="C59" s="81" t="n"/>
      <c r="D59" s="88" t="n"/>
      <c r="E59" s="89" t="n"/>
      <c r="F59" s="89" t="n"/>
      <c r="G59" s="89" t="n"/>
      <c r="H59" s="90" t="n"/>
      <c r="I59" s="67" t="n"/>
      <c r="J59" s="81" t="n"/>
      <c r="K59" s="67" t="n"/>
      <c r="W59" s="85">
        <f>IF(AND(B59&lt;&gt;"",I59="Yes",K59&lt;&gt;"Yes",J59&lt;&gt;""),J59,"")</f>
        <v/>
      </c>
      <c r="X59" s="63">
        <f>IF(W59="","",IF(W59&lt;AsOf,1,IF(W59&lt;=AsOf+AlertDays,2,IF(W59&lt;=AsOf+2*AlertDays,3,""))))</f>
        <v/>
      </c>
      <c r="Y59" s="63">
        <f>IF(X59="","","Follow up with "&amp;B59&amp;": "&amp;D59)</f>
        <v/>
      </c>
    </row>
    <row r="60" ht="20" customHeight="1">
      <c r="B60" s="65" t="n"/>
      <c r="C60" s="81" t="n"/>
      <c r="D60" s="88" t="n"/>
      <c r="E60" s="89" t="n"/>
      <c r="F60" s="89" t="n"/>
      <c r="G60" s="89" t="n"/>
      <c r="H60" s="90" t="n"/>
      <c r="I60" s="67" t="n"/>
      <c r="J60" s="81" t="n"/>
      <c r="K60" s="67" t="n"/>
      <c r="W60" s="85">
        <f>IF(AND(B60&lt;&gt;"",I60="Yes",K60&lt;&gt;"Yes",J60&lt;&gt;""),J60,"")</f>
        <v/>
      </c>
      <c r="X60" s="63">
        <f>IF(W60="","",IF(W60&lt;AsOf,1,IF(W60&lt;=AsOf+AlertDays,2,IF(W60&lt;=AsOf+2*AlertDays,3,""))))</f>
        <v/>
      </c>
      <c r="Y60" s="63">
        <f>IF(X60="","","Follow up with "&amp;B60&amp;": "&amp;D60)</f>
        <v/>
      </c>
    </row>
    <row r="61" ht="20" customHeight="1">
      <c r="B61" s="65" t="n"/>
      <c r="C61" s="81" t="n"/>
      <c r="D61" s="88" t="n"/>
      <c r="E61" s="89" t="n"/>
      <c r="F61" s="89" t="n"/>
      <c r="G61" s="89" t="n"/>
      <c r="H61" s="90" t="n"/>
      <c r="I61" s="67" t="n"/>
      <c r="J61" s="81" t="n"/>
      <c r="K61" s="67" t="n"/>
      <c r="W61" s="85">
        <f>IF(AND(B61&lt;&gt;"",I61="Yes",K61&lt;&gt;"Yes",J61&lt;&gt;""),J61,"")</f>
        <v/>
      </c>
      <c r="X61" s="63">
        <f>IF(W61="","",IF(W61&lt;AsOf,1,IF(W61&lt;=AsOf+AlertDays,2,IF(W61&lt;=AsOf+2*AlertDays,3,""))))</f>
        <v/>
      </c>
      <c r="Y61" s="63">
        <f>IF(X61="","","Follow up with "&amp;B61&amp;": "&amp;D61)</f>
        <v/>
      </c>
    </row>
    <row r="62" ht="20" customHeight="1">
      <c r="B62" s="65" t="n"/>
      <c r="C62" s="81" t="n"/>
      <c r="D62" s="88" t="n"/>
      <c r="E62" s="89" t="n"/>
      <c r="F62" s="89" t="n"/>
      <c r="G62" s="89" t="n"/>
      <c r="H62" s="90" t="n"/>
      <c r="I62" s="67" t="n"/>
      <c r="J62" s="81" t="n"/>
      <c r="K62" s="67" t="n"/>
      <c r="W62" s="85">
        <f>IF(AND(B62&lt;&gt;"",I62="Yes",K62&lt;&gt;"Yes",J62&lt;&gt;""),J62,"")</f>
        <v/>
      </c>
      <c r="X62" s="63">
        <f>IF(W62="","",IF(W62&lt;AsOf,1,IF(W62&lt;=AsOf+AlertDays,2,IF(W62&lt;=AsOf+2*AlertDays,3,""))))</f>
        <v/>
      </c>
      <c r="Y62" s="63">
        <f>IF(X62="","","Follow up with "&amp;B62&amp;": "&amp;D62)</f>
        <v/>
      </c>
    </row>
    <row r="63" ht="20" customHeight="1">
      <c r="B63" s="65" t="n"/>
      <c r="C63" s="81" t="n"/>
      <c r="D63" s="88" t="n"/>
      <c r="E63" s="89" t="n"/>
      <c r="F63" s="89" t="n"/>
      <c r="G63" s="89" t="n"/>
      <c r="H63" s="90" t="n"/>
      <c r="I63" s="67" t="n"/>
      <c r="J63" s="81" t="n"/>
      <c r="K63" s="67" t="n"/>
      <c r="W63" s="85">
        <f>IF(AND(B63&lt;&gt;"",I63="Yes",K63&lt;&gt;"Yes",J63&lt;&gt;""),J63,"")</f>
        <v/>
      </c>
      <c r="X63" s="63">
        <f>IF(W63="","",IF(W63&lt;AsOf,1,IF(W63&lt;=AsOf+AlertDays,2,IF(W63&lt;=AsOf+2*AlertDays,3,""))))</f>
        <v/>
      </c>
      <c r="Y63" s="63">
        <f>IF(X63="","","Follow up with "&amp;B63&amp;": "&amp;D63)</f>
        <v/>
      </c>
    </row>
    <row r="64" ht="20" customHeight="1">
      <c r="B64" s="65" t="n"/>
      <c r="C64" s="81" t="n"/>
      <c r="D64" s="88" t="n"/>
      <c r="E64" s="89" t="n"/>
      <c r="F64" s="89" t="n"/>
      <c r="G64" s="89" t="n"/>
      <c r="H64" s="90" t="n"/>
      <c r="I64" s="67" t="n"/>
      <c r="J64" s="81" t="n"/>
      <c r="K64" s="67" t="n"/>
      <c r="W64" s="85">
        <f>IF(AND(B64&lt;&gt;"",I64="Yes",K64&lt;&gt;"Yes",J64&lt;&gt;""),J64,"")</f>
        <v/>
      </c>
      <c r="X64" s="63">
        <f>IF(W64="","",IF(W64&lt;AsOf,1,IF(W64&lt;=AsOf+AlertDays,2,IF(W64&lt;=AsOf+2*AlertDays,3,""))))</f>
        <v/>
      </c>
      <c r="Y64" s="63">
        <f>IF(X64="","","Follow up with "&amp;B64&amp;": "&amp;D64)</f>
        <v/>
      </c>
    </row>
    <row r="65" ht="20" customHeight="1">
      <c r="B65" s="65" t="n"/>
      <c r="C65" s="81" t="n"/>
      <c r="D65" s="88" t="n"/>
      <c r="E65" s="89" t="n"/>
      <c r="F65" s="89" t="n"/>
      <c r="G65" s="89" t="n"/>
      <c r="H65" s="90" t="n"/>
      <c r="I65" s="67" t="n"/>
      <c r="J65" s="81" t="n"/>
      <c r="K65" s="67" t="n"/>
      <c r="W65" s="85">
        <f>IF(AND(B65&lt;&gt;"",I65="Yes",K65&lt;&gt;"Yes",J65&lt;&gt;""),J65,"")</f>
        <v/>
      </c>
      <c r="X65" s="63">
        <f>IF(W65="","",IF(W65&lt;AsOf,1,IF(W65&lt;=AsOf+AlertDays,2,IF(W65&lt;=AsOf+2*AlertDays,3,""))))</f>
        <v/>
      </c>
      <c r="Y65" s="63">
        <f>IF(X65="","","Follow up with "&amp;B65&amp;": "&amp;D65)</f>
        <v/>
      </c>
    </row>
    <row r="66" ht="20" customHeight="1">
      <c r="B66" s="65" t="n"/>
      <c r="C66" s="81" t="n"/>
      <c r="D66" s="88" t="n"/>
      <c r="E66" s="89" t="n"/>
      <c r="F66" s="89" t="n"/>
      <c r="G66" s="89" t="n"/>
      <c r="H66" s="90" t="n"/>
      <c r="I66" s="67" t="n"/>
      <c r="J66" s="81" t="n"/>
      <c r="K66" s="67" t="n"/>
      <c r="W66" s="85">
        <f>IF(AND(B66&lt;&gt;"",I66="Yes",K66&lt;&gt;"Yes",J66&lt;&gt;""),J66,"")</f>
        <v/>
      </c>
      <c r="X66" s="63">
        <f>IF(W66="","",IF(W66&lt;AsOf,1,IF(W66&lt;=AsOf+AlertDays,2,IF(W66&lt;=AsOf+2*AlertDays,3,""))))</f>
        <v/>
      </c>
      <c r="Y66" s="63">
        <f>IF(X66="","","Follow up with "&amp;B66&amp;": "&amp;D66)</f>
        <v/>
      </c>
    </row>
    <row r="67" ht="20" customHeight="1">
      <c r="B67" s="65" t="n"/>
      <c r="C67" s="81" t="n"/>
      <c r="D67" s="88" t="n"/>
      <c r="E67" s="89" t="n"/>
      <c r="F67" s="89" t="n"/>
      <c r="G67" s="89" t="n"/>
      <c r="H67" s="90" t="n"/>
      <c r="I67" s="67" t="n"/>
      <c r="J67" s="81" t="n"/>
      <c r="K67" s="67" t="n"/>
      <c r="W67" s="85">
        <f>IF(AND(B67&lt;&gt;"",I67="Yes",K67&lt;&gt;"Yes",J67&lt;&gt;""),J67,"")</f>
        <v/>
      </c>
      <c r="X67" s="63">
        <f>IF(W67="","",IF(W67&lt;AsOf,1,IF(W67&lt;=AsOf+AlertDays,2,IF(W67&lt;=AsOf+2*AlertDays,3,""))))</f>
        <v/>
      </c>
      <c r="Y67" s="63">
        <f>IF(X67="","","Follow up with "&amp;B67&amp;": "&amp;D67)</f>
        <v/>
      </c>
    </row>
    <row r="68" ht="20" customHeight="1">
      <c r="B68" s="65" t="n"/>
      <c r="C68" s="81" t="n"/>
      <c r="D68" s="88" t="n"/>
      <c r="E68" s="89" t="n"/>
      <c r="F68" s="89" t="n"/>
      <c r="G68" s="89" t="n"/>
      <c r="H68" s="90" t="n"/>
      <c r="I68" s="67" t="n"/>
      <c r="J68" s="81" t="n"/>
      <c r="K68" s="67" t="n"/>
      <c r="W68" s="85">
        <f>IF(AND(B68&lt;&gt;"",I68="Yes",K68&lt;&gt;"Yes",J68&lt;&gt;""),J68,"")</f>
        <v/>
      </c>
      <c r="X68" s="63">
        <f>IF(W68="","",IF(W68&lt;AsOf,1,IF(W68&lt;=AsOf+AlertDays,2,IF(W68&lt;=AsOf+2*AlertDays,3,""))))</f>
        <v/>
      </c>
      <c r="Y68" s="63">
        <f>IF(X68="","","Follow up with "&amp;B68&amp;": "&amp;D68)</f>
        <v/>
      </c>
    </row>
    <row r="69" ht="20" customHeight="1">
      <c r="B69" s="65" t="n"/>
      <c r="C69" s="81" t="n"/>
      <c r="D69" s="88" t="n"/>
      <c r="E69" s="89" t="n"/>
      <c r="F69" s="89" t="n"/>
      <c r="G69" s="89" t="n"/>
      <c r="H69" s="90" t="n"/>
      <c r="I69" s="67" t="n"/>
      <c r="J69" s="81" t="n"/>
      <c r="K69" s="67" t="n"/>
      <c r="W69" s="85">
        <f>IF(AND(B69&lt;&gt;"",I69="Yes",K69&lt;&gt;"Yes",J69&lt;&gt;""),J69,"")</f>
        <v/>
      </c>
      <c r="X69" s="63">
        <f>IF(W69="","",IF(W69&lt;AsOf,1,IF(W69&lt;=AsOf+AlertDays,2,IF(W69&lt;=AsOf+2*AlertDays,3,""))))</f>
        <v/>
      </c>
      <c r="Y69" s="63">
        <f>IF(X69="","","Follow up with "&amp;B69&amp;": "&amp;D69)</f>
        <v/>
      </c>
    </row>
    <row r="70" ht="20" customHeight="1">
      <c r="B70" s="65" t="n"/>
      <c r="C70" s="81" t="n"/>
      <c r="D70" s="88" t="n"/>
      <c r="E70" s="89" t="n"/>
      <c r="F70" s="89" t="n"/>
      <c r="G70" s="89" t="n"/>
      <c r="H70" s="90" t="n"/>
      <c r="I70" s="67" t="n"/>
      <c r="J70" s="81" t="n"/>
      <c r="K70" s="67" t="n"/>
      <c r="W70" s="85">
        <f>IF(AND(B70&lt;&gt;"",I70="Yes",K70&lt;&gt;"Yes",J70&lt;&gt;""),J70,"")</f>
        <v/>
      </c>
      <c r="X70" s="63">
        <f>IF(W70="","",IF(W70&lt;AsOf,1,IF(W70&lt;=AsOf+AlertDays,2,IF(W70&lt;=AsOf+2*AlertDays,3,""))))</f>
        <v/>
      </c>
      <c r="Y70" s="63">
        <f>IF(X70="","","Follow up with "&amp;B70&amp;": "&amp;D70)</f>
        <v/>
      </c>
    </row>
    <row r="71" ht="20" customHeight="1">
      <c r="B71" s="65" t="n"/>
      <c r="C71" s="81" t="n"/>
      <c r="D71" s="88" t="n"/>
      <c r="E71" s="89" t="n"/>
      <c r="F71" s="89" t="n"/>
      <c r="G71" s="89" t="n"/>
      <c r="H71" s="90" t="n"/>
      <c r="I71" s="67" t="n"/>
      <c r="J71" s="81" t="n"/>
      <c r="K71" s="67" t="n"/>
      <c r="W71" s="85">
        <f>IF(AND(B71&lt;&gt;"",I71="Yes",K71&lt;&gt;"Yes",J71&lt;&gt;""),J71,"")</f>
        <v/>
      </c>
      <c r="X71" s="63">
        <f>IF(W71="","",IF(W71&lt;AsOf,1,IF(W71&lt;=AsOf+AlertDays,2,IF(W71&lt;=AsOf+2*AlertDays,3,""))))</f>
        <v/>
      </c>
      <c r="Y71" s="63">
        <f>IF(X71="","","Follow up with "&amp;B71&amp;": "&amp;D71)</f>
        <v/>
      </c>
    </row>
    <row r="72" ht="20" customHeight="1">
      <c r="B72" s="65" t="n"/>
      <c r="C72" s="81" t="n"/>
      <c r="D72" s="88" t="n"/>
      <c r="E72" s="89" t="n"/>
      <c r="F72" s="89" t="n"/>
      <c r="G72" s="89" t="n"/>
      <c r="H72" s="90" t="n"/>
      <c r="I72" s="67" t="n"/>
      <c r="J72" s="81" t="n"/>
      <c r="K72" s="67" t="n"/>
      <c r="W72" s="85">
        <f>IF(AND(B72&lt;&gt;"",I72="Yes",K72&lt;&gt;"Yes",J72&lt;&gt;""),J72,"")</f>
        <v/>
      </c>
      <c r="X72" s="63">
        <f>IF(W72="","",IF(W72&lt;AsOf,1,IF(W72&lt;=AsOf+AlertDays,2,IF(W72&lt;=AsOf+2*AlertDays,3,""))))</f>
        <v/>
      </c>
      <c r="Y72" s="63">
        <f>IF(X72="","","Follow up with "&amp;B72&amp;": "&amp;D72)</f>
        <v/>
      </c>
    </row>
    <row r="73" ht="20" customHeight="1">
      <c r="B73" s="65" t="n"/>
      <c r="C73" s="81" t="n"/>
      <c r="D73" s="88" t="n"/>
      <c r="E73" s="89" t="n"/>
      <c r="F73" s="89" t="n"/>
      <c r="G73" s="89" t="n"/>
      <c r="H73" s="90" t="n"/>
      <c r="I73" s="67" t="n"/>
      <c r="J73" s="81" t="n"/>
      <c r="K73" s="67" t="n"/>
      <c r="W73" s="85">
        <f>IF(AND(B73&lt;&gt;"",I73="Yes",K73&lt;&gt;"Yes",J73&lt;&gt;""),J73,"")</f>
        <v/>
      </c>
      <c r="X73" s="63">
        <f>IF(W73="","",IF(W73&lt;AsOf,1,IF(W73&lt;=AsOf+AlertDays,2,IF(W73&lt;=AsOf+2*AlertDays,3,""))))</f>
        <v/>
      </c>
      <c r="Y73" s="63">
        <f>IF(X73="","","Follow up with "&amp;B73&amp;": "&amp;D73)</f>
        <v/>
      </c>
    </row>
    <row r="74" ht="20" customHeight="1">
      <c r="B74" s="65" t="n"/>
      <c r="C74" s="81" t="n"/>
      <c r="D74" s="88" t="n"/>
      <c r="E74" s="89" t="n"/>
      <c r="F74" s="89" t="n"/>
      <c r="G74" s="89" t="n"/>
      <c r="H74" s="90" t="n"/>
      <c r="I74" s="67" t="n"/>
      <c r="J74" s="81" t="n"/>
      <c r="K74" s="67" t="n"/>
      <c r="W74" s="85">
        <f>IF(AND(B74&lt;&gt;"",I74="Yes",K74&lt;&gt;"Yes",J74&lt;&gt;""),J74,"")</f>
        <v/>
      </c>
      <c r="X74" s="63">
        <f>IF(W74="","",IF(W74&lt;AsOf,1,IF(W74&lt;=AsOf+AlertDays,2,IF(W74&lt;=AsOf+2*AlertDays,3,""))))</f>
        <v/>
      </c>
      <c r="Y74" s="63">
        <f>IF(X74="","","Follow up with "&amp;B74&amp;": "&amp;D74)</f>
        <v/>
      </c>
    </row>
    <row r="75" ht="20" customHeight="1">
      <c r="B75" s="65" t="n"/>
      <c r="C75" s="81" t="n"/>
      <c r="D75" s="88" t="n"/>
      <c r="E75" s="89" t="n"/>
      <c r="F75" s="89" t="n"/>
      <c r="G75" s="89" t="n"/>
      <c r="H75" s="90" t="n"/>
      <c r="I75" s="67" t="n"/>
      <c r="J75" s="81" t="n"/>
      <c r="K75" s="67" t="n"/>
      <c r="W75" s="85">
        <f>IF(AND(B75&lt;&gt;"",I75="Yes",K75&lt;&gt;"Yes",J75&lt;&gt;""),J75,"")</f>
        <v/>
      </c>
      <c r="X75" s="63">
        <f>IF(W75="","",IF(W75&lt;AsOf,1,IF(W75&lt;=AsOf+AlertDays,2,IF(W75&lt;=AsOf+2*AlertDays,3,""))))</f>
        <v/>
      </c>
      <c r="Y75" s="63">
        <f>IF(X75="","","Follow up with "&amp;B75&amp;": "&amp;D75)</f>
        <v/>
      </c>
    </row>
    <row r="76" ht="20" customHeight="1">
      <c r="B76" s="65" t="n"/>
      <c r="C76" s="81" t="n"/>
      <c r="D76" s="88" t="n"/>
      <c r="E76" s="89" t="n"/>
      <c r="F76" s="89" t="n"/>
      <c r="G76" s="89" t="n"/>
      <c r="H76" s="90" t="n"/>
      <c r="I76" s="67" t="n"/>
      <c r="J76" s="81" t="n"/>
      <c r="K76" s="67" t="n"/>
      <c r="W76" s="85">
        <f>IF(AND(B76&lt;&gt;"",I76="Yes",K76&lt;&gt;"Yes",J76&lt;&gt;""),J76,"")</f>
        <v/>
      </c>
      <c r="X76" s="63">
        <f>IF(W76="","",IF(W76&lt;AsOf,1,IF(W76&lt;=AsOf+AlertDays,2,IF(W76&lt;=AsOf+2*AlertDays,3,""))))</f>
        <v/>
      </c>
      <c r="Y76" s="63">
        <f>IF(X76="","","Follow up with "&amp;B76&amp;": "&amp;D76)</f>
        <v/>
      </c>
    </row>
    <row r="77" ht="20" customHeight="1">
      <c r="B77" s="65" t="n"/>
      <c r="C77" s="81" t="n"/>
      <c r="D77" s="88" t="n"/>
      <c r="E77" s="89" t="n"/>
      <c r="F77" s="89" t="n"/>
      <c r="G77" s="89" t="n"/>
      <c r="H77" s="90" t="n"/>
      <c r="I77" s="67" t="n"/>
      <c r="J77" s="81" t="n"/>
      <c r="K77" s="67" t="n"/>
      <c r="W77" s="85">
        <f>IF(AND(B77&lt;&gt;"",I77="Yes",K77&lt;&gt;"Yes",J77&lt;&gt;""),J77,"")</f>
        <v/>
      </c>
      <c r="X77" s="63">
        <f>IF(W77="","",IF(W77&lt;AsOf,1,IF(W77&lt;=AsOf+AlertDays,2,IF(W77&lt;=AsOf+2*AlertDays,3,""))))</f>
        <v/>
      </c>
      <c r="Y77" s="63">
        <f>IF(X77="","","Follow up with "&amp;B77&amp;": "&amp;D77)</f>
        <v/>
      </c>
    </row>
    <row r="78" ht="20" customHeight="1">
      <c r="B78" s="65" t="n"/>
      <c r="C78" s="81" t="n"/>
      <c r="D78" s="88" t="n"/>
      <c r="E78" s="89" t="n"/>
      <c r="F78" s="89" t="n"/>
      <c r="G78" s="89" t="n"/>
      <c r="H78" s="90" t="n"/>
      <c r="I78" s="67" t="n"/>
      <c r="J78" s="81" t="n"/>
      <c r="K78" s="67" t="n"/>
      <c r="W78" s="85">
        <f>IF(AND(B78&lt;&gt;"",I78="Yes",K78&lt;&gt;"Yes",J78&lt;&gt;""),J78,"")</f>
        <v/>
      </c>
      <c r="X78" s="63">
        <f>IF(W78="","",IF(W78&lt;AsOf,1,IF(W78&lt;=AsOf+AlertDays,2,IF(W78&lt;=AsOf+2*AlertDays,3,""))))</f>
        <v/>
      </c>
      <c r="Y78" s="63">
        <f>IF(X78="","","Follow up with "&amp;B78&amp;": "&amp;D78)</f>
        <v/>
      </c>
    </row>
    <row r="79" ht="20" customHeight="1">
      <c r="B79" s="65" t="n"/>
      <c r="C79" s="81" t="n"/>
      <c r="D79" s="88" t="n"/>
      <c r="E79" s="89" t="n"/>
      <c r="F79" s="89" t="n"/>
      <c r="G79" s="89" t="n"/>
      <c r="H79" s="90" t="n"/>
      <c r="I79" s="67" t="n"/>
      <c r="J79" s="81" t="n"/>
      <c r="K79" s="67" t="n"/>
      <c r="W79" s="85">
        <f>IF(AND(B79&lt;&gt;"",I79="Yes",K79&lt;&gt;"Yes",J79&lt;&gt;""),J79,"")</f>
        <v/>
      </c>
      <c r="X79" s="63">
        <f>IF(W79="","",IF(W79&lt;AsOf,1,IF(W79&lt;=AsOf+AlertDays,2,IF(W79&lt;=AsOf+2*AlertDays,3,""))))</f>
        <v/>
      </c>
      <c r="Y79" s="63">
        <f>IF(X79="","","Follow up with "&amp;B79&amp;": "&amp;D79)</f>
        <v/>
      </c>
    </row>
    <row r="80" ht="20" customHeight="1">
      <c r="B80" s="65" t="n"/>
      <c r="C80" s="81" t="n"/>
      <c r="D80" s="88" t="n"/>
      <c r="E80" s="89" t="n"/>
      <c r="F80" s="89" t="n"/>
      <c r="G80" s="89" t="n"/>
      <c r="H80" s="90" t="n"/>
      <c r="I80" s="67" t="n"/>
      <c r="J80" s="81" t="n"/>
      <c r="K80" s="67" t="n"/>
      <c r="W80" s="85">
        <f>IF(AND(B80&lt;&gt;"",I80="Yes",K80&lt;&gt;"Yes",J80&lt;&gt;""),J80,"")</f>
        <v/>
      </c>
      <c r="X80" s="63">
        <f>IF(W80="","",IF(W80&lt;AsOf,1,IF(W80&lt;=AsOf+AlertDays,2,IF(W80&lt;=AsOf+2*AlertDays,3,""))))</f>
        <v/>
      </c>
      <c r="Y80" s="63">
        <f>IF(X80="","","Follow up with "&amp;B80&amp;": "&amp;D80)</f>
        <v/>
      </c>
    </row>
    <row r="81" ht="20" customHeight="1">
      <c r="B81" s="65" t="n"/>
      <c r="C81" s="81" t="n"/>
      <c r="D81" s="88" t="n"/>
      <c r="E81" s="89" t="n"/>
      <c r="F81" s="89" t="n"/>
      <c r="G81" s="89" t="n"/>
      <c r="H81" s="90" t="n"/>
      <c r="I81" s="67" t="n"/>
      <c r="J81" s="81" t="n"/>
      <c r="K81" s="67" t="n"/>
      <c r="W81" s="85">
        <f>IF(AND(B81&lt;&gt;"",I81="Yes",K81&lt;&gt;"Yes",J81&lt;&gt;""),J81,"")</f>
        <v/>
      </c>
      <c r="X81" s="63">
        <f>IF(W81="","",IF(W81&lt;AsOf,1,IF(W81&lt;=AsOf+AlertDays,2,IF(W81&lt;=AsOf+2*AlertDays,3,""))))</f>
        <v/>
      </c>
      <c r="Y81" s="63">
        <f>IF(X81="","","Follow up with "&amp;B81&amp;": "&amp;D81)</f>
        <v/>
      </c>
    </row>
    <row r="82" ht="20" customHeight="1">
      <c r="B82" s="65" t="n"/>
      <c r="C82" s="81" t="n"/>
      <c r="D82" s="88" t="n"/>
      <c r="E82" s="89" t="n"/>
      <c r="F82" s="89" t="n"/>
      <c r="G82" s="89" t="n"/>
      <c r="H82" s="90" t="n"/>
      <c r="I82" s="67" t="n"/>
      <c r="J82" s="81" t="n"/>
      <c r="K82" s="67" t="n"/>
      <c r="W82" s="85">
        <f>IF(AND(B82&lt;&gt;"",I82="Yes",K82&lt;&gt;"Yes",J82&lt;&gt;""),J82,"")</f>
        <v/>
      </c>
      <c r="X82" s="63">
        <f>IF(W82="","",IF(W82&lt;AsOf,1,IF(W82&lt;=AsOf+AlertDays,2,IF(W82&lt;=AsOf+2*AlertDays,3,""))))</f>
        <v/>
      </c>
      <c r="Y82" s="63">
        <f>IF(X82="","","Follow up with "&amp;B82&amp;": "&amp;D82)</f>
        <v/>
      </c>
    </row>
    <row r="83" ht="20" customHeight="1">
      <c r="B83" s="65" t="n"/>
      <c r="C83" s="81" t="n"/>
      <c r="D83" s="88" t="n"/>
      <c r="E83" s="89" t="n"/>
      <c r="F83" s="89" t="n"/>
      <c r="G83" s="89" t="n"/>
      <c r="H83" s="90" t="n"/>
      <c r="I83" s="67" t="n"/>
      <c r="J83" s="81" t="n"/>
      <c r="K83" s="67" t="n"/>
      <c r="W83" s="85">
        <f>IF(AND(B83&lt;&gt;"",I83="Yes",K83&lt;&gt;"Yes",J83&lt;&gt;""),J83,"")</f>
        <v/>
      </c>
      <c r="X83" s="63">
        <f>IF(W83="","",IF(W83&lt;AsOf,1,IF(W83&lt;=AsOf+AlertDays,2,IF(W83&lt;=AsOf+2*AlertDays,3,""))))</f>
        <v/>
      </c>
      <c r="Y83" s="63">
        <f>IF(X83="","","Follow up with "&amp;B83&amp;": "&amp;D83)</f>
        <v/>
      </c>
    </row>
    <row r="84" ht="20" customHeight="1">
      <c r="B84" s="65" t="n"/>
      <c r="C84" s="81" t="n"/>
      <c r="D84" s="88" t="n"/>
      <c r="E84" s="89" t="n"/>
      <c r="F84" s="89" t="n"/>
      <c r="G84" s="89" t="n"/>
      <c r="H84" s="90" t="n"/>
      <c r="I84" s="67" t="n"/>
      <c r="J84" s="81" t="n"/>
      <c r="K84" s="67" t="n"/>
      <c r="W84" s="85">
        <f>IF(AND(B84&lt;&gt;"",I84="Yes",K84&lt;&gt;"Yes",J84&lt;&gt;""),J84,"")</f>
        <v/>
      </c>
      <c r="X84" s="63">
        <f>IF(W84="","",IF(W84&lt;AsOf,1,IF(W84&lt;=AsOf+AlertDays,2,IF(W84&lt;=AsOf+2*AlertDays,3,""))))</f>
        <v/>
      </c>
      <c r="Y84" s="63">
        <f>IF(X84="","","Follow up with "&amp;B84&amp;": "&amp;D84)</f>
        <v/>
      </c>
    </row>
    <row r="85" ht="20" customHeight="1">
      <c r="B85" s="65" t="n"/>
      <c r="C85" s="81" t="n"/>
      <c r="D85" s="88" t="n"/>
      <c r="E85" s="89" t="n"/>
      <c r="F85" s="89" t="n"/>
      <c r="G85" s="89" t="n"/>
      <c r="H85" s="90" t="n"/>
      <c r="I85" s="67" t="n"/>
      <c r="J85" s="81" t="n"/>
      <c r="K85" s="67" t="n"/>
      <c r="W85" s="85">
        <f>IF(AND(B85&lt;&gt;"",I85="Yes",K85&lt;&gt;"Yes",J85&lt;&gt;""),J85,"")</f>
        <v/>
      </c>
      <c r="X85" s="63">
        <f>IF(W85="","",IF(W85&lt;AsOf,1,IF(W85&lt;=AsOf+AlertDays,2,IF(W85&lt;=AsOf+2*AlertDays,3,""))))</f>
        <v/>
      </c>
      <c r="Y85" s="63">
        <f>IF(X85="","","Follow up with "&amp;B85&amp;": "&amp;D85)</f>
        <v/>
      </c>
    </row>
    <row r="86" ht="20" customHeight="1">
      <c r="B86" s="65" t="n"/>
      <c r="C86" s="81" t="n"/>
      <c r="D86" s="88" t="n"/>
      <c r="E86" s="89" t="n"/>
      <c r="F86" s="89" t="n"/>
      <c r="G86" s="89" t="n"/>
      <c r="H86" s="90" t="n"/>
      <c r="I86" s="67" t="n"/>
      <c r="J86" s="81" t="n"/>
      <c r="K86" s="67" t="n"/>
      <c r="W86" s="85">
        <f>IF(AND(B86&lt;&gt;"",I86="Yes",K86&lt;&gt;"Yes",J86&lt;&gt;""),J86,"")</f>
        <v/>
      </c>
      <c r="X86" s="63">
        <f>IF(W86="","",IF(W86&lt;AsOf,1,IF(W86&lt;=AsOf+AlertDays,2,IF(W86&lt;=AsOf+2*AlertDays,3,""))))</f>
        <v/>
      </c>
      <c r="Y86" s="63">
        <f>IF(X86="","","Follow up with "&amp;B86&amp;": "&amp;D86)</f>
        <v/>
      </c>
    </row>
    <row r="87" ht="20" customHeight="1">
      <c r="B87" s="65" t="n"/>
      <c r="C87" s="81" t="n"/>
      <c r="D87" s="88" t="n"/>
      <c r="E87" s="89" t="n"/>
      <c r="F87" s="89" t="n"/>
      <c r="G87" s="89" t="n"/>
      <c r="H87" s="90" t="n"/>
      <c r="I87" s="67" t="n"/>
      <c r="J87" s="81" t="n"/>
      <c r="K87" s="67" t="n"/>
      <c r="W87" s="85">
        <f>IF(AND(B87&lt;&gt;"",I87="Yes",K87&lt;&gt;"Yes",J87&lt;&gt;""),J87,"")</f>
        <v/>
      </c>
      <c r="X87" s="63">
        <f>IF(W87="","",IF(W87&lt;AsOf,1,IF(W87&lt;=AsOf+AlertDays,2,IF(W87&lt;=AsOf+2*AlertDays,3,""))))</f>
        <v/>
      </c>
      <c r="Y87" s="63">
        <f>IF(X87="","","Follow up with "&amp;B87&amp;": "&amp;D87)</f>
        <v/>
      </c>
    </row>
    <row r="88" ht="20" customHeight="1">
      <c r="B88" s="65" t="n"/>
      <c r="C88" s="81" t="n"/>
      <c r="D88" s="88" t="n"/>
      <c r="E88" s="89" t="n"/>
      <c r="F88" s="89" t="n"/>
      <c r="G88" s="89" t="n"/>
      <c r="H88" s="90" t="n"/>
      <c r="I88" s="67" t="n"/>
      <c r="J88" s="81" t="n"/>
      <c r="K88" s="67" t="n"/>
      <c r="W88" s="85">
        <f>IF(AND(B88&lt;&gt;"",I88="Yes",K88&lt;&gt;"Yes",J88&lt;&gt;""),J88,"")</f>
        <v/>
      </c>
      <c r="X88" s="63">
        <f>IF(W88="","",IF(W88&lt;AsOf,1,IF(W88&lt;=AsOf+AlertDays,2,IF(W88&lt;=AsOf+2*AlertDays,3,""))))</f>
        <v/>
      </c>
      <c r="Y88" s="63">
        <f>IF(X88="","","Follow up with "&amp;B88&amp;": "&amp;D88)</f>
        <v/>
      </c>
    </row>
    <row r="89" ht="20" customHeight="1">
      <c r="B89" s="65" t="n"/>
      <c r="C89" s="81" t="n"/>
      <c r="D89" s="88" t="n"/>
      <c r="E89" s="89" t="n"/>
      <c r="F89" s="89" t="n"/>
      <c r="G89" s="89" t="n"/>
      <c r="H89" s="90" t="n"/>
      <c r="I89" s="67" t="n"/>
      <c r="J89" s="81" t="n"/>
      <c r="K89" s="67" t="n"/>
      <c r="W89" s="85">
        <f>IF(AND(B89&lt;&gt;"",I89="Yes",K89&lt;&gt;"Yes",J89&lt;&gt;""),J89,"")</f>
        <v/>
      </c>
      <c r="X89" s="63">
        <f>IF(W89="","",IF(W89&lt;AsOf,1,IF(W89&lt;=AsOf+AlertDays,2,IF(W89&lt;=AsOf+2*AlertDays,3,""))))</f>
        <v/>
      </c>
      <c r="Y89" s="63">
        <f>IF(X89="","","Follow up with "&amp;B89&amp;": "&amp;D89)</f>
        <v/>
      </c>
    </row>
    <row r="90" ht="20" customHeight="1">
      <c r="B90" s="65" t="n"/>
      <c r="C90" s="81" t="n"/>
      <c r="D90" s="88" t="n"/>
      <c r="E90" s="89" t="n"/>
      <c r="F90" s="89" t="n"/>
      <c r="G90" s="89" t="n"/>
      <c r="H90" s="90" t="n"/>
      <c r="I90" s="67" t="n"/>
      <c r="J90" s="81" t="n"/>
      <c r="K90" s="67" t="n"/>
      <c r="W90" s="85">
        <f>IF(AND(B90&lt;&gt;"",I90="Yes",K90&lt;&gt;"Yes",J90&lt;&gt;""),J90,"")</f>
        <v/>
      </c>
      <c r="X90" s="63">
        <f>IF(W90="","",IF(W90&lt;AsOf,1,IF(W90&lt;=AsOf+AlertDays,2,IF(W90&lt;=AsOf+2*AlertDays,3,""))))</f>
        <v/>
      </c>
      <c r="Y90" s="63">
        <f>IF(X90="","","Follow up with "&amp;B90&amp;": "&amp;D90)</f>
        <v/>
      </c>
    </row>
    <row r="91" ht="20" customHeight="1">
      <c r="B91" s="65" t="n"/>
      <c r="C91" s="81" t="n"/>
      <c r="D91" s="88" t="n"/>
      <c r="E91" s="89" t="n"/>
      <c r="F91" s="89" t="n"/>
      <c r="G91" s="89" t="n"/>
      <c r="H91" s="90" t="n"/>
      <c r="I91" s="67" t="n"/>
      <c r="J91" s="81" t="n"/>
      <c r="K91" s="67" t="n"/>
      <c r="W91" s="85">
        <f>IF(AND(B91&lt;&gt;"",I91="Yes",K91&lt;&gt;"Yes",J91&lt;&gt;""),J91,"")</f>
        <v/>
      </c>
      <c r="X91" s="63">
        <f>IF(W91="","",IF(W91&lt;AsOf,1,IF(W91&lt;=AsOf+AlertDays,2,IF(W91&lt;=AsOf+2*AlertDays,3,""))))</f>
        <v/>
      </c>
      <c r="Y91" s="63">
        <f>IF(X91="","","Follow up with "&amp;B91&amp;": "&amp;D91)</f>
        <v/>
      </c>
    </row>
    <row r="92" ht="20" customHeight="1">
      <c r="B92" s="65" t="n"/>
      <c r="C92" s="81" t="n"/>
      <c r="D92" s="88" t="n"/>
      <c r="E92" s="89" t="n"/>
      <c r="F92" s="89" t="n"/>
      <c r="G92" s="89" t="n"/>
      <c r="H92" s="90" t="n"/>
      <c r="I92" s="67" t="n"/>
      <c r="J92" s="81" t="n"/>
      <c r="K92" s="67" t="n"/>
      <c r="W92" s="85">
        <f>IF(AND(B92&lt;&gt;"",I92="Yes",K92&lt;&gt;"Yes",J92&lt;&gt;""),J92,"")</f>
        <v/>
      </c>
      <c r="X92" s="63">
        <f>IF(W92="","",IF(W92&lt;AsOf,1,IF(W92&lt;=AsOf+AlertDays,2,IF(W92&lt;=AsOf+2*AlertDays,3,""))))</f>
        <v/>
      </c>
      <c r="Y92" s="63">
        <f>IF(X92="","","Follow up with "&amp;B92&amp;": "&amp;D92)</f>
        <v/>
      </c>
    </row>
    <row r="93" ht="20" customHeight="1">
      <c r="B93" s="65" t="n"/>
      <c r="C93" s="81" t="n"/>
      <c r="D93" s="88" t="n"/>
      <c r="E93" s="89" t="n"/>
      <c r="F93" s="89" t="n"/>
      <c r="G93" s="89" t="n"/>
      <c r="H93" s="90" t="n"/>
      <c r="I93" s="67" t="n"/>
      <c r="J93" s="81" t="n"/>
      <c r="K93" s="67" t="n"/>
      <c r="W93" s="85">
        <f>IF(AND(B93&lt;&gt;"",I93="Yes",K93&lt;&gt;"Yes",J93&lt;&gt;""),J93,"")</f>
        <v/>
      </c>
      <c r="X93" s="63">
        <f>IF(W93="","",IF(W93&lt;AsOf,1,IF(W93&lt;=AsOf+AlertDays,2,IF(W93&lt;=AsOf+2*AlertDays,3,""))))</f>
        <v/>
      </c>
      <c r="Y93" s="63">
        <f>IF(X93="","","Follow up with "&amp;B93&amp;": "&amp;D93)</f>
        <v/>
      </c>
    </row>
    <row r="94" ht="20" customHeight="1">
      <c r="B94" s="65" t="n"/>
      <c r="C94" s="81" t="n"/>
      <c r="D94" s="88" t="n"/>
      <c r="E94" s="89" t="n"/>
      <c r="F94" s="89" t="n"/>
      <c r="G94" s="89" t="n"/>
      <c r="H94" s="90" t="n"/>
      <c r="I94" s="67" t="n"/>
      <c r="J94" s="81" t="n"/>
      <c r="K94" s="67" t="n"/>
      <c r="W94" s="85">
        <f>IF(AND(B94&lt;&gt;"",I94="Yes",K94&lt;&gt;"Yes",J94&lt;&gt;""),J94,"")</f>
        <v/>
      </c>
      <c r="X94" s="63">
        <f>IF(W94="","",IF(W94&lt;AsOf,1,IF(W94&lt;=AsOf+AlertDays,2,IF(W94&lt;=AsOf+2*AlertDays,3,""))))</f>
        <v/>
      </c>
      <c r="Y94" s="63">
        <f>IF(X94="","","Follow up with "&amp;B94&amp;": "&amp;D94)</f>
        <v/>
      </c>
    </row>
    <row r="95" ht="20" customHeight="1">
      <c r="B95" s="65" t="n"/>
      <c r="C95" s="81" t="n"/>
      <c r="D95" s="88" t="n"/>
      <c r="E95" s="89" t="n"/>
      <c r="F95" s="89" t="n"/>
      <c r="G95" s="89" t="n"/>
      <c r="H95" s="90" t="n"/>
      <c r="I95" s="67" t="n"/>
      <c r="J95" s="81" t="n"/>
      <c r="K95" s="67" t="n"/>
      <c r="W95" s="85">
        <f>IF(AND(B95&lt;&gt;"",I95="Yes",K95&lt;&gt;"Yes",J95&lt;&gt;""),J95,"")</f>
        <v/>
      </c>
      <c r="X95" s="63">
        <f>IF(W95="","",IF(W95&lt;AsOf,1,IF(W95&lt;=AsOf+AlertDays,2,IF(W95&lt;=AsOf+2*AlertDays,3,""))))</f>
        <v/>
      </c>
      <c r="Y95" s="63">
        <f>IF(X95="","","Follow up with "&amp;B95&amp;": "&amp;D95)</f>
        <v/>
      </c>
    </row>
    <row r="96" ht="20" customHeight="1">
      <c r="B96" s="65" t="n"/>
      <c r="C96" s="81" t="n"/>
      <c r="D96" s="88" t="n"/>
      <c r="E96" s="89" t="n"/>
      <c r="F96" s="89" t="n"/>
      <c r="G96" s="89" t="n"/>
      <c r="H96" s="90" t="n"/>
      <c r="I96" s="67" t="n"/>
      <c r="J96" s="81" t="n"/>
      <c r="K96" s="67" t="n"/>
      <c r="W96" s="85">
        <f>IF(AND(B96&lt;&gt;"",I96="Yes",K96&lt;&gt;"Yes",J96&lt;&gt;""),J96,"")</f>
        <v/>
      </c>
      <c r="X96" s="63">
        <f>IF(W96="","",IF(W96&lt;AsOf,1,IF(W96&lt;=AsOf+AlertDays,2,IF(W96&lt;=AsOf+2*AlertDays,3,""))))</f>
        <v/>
      </c>
      <c r="Y96" s="63">
        <f>IF(X96="","","Follow up with "&amp;B96&amp;": "&amp;D96)</f>
        <v/>
      </c>
    </row>
    <row r="97" ht="20" customHeight="1">
      <c r="B97" s="65" t="n"/>
      <c r="C97" s="81" t="n"/>
      <c r="D97" s="88" t="n"/>
      <c r="E97" s="89" t="n"/>
      <c r="F97" s="89" t="n"/>
      <c r="G97" s="89" t="n"/>
      <c r="H97" s="90" t="n"/>
      <c r="I97" s="67" t="n"/>
      <c r="J97" s="81" t="n"/>
      <c r="K97" s="67" t="n"/>
      <c r="W97" s="85">
        <f>IF(AND(B97&lt;&gt;"",I97="Yes",K97&lt;&gt;"Yes",J97&lt;&gt;""),J97,"")</f>
        <v/>
      </c>
      <c r="X97" s="63">
        <f>IF(W97="","",IF(W97&lt;AsOf,1,IF(W97&lt;=AsOf+AlertDays,2,IF(W97&lt;=AsOf+2*AlertDays,3,""))))</f>
        <v/>
      </c>
      <c r="Y97" s="63">
        <f>IF(X97="","","Follow up with "&amp;B97&amp;": "&amp;D97)</f>
        <v/>
      </c>
    </row>
    <row r="98" ht="20" customHeight="1">
      <c r="B98" s="65" t="n"/>
      <c r="C98" s="81" t="n"/>
      <c r="D98" s="88" t="n"/>
      <c r="E98" s="89" t="n"/>
      <c r="F98" s="89" t="n"/>
      <c r="G98" s="89" t="n"/>
      <c r="H98" s="90" t="n"/>
      <c r="I98" s="67" t="n"/>
      <c r="J98" s="81" t="n"/>
      <c r="K98" s="67" t="n"/>
      <c r="W98" s="85">
        <f>IF(AND(B98&lt;&gt;"",I98="Yes",K98&lt;&gt;"Yes",J98&lt;&gt;""),J98,"")</f>
        <v/>
      </c>
      <c r="X98" s="63">
        <f>IF(W98="","",IF(W98&lt;AsOf,1,IF(W98&lt;=AsOf+AlertDays,2,IF(W98&lt;=AsOf+2*AlertDays,3,""))))</f>
        <v/>
      </c>
      <c r="Y98" s="63">
        <f>IF(X98="","","Follow up with "&amp;B98&amp;": "&amp;D98)</f>
        <v/>
      </c>
    </row>
    <row r="99" ht="20" customHeight="1">
      <c r="B99" s="65" t="n"/>
      <c r="C99" s="81" t="n"/>
      <c r="D99" s="88" t="n"/>
      <c r="E99" s="89" t="n"/>
      <c r="F99" s="89" t="n"/>
      <c r="G99" s="89" t="n"/>
      <c r="H99" s="90" t="n"/>
      <c r="I99" s="67" t="n"/>
      <c r="J99" s="81" t="n"/>
      <c r="K99" s="67" t="n"/>
      <c r="W99" s="85">
        <f>IF(AND(B99&lt;&gt;"",I99="Yes",K99&lt;&gt;"Yes",J99&lt;&gt;""),J99,"")</f>
        <v/>
      </c>
      <c r="X99" s="63">
        <f>IF(W99="","",IF(W99&lt;AsOf,1,IF(W99&lt;=AsOf+AlertDays,2,IF(W99&lt;=AsOf+2*AlertDays,3,""))))</f>
        <v/>
      </c>
      <c r="Y99" s="63">
        <f>IF(X99="","","Follow up with "&amp;B99&amp;": "&amp;D99)</f>
        <v/>
      </c>
    </row>
    <row r="100" ht="20" customHeight="1">
      <c r="B100" s="65" t="n"/>
      <c r="C100" s="81" t="n"/>
      <c r="D100" s="88" t="n"/>
      <c r="E100" s="89" t="n"/>
      <c r="F100" s="89" t="n"/>
      <c r="G100" s="89" t="n"/>
      <c r="H100" s="90" t="n"/>
      <c r="I100" s="67" t="n"/>
      <c r="J100" s="81" t="n"/>
      <c r="K100" s="67" t="n"/>
      <c r="W100" s="85">
        <f>IF(AND(B100&lt;&gt;"",I100="Yes",K100&lt;&gt;"Yes",J100&lt;&gt;""),J100,"")</f>
        <v/>
      </c>
      <c r="X100" s="63">
        <f>IF(W100="","",IF(W100&lt;AsOf,1,IF(W100&lt;=AsOf+AlertDays,2,IF(W100&lt;=AsOf+2*AlertDays,3,""))))</f>
        <v/>
      </c>
      <c r="Y100" s="63">
        <f>IF(X100="","","Follow up with "&amp;B100&amp;": "&amp;D100)</f>
        <v/>
      </c>
    </row>
    <row r="101" ht="20" customHeight="1">
      <c r="B101" s="65" t="n"/>
      <c r="C101" s="81" t="n"/>
      <c r="D101" s="88" t="n"/>
      <c r="E101" s="89" t="n"/>
      <c r="F101" s="89" t="n"/>
      <c r="G101" s="89" t="n"/>
      <c r="H101" s="90" t="n"/>
      <c r="I101" s="67" t="n"/>
      <c r="J101" s="81" t="n"/>
      <c r="K101" s="67" t="n"/>
      <c r="W101" s="85">
        <f>IF(AND(B101&lt;&gt;"",I101="Yes",K101&lt;&gt;"Yes",J101&lt;&gt;""),J101,"")</f>
        <v/>
      </c>
      <c r="X101" s="63">
        <f>IF(W101="","",IF(W101&lt;AsOf,1,IF(W101&lt;=AsOf+AlertDays,2,IF(W101&lt;=AsOf+2*AlertDays,3,""))))</f>
        <v/>
      </c>
      <c r="Y101" s="63">
        <f>IF(X101="","","Follow up with "&amp;B101&amp;": "&amp;D101)</f>
        <v/>
      </c>
    </row>
    <row r="102" ht="20" customHeight="1">
      <c r="B102" s="65" t="n"/>
      <c r="C102" s="81" t="n"/>
      <c r="D102" s="88" t="n"/>
      <c r="E102" s="89" t="n"/>
      <c r="F102" s="89" t="n"/>
      <c r="G102" s="89" t="n"/>
      <c r="H102" s="90" t="n"/>
      <c r="I102" s="67" t="n"/>
      <c r="J102" s="81" t="n"/>
      <c r="K102" s="67" t="n"/>
      <c r="W102" s="85">
        <f>IF(AND(B102&lt;&gt;"",I102="Yes",K102&lt;&gt;"Yes",J102&lt;&gt;""),J102,"")</f>
        <v/>
      </c>
      <c r="X102" s="63">
        <f>IF(W102="","",IF(W102&lt;AsOf,1,IF(W102&lt;=AsOf+AlertDays,2,IF(W102&lt;=AsOf+2*AlertDays,3,""))))</f>
        <v/>
      </c>
      <c r="Y102" s="63">
        <f>IF(X102="","","Follow up with "&amp;B102&amp;": "&amp;D102)</f>
        <v/>
      </c>
    </row>
    <row r="103" ht="20" customHeight="1">
      <c r="B103" s="65" t="n"/>
      <c r="C103" s="81" t="n"/>
      <c r="D103" s="88" t="n"/>
      <c r="E103" s="89" t="n"/>
      <c r="F103" s="89" t="n"/>
      <c r="G103" s="89" t="n"/>
      <c r="H103" s="90" t="n"/>
      <c r="I103" s="67" t="n"/>
      <c r="J103" s="81" t="n"/>
      <c r="K103" s="67" t="n"/>
      <c r="W103" s="85">
        <f>IF(AND(B103&lt;&gt;"",I103="Yes",K103&lt;&gt;"Yes",J103&lt;&gt;""),J103,"")</f>
        <v/>
      </c>
      <c r="X103" s="63">
        <f>IF(W103="","",IF(W103&lt;AsOf,1,IF(W103&lt;=AsOf+AlertDays,2,IF(W103&lt;=AsOf+2*AlertDays,3,""))))</f>
        <v/>
      </c>
      <c r="Y103" s="63">
        <f>IF(X103="","","Follow up with "&amp;B103&amp;": "&amp;D103)</f>
        <v/>
      </c>
    </row>
    <row r="104" ht="20" customHeight="1">
      <c r="B104" s="65" t="n"/>
      <c r="C104" s="81" t="n"/>
      <c r="D104" s="88" t="n"/>
      <c r="E104" s="89" t="n"/>
      <c r="F104" s="89" t="n"/>
      <c r="G104" s="89" t="n"/>
      <c r="H104" s="90" t="n"/>
      <c r="I104" s="67" t="n"/>
      <c r="J104" s="81" t="n"/>
      <c r="K104" s="67" t="n"/>
      <c r="W104" s="85">
        <f>IF(AND(B104&lt;&gt;"",I104="Yes",K104&lt;&gt;"Yes",J104&lt;&gt;""),J104,"")</f>
        <v/>
      </c>
      <c r="X104" s="63">
        <f>IF(W104="","",IF(W104&lt;AsOf,1,IF(W104&lt;=AsOf+AlertDays,2,IF(W104&lt;=AsOf+2*AlertDays,3,""))))</f>
        <v/>
      </c>
      <c r="Y104" s="63">
        <f>IF(X104="","","Follow up with "&amp;B104&amp;": "&amp;D104)</f>
        <v/>
      </c>
    </row>
    <row r="105" ht="20" customHeight="1">
      <c r="B105" s="65" t="n"/>
      <c r="C105" s="81" t="n"/>
      <c r="D105" s="88" t="n"/>
      <c r="E105" s="89" t="n"/>
      <c r="F105" s="89" t="n"/>
      <c r="G105" s="89" t="n"/>
      <c r="H105" s="90" t="n"/>
      <c r="I105" s="67" t="n"/>
      <c r="J105" s="81" t="n"/>
      <c r="K105" s="67" t="n"/>
      <c r="W105" s="85">
        <f>IF(AND(B105&lt;&gt;"",I105="Yes",K105&lt;&gt;"Yes",J105&lt;&gt;""),J105,"")</f>
        <v/>
      </c>
      <c r="X105" s="63">
        <f>IF(W105="","",IF(W105&lt;AsOf,1,IF(W105&lt;=AsOf+AlertDays,2,IF(W105&lt;=AsOf+2*AlertDays,3,""))))</f>
        <v/>
      </c>
      <c r="Y105" s="63">
        <f>IF(X105="","","Follow up with "&amp;B105&amp;": "&amp;D105)</f>
        <v/>
      </c>
    </row>
    <row r="106" ht="20" customHeight="1">
      <c r="B106" s="65" t="n"/>
      <c r="C106" s="81" t="n"/>
      <c r="D106" s="88" t="n"/>
      <c r="E106" s="89" t="n"/>
      <c r="F106" s="89" t="n"/>
      <c r="G106" s="89" t="n"/>
      <c r="H106" s="90" t="n"/>
      <c r="I106" s="67" t="n"/>
      <c r="J106" s="81" t="n"/>
      <c r="K106" s="67" t="n"/>
      <c r="W106" s="85">
        <f>IF(AND(B106&lt;&gt;"",I106="Yes",K106&lt;&gt;"Yes",J106&lt;&gt;""),J106,"")</f>
        <v/>
      </c>
      <c r="X106" s="63">
        <f>IF(W106="","",IF(W106&lt;AsOf,1,IF(W106&lt;=AsOf+AlertDays,2,IF(W106&lt;=AsOf+2*AlertDays,3,""))))</f>
        <v/>
      </c>
      <c r="Y106" s="63">
        <f>IF(X106="","","Follow up with "&amp;B106&amp;": "&amp;D106)</f>
        <v/>
      </c>
    </row>
    <row r="107" ht="20" customHeight="1">
      <c r="B107" s="65" t="n"/>
      <c r="C107" s="81" t="n"/>
      <c r="D107" s="88" t="n"/>
      <c r="E107" s="89" t="n"/>
      <c r="F107" s="89" t="n"/>
      <c r="G107" s="89" t="n"/>
      <c r="H107" s="90" t="n"/>
      <c r="I107" s="67" t="n"/>
      <c r="J107" s="81" t="n"/>
      <c r="K107" s="67" t="n"/>
      <c r="W107" s="85">
        <f>IF(AND(B107&lt;&gt;"",I107="Yes",K107&lt;&gt;"Yes",J107&lt;&gt;""),J107,"")</f>
        <v/>
      </c>
      <c r="X107" s="63">
        <f>IF(W107="","",IF(W107&lt;AsOf,1,IF(W107&lt;=AsOf+AlertDays,2,IF(W107&lt;=AsOf+2*AlertDays,3,""))))</f>
        <v/>
      </c>
      <c r="Y107" s="63">
        <f>IF(X107="","","Follow up with "&amp;B107&amp;": "&amp;D107)</f>
        <v/>
      </c>
    </row>
    <row r="108" ht="20" customHeight="1">
      <c r="B108" s="65" t="n"/>
      <c r="C108" s="81" t="n"/>
      <c r="D108" s="88" t="n"/>
      <c r="E108" s="89" t="n"/>
      <c r="F108" s="89" t="n"/>
      <c r="G108" s="89" t="n"/>
      <c r="H108" s="90" t="n"/>
      <c r="I108" s="67" t="n"/>
      <c r="J108" s="81" t="n"/>
      <c r="K108" s="67" t="n"/>
      <c r="W108" s="85">
        <f>IF(AND(B108&lt;&gt;"",I108="Yes",K108&lt;&gt;"Yes",J108&lt;&gt;""),J108,"")</f>
        <v/>
      </c>
      <c r="X108" s="63">
        <f>IF(W108="","",IF(W108&lt;AsOf,1,IF(W108&lt;=AsOf+AlertDays,2,IF(W108&lt;=AsOf+2*AlertDays,3,""))))</f>
        <v/>
      </c>
      <c r="Y108" s="63">
        <f>IF(X108="","","Follow up with "&amp;B108&amp;": "&amp;D108)</f>
        <v/>
      </c>
    </row>
    <row r="109" ht="20" customHeight="1">
      <c r="B109" s="65" t="n"/>
      <c r="C109" s="81" t="n"/>
      <c r="D109" s="88" t="n"/>
      <c r="E109" s="89" t="n"/>
      <c r="F109" s="89" t="n"/>
      <c r="G109" s="89" t="n"/>
      <c r="H109" s="90" t="n"/>
      <c r="I109" s="67" t="n"/>
      <c r="J109" s="81" t="n"/>
      <c r="K109" s="67" t="n"/>
      <c r="W109" s="85">
        <f>IF(AND(B109&lt;&gt;"",I109="Yes",K109&lt;&gt;"Yes",J109&lt;&gt;""),J109,"")</f>
        <v/>
      </c>
      <c r="X109" s="63">
        <f>IF(W109="","",IF(W109&lt;AsOf,1,IF(W109&lt;=AsOf+AlertDays,2,IF(W109&lt;=AsOf+2*AlertDays,3,""))))</f>
        <v/>
      </c>
      <c r="Y109" s="63">
        <f>IF(X109="","","Follow up with "&amp;B109&amp;": "&amp;D109)</f>
        <v/>
      </c>
    </row>
    <row r="110" ht="20" customHeight="1">
      <c r="B110" s="65" t="n"/>
      <c r="C110" s="81" t="n"/>
      <c r="D110" s="88" t="n"/>
      <c r="E110" s="89" t="n"/>
      <c r="F110" s="89" t="n"/>
      <c r="G110" s="89" t="n"/>
      <c r="H110" s="90" t="n"/>
      <c r="I110" s="67" t="n"/>
      <c r="J110" s="81" t="n"/>
      <c r="K110" s="67" t="n"/>
      <c r="W110" s="85">
        <f>IF(AND(B110&lt;&gt;"",I110="Yes",K110&lt;&gt;"Yes",J110&lt;&gt;""),J110,"")</f>
        <v/>
      </c>
      <c r="X110" s="63">
        <f>IF(W110="","",IF(W110&lt;AsOf,1,IF(W110&lt;=AsOf+AlertDays,2,IF(W110&lt;=AsOf+2*AlertDays,3,""))))</f>
        <v/>
      </c>
      <c r="Y110" s="63">
        <f>IF(X110="","","Follow up with "&amp;B110&amp;": "&amp;D110)</f>
        <v/>
      </c>
    </row>
    <row r="111" ht="20" customHeight="1">
      <c r="B111" s="65" t="n"/>
      <c r="C111" s="81" t="n"/>
      <c r="D111" s="88" t="n"/>
      <c r="E111" s="89" t="n"/>
      <c r="F111" s="89" t="n"/>
      <c r="G111" s="89" t="n"/>
      <c r="H111" s="90" t="n"/>
      <c r="I111" s="67" t="n"/>
      <c r="J111" s="81" t="n"/>
      <c r="K111" s="67" t="n"/>
      <c r="W111" s="85">
        <f>IF(AND(B111&lt;&gt;"",I111="Yes",K111&lt;&gt;"Yes",J111&lt;&gt;""),J111,"")</f>
        <v/>
      </c>
      <c r="X111" s="63">
        <f>IF(W111="","",IF(W111&lt;AsOf,1,IF(W111&lt;=AsOf+AlertDays,2,IF(W111&lt;=AsOf+2*AlertDays,3,""))))</f>
        <v/>
      </c>
      <c r="Y111" s="63">
        <f>IF(X111="","","Follow up with "&amp;B111&amp;": "&amp;D111)</f>
        <v/>
      </c>
    </row>
    <row r="112" ht="20" customHeight="1">
      <c r="B112" s="65" t="n"/>
      <c r="C112" s="81" t="n"/>
      <c r="D112" s="88" t="n"/>
      <c r="E112" s="89" t="n"/>
      <c r="F112" s="89" t="n"/>
      <c r="G112" s="89" t="n"/>
      <c r="H112" s="90" t="n"/>
      <c r="I112" s="67" t="n"/>
      <c r="J112" s="81" t="n"/>
      <c r="K112" s="67" t="n"/>
      <c r="W112" s="85">
        <f>IF(AND(B112&lt;&gt;"",I112="Yes",K112&lt;&gt;"Yes",J112&lt;&gt;""),J112,"")</f>
        <v/>
      </c>
      <c r="X112" s="63">
        <f>IF(W112="","",IF(W112&lt;AsOf,1,IF(W112&lt;=AsOf+AlertDays,2,IF(W112&lt;=AsOf+2*AlertDays,3,""))))</f>
        <v/>
      </c>
      <c r="Y112" s="63">
        <f>IF(X112="","","Follow up with "&amp;B112&amp;": "&amp;D112)</f>
        <v/>
      </c>
    </row>
    <row r="113" ht="20" customHeight="1">
      <c r="B113" s="65" t="n"/>
      <c r="C113" s="81" t="n"/>
      <c r="D113" s="88" t="n"/>
      <c r="E113" s="89" t="n"/>
      <c r="F113" s="89" t="n"/>
      <c r="G113" s="89" t="n"/>
      <c r="H113" s="90" t="n"/>
      <c r="I113" s="67" t="n"/>
      <c r="J113" s="81" t="n"/>
      <c r="K113" s="67" t="n"/>
      <c r="W113" s="85">
        <f>IF(AND(B113&lt;&gt;"",I113="Yes",K113&lt;&gt;"Yes",J113&lt;&gt;""),J113,"")</f>
        <v/>
      </c>
      <c r="X113" s="63">
        <f>IF(W113="","",IF(W113&lt;AsOf,1,IF(W113&lt;=AsOf+AlertDays,2,IF(W113&lt;=AsOf+2*AlertDays,3,""))))</f>
        <v/>
      </c>
      <c r="Y113" s="63">
        <f>IF(X113="","","Follow up with "&amp;B113&amp;": "&amp;D113)</f>
        <v/>
      </c>
    </row>
    <row r="114" ht="20" customHeight="1">
      <c r="B114" s="65" t="n"/>
      <c r="C114" s="81" t="n"/>
      <c r="D114" s="88" t="n"/>
      <c r="E114" s="89" t="n"/>
      <c r="F114" s="89" t="n"/>
      <c r="G114" s="89" t="n"/>
      <c r="H114" s="90" t="n"/>
      <c r="I114" s="67" t="n"/>
      <c r="J114" s="81" t="n"/>
      <c r="K114" s="67" t="n"/>
      <c r="W114" s="85">
        <f>IF(AND(B114&lt;&gt;"",I114="Yes",K114&lt;&gt;"Yes",J114&lt;&gt;""),J114,"")</f>
        <v/>
      </c>
      <c r="X114" s="63">
        <f>IF(W114="","",IF(W114&lt;AsOf,1,IF(W114&lt;=AsOf+AlertDays,2,IF(W114&lt;=AsOf+2*AlertDays,3,""))))</f>
        <v/>
      </c>
      <c r="Y114" s="63">
        <f>IF(X114="","","Follow up with "&amp;B114&amp;": "&amp;D114)</f>
        <v/>
      </c>
    </row>
    <row r="115" ht="20" customHeight="1">
      <c r="B115" s="65" t="n"/>
      <c r="C115" s="81" t="n"/>
      <c r="D115" s="88" t="n"/>
      <c r="E115" s="89" t="n"/>
      <c r="F115" s="89" t="n"/>
      <c r="G115" s="89" t="n"/>
      <c r="H115" s="90" t="n"/>
      <c r="I115" s="67" t="n"/>
      <c r="J115" s="81" t="n"/>
      <c r="K115" s="67" t="n"/>
      <c r="W115" s="85">
        <f>IF(AND(B115&lt;&gt;"",I115="Yes",K115&lt;&gt;"Yes",J115&lt;&gt;""),J115,"")</f>
        <v/>
      </c>
      <c r="X115" s="63">
        <f>IF(W115="","",IF(W115&lt;AsOf,1,IF(W115&lt;=AsOf+AlertDays,2,IF(W115&lt;=AsOf+2*AlertDays,3,""))))</f>
        <v/>
      </c>
      <c r="Y115" s="63">
        <f>IF(X115="","","Follow up with "&amp;B115&amp;": "&amp;D115)</f>
        <v/>
      </c>
    </row>
    <row r="116" ht="20" customHeight="1">
      <c r="B116" s="65" t="n"/>
      <c r="C116" s="81" t="n"/>
      <c r="D116" s="88" t="n"/>
      <c r="E116" s="89" t="n"/>
      <c r="F116" s="89" t="n"/>
      <c r="G116" s="89" t="n"/>
      <c r="H116" s="90" t="n"/>
      <c r="I116" s="67" t="n"/>
      <c r="J116" s="81" t="n"/>
      <c r="K116" s="67" t="n"/>
      <c r="W116" s="85">
        <f>IF(AND(B116&lt;&gt;"",I116="Yes",K116&lt;&gt;"Yes",J116&lt;&gt;""),J116,"")</f>
        <v/>
      </c>
      <c r="X116" s="63">
        <f>IF(W116="","",IF(W116&lt;AsOf,1,IF(W116&lt;=AsOf+AlertDays,2,IF(W116&lt;=AsOf+2*AlertDays,3,""))))</f>
        <v/>
      </c>
      <c r="Y116" s="63">
        <f>IF(X116="","","Follow up with "&amp;B116&amp;": "&amp;D116)</f>
        <v/>
      </c>
    </row>
    <row r="117" ht="20" customHeight="1">
      <c r="B117" s="65" t="n"/>
      <c r="C117" s="81" t="n"/>
      <c r="D117" s="88" t="n"/>
      <c r="E117" s="89" t="n"/>
      <c r="F117" s="89" t="n"/>
      <c r="G117" s="89" t="n"/>
      <c r="H117" s="90" t="n"/>
      <c r="I117" s="67" t="n"/>
      <c r="J117" s="81" t="n"/>
      <c r="K117" s="67" t="n"/>
      <c r="W117" s="85">
        <f>IF(AND(B117&lt;&gt;"",I117="Yes",K117&lt;&gt;"Yes",J117&lt;&gt;""),J117,"")</f>
        <v/>
      </c>
      <c r="X117" s="63">
        <f>IF(W117="","",IF(W117&lt;AsOf,1,IF(W117&lt;=AsOf+AlertDays,2,IF(W117&lt;=AsOf+2*AlertDays,3,""))))</f>
        <v/>
      </c>
      <c r="Y117" s="63">
        <f>IF(X117="","","Follow up with "&amp;B117&amp;": "&amp;D117)</f>
        <v/>
      </c>
    </row>
    <row r="118" ht="20" customHeight="1">
      <c r="B118" s="65" t="n"/>
      <c r="C118" s="81" t="n"/>
      <c r="D118" s="88" t="n"/>
      <c r="E118" s="89" t="n"/>
      <c r="F118" s="89" t="n"/>
      <c r="G118" s="89" t="n"/>
      <c r="H118" s="90" t="n"/>
      <c r="I118" s="67" t="n"/>
      <c r="J118" s="81" t="n"/>
      <c r="K118" s="67" t="n"/>
      <c r="W118" s="85">
        <f>IF(AND(B118&lt;&gt;"",I118="Yes",K118&lt;&gt;"Yes",J118&lt;&gt;""),J118,"")</f>
        <v/>
      </c>
      <c r="X118" s="63">
        <f>IF(W118="","",IF(W118&lt;AsOf,1,IF(W118&lt;=AsOf+AlertDays,2,IF(W118&lt;=AsOf+2*AlertDays,3,""))))</f>
        <v/>
      </c>
      <c r="Y118" s="63">
        <f>IF(X118="","","Follow up with "&amp;B118&amp;": "&amp;D118)</f>
        <v/>
      </c>
    </row>
    <row r="119" ht="20" customHeight="1">
      <c r="B119" s="65" t="n"/>
      <c r="C119" s="81" t="n"/>
      <c r="D119" s="88" t="n"/>
      <c r="E119" s="89" t="n"/>
      <c r="F119" s="89" t="n"/>
      <c r="G119" s="89" t="n"/>
      <c r="H119" s="90" t="n"/>
      <c r="I119" s="67" t="n"/>
      <c r="J119" s="81" t="n"/>
      <c r="K119" s="67" t="n"/>
      <c r="W119" s="85">
        <f>IF(AND(B119&lt;&gt;"",I119="Yes",K119&lt;&gt;"Yes",J119&lt;&gt;""),J119,"")</f>
        <v/>
      </c>
      <c r="X119" s="63">
        <f>IF(W119="","",IF(W119&lt;AsOf,1,IF(W119&lt;=AsOf+AlertDays,2,IF(W119&lt;=AsOf+2*AlertDays,3,""))))</f>
        <v/>
      </c>
      <c r="Y119" s="63">
        <f>IF(X119="","","Follow up with "&amp;B119&amp;": "&amp;D119)</f>
        <v/>
      </c>
    </row>
    <row r="120" ht="20" customHeight="1">
      <c r="B120" s="65" t="n"/>
      <c r="C120" s="81" t="n"/>
      <c r="D120" s="88" t="n"/>
      <c r="E120" s="89" t="n"/>
      <c r="F120" s="89" t="n"/>
      <c r="G120" s="89" t="n"/>
      <c r="H120" s="90" t="n"/>
      <c r="I120" s="67" t="n"/>
      <c r="J120" s="81" t="n"/>
      <c r="K120" s="67" t="n"/>
      <c r="W120" s="85">
        <f>IF(AND(B120&lt;&gt;"",I120="Yes",K120&lt;&gt;"Yes",J120&lt;&gt;""),J120,"")</f>
        <v/>
      </c>
      <c r="X120" s="63">
        <f>IF(W120="","",IF(W120&lt;AsOf,1,IF(W120&lt;=AsOf+AlertDays,2,IF(W120&lt;=AsOf+2*AlertDays,3,""))))</f>
        <v/>
      </c>
      <c r="Y120" s="63">
        <f>IF(X120="","","Follow up with "&amp;B120&amp;": "&amp;D120)</f>
        <v/>
      </c>
    </row>
    <row r="121" ht="20" customHeight="1">
      <c r="B121" s="65" t="n"/>
      <c r="C121" s="81" t="n"/>
      <c r="D121" s="88" t="n"/>
      <c r="E121" s="89" t="n"/>
      <c r="F121" s="89" t="n"/>
      <c r="G121" s="89" t="n"/>
      <c r="H121" s="90" t="n"/>
      <c r="I121" s="67" t="n"/>
      <c r="J121" s="81" t="n"/>
      <c r="K121" s="67" t="n"/>
      <c r="W121" s="85">
        <f>IF(AND(B121&lt;&gt;"",I121="Yes",K121&lt;&gt;"Yes",J121&lt;&gt;""),J121,"")</f>
        <v/>
      </c>
      <c r="X121" s="63">
        <f>IF(W121="","",IF(W121&lt;AsOf,1,IF(W121&lt;=AsOf+AlertDays,2,IF(W121&lt;=AsOf+2*AlertDays,3,""))))</f>
        <v/>
      </c>
      <c r="Y121" s="63">
        <f>IF(X121="","","Follow up with "&amp;B121&amp;": "&amp;D121)</f>
        <v/>
      </c>
    </row>
    <row r="122" ht="20" customHeight="1">
      <c r="B122" s="65" t="n"/>
      <c r="C122" s="81" t="n"/>
      <c r="D122" s="88" t="n"/>
      <c r="E122" s="89" t="n"/>
      <c r="F122" s="89" t="n"/>
      <c r="G122" s="89" t="n"/>
      <c r="H122" s="90" t="n"/>
      <c r="I122" s="67" t="n"/>
      <c r="J122" s="81" t="n"/>
      <c r="K122" s="67" t="n"/>
      <c r="W122" s="85">
        <f>IF(AND(B122&lt;&gt;"",I122="Yes",K122&lt;&gt;"Yes",J122&lt;&gt;""),J122,"")</f>
        <v/>
      </c>
      <c r="X122" s="63">
        <f>IF(W122="","",IF(W122&lt;AsOf,1,IF(W122&lt;=AsOf+AlertDays,2,IF(W122&lt;=AsOf+2*AlertDays,3,""))))</f>
        <v/>
      </c>
      <c r="Y122" s="63">
        <f>IF(X122="","","Follow up with "&amp;B122&amp;": "&amp;D122)</f>
        <v/>
      </c>
    </row>
    <row r="123" ht="20" customHeight="1">
      <c r="B123" s="65" t="n"/>
      <c r="C123" s="81" t="n"/>
      <c r="D123" s="88" t="n"/>
      <c r="E123" s="89" t="n"/>
      <c r="F123" s="89" t="n"/>
      <c r="G123" s="89" t="n"/>
      <c r="H123" s="90" t="n"/>
      <c r="I123" s="67" t="n"/>
      <c r="J123" s="81" t="n"/>
      <c r="K123" s="67" t="n"/>
      <c r="W123" s="85">
        <f>IF(AND(B123&lt;&gt;"",I123="Yes",K123&lt;&gt;"Yes",J123&lt;&gt;""),J123,"")</f>
        <v/>
      </c>
      <c r="X123" s="63">
        <f>IF(W123="","",IF(W123&lt;AsOf,1,IF(W123&lt;=AsOf+AlertDays,2,IF(W123&lt;=AsOf+2*AlertDays,3,""))))</f>
        <v/>
      </c>
      <c r="Y123" s="63">
        <f>IF(X123="","","Follow up with "&amp;B123&amp;": "&amp;D123)</f>
        <v/>
      </c>
    </row>
    <row r="124" ht="20" customHeight="1">
      <c r="B124" s="65" t="n"/>
      <c r="C124" s="81" t="n"/>
      <c r="D124" s="88" t="n"/>
      <c r="E124" s="89" t="n"/>
      <c r="F124" s="89" t="n"/>
      <c r="G124" s="89" t="n"/>
      <c r="H124" s="90" t="n"/>
      <c r="I124" s="67" t="n"/>
      <c r="J124" s="81" t="n"/>
      <c r="K124" s="67" t="n"/>
      <c r="W124" s="85">
        <f>IF(AND(B124&lt;&gt;"",I124="Yes",K124&lt;&gt;"Yes",J124&lt;&gt;""),J124,"")</f>
        <v/>
      </c>
      <c r="X124" s="63">
        <f>IF(W124="","",IF(W124&lt;AsOf,1,IF(W124&lt;=AsOf+AlertDays,2,IF(W124&lt;=AsOf+2*AlertDays,3,""))))</f>
        <v/>
      </c>
      <c r="Y124" s="63">
        <f>IF(X124="","","Follow up with "&amp;B124&amp;": "&amp;D124)</f>
        <v/>
      </c>
    </row>
    <row r="125" ht="20" customHeight="1">
      <c r="B125" s="65" t="n"/>
      <c r="C125" s="81" t="n"/>
      <c r="D125" s="88" t="n"/>
      <c r="E125" s="89" t="n"/>
      <c r="F125" s="89" t="n"/>
      <c r="G125" s="89" t="n"/>
      <c r="H125" s="90" t="n"/>
      <c r="I125" s="67" t="n"/>
      <c r="J125" s="81" t="n"/>
      <c r="K125" s="67" t="n"/>
      <c r="W125" s="85">
        <f>IF(AND(B125&lt;&gt;"",I125="Yes",K125&lt;&gt;"Yes",J125&lt;&gt;""),J125,"")</f>
        <v/>
      </c>
      <c r="X125" s="63">
        <f>IF(W125="","",IF(W125&lt;AsOf,1,IF(W125&lt;=AsOf+AlertDays,2,IF(W125&lt;=AsOf+2*AlertDays,3,""))))</f>
        <v/>
      </c>
      <c r="Y125" s="63">
        <f>IF(X125="","","Follow up with "&amp;B125&amp;": "&amp;D125)</f>
        <v/>
      </c>
    </row>
    <row r="126" ht="20" customHeight="1">
      <c r="B126" s="65" t="n"/>
      <c r="C126" s="81" t="n"/>
      <c r="D126" s="88" t="n"/>
      <c r="E126" s="89" t="n"/>
      <c r="F126" s="89" t="n"/>
      <c r="G126" s="89" t="n"/>
      <c r="H126" s="90" t="n"/>
      <c r="I126" s="67" t="n"/>
      <c r="J126" s="81" t="n"/>
      <c r="K126" s="67" t="n"/>
      <c r="W126" s="85">
        <f>IF(AND(B126&lt;&gt;"",I126="Yes",K126&lt;&gt;"Yes",J126&lt;&gt;""),J126,"")</f>
        <v/>
      </c>
      <c r="X126" s="63">
        <f>IF(W126="","",IF(W126&lt;AsOf,1,IF(W126&lt;=AsOf+AlertDays,2,IF(W126&lt;=AsOf+2*AlertDays,3,""))))</f>
        <v/>
      </c>
      <c r="Y126" s="63">
        <f>IF(X126="","","Follow up with "&amp;B126&amp;": "&amp;D126)</f>
        <v/>
      </c>
    </row>
    <row r="127" ht="20" customHeight="1">
      <c r="B127" s="65" t="n"/>
      <c r="C127" s="81" t="n"/>
      <c r="D127" s="88" t="n"/>
      <c r="E127" s="89" t="n"/>
      <c r="F127" s="89" t="n"/>
      <c r="G127" s="89" t="n"/>
      <c r="H127" s="90" t="n"/>
      <c r="I127" s="67" t="n"/>
      <c r="J127" s="81" t="n"/>
      <c r="K127" s="67" t="n"/>
      <c r="W127" s="85">
        <f>IF(AND(B127&lt;&gt;"",I127="Yes",K127&lt;&gt;"Yes",J127&lt;&gt;""),J127,"")</f>
        <v/>
      </c>
      <c r="X127" s="63">
        <f>IF(W127="","",IF(W127&lt;AsOf,1,IF(W127&lt;=AsOf+AlertDays,2,IF(W127&lt;=AsOf+2*AlertDays,3,""))))</f>
        <v/>
      </c>
      <c r="Y127" s="63">
        <f>IF(X127="","","Follow up with "&amp;B127&amp;": "&amp;D127)</f>
        <v/>
      </c>
    </row>
    <row r="128" ht="20" customHeight="1">
      <c r="B128" s="65" t="n"/>
      <c r="C128" s="81" t="n"/>
      <c r="D128" s="88" t="n"/>
      <c r="E128" s="89" t="n"/>
      <c r="F128" s="89" t="n"/>
      <c r="G128" s="89" t="n"/>
      <c r="H128" s="90" t="n"/>
      <c r="I128" s="67" t="n"/>
      <c r="J128" s="81" t="n"/>
      <c r="K128" s="67" t="n"/>
      <c r="W128" s="85">
        <f>IF(AND(B128&lt;&gt;"",I128="Yes",K128&lt;&gt;"Yes",J128&lt;&gt;""),J128,"")</f>
        <v/>
      </c>
      <c r="X128" s="63">
        <f>IF(W128="","",IF(W128&lt;AsOf,1,IF(W128&lt;=AsOf+AlertDays,2,IF(W128&lt;=AsOf+2*AlertDays,3,""))))</f>
        <v/>
      </c>
      <c r="Y128" s="63">
        <f>IF(X128="","","Follow up with "&amp;B128&amp;": "&amp;D128)</f>
        <v/>
      </c>
    </row>
    <row r="129" ht="20" customHeight="1">
      <c r="B129" s="65" t="n"/>
      <c r="C129" s="81" t="n"/>
      <c r="D129" s="88" t="n"/>
      <c r="E129" s="89" t="n"/>
      <c r="F129" s="89" t="n"/>
      <c r="G129" s="89" t="n"/>
      <c r="H129" s="90" t="n"/>
      <c r="I129" s="67" t="n"/>
      <c r="J129" s="81" t="n"/>
      <c r="K129" s="67" t="n"/>
      <c r="W129" s="85">
        <f>IF(AND(B129&lt;&gt;"",I129="Yes",K129&lt;&gt;"Yes",J129&lt;&gt;""),J129,"")</f>
        <v/>
      </c>
      <c r="X129" s="63">
        <f>IF(W129="","",IF(W129&lt;AsOf,1,IF(W129&lt;=AsOf+AlertDays,2,IF(W129&lt;=AsOf+2*AlertDays,3,""))))</f>
        <v/>
      </c>
      <c r="Y129" s="63">
        <f>IF(X129="","","Follow up with "&amp;B129&amp;": "&amp;D129)</f>
        <v/>
      </c>
    </row>
    <row r="130" ht="20" customHeight="1">
      <c r="B130" s="65" t="n"/>
      <c r="C130" s="81" t="n"/>
      <c r="D130" s="88" t="n"/>
      <c r="E130" s="89" t="n"/>
      <c r="F130" s="89" t="n"/>
      <c r="G130" s="89" t="n"/>
      <c r="H130" s="90" t="n"/>
      <c r="I130" s="67" t="n"/>
      <c r="J130" s="81" t="n"/>
      <c r="K130" s="67" t="n"/>
      <c r="W130" s="85">
        <f>IF(AND(B130&lt;&gt;"",I130="Yes",K130&lt;&gt;"Yes",J130&lt;&gt;""),J130,"")</f>
        <v/>
      </c>
      <c r="X130" s="63">
        <f>IF(W130="","",IF(W130&lt;AsOf,1,IF(W130&lt;=AsOf+AlertDays,2,IF(W130&lt;=AsOf+2*AlertDays,3,""))))</f>
        <v/>
      </c>
      <c r="Y130" s="63">
        <f>IF(X130="","","Follow up with "&amp;B130&amp;": "&amp;D130)</f>
        <v/>
      </c>
    </row>
    <row r="131" ht="20" customHeight="1">
      <c r="B131" s="65" t="n"/>
      <c r="C131" s="81" t="n"/>
      <c r="D131" s="88" t="n"/>
      <c r="E131" s="89" t="n"/>
      <c r="F131" s="89" t="n"/>
      <c r="G131" s="89" t="n"/>
      <c r="H131" s="90" t="n"/>
      <c r="I131" s="67" t="n"/>
      <c r="J131" s="81" t="n"/>
      <c r="K131" s="67" t="n"/>
      <c r="W131" s="85">
        <f>IF(AND(B131&lt;&gt;"",I131="Yes",K131&lt;&gt;"Yes",J131&lt;&gt;""),J131,"")</f>
        <v/>
      </c>
      <c r="X131" s="63">
        <f>IF(W131="","",IF(W131&lt;AsOf,1,IF(W131&lt;=AsOf+AlertDays,2,IF(W131&lt;=AsOf+2*AlertDays,3,""))))</f>
        <v/>
      </c>
      <c r="Y131" s="63">
        <f>IF(X131="","","Follow up with "&amp;B131&amp;": "&amp;D131)</f>
        <v/>
      </c>
    </row>
    <row r="132" ht="20" customHeight="1">
      <c r="B132" s="65" t="n"/>
      <c r="C132" s="81" t="n"/>
      <c r="D132" s="88" t="n"/>
      <c r="E132" s="89" t="n"/>
      <c r="F132" s="89" t="n"/>
      <c r="G132" s="89" t="n"/>
      <c r="H132" s="90" t="n"/>
      <c r="I132" s="67" t="n"/>
      <c r="J132" s="81" t="n"/>
      <c r="K132" s="67" t="n"/>
      <c r="W132" s="85">
        <f>IF(AND(B132&lt;&gt;"",I132="Yes",K132&lt;&gt;"Yes",J132&lt;&gt;""),J132,"")</f>
        <v/>
      </c>
      <c r="X132" s="63">
        <f>IF(W132="","",IF(W132&lt;AsOf,1,IF(W132&lt;=AsOf+AlertDays,2,IF(W132&lt;=AsOf+2*AlertDays,3,""))))</f>
        <v/>
      </c>
      <c r="Y132" s="63">
        <f>IF(X132="","","Follow up with "&amp;B132&amp;": "&amp;D132)</f>
        <v/>
      </c>
    </row>
    <row r="133" ht="20" customHeight="1">
      <c r="B133" s="65" t="n"/>
      <c r="C133" s="81" t="n"/>
      <c r="D133" s="88" t="n"/>
      <c r="E133" s="89" t="n"/>
      <c r="F133" s="89" t="n"/>
      <c r="G133" s="89" t="n"/>
      <c r="H133" s="90" t="n"/>
      <c r="I133" s="67" t="n"/>
      <c r="J133" s="81" t="n"/>
      <c r="K133" s="67" t="n"/>
      <c r="W133" s="85">
        <f>IF(AND(B133&lt;&gt;"",I133="Yes",K133&lt;&gt;"Yes",J133&lt;&gt;""),J133,"")</f>
        <v/>
      </c>
      <c r="X133" s="63">
        <f>IF(W133="","",IF(W133&lt;AsOf,1,IF(W133&lt;=AsOf+AlertDays,2,IF(W133&lt;=AsOf+2*AlertDays,3,""))))</f>
        <v/>
      </c>
      <c r="Y133" s="63">
        <f>IF(X133="","","Follow up with "&amp;B133&amp;": "&amp;D133)</f>
        <v/>
      </c>
    </row>
    <row r="134" ht="20" customHeight="1">
      <c r="B134" s="65" t="n"/>
      <c r="C134" s="81" t="n"/>
      <c r="D134" s="88" t="n"/>
      <c r="E134" s="89" t="n"/>
      <c r="F134" s="89" t="n"/>
      <c r="G134" s="89" t="n"/>
      <c r="H134" s="90" t="n"/>
      <c r="I134" s="67" t="n"/>
      <c r="J134" s="81" t="n"/>
      <c r="K134" s="67" t="n"/>
      <c r="W134" s="85">
        <f>IF(AND(B134&lt;&gt;"",I134="Yes",K134&lt;&gt;"Yes",J134&lt;&gt;""),J134,"")</f>
        <v/>
      </c>
      <c r="X134" s="63">
        <f>IF(W134="","",IF(W134&lt;AsOf,1,IF(W134&lt;=AsOf+AlertDays,2,IF(W134&lt;=AsOf+2*AlertDays,3,""))))</f>
        <v/>
      </c>
      <c r="Y134" s="63">
        <f>IF(X134="","","Follow up with "&amp;B134&amp;": "&amp;D134)</f>
        <v/>
      </c>
    </row>
    <row r="135" ht="20" customHeight="1">
      <c r="B135" s="65" t="n"/>
      <c r="C135" s="81" t="n"/>
      <c r="D135" s="88" t="n"/>
      <c r="E135" s="89" t="n"/>
      <c r="F135" s="89" t="n"/>
      <c r="G135" s="89" t="n"/>
      <c r="H135" s="90" t="n"/>
      <c r="I135" s="67" t="n"/>
      <c r="J135" s="81" t="n"/>
      <c r="K135" s="67" t="n"/>
      <c r="W135" s="85">
        <f>IF(AND(B135&lt;&gt;"",I135="Yes",K135&lt;&gt;"Yes",J135&lt;&gt;""),J135,"")</f>
        <v/>
      </c>
      <c r="X135" s="63">
        <f>IF(W135="","",IF(W135&lt;AsOf,1,IF(W135&lt;=AsOf+AlertDays,2,IF(W135&lt;=AsOf+2*AlertDays,3,""))))</f>
        <v/>
      </c>
      <c r="Y135" s="63">
        <f>IF(X135="","","Follow up with "&amp;B135&amp;": "&amp;D135)</f>
        <v/>
      </c>
    </row>
    <row r="136" ht="20" customHeight="1">
      <c r="B136" s="65" t="n"/>
      <c r="C136" s="81" t="n"/>
      <c r="D136" s="88" t="n"/>
      <c r="E136" s="89" t="n"/>
      <c r="F136" s="89" t="n"/>
      <c r="G136" s="89" t="n"/>
      <c r="H136" s="90" t="n"/>
      <c r="I136" s="67" t="n"/>
      <c r="J136" s="81" t="n"/>
      <c r="K136" s="67" t="n"/>
      <c r="W136" s="85">
        <f>IF(AND(B136&lt;&gt;"",I136="Yes",K136&lt;&gt;"Yes",J136&lt;&gt;""),J136,"")</f>
        <v/>
      </c>
      <c r="X136" s="63">
        <f>IF(W136="","",IF(W136&lt;AsOf,1,IF(W136&lt;=AsOf+AlertDays,2,IF(W136&lt;=AsOf+2*AlertDays,3,""))))</f>
        <v/>
      </c>
      <c r="Y136" s="63">
        <f>IF(X136="","","Follow up with "&amp;B136&amp;": "&amp;D136)</f>
        <v/>
      </c>
    </row>
    <row r="137" ht="20" customHeight="1">
      <c r="B137" s="65" t="n"/>
      <c r="C137" s="81" t="n"/>
      <c r="D137" s="88" t="n"/>
      <c r="E137" s="89" t="n"/>
      <c r="F137" s="89" t="n"/>
      <c r="G137" s="89" t="n"/>
      <c r="H137" s="90" t="n"/>
      <c r="I137" s="67" t="n"/>
      <c r="J137" s="81" t="n"/>
      <c r="K137" s="67" t="n"/>
      <c r="W137" s="85">
        <f>IF(AND(B137&lt;&gt;"",I137="Yes",K137&lt;&gt;"Yes",J137&lt;&gt;""),J137,"")</f>
        <v/>
      </c>
      <c r="X137" s="63">
        <f>IF(W137="","",IF(W137&lt;AsOf,1,IF(W137&lt;=AsOf+AlertDays,2,IF(W137&lt;=AsOf+2*AlertDays,3,""))))</f>
        <v/>
      </c>
      <c r="Y137" s="63">
        <f>IF(X137="","","Follow up with "&amp;B137&amp;": "&amp;D137)</f>
        <v/>
      </c>
    </row>
    <row r="138" ht="20" customHeight="1">
      <c r="B138" s="65" t="n"/>
      <c r="C138" s="81" t="n"/>
      <c r="D138" s="88" t="n"/>
      <c r="E138" s="89" t="n"/>
      <c r="F138" s="89" t="n"/>
      <c r="G138" s="89" t="n"/>
      <c r="H138" s="90" t="n"/>
      <c r="I138" s="67" t="n"/>
      <c r="J138" s="81" t="n"/>
      <c r="K138" s="67" t="n"/>
      <c r="W138" s="85">
        <f>IF(AND(B138&lt;&gt;"",I138="Yes",K138&lt;&gt;"Yes",J138&lt;&gt;""),J138,"")</f>
        <v/>
      </c>
      <c r="X138" s="63">
        <f>IF(W138="","",IF(W138&lt;AsOf,1,IF(W138&lt;=AsOf+AlertDays,2,IF(W138&lt;=AsOf+2*AlertDays,3,""))))</f>
        <v/>
      </c>
      <c r="Y138" s="63">
        <f>IF(X138="","","Follow up with "&amp;B138&amp;": "&amp;D138)</f>
        <v/>
      </c>
    </row>
    <row r="139" ht="20" customHeight="1">
      <c r="B139" s="65" t="n"/>
      <c r="C139" s="81" t="n"/>
      <c r="D139" s="88" t="n"/>
      <c r="E139" s="89" t="n"/>
      <c r="F139" s="89" t="n"/>
      <c r="G139" s="89" t="n"/>
      <c r="H139" s="90" t="n"/>
      <c r="I139" s="67" t="n"/>
      <c r="J139" s="81" t="n"/>
      <c r="K139" s="67" t="n"/>
      <c r="W139" s="85">
        <f>IF(AND(B139&lt;&gt;"",I139="Yes",K139&lt;&gt;"Yes",J139&lt;&gt;""),J139,"")</f>
        <v/>
      </c>
      <c r="X139" s="63">
        <f>IF(W139="","",IF(W139&lt;AsOf,1,IF(W139&lt;=AsOf+AlertDays,2,IF(W139&lt;=AsOf+2*AlertDays,3,""))))</f>
        <v/>
      </c>
      <c r="Y139" s="63">
        <f>IF(X139="","","Follow up with "&amp;B139&amp;": "&amp;D139)</f>
        <v/>
      </c>
    </row>
    <row r="140" ht="20" customHeight="1">
      <c r="B140" s="65" t="n"/>
      <c r="C140" s="81" t="n"/>
      <c r="D140" s="88" t="n"/>
      <c r="E140" s="89" t="n"/>
      <c r="F140" s="89" t="n"/>
      <c r="G140" s="89" t="n"/>
      <c r="H140" s="90" t="n"/>
      <c r="I140" s="67" t="n"/>
      <c r="J140" s="81" t="n"/>
      <c r="K140" s="67" t="n"/>
      <c r="W140" s="85">
        <f>IF(AND(B140&lt;&gt;"",I140="Yes",K140&lt;&gt;"Yes",J140&lt;&gt;""),J140,"")</f>
        <v/>
      </c>
      <c r="X140" s="63">
        <f>IF(W140="","",IF(W140&lt;AsOf,1,IF(W140&lt;=AsOf+AlertDays,2,IF(W140&lt;=AsOf+2*AlertDays,3,""))))</f>
        <v/>
      </c>
      <c r="Y140" s="63">
        <f>IF(X140="","","Follow up with "&amp;B140&amp;": "&amp;D140)</f>
        <v/>
      </c>
    </row>
    <row r="141" ht="20" customHeight="1">
      <c r="B141" s="65" t="n"/>
      <c r="C141" s="81" t="n"/>
      <c r="D141" s="88" t="n"/>
      <c r="E141" s="89" t="n"/>
      <c r="F141" s="89" t="n"/>
      <c r="G141" s="89" t="n"/>
      <c r="H141" s="90" t="n"/>
      <c r="I141" s="67" t="n"/>
      <c r="J141" s="81" t="n"/>
      <c r="K141" s="67" t="n"/>
      <c r="W141" s="85">
        <f>IF(AND(B141&lt;&gt;"",I141="Yes",K141&lt;&gt;"Yes",J141&lt;&gt;""),J141,"")</f>
        <v/>
      </c>
      <c r="X141" s="63">
        <f>IF(W141="","",IF(W141&lt;AsOf,1,IF(W141&lt;=AsOf+AlertDays,2,IF(W141&lt;=AsOf+2*AlertDays,3,""))))</f>
        <v/>
      </c>
      <c r="Y141" s="63">
        <f>IF(X141="","","Follow up with "&amp;B141&amp;": "&amp;D141)</f>
        <v/>
      </c>
    </row>
    <row r="142" ht="20" customHeight="1">
      <c r="B142" s="65" t="n"/>
      <c r="C142" s="81" t="n"/>
      <c r="D142" s="88" t="n"/>
      <c r="E142" s="89" t="n"/>
      <c r="F142" s="89" t="n"/>
      <c r="G142" s="89" t="n"/>
      <c r="H142" s="90" t="n"/>
      <c r="I142" s="67" t="n"/>
      <c r="J142" s="81" t="n"/>
      <c r="K142" s="67" t="n"/>
      <c r="W142" s="85">
        <f>IF(AND(B142&lt;&gt;"",I142="Yes",K142&lt;&gt;"Yes",J142&lt;&gt;""),J142,"")</f>
        <v/>
      </c>
      <c r="X142" s="63">
        <f>IF(W142="","",IF(W142&lt;AsOf,1,IF(W142&lt;=AsOf+AlertDays,2,IF(W142&lt;=AsOf+2*AlertDays,3,""))))</f>
        <v/>
      </c>
      <c r="Y142" s="63">
        <f>IF(X142="","","Follow up with "&amp;B142&amp;": "&amp;D142)</f>
        <v/>
      </c>
    </row>
    <row r="143" ht="20" customHeight="1">
      <c r="B143" s="65" t="n"/>
      <c r="C143" s="81" t="n"/>
      <c r="D143" s="88" t="n"/>
      <c r="E143" s="89" t="n"/>
      <c r="F143" s="89" t="n"/>
      <c r="G143" s="89" t="n"/>
      <c r="H143" s="90" t="n"/>
      <c r="I143" s="67" t="n"/>
      <c r="J143" s="81" t="n"/>
      <c r="K143" s="67" t="n"/>
      <c r="W143" s="85">
        <f>IF(AND(B143&lt;&gt;"",I143="Yes",K143&lt;&gt;"Yes",J143&lt;&gt;""),J143,"")</f>
        <v/>
      </c>
      <c r="X143" s="63">
        <f>IF(W143="","",IF(W143&lt;AsOf,1,IF(W143&lt;=AsOf+AlertDays,2,IF(W143&lt;=AsOf+2*AlertDays,3,""))))</f>
        <v/>
      </c>
      <c r="Y143" s="63">
        <f>IF(X143="","","Follow up with "&amp;B143&amp;": "&amp;D143)</f>
        <v/>
      </c>
    </row>
    <row r="144" ht="20" customHeight="1">
      <c r="B144" s="65" t="n"/>
      <c r="C144" s="81" t="n"/>
      <c r="D144" s="88" t="n"/>
      <c r="E144" s="89" t="n"/>
      <c r="F144" s="89" t="n"/>
      <c r="G144" s="89" t="n"/>
      <c r="H144" s="90" t="n"/>
      <c r="I144" s="67" t="n"/>
      <c r="J144" s="81" t="n"/>
      <c r="K144" s="67" t="n"/>
      <c r="W144" s="85">
        <f>IF(AND(B144&lt;&gt;"",I144="Yes",K144&lt;&gt;"Yes",J144&lt;&gt;""),J144,"")</f>
        <v/>
      </c>
      <c r="X144" s="63">
        <f>IF(W144="","",IF(W144&lt;AsOf,1,IF(W144&lt;=AsOf+AlertDays,2,IF(W144&lt;=AsOf+2*AlertDays,3,""))))</f>
        <v/>
      </c>
      <c r="Y144" s="63">
        <f>IF(X144="","","Follow up with "&amp;B144&amp;": "&amp;D144)</f>
        <v/>
      </c>
    </row>
    <row r="145" ht="20" customHeight="1">
      <c r="B145" s="65" t="n"/>
      <c r="C145" s="81" t="n"/>
      <c r="D145" s="88" t="n"/>
      <c r="E145" s="89" t="n"/>
      <c r="F145" s="89" t="n"/>
      <c r="G145" s="89" t="n"/>
      <c r="H145" s="90" t="n"/>
      <c r="I145" s="67" t="n"/>
      <c r="J145" s="81" t="n"/>
      <c r="K145" s="67" t="n"/>
      <c r="W145" s="85">
        <f>IF(AND(B145&lt;&gt;"",I145="Yes",K145&lt;&gt;"Yes",J145&lt;&gt;""),J145,"")</f>
        <v/>
      </c>
      <c r="X145" s="63">
        <f>IF(W145="","",IF(W145&lt;AsOf,1,IF(W145&lt;=AsOf+AlertDays,2,IF(W145&lt;=AsOf+2*AlertDays,3,""))))</f>
        <v/>
      </c>
      <c r="Y145" s="63">
        <f>IF(X145="","","Follow up with "&amp;B145&amp;": "&amp;D145)</f>
        <v/>
      </c>
    </row>
    <row r="146" ht="20" customHeight="1">
      <c r="B146" s="65" t="n"/>
      <c r="C146" s="81" t="n"/>
      <c r="D146" s="88" t="n"/>
      <c r="E146" s="89" t="n"/>
      <c r="F146" s="89" t="n"/>
      <c r="G146" s="89" t="n"/>
      <c r="H146" s="90" t="n"/>
      <c r="I146" s="67" t="n"/>
      <c r="J146" s="81" t="n"/>
      <c r="K146" s="67" t="n"/>
      <c r="W146" s="85">
        <f>IF(AND(B146&lt;&gt;"",I146="Yes",K146&lt;&gt;"Yes",J146&lt;&gt;""),J146,"")</f>
        <v/>
      </c>
      <c r="X146" s="63">
        <f>IF(W146="","",IF(W146&lt;AsOf,1,IF(W146&lt;=AsOf+AlertDays,2,IF(W146&lt;=AsOf+2*AlertDays,3,""))))</f>
        <v/>
      </c>
      <c r="Y146" s="63">
        <f>IF(X146="","","Follow up with "&amp;B146&amp;": "&amp;D146)</f>
        <v/>
      </c>
    </row>
    <row r="147" ht="20" customHeight="1">
      <c r="B147" s="65" t="n"/>
      <c r="C147" s="81" t="n"/>
      <c r="D147" s="88" t="n"/>
      <c r="E147" s="89" t="n"/>
      <c r="F147" s="89" t="n"/>
      <c r="G147" s="89" t="n"/>
      <c r="H147" s="90" t="n"/>
      <c r="I147" s="67" t="n"/>
      <c r="J147" s="81" t="n"/>
      <c r="K147" s="67" t="n"/>
      <c r="W147" s="85">
        <f>IF(AND(B147&lt;&gt;"",I147="Yes",K147&lt;&gt;"Yes",J147&lt;&gt;""),J147,"")</f>
        <v/>
      </c>
      <c r="X147" s="63">
        <f>IF(W147="","",IF(W147&lt;AsOf,1,IF(W147&lt;=AsOf+AlertDays,2,IF(W147&lt;=AsOf+2*AlertDays,3,""))))</f>
        <v/>
      </c>
      <c r="Y147" s="63">
        <f>IF(X147="","","Follow up with "&amp;B147&amp;": "&amp;D147)</f>
        <v/>
      </c>
    </row>
    <row r="148" ht="20" customHeight="1">
      <c r="B148" s="65" t="n"/>
      <c r="C148" s="81" t="n"/>
      <c r="D148" s="88" t="n"/>
      <c r="E148" s="89" t="n"/>
      <c r="F148" s="89" t="n"/>
      <c r="G148" s="89" t="n"/>
      <c r="H148" s="90" t="n"/>
      <c r="I148" s="67" t="n"/>
      <c r="J148" s="81" t="n"/>
      <c r="K148" s="67" t="n"/>
      <c r="W148" s="85">
        <f>IF(AND(B148&lt;&gt;"",I148="Yes",K148&lt;&gt;"Yes",J148&lt;&gt;""),J148,"")</f>
        <v/>
      </c>
      <c r="X148" s="63">
        <f>IF(W148="","",IF(W148&lt;AsOf,1,IF(W148&lt;=AsOf+AlertDays,2,IF(W148&lt;=AsOf+2*AlertDays,3,""))))</f>
        <v/>
      </c>
      <c r="Y148" s="63">
        <f>IF(X148="","","Follow up with "&amp;B148&amp;": "&amp;D148)</f>
        <v/>
      </c>
    </row>
    <row r="149" ht="20" customHeight="1">
      <c r="B149" s="65" t="n"/>
      <c r="C149" s="81" t="n"/>
      <c r="D149" s="88" t="n"/>
      <c r="E149" s="89" t="n"/>
      <c r="F149" s="89" t="n"/>
      <c r="G149" s="89" t="n"/>
      <c r="H149" s="90" t="n"/>
      <c r="I149" s="67" t="n"/>
      <c r="J149" s="81" t="n"/>
      <c r="K149" s="67" t="n"/>
      <c r="W149" s="85">
        <f>IF(AND(B149&lt;&gt;"",I149="Yes",K149&lt;&gt;"Yes",J149&lt;&gt;""),J149,"")</f>
        <v/>
      </c>
      <c r="X149" s="63">
        <f>IF(W149="","",IF(W149&lt;AsOf,1,IF(W149&lt;=AsOf+AlertDays,2,IF(W149&lt;=AsOf+2*AlertDays,3,""))))</f>
        <v/>
      </c>
      <c r="Y149" s="63">
        <f>IF(X149="","","Follow up with "&amp;B149&amp;": "&amp;D149)</f>
        <v/>
      </c>
    </row>
    <row r="150" ht="20" customHeight="1">
      <c r="B150" s="65" t="n"/>
      <c r="C150" s="81" t="n"/>
      <c r="D150" s="88" t="n"/>
      <c r="E150" s="89" t="n"/>
      <c r="F150" s="89" t="n"/>
      <c r="G150" s="89" t="n"/>
      <c r="H150" s="90" t="n"/>
      <c r="I150" s="67" t="n"/>
      <c r="J150" s="81" t="n"/>
      <c r="K150" s="67" t="n"/>
      <c r="W150" s="85">
        <f>IF(AND(B150&lt;&gt;"",I150="Yes",K150&lt;&gt;"Yes",J150&lt;&gt;""),J150,"")</f>
        <v/>
      </c>
      <c r="X150" s="63">
        <f>IF(W150="","",IF(W150&lt;AsOf,1,IF(W150&lt;=AsOf+AlertDays,2,IF(W150&lt;=AsOf+2*AlertDays,3,""))))</f>
        <v/>
      </c>
      <c r="Y150" s="63">
        <f>IF(X150="","","Follow up with "&amp;B150&amp;": "&amp;D150)</f>
        <v/>
      </c>
    </row>
    <row r="151" ht="20" customHeight="1">
      <c r="B151" s="65" t="n"/>
      <c r="C151" s="81" t="n"/>
      <c r="D151" s="88" t="n"/>
      <c r="E151" s="89" t="n"/>
      <c r="F151" s="89" t="n"/>
      <c r="G151" s="89" t="n"/>
      <c r="H151" s="90" t="n"/>
      <c r="I151" s="67" t="n"/>
      <c r="J151" s="81" t="n"/>
      <c r="K151" s="67" t="n"/>
      <c r="W151" s="85">
        <f>IF(AND(B151&lt;&gt;"",I151="Yes",K151&lt;&gt;"Yes",J151&lt;&gt;""),J151,"")</f>
        <v/>
      </c>
      <c r="X151" s="63">
        <f>IF(W151="","",IF(W151&lt;AsOf,1,IF(W151&lt;=AsOf+AlertDays,2,IF(W151&lt;=AsOf+2*AlertDays,3,""))))</f>
        <v/>
      </c>
      <c r="Y151" s="63">
        <f>IF(X151="","","Follow up with "&amp;B151&amp;": "&amp;D151)</f>
        <v/>
      </c>
    </row>
    <row r="152" ht="20" customHeight="1">
      <c r="B152" s="65" t="n"/>
      <c r="C152" s="81" t="n"/>
      <c r="D152" s="88" t="n"/>
      <c r="E152" s="89" t="n"/>
      <c r="F152" s="89" t="n"/>
      <c r="G152" s="89" t="n"/>
      <c r="H152" s="90" t="n"/>
      <c r="I152" s="67" t="n"/>
      <c r="J152" s="81" t="n"/>
      <c r="K152" s="67" t="n"/>
      <c r="W152" s="85">
        <f>IF(AND(B152&lt;&gt;"",I152="Yes",K152&lt;&gt;"Yes",J152&lt;&gt;""),J152,"")</f>
        <v/>
      </c>
      <c r="X152" s="63">
        <f>IF(W152="","",IF(W152&lt;AsOf,1,IF(W152&lt;=AsOf+AlertDays,2,IF(W152&lt;=AsOf+2*AlertDays,3,""))))</f>
        <v/>
      </c>
      <c r="Y152" s="63">
        <f>IF(X152="","","Follow up with "&amp;B152&amp;": "&amp;D152)</f>
        <v/>
      </c>
    </row>
    <row r="153" ht="20" customHeight="1">
      <c r="B153" s="65" t="n"/>
      <c r="C153" s="81" t="n"/>
      <c r="D153" s="88" t="n"/>
      <c r="E153" s="89" t="n"/>
      <c r="F153" s="89" t="n"/>
      <c r="G153" s="89" t="n"/>
      <c r="H153" s="90" t="n"/>
      <c r="I153" s="67" t="n"/>
      <c r="J153" s="81" t="n"/>
      <c r="K153" s="67" t="n"/>
      <c r="W153" s="85">
        <f>IF(AND(B153&lt;&gt;"",I153="Yes",K153&lt;&gt;"Yes",J153&lt;&gt;""),J153,"")</f>
        <v/>
      </c>
      <c r="X153" s="63">
        <f>IF(W153="","",IF(W153&lt;AsOf,1,IF(W153&lt;=AsOf+AlertDays,2,IF(W153&lt;=AsOf+2*AlertDays,3,""))))</f>
        <v/>
      </c>
      <c r="Y153" s="63">
        <f>IF(X153="","","Follow up with "&amp;B153&amp;": "&amp;D153)</f>
        <v/>
      </c>
    </row>
    <row r="154" ht="20" customHeight="1">
      <c r="B154" s="65" t="n"/>
      <c r="C154" s="81" t="n"/>
      <c r="D154" s="88" t="n"/>
      <c r="E154" s="89" t="n"/>
      <c r="F154" s="89" t="n"/>
      <c r="G154" s="89" t="n"/>
      <c r="H154" s="90" t="n"/>
      <c r="I154" s="67" t="n"/>
      <c r="J154" s="81" t="n"/>
      <c r="K154" s="67" t="n"/>
      <c r="W154" s="85">
        <f>IF(AND(B154&lt;&gt;"",I154="Yes",K154&lt;&gt;"Yes",J154&lt;&gt;""),J154,"")</f>
        <v/>
      </c>
      <c r="X154" s="63">
        <f>IF(W154="","",IF(W154&lt;AsOf,1,IF(W154&lt;=AsOf+AlertDays,2,IF(W154&lt;=AsOf+2*AlertDays,3,""))))</f>
        <v/>
      </c>
      <c r="Y154" s="63">
        <f>IF(X154="","","Follow up with "&amp;B154&amp;": "&amp;D154)</f>
        <v/>
      </c>
    </row>
    <row r="155" ht="20" customHeight="1">
      <c r="B155" s="65" t="n"/>
      <c r="C155" s="81" t="n"/>
      <c r="D155" s="88" t="n"/>
      <c r="E155" s="89" t="n"/>
      <c r="F155" s="89" t="n"/>
      <c r="G155" s="89" t="n"/>
      <c r="H155" s="90" t="n"/>
      <c r="I155" s="67" t="n"/>
      <c r="J155" s="81" t="n"/>
      <c r="K155" s="67" t="n"/>
      <c r="W155" s="85">
        <f>IF(AND(B155&lt;&gt;"",I155="Yes",K155&lt;&gt;"Yes",J155&lt;&gt;""),J155,"")</f>
        <v/>
      </c>
      <c r="X155" s="63">
        <f>IF(W155="","",IF(W155&lt;AsOf,1,IF(W155&lt;=AsOf+AlertDays,2,IF(W155&lt;=AsOf+2*AlertDays,3,""))))</f>
        <v/>
      </c>
      <c r="Y155" s="63">
        <f>IF(X155="","","Follow up with "&amp;B155&amp;": "&amp;D155)</f>
        <v/>
      </c>
    </row>
    <row r="156" ht="20" customHeight="1">
      <c r="B156" s="65" t="n"/>
      <c r="C156" s="81" t="n"/>
      <c r="D156" s="88" t="n"/>
      <c r="E156" s="89" t="n"/>
      <c r="F156" s="89" t="n"/>
      <c r="G156" s="89" t="n"/>
      <c r="H156" s="90" t="n"/>
      <c r="I156" s="67" t="n"/>
      <c r="J156" s="81" t="n"/>
      <c r="K156" s="67" t="n"/>
      <c r="W156" s="85">
        <f>IF(AND(B156&lt;&gt;"",I156="Yes",K156&lt;&gt;"Yes",J156&lt;&gt;""),J156,"")</f>
        <v/>
      </c>
      <c r="X156" s="63">
        <f>IF(W156="","",IF(W156&lt;AsOf,1,IF(W156&lt;=AsOf+AlertDays,2,IF(W156&lt;=AsOf+2*AlertDays,3,""))))</f>
        <v/>
      </c>
      <c r="Y156" s="63">
        <f>IF(X156="","","Follow up with "&amp;B156&amp;": "&amp;D156)</f>
        <v/>
      </c>
    </row>
    <row r="157" ht="20" customHeight="1">
      <c r="B157" s="65" t="n"/>
      <c r="C157" s="81" t="n"/>
      <c r="D157" s="88" t="n"/>
      <c r="E157" s="89" t="n"/>
      <c r="F157" s="89" t="n"/>
      <c r="G157" s="89" t="n"/>
      <c r="H157" s="90" t="n"/>
      <c r="I157" s="67" t="n"/>
      <c r="J157" s="81" t="n"/>
      <c r="K157" s="67" t="n"/>
      <c r="W157" s="85">
        <f>IF(AND(B157&lt;&gt;"",I157="Yes",K157&lt;&gt;"Yes",J157&lt;&gt;""),J157,"")</f>
        <v/>
      </c>
      <c r="X157" s="63">
        <f>IF(W157="","",IF(W157&lt;AsOf,1,IF(W157&lt;=AsOf+AlertDays,2,IF(W157&lt;=AsOf+2*AlertDays,3,""))))</f>
        <v/>
      </c>
      <c r="Y157" s="63">
        <f>IF(X157="","","Follow up with "&amp;B157&amp;": "&amp;D157)</f>
        <v/>
      </c>
    </row>
    <row r="158" ht="20" customHeight="1">
      <c r="B158" s="65" t="n"/>
      <c r="C158" s="81" t="n"/>
      <c r="D158" s="88" t="n"/>
      <c r="E158" s="89" t="n"/>
      <c r="F158" s="89" t="n"/>
      <c r="G158" s="89" t="n"/>
      <c r="H158" s="90" t="n"/>
      <c r="I158" s="67" t="n"/>
      <c r="J158" s="81" t="n"/>
      <c r="K158" s="67" t="n"/>
      <c r="W158" s="85">
        <f>IF(AND(B158&lt;&gt;"",I158="Yes",K158&lt;&gt;"Yes",J158&lt;&gt;""),J158,"")</f>
        <v/>
      </c>
      <c r="X158" s="63">
        <f>IF(W158="","",IF(W158&lt;AsOf,1,IF(W158&lt;=AsOf+AlertDays,2,IF(W158&lt;=AsOf+2*AlertDays,3,""))))</f>
        <v/>
      </c>
      <c r="Y158" s="63">
        <f>IF(X158="","","Follow up with "&amp;B158&amp;": "&amp;D158)</f>
        <v/>
      </c>
    </row>
    <row r="159" ht="20" customHeight="1">
      <c r="B159" s="65" t="n"/>
      <c r="C159" s="81" t="n"/>
      <c r="D159" s="88" t="n"/>
      <c r="E159" s="89" t="n"/>
      <c r="F159" s="89" t="n"/>
      <c r="G159" s="89" t="n"/>
      <c r="H159" s="90" t="n"/>
      <c r="I159" s="67" t="n"/>
      <c r="J159" s="81" t="n"/>
      <c r="K159" s="67" t="n"/>
      <c r="W159" s="85">
        <f>IF(AND(B159&lt;&gt;"",I159="Yes",K159&lt;&gt;"Yes",J159&lt;&gt;""),J159,"")</f>
        <v/>
      </c>
      <c r="X159" s="63">
        <f>IF(W159="","",IF(W159&lt;AsOf,1,IF(W159&lt;=AsOf+AlertDays,2,IF(W159&lt;=AsOf+2*AlertDays,3,""))))</f>
        <v/>
      </c>
      <c r="Y159" s="63">
        <f>IF(X159="","","Follow up with "&amp;B159&amp;": "&amp;D159)</f>
        <v/>
      </c>
    </row>
    <row r="160" ht="20" customHeight="1">
      <c r="B160" s="65" t="n"/>
      <c r="C160" s="81" t="n"/>
      <c r="D160" s="88" t="n"/>
      <c r="E160" s="89" t="n"/>
      <c r="F160" s="89" t="n"/>
      <c r="G160" s="89" t="n"/>
      <c r="H160" s="90" t="n"/>
      <c r="I160" s="67" t="n"/>
      <c r="J160" s="81" t="n"/>
      <c r="K160" s="67" t="n"/>
      <c r="W160" s="85">
        <f>IF(AND(B160&lt;&gt;"",I160="Yes",K160&lt;&gt;"Yes",J160&lt;&gt;""),J160,"")</f>
        <v/>
      </c>
      <c r="X160" s="63">
        <f>IF(W160="","",IF(W160&lt;AsOf,1,IF(W160&lt;=AsOf+AlertDays,2,IF(W160&lt;=AsOf+2*AlertDays,3,""))))</f>
        <v/>
      </c>
      <c r="Y160" s="63">
        <f>IF(X160="","","Follow up with "&amp;B160&amp;": "&amp;D160)</f>
        <v/>
      </c>
    </row>
    <row r="161" ht="20" customHeight="1">
      <c r="B161" s="65" t="n"/>
      <c r="C161" s="81" t="n"/>
      <c r="D161" s="88" t="n"/>
      <c r="E161" s="89" t="n"/>
      <c r="F161" s="89" t="n"/>
      <c r="G161" s="89" t="n"/>
      <c r="H161" s="90" t="n"/>
      <c r="I161" s="67" t="n"/>
      <c r="J161" s="81" t="n"/>
      <c r="K161" s="67" t="n"/>
      <c r="W161" s="85">
        <f>IF(AND(B161&lt;&gt;"",I161="Yes",K161&lt;&gt;"Yes",J161&lt;&gt;""),J161,"")</f>
        <v/>
      </c>
      <c r="X161" s="63">
        <f>IF(W161="","",IF(W161&lt;AsOf,1,IF(W161&lt;=AsOf+AlertDays,2,IF(W161&lt;=AsOf+2*AlertDays,3,""))))</f>
        <v/>
      </c>
      <c r="Y161" s="63">
        <f>IF(X161="","","Follow up with "&amp;B161&amp;": "&amp;D161)</f>
        <v/>
      </c>
    </row>
    <row r="162" ht="20" customHeight="1">
      <c r="B162" s="65" t="n"/>
      <c r="C162" s="81" t="n"/>
      <c r="D162" s="88" t="n"/>
      <c r="E162" s="89" t="n"/>
      <c r="F162" s="89" t="n"/>
      <c r="G162" s="89" t="n"/>
      <c r="H162" s="90" t="n"/>
      <c r="I162" s="67" t="n"/>
      <c r="J162" s="81" t="n"/>
      <c r="K162" s="67" t="n"/>
      <c r="W162" s="85">
        <f>IF(AND(B162&lt;&gt;"",I162="Yes",K162&lt;&gt;"Yes",J162&lt;&gt;""),J162,"")</f>
        <v/>
      </c>
      <c r="X162" s="63">
        <f>IF(W162="","",IF(W162&lt;AsOf,1,IF(W162&lt;=AsOf+AlertDays,2,IF(W162&lt;=AsOf+2*AlertDays,3,""))))</f>
        <v/>
      </c>
      <c r="Y162" s="63">
        <f>IF(X162="","","Follow up with "&amp;B162&amp;": "&amp;D162)</f>
        <v/>
      </c>
    </row>
    <row r="163" ht="20" customHeight="1">
      <c r="B163" s="65" t="n"/>
      <c r="C163" s="81" t="n"/>
      <c r="D163" s="88" t="n"/>
      <c r="E163" s="89" t="n"/>
      <c r="F163" s="89" t="n"/>
      <c r="G163" s="89" t="n"/>
      <c r="H163" s="90" t="n"/>
      <c r="I163" s="67" t="n"/>
      <c r="J163" s="81" t="n"/>
      <c r="K163" s="67" t="n"/>
      <c r="W163" s="85">
        <f>IF(AND(B163&lt;&gt;"",I163="Yes",K163&lt;&gt;"Yes",J163&lt;&gt;""),J163,"")</f>
        <v/>
      </c>
      <c r="X163" s="63">
        <f>IF(W163="","",IF(W163&lt;AsOf,1,IF(W163&lt;=AsOf+AlertDays,2,IF(W163&lt;=AsOf+2*AlertDays,3,""))))</f>
        <v/>
      </c>
      <c r="Y163" s="63">
        <f>IF(X163="","","Follow up with "&amp;B163&amp;": "&amp;D163)</f>
        <v/>
      </c>
    </row>
    <row r="164" ht="20" customHeight="1">
      <c r="B164" s="65" t="n"/>
      <c r="C164" s="81" t="n"/>
      <c r="D164" s="88" t="n"/>
      <c r="E164" s="89" t="n"/>
      <c r="F164" s="89" t="n"/>
      <c r="G164" s="89" t="n"/>
      <c r="H164" s="90" t="n"/>
      <c r="I164" s="67" t="n"/>
      <c r="J164" s="81" t="n"/>
      <c r="K164" s="67" t="n"/>
      <c r="W164" s="85">
        <f>IF(AND(B164&lt;&gt;"",I164="Yes",K164&lt;&gt;"Yes",J164&lt;&gt;""),J164,"")</f>
        <v/>
      </c>
      <c r="X164" s="63">
        <f>IF(W164="","",IF(W164&lt;AsOf,1,IF(W164&lt;=AsOf+AlertDays,2,IF(W164&lt;=AsOf+2*AlertDays,3,""))))</f>
        <v/>
      </c>
      <c r="Y164" s="63">
        <f>IF(X164="","","Follow up with "&amp;B164&amp;": "&amp;D164)</f>
        <v/>
      </c>
    </row>
    <row r="165" ht="20" customHeight="1">
      <c r="B165" s="65" t="n"/>
      <c r="C165" s="81" t="n"/>
      <c r="D165" s="88" t="n"/>
      <c r="E165" s="89" t="n"/>
      <c r="F165" s="89" t="n"/>
      <c r="G165" s="89" t="n"/>
      <c r="H165" s="90" t="n"/>
      <c r="I165" s="67" t="n"/>
      <c r="J165" s="81" t="n"/>
      <c r="K165" s="67" t="n"/>
      <c r="W165" s="85">
        <f>IF(AND(B165&lt;&gt;"",I165="Yes",K165&lt;&gt;"Yes",J165&lt;&gt;""),J165,"")</f>
        <v/>
      </c>
      <c r="X165" s="63">
        <f>IF(W165="","",IF(W165&lt;AsOf,1,IF(W165&lt;=AsOf+AlertDays,2,IF(W165&lt;=AsOf+2*AlertDays,3,""))))</f>
        <v/>
      </c>
      <c r="Y165" s="63">
        <f>IF(X165="","","Follow up with "&amp;B165&amp;": "&amp;D165)</f>
        <v/>
      </c>
    </row>
    <row r="166" ht="20" customHeight="1">
      <c r="B166" s="65" t="n"/>
      <c r="C166" s="81" t="n"/>
      <c r="D166" s="88" t="n"/>
      <c r="E166" s="89" t="n"/>
      <c r="F166" s="89" t="n"/>
      <c r="G166" s="89" t="n"/>
      <c r="H166" s="90" t="n"/>
      <c r="I166" s="67" t="n"/>
      <c r="J166" s="81" t="n"/>
      <c r="K166" s="67" t="n"/>
      <c r="W166" s="85">
        <f>IF(AND(B166&lt;&gt;"",I166="Yes",K166&lt;&gt;"Yes",J166&lt;&gt;""),J166,"")</f>
        <v/>
      </c>
      <c r="X166" s="63">
        <f>IF(W166="","",IF(W166&lt;AsOf,1,IF(W166&lt;=AsOf+AlertDays,2,IF(W166&lt;=AsOf+2*AlertDays,3,""))))</f>
        <v/>
      </c>
      <c r="Y166" s="63">
        <f>IF(X166="","","Follow up with "&amp;B166&amp;": "&amp;D166)</f>
        <v/>
      </c>
    </row>
    <row r="167" ht="20" customHeight="1">
      <c r="B167" s="65" t="n"/>
      <c r="C167" s="81" t="n"/>
      <c r="D167" s="88" t="n"/>
      <c r="E167" s="89" t="n"/>
      <c r="F167" s="89" t="n"/>
      <c r="G167" s="89" t="n"/>
      <c r="H167" s="90" t="n"/>
      <c r="I167" s="67" t="n"/>
      <c r="J167" s="81" t="n"/>
      <c r="K167" s="67" t="n"/>
      <c r="W167" s="85">
        <f>IF(AND(B167&lt;&gt;"",I167="Yes",K167&lt;&gt;"Yes",J167&lt;&gt;""),J167,"")</f>
        <v/>
      </c>
      <c r="X167" s="63">
        <f>IF(W167="","",IF(W167&lt;AsOf,1,IF(W167&lt;=AsOf+AlertDays,2,IF(W167&lt;=AsOf+2*AlertDays,3,""))))</f>
        <v/>
      </c>
      <c r="Y167" s="63">
        <f>IF(X167="","","Follow up with "&amp;B167&amp;": "&amp;D167)</f>
        <v/>
      </c>
    </row>
    <row r="168" ht="20" customHeight="1">
      <c r="B168" s="65" t="n"/>
      <c r="C168" s="81" t="n"/>
      <c r="D168" s="88" t="n"/>
      <c r="E168" s="89" t="n"/>
      <c r="F168" s="89" t="n"/>
      <c r="G168" s="89" t="n"/>
      <c r="H168" s="90" t="n"/>
      <c r="I168" s="67" t="n"/>
      <c r="J168" s="81" t="n"/>
      <c r="K168" s="67" t="n"/>
      <c r="W168" s="85">
        <f>IF(AND(B168&lt;&gt;"",I168="Yes",K168&lt;&gt;"Yes",J168&lt;&gt;""),J168,"")</f>
        <v/>
      </c>
      <c r="X168" s="63">
        <f>IF(W168="","",IF(W168&lt;AsOf,1,IF(W168&lt;=AsOf+AlertDays,2,IF(W168&lt;=AsOf+2*AlertDays,3,""))))</f>
        <v/>
      </c>
      <c r="Y168" s="63">
        <f>IF(X168="","","Follow up with "&amp;B168&amp;": "&amp;D168)</f>
        <v/>
      </c>
    </row>
    <row r="169" ht="20" customHeight="1">
      <c r="B169" s="65" t="n"/>
      <c r="C169" s="81" t="n"/>
      <c r="D169" s="88" t="n"/>
      <c r="E169" s="89" t="n"/>
      <c r="F169" s="89" t="n"/>
      <c r="G169" s="89" t="n"/>
      <c r="H169" s="90" t="n"/>
      <c r="I169" s="67" t="n"/>
      <c r="J169" s="81" t="n"/>
      <c r="K169" s="67" t="n"/>
      <c r="W169" s="85">
        <f>IF(AND(B169&lt;&gt;"",I169="Yes",K169&lt;&gt;"Yes",J169&lt;&gt;""),J169,"")</f>
        <v/>
      </c>
      <c r="X169" s="63">
        <f>IF(W169="","",IF(W169&lt;AsOf,1,IF(W169&lt;=AsOf+AlertDays,2,IF(W169&lt;=AsOf+2*AlertDays,3,""))))</f>
        <v/>
      </c>
      <c r="Y169" s="63">
        <f>IF(X169="","","Follow up with "&amp;B169&amp;": "&amp;D169)</f>
        <v/>
      </c>
    </row>
    <row r="170" ht="20" customHeight="1">
      <c r="B170" s="65" t="n"/>
      <c r="C170" s="81" t="n"/>
      <c r="D170" s="88" t="n"/>
      <c r="E170" s="89" t="n"/>
      <c r="F170" s="89" t="n"/>
      <c r="G170" s="89" t="n"/>
      <c r="H170" s="90" t="n"/>
      <c r="I170" s="67" t="n"/>
      <c r="J170" s="81" t="n"/>
      <c r="K170" s="67" t="n"/>
      <c r="W170" s="85">
        <f>IF(AND(B170&lt;&gt;"",I170="Yes",K170&lt;&gt;"Yes",J170&lt;&gt;""),J170,"")</f>
        <v/>
      </c>
      <c r="X170" s="63">
        <f>IF(W170="","",IF(W170&lt;AsOf,1,IF(W170&lt;=AsOf+AlertDays,2,IF(W170&lt;=AsOf+2*AlertDays,3,""))))</f>
        <v/>
      </c>
      <c r="Y170" s="63">
        <f>IF(X170="","","Follow up with "&amp;B170&amp;": "&amp;D170)</f>
        <v/>
      </c>
    </row>
    <row r="171" ht="20" customHeight="1">
      <c r="B171" s="65" t="n"/>
      <c r="C171" s="81" t="n"/>
      <c r="D171" s="88" t="n"/>
      <c r="E171" s="89" t="n"/>
      <c r="F171" s="89" t="n"/>
      <c r="G171" s="89" t="n"/>
      <c r="H171" s="90" t="n"/>
      <c r="I171" s="67" t="n"/>
      <c r="J171" s="81" t="n"/>
      <c r="K171" s="67" t="n"/>
      <c r="W171" s="85">
        <f>IF(AND(B171&lt;&gt;"",I171="Yes",K171&lt;&gt;"Yes",J171&lt;&gt;""),J171,"")</f>
        <v/>
      </c>
      <c r="X171" s="63">
        <f>IF(W171="","",IF(W171&lt;AsOf,1,IF(W171&lt;=AsOf+AlertDays,2,IF(W171&lt;=AsOf+2*AlertDays,3,""))))</f>
        <v/>
      </c>
      <c r="Y171" s="63">
        <f>IF(X171="","","Follow up with "&amp;B171&amp;": "&amp;D171)</f>
        <v/>
      </c>
    </row>
    <row r="172" ht="20" customHeight="1">
      <c r="B172" s="65" t="n"/>
      <c r="C172" s="81" t="n"/>
      <c r="D172" s="88" t="n"/>
      <c r="E172" s="89" t="n"/>
      <c r="F172" s="89" t="n"/>
      <c r="G172" s="89" t="n"/>
      <c r="H172" s="90" t="n"/>
      <c r="I172" s="67" t="n"/>
      <c r="J172" s="81" t="n"/>
      <c r="K172" s="67" t="n"/>
      <c r="W172" s="85">
        <f>IF(AND(B172&lt;&gt;"",I172="Yes",K172&lt;&gt;"Yes",J172&lt;&gt;""),J172,"")</f>
        <v/>
      </c>
      <c r="X172" s="63">
        <f>IF(W172="","",IF(W172&lt;AsOf,1,IF(W172&lt;=AsOf+AlertDays,2,IF(W172&lt;=AsOf+2*AlertDays,3,""))))</f>
        <v/>
      </c>
      <c r="Y172" s="63">
        <f>IF(X172="","","Follow up with "&amp;B172&amp;": "&amp;D172)</f>
        <v/>
      </c>
    </row>
    <row r="173" ht="20" customHeight="1">
      <c r="B173" s="65" t="n"/>
      <c r="C173" s="81" t="n"/>
      <c r="D173" s="88" t="n"/>
      <c r="E173" s="89" t="n"/>
      <c r="F173" s="89" t="n"/>
      <c r="G173" s="89" t="n"/>
      <c r="H173" s="90" t="n"/>
      <c r="I173" s="67" t="n"/>
      <c r="J173" s="81" t="n"/>
      <c r="K173" s="67" t="n"/>
      <c r="W173" s="85">
        <f>IF(AND(B173&lt;&gt;"",I173="Yes",K173&lt;&gt;"Yes",J173&lt;&gt;""),J173,"")</f>
        <v/>
      </c>
      <c r="X173" s="63">
        <f>IF(W173="","",IF(W173&lt;AsOf,1,IF(W173&lt;=AsOf+AlertDays,2,IF(W173&lt;=AsOf+2*AlertDays,3,""))))</f>
        <v/>
      </c>
      <c r="Y173" s="63">
        <f>IF(X173="","","Follow up with "&amp;B173&amp;": "&amp;D173)</f>
        <v/>
      </c>
    </row>
    <row r="174" ht="20" customHeight="1">
      <c r="B174" s="65" t="n"/>
      <c r="C174" s="81" t="n"/>
      <c r="D174" s="88" t="n"/>
      <c r="E174" s="89" t="n"/>
      <c r="F174" s="89" t="n"/>
      <c r="G174" s="89" t="n"/>
      <c r="H174" s="90" t="n"/>
      <c r="I174" s="67" t="n"/>
      <c r="J174" s="81" t="n"/>
      <c r="K174" s="67" t="n"/>
      <c r="W174" s="85">
        <f>IF(AND(B174&lt;&gt;"",I174="Yes",K174&lt;&gt;"Yes",J174&lt;&gt;""),J174,"")</f>
        <v/>
      </c>
      <c r="X174" s="63">
        <f>IF(W174="","",IF(W174&lt;AsOf,1,IF(W174&lt;=AsOf+AlertDays,2,IF(W174&lt;=AsOf+2*AlertDays,3,""))))</f>
        <v/>
      </c>
      <c r="Y174" s="63">
        <f>IF(X174="","","Follow up with "&amp;B174&amp;": "&amp;D174)</f>
        <v/>
      </c>
    </row>
    <row r="175" ht="20" customHeight="1">
      <c r="B175" s="65" t="n"/>
      <c r="C175" s="81" t="n"/>
      <c r="D175" s="88" t="n"/>
      <c r="E175" s="89" t="n"/>
      <c r="F175" s="89" t="n"/>
      <c r="G175" s="89" t="n"/>
      <c r="H175" s="90" t="n"/>
      <c r="I175" s="67" t="n"/>
      <c r="J175" s="81" t="n"/>
      <c r="K175" s="67" t="n"/>
      <c r="W175" s="85">
        <f>IF(AND(B175&lt;&gt;"",I175="Yes",K175&lt;&gt;"Yes",J175&lt;&gt;""),J175,"")</f>
        <v/>
      </c>
      <c r="X175" s="63">
        <f>IF(W175="","",IF(W175&lt;AsOf,1,IF(W175&lt;=AsOf+AlertDays,2,IF(W175&lt;=AsOf+2*AlertDays,3,""))))</f>
        <v/>
      </c>
      <c r="Y175" s="63">
        <f>IF(X175="","","Follow up with "&amp;B175&amp;": "&amp;D175)</f>
        <v/>
      </c>
    </row>
    <row r="176" ht="20" customHeight="1">
      <c r="B176" s="65" t="n"/>
      <c r="C176" s="81" t="n"/>
      <c r="D176" s="88" t="n"/>
      <c r="E176" s="89" t="n"/>
      <c r="F176" s="89" t="n"/>
      <c r="G176" s="89" t="n"/>
      <c r="H176" s="90" t="n"/>
      <c r="I176" s="67" t="n"/>
      <c r="J176" s="81" t="n"/>
      <c r="K176" s="67" t="n"/>
      <c r="W176" s="85">
        <f>IF(AND(B176&lt;&gt;"",I176="Yes",K176&lt;&gt;"Yes",J176&lt;&gt;""),J176,"")</f>
        <v/>
      </c>
      <c r="X176" s="63">
        <f>IF(W176="","",IF(W176&lt;AsOf,1,IF(W176&lt;=AsOf+AlertDays,2,IF(W176&lt;=AsOf+2*AlertDays,3,""))))</f>
        <v/>
      </c>
      <c r="Y176" s="63">
        <f>IF(X176="","","Follow up with "&amp;B176&amp;": "&amp;D176)</f>
        <v/>
      </c>
    </row>
    <row r="177" ht="20" customHeight="1">
      <c r="B177" s="65" t="n"/>
      <c r="C177" s="81" t="n"/>
      <c r="D177" s="88" t="n"/>
      <c r="E177" s="89" t="n"/>
      <c r="F177" s="89" t="n"/>
      <c r="G177" s="89" t="n"/>
      <c r="H177" s="90" t="n"/>
      <c r="I177" s="67" t="n"/>
      <c r="J177" s="81" t="n"/>
      <c r="K177" s="67" t="n"/>
      <c r="W177" s="85">
        <f>IF(AND(B177&lt;&gt;"",I177="Yes",K177&lt;&gt;"Yes",J177&lt;&gt;""),J177,"")</f>
        <v/>
      </c>
      <c r="X177" s="63">
        <f>IF(W177="","",IF(W177&lt;AsOf,1,IF(W177&lt;=AsOf+AlertDays,2,IF(W177&lt;=AsOf+2*AlertDays,3,""))))</f>
        <v/>
      </c>
      <c r="Y177" s="63">
        <f>IF(X177="","","Follow up with "&amp;B177&amp;": "&amp;D177)</f>
        <v/>
      </c>
    </row>
    <row r="178" ht="20" customHeight="1">
      <c r="B178" s="65" t="n"/>
      <c r="C178" s="81" t="n"/>
      <c r="D178" s="88" t="n"/>
      <c r="E178" s="89" t="n"/>
      <c r="F178" s="89" t="n"/>
      <c r="G178" s="89" t="n"/>
      <c r="H178" s="90" t="n"/>
      <c r="I178" s="67" t="n"/>
      <c r="J178" s="81" t="n"/>
      <c r="K178" s="67" t="n"/>
      <c r="W178" s="85">
        <f>IF(AND(B178&lt;&gt;"",I178="Yes",K178&lt;&gt;"Yes",J178&lt;&gt;""),J178,"")</f>
        <v/>
      </c>
      <c r="X178" s="63">
        <f>IF(W178="","",IF(W178&lt;AsOf,1,IF(W178&lt;=AsOf+AlertDays,2,IF(W178&lt;=AsOf+2*AlertDays,3,""))))</f>
        <v/>
      </c>
      <c r="Y178" s="63">
        <f>IF(X178="","","Follow up with "&amp;B178&amp;": "&amp;D178)</f>
        <v/>
      </c>
    </row>
    <row r="179" ht="20" customHeight="1">
      <c r="B179" s="65" t="n"/>
      <c r="C179" s="81" t="n"/>
      <c r="D179" s="88" t="n"/>
      <c r="E179" s="89" t="n"/>
      <c r="F179" s="89" t="n"/>
      <c r="G179" s="89" t="n"/>
      <c r="H179" s="90" t="n"/>
      <c r="I179" s="67" t="n"/>
      <c r="J179" s="81" t="n"/>
      <c r="K179" s="67" t="n"/>
      <c r="W179" s="85">
        <f>IF(AND(B179&lt;&gt;"",I179="Yes",K179&lt;&gt;"Yes",J179&lt;&gt;""),J179,"")</f>
        <v/>
      </c>
      <c r="X179" s="63">
        <f>IF(W179="","",IF(W179&lt;AsOf,1,IF(W179&lt;=AsOf+AlertDays,2,IF(W179&lt;=AsOf+2*AlertDays,3,""))))</f>
        <v/>
      </c>
      <c r="Y179" s="63">
        <f>IF(X179="","","Follow up with "&amp;B179&amp;": "&amp;D179)</f>
        <v/>
      </c>
    </row>
    <row r="180" ht="20" customHeight="1">
      <c r="B180" s="65" t="n"/>
      <c r="C180" s="81" t="n"/>
      <c r="D180" s="88" t="n"/>
      <c r="E180" s="89" t="n"/>
      <c r="F180" s="89" t="n"/>
      <c r="G180" s="89" t="n"/>
      <c r="H180" s="90" t="n"/>
      <c r="I180" s="67" t="n"/>
      <c r="J180" s="81" t="n"/>
      <c r="K180" s="67" t="n"/>
      <c r="W180" s="85">
        <f>IF(AND(B180&lt;&gt;"",I180="Yes",K180&lt;&gt;"Yes",J180&lt;&gt;""),J180,"")</f>
        <v/>
      </c>
      <c r="X180" s="63">
        <f>IF(W180="","",IF(W180&lt;AsOf,1,IF(W180&lt;=AsOf+AlertDays,2,IF(W180&lt;=AsOf+2*AlertDays,3,""))))</f>
        <v/>
      </c>
      <c r="Y180" s="63">
        <f>IF(X180="","","Follow up with "&amp;B180&amp;": "&amp;D180)</f>
        <v/>
      </c>
    </row>
    <row r="181" ht="20" customHeight="1">
      <c r="B181" s="65" t="n"/>
      <c r="C181" s="81" t="n"/>
      <c r="D181" s="88" t="n"/>
      <c r="E181" s="89" t="n"/>
      <c r="F181" s="89" t="n"/>
      <c r="G181" s="89" t="n"/>
      <c r="H181" s="90" t="n"/>
      <c r="I181" s="67" t="n"/>
      <c r="J181" s="81" t="n"/>
      <c r="K181" s="67" t="n"/>
      <c r="W181" s="85">
        <f>IF(AND(B181&lt;&gt;"",I181="Yes",K181&lt;&gt;"Yes",J181&lt;&gt;""),J181,"")</f>
        <v/>
      </c>
      <c r="X181" s="63">
        <f>IF(W181="","",IF(W181&lt;AsOf,1,IF(W181&lt;=AsOf+AlertDays,2,IF(W181&lt;=AsOf+2*AlertDays,3,""))))</f>
        <v/>
      </c>
      <c r="Y181" s="63">
        <f>IF(X181="","","Follow up with "&amp;B181&amp;": "&amp;D181)</f>
        <v/>
      </c>
    </row>
    <row r="182" ht="20" customHeight="1">
      <c r="B182" s="65" t="n"/>
      <c r="C182" s="81" t="n"/>
      <c r="D182" s="88" t="n"/>
      <c r="E182" s="89" t="n"/>
      <c r="F182" s="89" t="n"/>
      <c r="G182" s="89" t="n"/>
      <c r="H182" s="90" t="n"/>
      <c r="I182" s="67" t="n"/>
      <c r="J182" s="81" t="n"/>
      <c r="K182" s="67" t="n"/>
      <c r="W182" s="85">
        <f>IF(AND(B182&lt;&gt;"",I182="Yes",K182&lt;&gt;"Yes",J182&lt;&gt;""),J182,"")</f>
        <v/>
      </c>
      <c r="X182" s="63">
        <f>IF(W182="","",IF(W182&lt;AsOf,1,IF(W182&lt;=AsOf+AlertDays,2,IF(W182&lt;=AsOf+2*AlertDays,3,""))))</f>
        <v/>
      </c>
      <c r="Y182" s="63">
        <f>IF(X182="","","Follow up with "&amp;B182&amp;": "&amp;D182)</f>
        <v/>
      </c>
    </row>
    <row r="183" ht="20" customHeight="1">
      <c r="B183" s="65" t="n"/>
      <c r="C183" s="81" t="n"/>
      <c r="D183" s="88" t="n"/>
      <c r="E183" s="89" t="n"/>
      <c r="F183" s="89" t="n"/>
      <c r="G183" s="89" t="n"/>
      <c r="H183" s="90" t="n"/>
      <c r="I183" s="67" t="n"/>
      <c r="J183" s="81" t="n"/>
      <c r="K183" s="67" t="n"/>
      <c r="W183" s="85">
        <f>IF(AND(B183&lt;&gt;"",I183="Yes",K183&lt;&gt;"Yes",J183&lt;&gt;""),J183,"")</f>
        <v/>
      </c>
      <c r="X183" s="63">
        <f>IF(W183="","",IF(W183&lt;AsOf,1,IF(W183&lt;=AsOf+AlertDays,2,IF(W183&lt;=AsOf+2*AlertDays,3,""))))</f>
        <v/>
      </c>
      <c r="Y183" s="63">
        <f>IF(X183="","","Follow up with "&amp;B183&amp;": "&amp;D183)</f>
        <v/>
      </c>
    </row>
    <row r="184" ht="20" customHeight="1">
      <c r="B184" s="65" t="n"/>
      <c r="C184" s="81" t="n"/>
      <c r="D184" s="88" t="n"/>
      <c r="E184" s="89" t="n"/>
      <c r="F184" s="89" t="n"/>
      <c r="G184" s="89" t="n"/>
      <c r="H184" s="90" t="n"/>
      <c r="I184" s="67" t="n"/>
      <c r="J184" s="81" t="n"/>
      <c r="K184" s="67" t="n"/>
      <c r="W184" s="85">
        <f>IF(AND(B184&lt;&gt;"",I184="Yes",K184&lt;&gt;"Yes",J184&lt;&gt;""),J184,"")</f>
        <v/>
      </c>
      <c r="X184" s="63">
        <f>IF(W184="","",IF(W184&lt;AsOf,1,IF(W184&lt;=AsOf+AlertDays,2,IF(W184&lt;=AsOf+2*AlertDays,3,""))))</f>
        <v/>
      </c>
      <c r="Y184" s="63">
        <f>IF(X184="","","Follow up with "&amp;B184&amp;": "&amp;D184)</f>
        <v/>
      </c>
    </row>
    <row r="185" ht="20" customHeight="1">
      <c r="B185" s="65" t="n"/>
      <c r="C185" s="81" t="n"/>
      <c r="D185" s="88" t="n"/>
      <c r="E185" s="89" t="n"/>
      <c r="F185" s="89" t="n"/>
      <c r="G185" s="89" t="n"/>
      <c r="H185" s="90" t="n"/>
      <c r="I185" s="67" t="n"/>
      <c r="J185" s="81" t="n"/>
      <c r="K185" s="67" t="n"/>
      <c r="W185" s="85">
        <f>IF(AND(B185&lt;&gt;"",I185="Yes",K185&lt;&gt;"Yes",J185&lt;&gt;""),J185,"")</f>
        <v/>
      </c>
      <c r="X185" s="63">
        <f>IF(W185="","",IF(W185&lt;AsOf,1,IF(W185&lt;=AsOf+AlertDays,2,IF(W185&lt;=AsOf+2*AlertDays,3,""))))</f>
        <v/>
      </c>
      <c r="Y185" s="63">
        <f>IF(X185="","","Follow up with "&amp;B185&amp;": "&amp;D185)</f>
        <v/>
      </c>
    </row>
    <row r="186" ht="20" customHeight="1">
      <c r="B186" s="65" t="n"/>
      <c r="C186" s="81" t="n"/>
      <c r="D186" s="88" t="n"/>
      <c r="E186" s="89" t="n"/>
      <c r="F186" s="89" t="n"/>
      <c r="G186" s="89" t="n"/>
      <c r="H186" s="90" t="n"/>
      <c r="I186" s="67" t="n"/>
      <c r="J186" s="81" t="n"/>
      <c r="K186" s="67" t="n"/>
      <c r="W186" s="85">
        <f>IF(AND(B186&lt;&gt;"",I186="Yes",K186&lt;&gt;"Yes",J186&lt;&gt;""),J186,"")</f>
        <v/>
      </c>
      <c r="X186" s="63">
        <f>IF(W186="","",IF(W186&lt;AsOf,1,IF(W186&lt;=AsOf+AlertDays,2,IF(W186&lt;=AsOf+2*AlertDays,3,""))))</f>
        <v/>
      </c>
      <c r="Y186" s="63">
        <f>IF(X186="","","Follow up with "&amp;B186&amp;": "&amp;D186)</f>
        <v/>
      </c>
    </row>
    <row r="187" ht="20" customHeight="1">
      <c r="B187" s="65" t="n"/>
      <c r="C187" s="81" t="n"/>
      <c r="D187" s="88" t="n"/>
      <c r="E187" s="89" t="n"/>
      <c r="F187" s="89" t="n"/>
      <c r="G187" s="89" t="n"/>
      <c r="H187" s="90" t="n"/>
      <c r="I187" s="67" t="n"/>
      <c r="J187" s="81" t="n"/>
      <c r="K187" s="67" t="n"/>
      <c r="W187" s="85">
        <f>IF(AND(B187&lt;&gt;"",I187="Yes",K187&lt;&gt;"Yes",J187&lt;&gt;""),J187,"")</f>
        <v/>
      </c>
      <c r="X187" s="63">
        <f>IF(W187="","",IF(W187&lt;AsOf,1,IF(W187&lt;=AsOf+AlertDays,2,IF(W187&lt;=AsOf+2*AlertDays,3,""))))</f>
        <v/>
      </c>
      <c r="Y187" s="63">
        <f>IF(X187="","","Follow up with "&amp;B187&amp;": "&amp;D187)</f>
        <v/>
      </c>
    </row>
    <row r="188" ht="20" customHeight="1">
      <c r="B188" s="65" t="n"/>
      <c r="C188" s="81" t="n"/>
      <c r="D188" s="88" t="n"/>
      <c r="E188" s="89" t="n"/>
      <c r="F188" s="89" t="n"/>
      <c r="G188" s="89" t="n"/>
      <c r="H188" s="90" t="n"/>
      <c r="I188" s="67" t="n"/>
      <c r="J188" s="81" t="n"/>
      <c r="K188" s="67" t="n"/>
      <c r="W188" s="85">
        <f>IF(AND(B188&lt;&gt;"",I188="Yes",K188&lt;&gt;"Yes",J188&lt;&gt;""),J188,"")</f>
        <v/>
      </c>
      <c r="X188" s="63">
        <f>IF(W188="","",IF(W188&lt;AsOf,1,IF(W188&lt;=AsOf+AlertDays,2,IF(W188&lt;=AsOf+2*AlertDays,3,""))))</f>
        <v/>
      </c>
      <c r="Y188" s="63">
        <f>IF(X188="","","Follow up with "&amp;B188&amp;": "&amp;D188)</f>
        <v/>
      </c>
    </row>
    <row r="189" ht="20" customHeight="1">
      <c r="B189" s="65" t="n"/>
      <c r="C189" s="81" t="n"/>
      <c r="D189" s="88" t="n"/>
      <c r="E189" s="89" t="n"/>
      <c r="F189" s="89" t="n"/>
      <c r="G189" s="89" t="n"/>
      <c r="H189" s="90" t="n"/>
      <c r="I189" s="67" t="n"/>
      <c r="J189" s="81" t="n"/>
      <c r="K189" s="67" t="n"/>
      <c r="W189" s="85">
        <f>IF(AND(B189&lt;&gt;"",I189="Yes",K189&lt;&gt;"Yes",J189&lt;&gt;""),J189,"")</f>
        <v/>
      </c>
      <c r="X189" s="63">
        <f>IF(W189="","",IF(W189&lt;AsOf,1,IF(W189&lt;=AsOf+AlertDays,2,IF(W189&lt;=AsOf+2*AlertDays,3,""))))</f>
        <v/>
      </c>
      <c r="Y189" s="63">
        <f>IF(X189="","","Follow up with "&amp;B189&amp;": "&amp;D189)</f>
        <v/>
      </c>
    </row>
    <row r="190" ht="20" customHeight="1">
      <c r="B190" s="65" t="n"/>
      <c r="C190" s="81" t="n"/>
      <c r="D190" s="88" t="n"/>
      <c r="E190" s="89" t="n"/>
      <c r="F190" s="89" t="n"/>
      <c r="G190" s="89" t="n"/>
      <c r="H190" s="90" t="n"/>
      <c r="I190" s="67" t="n"/>
      <c r="J190" s="81" t="n"/>
      <c r="K190" s="67" t="n"/>
      <c r="W190" s="85">
        <f>IF(AND(B190&lt;&gt;"",I190="Yes",K190&lt;&gt;"Yes",J190&lt;&gt;""),J190,"")</f>
        <v/>
      </c>
      <c r="X190" s="63">
        <f>IF(W190="","",IF(W190&lt;AsOf,1,IF(W190&lt;=AsOf+AlertDays,2,IF(W190&lt;=AsOf+2*AlertDays,3,""))))</f>
        <v/>
      </c>
      <c r="Y190" s="63">
        <f>IF(X190="","","Follow up with "&amp;B190&amp;": "&amp;D190)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51">
    <mergeCell ref="D153:H153"/>
    <mergeCell ref="D81:H81"/>
    <mergeCell ref="D90:H90"/>
    <mergeCell ref="D99:H99"/>
    <mergeCell ref="D131:H131"/>
    <mergeCell ref="D139:H139"/>
    <mergeCell ref="D52:H52"/>
    <mergeCell ref="D101:H101"/>
    <mergeCell ref="D124:H124"/>
    <mergeCell ref="D76:H76"/>
    <mergeCell ref="D189:H189"/>
    <mergeCell ref="D116:H116"/>
    <mergeCell ref="D66:H66"/>
    <mergeCell ref="D179:H179"/>
    <mergeCell ref="D126:H126"/>
    <mergeCell ref="D75:H75"/>
    <mergeCell ref="D53:H53"/>
    <mergeCell ref="D166:H166"/>
    <mergeCell ref="D47:H47"/>
    <mergeCell ref="D181:H181"/>
    <mergeCell ref="D102:H102"/>
    <mergeCell ref="D168:H168"/>
    <mergeCell ref="D165:H165"/>
    <mergeCell ref="D180:H180"/>
    <mergeCell ref="D143:H143"/>
    <mergeCell ref="D92:H92"/>
    <mergeCell ref="D152:H152"/>
    <mergeCell ref="D133:H133"/>
    <mergeCell ref="D142:H142"/>
    <mergeCell ref="D94:H94"/>
    <mergeCell ref="D129:H129"/>
    <mergeCell ref="D144:H144"/>
    <mergeCell ref="D119:H119"/>
    <mergeCell ref="D63:H63"/>
    <mergeCell ref="D128:H128"/>
    <mergeCell ref="D80:H80"/>
    <mergeCell ref="D186:H186"/>
    <mergeCell ref="D183:H183"/>
    <mergeCell ref="D65:H65"/>
    <mergeCell ref="D96:H96"/>
    <mergeCell ref="D105:H105"/>
    <mergeCell ref="D57:H57"/>
    <mergeCell ref="D170:H170"/>
    <mergeCell ref="D49:H49"/>
    <mergeCell ref="D120:H120"/>
    <mergeCell ref="D185:H185"/>
    <mergeCell ref="D41:H41"/>
    <mergeCell ref="D154:H154"/>
    <mergeCell ref="D107:H107"/>
    <mergeCell ref="D163:H163"/>
    <mergeCell ref="D91:H91"/>
    <mergeCell ref="D162:H162"/>
    <mergeCell ref="D43:H43"/>
    <mergeCell ref="D156:H156"/>
    <mergeCell ref="D171:H171"/>
    <mergeCell ref="D106:H106"/>
    <mergeCell ref="D146:H146"/>
    <mergeCell ref="D93:H93"/>
    <mergeCell ref="D74:H74"/>
    <mergeCell ref="D130:H130"/>
    <mergeCell ref="D68:H68"/>
    <mergeCell ref="D83:H83"/>
    <mergeCell ref="D117:H117"/>
    <mergeCell ref="D55:H55"/>
    <mergeCell ref="D157:H157"/>
    <mergeCell ref="D188:H188"/>
    <mergeCell ref="D67:H67"/>
    <mergeCell ref="D132:H132"/>
    <mergeCell ref="D85:H85"/>
    <mergeCell ref="D54:H54"/>
    <mergeCell ref="D60:H60"/>
    <mergeCell ref="D69:H69"/>
    <mergeCell ref="D182:H182"/>
    <mergeCell ref="D109:H109"/>
    <mergeCell ref="D190:H190"/>
    <mergeCell ref="D46:H46"/>
    <mergeCell ref="D159:H159"/>
    <mergeCell ref="D40:H40"/>
    <mergeCell ref="D111:H111"/>
    <mergeCell ref="D108:H108"/>
    <mergeCell ref="D95:H95"/>
    <mergeCell ref="D104:H104"/>
    <mergeCell ref="D136:H136"/>
    <mergeCell ref="D145:H145"/>
    <mergeCell ref="D97:H97"/>
    <mergeCell ref="D87:H87"/>
    <mergeCell ref="D147:H147"/>
    <mergeCell ref="D122:H122"/>
    <mergeCell ref="D71:H71"/>
    <mergeCell ref="D184:H184"/>
    <mergeCell ref="D137:H137"/>
    <mergeCell ref="D58:H58"/>
    <mergeCell ref="D121:H121"/>
    <mergeCell ref="D73:H73"/>
    <mergeCell ref="D42:H42"/>
    <mergeCell ref="D164:H164"/>
    <mergeCell ref="D82:H82"/>
    <mergeCell ref="D113:H113"/>
    <mergeCell ref="D173:H173"/>
    <mergeCell ref="D148:H148"/>
    <mergeCell ref="D123:H123"/>
    <mergeCell ref="D50:H50"/>
    <mergeCell ref="D110:H110"/>
    <mergeCell ref="D44:H44"/>
    <mergeCell ref="D59:H59"/>
    <mergeCell ref="D115:H115"/>
    <mergeCell ref="D138:H138"/>
    <mergeCell ref="D178:H178"/>
    <mergeCell ref="D172:H172"/>
    <mergeCell ref="D187:H187"/>
    <mergeCell ref="D100:H100"/>
    <mergeCell ref="D174:H174"/>
    <mergeCell ref="D84:H84"/>
    <mergeCell ref="D140:H140"/>
    <mergeCell ref="D155:H155"/>
    <mergeCell ref="D149:H149"/>
    <mergeCell ref="D45:H45"/>
    <mergeCell ref="D158:H158"/>
    <mergeCell ref="D77:H77"/>
    <mergeCell ref="D86:H86"/>
    <mergeCell ref="D151:H151"/>
    <mergeCell ref="D160:H160"/>
    <mergeCell ref="D61:H61"/>
    <mergeCell ref="D141:H141"/>
    <mergeCell ref="D70:H70"/>
    <mergeCell ref="D135:H135"/>
    <mergeCell ref="D48:H48"/>
    <mergeCell ref="D150:H150"/>
    <mergeCell ref="D175:H175"/>
    <mergeCell ref="D125:H125"/>
    <mergeCell ref="D72:H72"/>
    <mergeCell ref="D78:H78"/>
    <mergeCell ref="D103:H103"/>
    <mergeCell ref="D134:H134"/>
    <mergeCell ref="D112:H112"/>
    <mergeCell ref="D62:H62"/>
    <mergeCell ref="D118:H118"/>
    <mergeCell ref="D56:H56"/>
    <mergeCell ref="D127:H127"/>
    <mergeCell ref="D167:H167"/>
    <mergeCell ref="D161:H161"/>
    <mergeCell ref="D176:H176"/>
    <mergeCell ref="D114:H114"/>
    <mergeCell ref="D64:H64"/>
    <mergeCell ref="D177:H177"/>
    <mergeCell ref="D89:H89"/>
    <mergeCell ref="D98:H98"/>
    <mergeCell ref="D169:H169"/>
    <mergeCell ref="D51:H51"/>
    <mergeCell ref="D79:H79"/>
    <mergeCell ref="D88:H88"/>
  </mergeCells>
  <conditionalFormatting sqref="U6:U35">
    <cfRule type="expression" priority="1" dxfId="0" stopIfTrue="0">
      <formula>$V6=2</formula>
    </cfRule>
    <cfRule type="expression" priority="2" dxfId="2" stopIfTrue="0">
      <formula>$V6=1</formula>
    </cfRule>
    <cfRule type="expression" priority="3" dxfId="3" stopIfTrue="0">
      <formula>$V6=0</formula>
    </cfRule>
  </conditionalFormatting>
  <conditionalFormatting sqref="O6:O35">
    <cfRule type="expression" priority="4" dxfId="0" stopIfTrue="0">
      <formula>O6="No"</formula>
    </cfRule>
    <cfRule type="expression" priority="5" dxfId="3" stopIfTrue="0">
      <formula>O6="Yes"</formula>
    </cfRule>
  </conditionalFormatting>
  <conditionalFormatting sqref="P6:P35">
    <cfRule type="expression" priority="6" dxfId="0" stopIfTrue="0">
      <formula>P6="No"</formula>
    </cfRule>
    <cfRule type="expression" priority="7" dxfId="3" stopIfTrue="0">
      <formula>P6="Yes"</formula>
    </cfRule>
  </conditionalFormatting>
  <dataValidations count="4">
    <dataValidation sqref="D6:D35" showDropDown="0" showInputMessage="0" showErrorMessage="1" allowBlank="1" errorTitle="Renovation OS" error="Please pick a value from the dropdown list." type="list">
      <formula1>='Lists'!$V$2:$V$31</formula1>
    </dataValidation>
    <dataValidation sqref="E6:E3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I41:I190 K41:K190 L6:L35 O6:O35 P6:P35" showDropDown="0" showInputMessage="0" showErrorMessage="1" allowBlank="1" errorTitle="Renovation OS" error="Please pick a value from the dropdown list." type="list">
      <formula1>='Lists'!$A$2:$A$3</formula1>
    </dataValidation>
    <dataValidation sqref="B41:B190" showDropDown="0" showInputMessage="0" showErrorMessage="1" allowBlank="1" errorTitle="Renovation OS" error="This name is not in the list. Keep it anyway?" type="list" errorStyle="warning">
      <formula1>='Lists'!$X$2:$X$31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AF2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4" customWidth="1" min="2" max="2"/>
    <col width="26" customWidth="1" min="3" max="3"/>
    <col width="14" customWidth="1" min="4" max="4"/>
    <col width="16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3" customWidth="1" min="25" max="25"/>
    <col width="24" customWidth="1" min="26" max="26"/>
    <col width="13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</cols>
  <sheetData>
    <row r="1" ht="36" customHeight="1">
      <c r="B1" s="1" t="inlineStr">
        <is>
          <t>💳 Payments</t>
        </is>
      </c>
    </row>
    <row r="2" ht="20" customHeight="1">
      <c r="B2" s="2" t="inlineStr">
        <is>
          <t>What this tab does: your payment schedule, invoices and payments per contractor — plus a 12-month cash-flow forecast (right side →).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Z4" s="4" t="inlineStr">
        <is>
          <t>PER-CONTRACTOR SUMMARY</t>
        </is>
      </c>
      <c r="AA4" s="5" t="n"/>
      <c r="AB4" s="5" t="n"/>
      <c r="AC4" s="5" t="n"/>
      <c r="AD4" s="5" t="n"/>
      <c r="AE4" s="5" t="n"/>
      <c r="AF4" s="5" t="n"/>
    </row>
    <row r="5" ht="32" customHeight="1">
      <c r="B5" s="53" t="inlineStr">
        <is>
          <t>Paid to (contractor / supplier)</t>
        </is>
      </c>
      <c r="C5" s="53" t="inlineStr">
        <is>
          <t>Milestone / what for</t>
        </is>
      </c>
      <c r="D5" s="53" t="inlineStr">
        <is>
          <t>Room (optional)</t>
        </is>
      </c>
      <c r="E5" s="53" t="inlineStr">
        <is>
          <t>Category (if not a contractor)</t>
        </is>
      </c>
      <c r="F5" s="53" t="inlineStr">
        <is>
          <t>% of contract</t>
        </is>
      </c>
      <c r="G5" s="62">
        <f>"…or fixed amount ("&amp;CurSym&amp;")"</f>
        <v/>
      </c>
      <c r="H5" s="62">
        <f>"Scheduled ("&amp;CurSym&amp;")"</f>
        <v/>
      </c>
      <c r="I5" s="53" t="inlineStr">
        <is>
          <t>Due date</t>
        </is>
      </c>
      <c r="J5" s="53" t="inlineStr">
        <is>
          <t>Invoice #</t>
        </is>
      </c>
      <c r="K5" s="53" t="inlineStr">
        <is>
          <t>Invoice date</t>
        </is>
      </c>
      <c r="L5" s="62">
        <f>"Invoiced ("&amp;CurSym&amp;")"</f>
        <v/>
      </c>
      <c r="M5" s="53" t="inlineStr">
        <is>
          <t>Paid date</t>
        </is>
      </c>
      <c r="N5" s="62">
        <f>"Paid ("&amp;CurSym&amp;")"</f>
        <v/>
      </c>
      <c r="O5" s="53" t="inlineStr">
        <is>
          <t>Status</t>
        </is>
      </c>
      <c r="P5" s="53" t="inlineStr">
        <is>
          <t>Category (auto)</t>
        </is>
      </c>
      <c r="Q5" s="64" t="inlineStr">
        <is>
          <t>room</t>
        </is>
      </c>
      <c r="R5" s="64" t="inlineStr">
        <is>
          <t>lvl</t>
        </is>
      </c>
      <c r="S5" s="64" t="inlineStr">
        <is>
          <t>unpaid</t>
        </is>
      </c>
      <c r="T5" s="64" t="inlineStr">
        <is>
          <t>1/due</t>
        </is>
      </c>
      <c r="U5" s="64" t="inlineStr">
        <is>
          <t>due</t>
        </is>
      </c>
      <c r="V5" s="64" t="inlineStr">
        <is>
          <t>pri</t>
        </is>
      </c>
      <c r="W5" s="64" t="inlineStr">
        <is>
          <t>text</t>
        </is>
      </c>
      <c r="Z5" s="53" t="inlineStr">
        <is>
          <t>Contractor</t>
        </is>
      </c>
      <c r="AA5" s="62">
        <f>"Total contract ("&amp;CurSym&amp;")"</f>
        <v/>
      </c>
      <c r="AB5" s="62">
        <f>"Invoiced ("&amp;CurSym&amp;")"</f>
        <v/>
      </c>
      <c r="AC5" s="62">
        <f>"Paid ("&amp;CurSym&amp;")"</f>
        <v/>
      </c>
      <c r="AD5" s="62">
        <f>"Still to pay ("&amp;CurSym&amp;")"</f>
        <v/>
      </c>
      <c r="AE5" s="53" t="inlineStr">
        <is>
          <t>Next payment</t>
        </is>
      </c>
      <c r="AF5" s="62">
        <f>"Next amount ("&amp;CurSym&amp;")"</f>
        <v/>
      </c>
    </row>
    <row r="6" ht="20" customHeight="1">
      <c r="B6" s="65" t="inlineStr">
        <is>
          <t>GreenPlan Architects</t>
        </is>
      </c>
      <c r="C6" s="65" t="inlineStr">
        <is>
          <t>Design package 50%</t>
        </is>
      </c>
      <c r="D6" s="65" t="n"/>
      <c r="E6" s="65" t="n"/>
      <c r="F6" s="83" t="n">
        <v>0.5</v>
      </c>
      <c r="G6" s="66" t="n"/>
      <c r="H6" s="69">
        <f>IF(B6="","",IF(G6&lt;&gt;"",G6,IF(F6&lt;&gt;"",F6*IFERROR(INDEX('Contractors'!$I$6:$I$35,MATCH(B6,'Contractors'!$B$6:$B$35,0)),0),"")))</f>
        <v/>
      </c>
      <c r="I6" s="81" t="n">
        <v>46106</v>
      </c>
      <c r="J6" s="65" t="inlineStr">
        <is>
          <t>GP-01</t>
        </is>
      </c>
      <c r="K6" s="81" t="n">
        <v>46101</v>
      </c>
      <c r="L6" s="66" t="n">
        <v>2400</v>
      </c>
      <c r="M6" s="81" t="n">
        <v>46105</v>
      </c>
      <c r="N6" s="66" t="n">
        <v>2400</v>
      </c>
      <c r="O6" s="91">
        <f>IF(B6="","",IF(M6&lt;&gt;"","Paid",IF(AND(I6&lt;&gt;"",I6&lt;AsOf),"OVERDUE",IF(OR(K6&lt;&gt;"",L6&lt;&gt;""),"Invoiced","Scheduled"))))</f>
        <v/>
      </c>
      <c r="P6" s="92">
        <f>IF(B6="","",IF(E6&lt;&gt;"",E6,IFERROR(INDEX('Contractors'!$D$6:$D$35,MATCH(B6,'Contractors'!$B$6:$B$35,0)),"")))</f>
        <v/>
      </c>
      <c r="Q6" s="63">
        <f>IF(B6="","",IF(D6&lt;&gt;"",D6,IFERROR(INDEX('Contractors'!$E$6:$E$35,MATCH(B6,'Contractors'!$B$6:$B$35,0)),"")))</f>
        <v/>
      </c>
      <c r="R6" s="63">
        <f>IF(O6="","",IF(O6="OVERDUE",2,IF(O6="Paid",0,IF(AND(I6&lt;&gt;"",I6&lt;=AsOf+AlertDays),1,0))))</f>
        <v/>
      </c>
      <c r="S6" s="63">
        <f>IF(AND(B6&lt;&gt;"",M6="",I6&lt;&gt;""),IF(L6&lt;&gt;"",L6,IF(H6="",0,H6)),0)</f>
        <v/>
      </c>
      <c r="T6" s="63">
        <f>IF(AND(B6&lt;&gt;"",M6="",I6&lt;&gt;""),1/I6,0)</f>
        <v/>
      </c>
      <c r="U6" s="85">
        <f>IF(AND(B6&lt;&gt;"",M6="",I6&lt;&gt;""),I6,"")</f>
        <v/>
      </c>
      <c r="V6" s="63">
        <f>IF(U6="","",IF(U6&lt;AsOf,1,IF(U6&lt;=AsOf+AlertDays,2,IF(U6&lt;=AsOf+2*AlertDays,3,""))))</f>
        <v/>
      </c>
      <c r="W6" s="63">
        <f>IF(V6="","",IF(O6="OVERDUE","Overdue payment: ","Payment due: ")&amp;B6&amp;" — "&amp;C6&amp;" ("&amp;CurSym&amp;" "&amp;FIXED(S6,0)&amp;")")</f>
        <v/>
      </c>
      <c r="Z6" s="93">
        <f>IF('Contractors'!B6="","",'Contractors'!B6)</f>
        <v/>
      </c>
      <c r="AA6" s="71">
        <f>IF(Z6="","",'Contractors'!K6)</f>
        <v/>
      </c>
      <c r="AB6" s="71">
        <f>IF(Z6="","",SUMIFS($L$6:$L$205,$B$6:$B$205,Z6))</f>
        <v/>
      </c>
      <c r="AC6" s="71">
        <f>IF(Z6="","",SUMIFS($N$6:$N$205,$B$6:$B$205,Z6))</f>
        <v/>
      </c>
      <c r="AD6" s="70">
        <f>IF(Z6="","",AA6-AC6)</f>
        <v/>
      </c>
      <c r="AE6" s="94">
        <f>IF(Z6="","",IFERROR(1/SUMPRODUCT(MAX(($B$6:$B$205=Z6)*$T$6:$T$205)),""))</f>
        <v/>
      </c>
      <c r="AF6" s="71">
        <f>IF(AE6="","",SUMIFS($S$6:$S$205,$B$6:$B$205,Z6,$I$6:$I$205,AE6))</f>
        <v/>
      </c>
    </row>
    <row r="7" ht="20" customHeight="1">
      <c r="B7" s="65" t="inlineStr">
        <is>
          <t>City Building Dept</t>
        </is>
      </c>
      <c r="C7" s="65" t="inlineStr">
        <is>
          <t>Building permit fee</t>
        </is>
      </c>
      <c r="D7" s="65" t="n"/>
      <c r="E7" s="65" t="inlineStr">
        <is>
          <t>Permits</t>
        </is>
      </c>
      <c r="F7" s="83" t="n"/>
      <c r="G7" s="66" t="n">
        <v>1350</v>
      </c>
      <c r="H7" s="69">
        <f>IF(B7="","",IF(G7&lt;&gt;"",G7,IF(F7&lt;&gt;"",F7*IFERROR(INDEX('Contractors'!$I$6:$I$35,MATCH(B7,'Contractors'!$B$6:$B$35,0)),0),"")))</f>
        <v/>
      </c>
      <c r="I7" s="81" t="n">
        <v>46111</v>
      </c>
      <c r="J7" s="65" t="inlineStr">
        <is>
          <t>PERMIT-2026-114</t>
        </is>
      </c>
      <c r="K7" s="81" t="n">
        <v>46106</v>
      </c>
      <c r="L7" s="66" t="n">
        <v>1350</v>
      </c>
      <c r="M7" s="81" t="n">
        <v>46109</v>
      </c>
      <c r="N7" s="66" t="n">
        <v>1350</v>
      </c>
      <c r="O7" s="91">
        <f>IF(B7="","",IF(M7&lt;&gt;"","Paid",IF(AND(I7&lt;&gt;"",I7&lt;AsOf),"OVERDUE",IF(OR(K7&lt;&gt;"",L7&lt;&gt;""),"Invoiced","Scheduled"))))</f>
        <v/>
      </c>
      <c r="P7" s="92">
        <f>IF(B7="","",IF(E7&lt;&gt;"",E7,IFERROR(INDEX('Contractors'!$D$6:$D$35,MATCH(B7,'Contractors'!$B$6:$B$35,0)),"")))</f>
        <v/>
      </c>
      <c r="Q7" s="63">
        <f>IF(B7="","",IF(D7&lt;&gt;"",D7,IFERROR(INDEX('Contractors'!$E$6:$E$35,MATCH(B7,'Contractors'!$B$6:$B$35,0)),"")))</f>
        <v/>
      </c>
      <c r="R7" s="63">
        <f>IF(O7="","",IF(O7="OVERDUE",2,IF(O7="Paid",0,IF(AND(I7&lt;&gt;"",I7&lt;=AsOf+AlertDays),1,0))))</f>
        <v/>
      </c>
      <c r="S7" s="63">
        <f>IF(AND(B7&lt;&gt;"",M7="",I7&lt;&gt;""),IF(L7&lt;&gt;"",L7,IF(H7="",0,H7)),0)</f>
        <v/>
      </c>
      <c r="T7" s="63">
        <f>IF(AND(B7&lt;&gt;"",M7="",I7&lt;&gt;""),1/I7,0)</f>
        <v/>
      </c>
      <c r="U7" s="85">
        <f>IF(AND(B7&lt;&gt;"",M7="",I7&lt;&gt;""),I7,"")</f>
        <v/>
      </c>
      <c r="V7" s="63">
        <f>IF(U7="","",IF(U7&lt;AsOf,1,IF(U7&lt;=AsOf+AlertDays,2,IF(U7&lt;=AsOf+2*AlertDays,3,""))))</f>
        <v/>
      </c>
      <c r="W7" s="63">
        <f>IF(V7="","",IF(O7="OVERDUE","Overdue payment: ","Payment due: ")&amp;B7&amp;" — "&amp;C7&amp;" ("&amp;CurSym&amp;" "&amp;FIXED(S7,0)&amp;")")</f>
        <v/>
      </c>
      <c r="Z7" s="93">
        <f>IF('Contractors'!B7="","",'Contractors'!B7)</f>
        <v/>
      </c>
      <c r="AA7" s="71">
        <f>IF(Z7="","",'Contractors'!K7)</f>
        <v/>
      </c>
      <c r="AB7" s="71">
        <f>IF(Z7="","",SUMIFS($L$6:$L$205,$B$6:$B$205,Z7))</f>
        <v/>
      </c>
      <c r="AC7" s="71">
        <f>IF(Z7="","",SUMIFS($N$6:$N$205,$B$6:$B$205,Z7))</f>
        <v/>
      </c>
      <c r="AD7" s="70">
        <f>IF(Z7="","",AA7-AC7)</f>
        <v/>
      </c>
      <c r="AE7" s="94">
        <f>IF(Z7="","",IFERROR(1/SUMPRODUCT(MAX(($B$6:$B$205=Z7)*$T$6:$T$205)),""))</f>
        <v/>
      </c>
      <c r="AF7" s="71">
        <f>IF(AE7="","",SUMIFS($S$6:$S$205,$B$6:$B$205,Z7,$I$6:$I$205,AE7))</f>
        <v/>
      </c>
    </row>
    <row r="8" ht="20" customHeight="1">
      <c r="B8" s="65" t="inlineStr">
        <is>
          <t>GreenPlan Architects</t>
        </is>
      </c>
      <c r="C8" s="65" t="inlineStr">
        <is>
          <t>Permit approved 25%</t>
        </is>
      </c>
      <c r="D8" s="65" t="n"/>
      <c r="E8" s="65" t="n"/>
      <c r="F8" s="83" t="n">
        <v>0.25</v>
      </c>
      <c r="G8" s="66" t="n"/>
      <c r="H8" s="69">
        <f>IF(B8="","",IF(G8&lt;&gt;"",G8,IF(F8&lt;&gt;"",F8*IFERROR(INDEX('Contractors'!$I$6:$I$35,MATCH(B8,'Contractors'!$B$6:$B$35,0)),0),"")))</f>
        <v/>
      </c>
      <c r="I8" s="81" t="n">
        <v>46134</v>
      </c>
      <c r="J8" s="65" t="inlineStr">
        <is>
          <t>GP-02</t>
        </is>
      </c>
      <c r="K8" s="81" t="n">
        <v>46132</v>
      </c>
      <c r="L8" s="66" t="n">
        <v>1200</v>
      </c>
      <c r="M8" s="81" t="n">
        <v>46133</v>
      </c>
      <c r="N8" s="66" t="n">
        <v>1200</v>
      </c>
      <c r="O8" s="91">
        <f>IF(B8="","",IF(M8&lt;&gt;"","Paid",IF(AND(I8&lt;&gt;"",I8&lt;AsOf),"OVERDUE",IF(OR(K8&lt;&gt;"",L8&lt;&gt;""),"Invoiced","Scheduled"))))</f>
        <v/>
      </c>
      <c r="P8" s="92">
        <f>IF(B8="","",IF(E8&lt;&gt;"",E8,IFERROR(INDEX('Contractors'!$D$6:$D$35,MATCH(B8,'Contractors'!$B$6:$B$35,0)),"")))</f>
        <v/>
      </c>
      <c r="Q8" s="63">
        <f>IF(B8="","",IF(D8&lt;&gt;"",D8,IFERROR(INDEX('Contractors'!$E$6:$E$35,MATCH(B8,'Contractors'!$B$6:$B$35,0)),"")))</f>
        <v/>
      </c>
      <c r="R8" s="63">
        <f>IF(O8="","",IF(O8="OVERDUE",2,IF(O8="Paid",0,IF(AND(I8&lt;&gt;"",I8&lt;=AsOf+AlertDays),1,0))))</f>
        <v/>
      </c>
      <c r="S8" s="63">
        <f>IF(AND(B8&lt;&gt;"",M8="",I8&lt;&gt;""),IF(L8&lt;&gt;"",L8,IF(H8="",0,H8)),0)</f>
        <v/>
      </c>
      <c r="T8" s="63">
        <f>IF(AND(B8&lt;&gt;"",M8="",I8&lt;&gt;""),1/I8,0)</f>
        <v/>
      </c>
      <c r="U8" s="85">
        <f>IF(AND(B8&lt;&gt;"",M8="",I8&lt;&gt;""),I8,"")</f>
        <v/>
      </c>
      <c r="V8" s="63">
        <f>IF(U8="","",IF(U8&lt;AsOf,1,IF(U8&lt;=AsOf+AlertDays,2,IF(U8&lt;=AsOf+2*AlertDays,3,""))))</f>
        <v/>
      </c>
      <c r="W8" s="63">
        <f>IF(V8="","",IF(O8="OVERDUE","Overdue payment: ","Payment due: ")&amp;B8&amp;" — "&amp;C8&amp;" ("&amp;CurSym&amp;" "&amp;FIXED(S8,0)&amp;")")</f>
        <v/>
      </c>
      <c r="Z8" s="93">
        <f>IF('Contractors'!B8="","",'Contractors'!B8)</f>
        <v/>
      </c>
      <c r="AA8" s="71">
        <f>IF(Z8="","",'Contractors'!K8)</f>
        <v/>
      </c>
      <c r="AB8" s="71">
        <f>IF(Z8="","",SUMIFS($L$6:$L$205,$B$6:$B$205,Z8))</f>
        <v/>
      </c>
      <c r="AC8" s="71">
        <f>IF(Z8="","",SUMIFS($N$6:$N$205,$B$6:$B$205,Z8))</f>
        <v/>
      </c>
      <c r="AD8" s="70">
        <f>IF(Z8="","",AA8-AC8)</f>
        <v/>
      </c>
      <c r="AE8" s="94">
        <f>IF(Z8="","",IFERROR(1/SUMPRODUCT(MAX(($B$6:$B$205=Z8)*$T$6:$T$205)),""))</f>
        <v/>
      </c>
      <c r="AF8" s="71">
        <f>IF(AE8="","",SUMIFS($S$6:$S$205,$B$6:$B$205,Z8,$I$6:$I$205,AE8))</f>
        <v/>
      </c>
    </row>
    <row r="9" ht="20" customHeight="1">
      <c r="B9" s="65" t="inlineStr">
        <is>
          <t>ClearView Windows</t>
        </is>
      </c>
      <c r="C9" s="65" t="inlineStr">
        <is>
          <t>Order 40%</t>
        </is>
      </c>
      <c r="D9" s="65" t="n"/>
      <c r="E9" s="65" t="n"/>
      <c r="F9" s="83" t="n">
        <v>0.4</v>
      </c>
      <c r="G9" s="66" t="n"/>
      <c r="H9" s="69">
        <f>IF(B9="","",IF(G9&lt;&gt;"",G9,IF(F9&lt;&gt;"",F9*IFERROR(INDEX('Contractors'!$I$6:$I$35,MATCH(B9,'Contractors'!$B$6:$B$35,0)),0),"")))</f>
        <v/>
      </c>
      <c r="I9" s="81" t="n">
        <v>46122</v>
      </c>
      <c r="J9" s="65" t="inlineStr">
        <is>
          <t>CV-311</t>
        </is>
      </c>
      <c r="K9" s="81" t="n">
        <v>46118</v>
      </c>
      <c r="L9" s="66" t="n">
        <v>4960</v>
      </c>
      <c r="M9" s="81" t="n">
        <v>46121</v>
      </c>
      <c r="N9" s="66" t="n">
        <v>4960</v>
      </c>
      <c r="O9" s="91">
        <f>IF(B9="","",IF(M9&lt;&gt;"","Paid",IF(AND(I9&lt;&gt;"",I9&lt;AsOf),"OVERDUE",IF(OR(K9&lt;&gt;"",L9&lt;&gt;""),"Invoiced","Scheduled"))))</f>
        <v/>
      </c>
      <c r="P9" s="92">
        <f>IF(B9="","",IF(E9&lt;&gt;"",E9,IFERROR(INDEX('Contractors'!$D$6:$D$35,MATCH(B9,'Contractors'!$B$6:$B$35,0)),"")))</f>
        <v/>
      </c>
      <c r="Q9" s="63">
        <f>IF(B9="","",IF(D9&lt;&gt;"",D9,IFERROR(INDEX('Contractors'!$E$6:$E$35,MATCH(B9,'Contractors'!$B$6:$B$35,0)),"")))</f>
        <v/>
      </c>
      <c r="R9" s="63">
        <f>IF(O9="","",IF(O9="OVERDUE",2,IF(O9="Paid",0,IF(AND(I9&lt;&gt;"",I9&lt;=AsOf+AlertDays),1,0))))</f>
        <v/>
      </c>
      <c r="S9" s="63">
        <f>IF(AND(B9&lt;&gt;"",M9="",I9&lt;&gt;""),IF(L9&lt;&gt;"",L9,IF(H9="",0,H9)),0)</f>
        <v/>
      </c>
      <c r="T9" s="63">
        <f>IF(AND(B9&lt;&gt;"",M9="",I9&lt;&gt;""),1/I9,0)</f>
        <v/>
      </c>
      <c r="U9" s="85">
        <f>IF(AND(B9&lt;&gt;"",M9="",I9&lt;&gt;""),I9,"")</f>
        <v/>
      </c>
      <c r="V9" s="63">
        <f>IF(U9="","",IF(U9&lt;AsOf,1,IF(U9&lt;=AsOf+AlertDays,2,IF(U9&lt;=AsOf+2*AlertDays,3,""))))</f>
        <v/>
      </c>
      <c r="W9" s="63">
        <f>IF(V9="","",IF(O9="OVERDUE","Overdue payment: ","Payment due: ")&amp;B9&amp;" — "&amp;C9&amp;" ("&amp;CurSym&amp;" "&amp;FIXED(S9,0)&amp;")")</f>
        <v/>
      </c>
      <c r="Z9" s="93">
        <f>IF('Contractors'!B9="","",'Contractors'!B9)</f>
        <v/>
      </c>
      <c r="AA9" s="71">
        <f>IF(Z9="","",'Contractors'!K9)</f>
        <v/>
      </c>
      <c r="AB9" s="71">
        <f>IF(Z9="","",SUMIFS($L$6:$L$205,$B$6:$B$205,Z9))</f>
        <v/>
      </c>
      <c r="AC9" s="71">
        <f>IF(Z9="","",SUMIFS($N$6:$N$205,$B$6:$B$205,Z9))</f>
        <v/>
      </c>
      <c r="AD9" s="70">
        <f>IF(Z9="","",AA9-AC9)</f>
        <v/>
      </c>
      <c r="AE9" s="94">
        <f>IF(Z9="","",IFERROR(1/SUMPRODUCT(MAX(($B$6:$B$205=Z9)*$T$6:$T$205)),""))</f>
        <v/>
      </c>
      <c r="AF9" s="71">
        <f>IF(AE9="","",SUMIFS($S$6:$S$205,$B$6:$B$205,Z9,$I$6:$I$205,AE9))</f>
        <v/>
      </c>
    </row>
    <row r="10" ht="20" customHeight="1">
      <c r="B10" s="65" t="inlineStr">
        <is>
          <t>Hansen Demolition</t>
        </is>
      </c>
      <c r="C10" s="65" t="inlineStr">
        <is>
          <t>Deposit 30%</t>
        </is>
      </c>
      <c r="D10" s="65" t="n"/>
      <c r="E10" s="65" t="n"/>
      <c r="F10" s="83" t="n">
        <v>0.3</v>
      </c>
      <c r="G10" s="66" t="n"/>
      <c r="H10" s="69">
        <f>IF(B10="","",IF(G10&lt;&gt;"",G10,IF(F10&lt;&gt;"",F10*IFERROR(INDEX('Contractors'!$I$6:$I$35,MATCH(B10,'Contractors'!$B$6:$B$35,0)),0),"")))</f>
        <v/>
      </c>
      <c r="I10" s="81" t="n">
        <v>46127</v>
      </c>
      <c r="J10" s="65" t="inlineStr">
        <is>
          <t>H-101</t>
        </is>
      </c>
      <c r="K10" s="81" t="n">
        <v>46122</v>
      </c>
      <c r="L10" s="66" t="n">
        <v>1140</v>
      </c>
      <c r="M10" s="81" t="n">
        <v>46126</v>
      </c>
      <c r="N10" s="66" t="n">
        <v>1140</v>
      </c>
      <c r="O10" s="91">
        <f>IF(B10="","",IF(M10&lt;&gt;"","Paid",IF(AND(I10&lt;&gt;"",I10&lt;AsOf),"OVERDUE",IF(OR(K10&lt;&gt;"",L10&lt;&gt;""),"Invoiced","Scheduled"))))</f>
        <v/>
      </c>
      <c r="P10" s="92">
        <f>IF(B10="","",IF(E10&lt;&gt;"",E10,IFERROR(INDEX('Contractors'!$D$6:$D$35,MATCH(B10,'Contractors'!$B$6:$B$35,0)),"")))</f>
        <v/>
      </c>
      <c r="Q10" s="63">
        <f>IF(B10="","",IF(D10&lt;&gt;"",D10,IFERROR(INDEX('Contractors'!$E$6:$E$35,MATCH(B10,'Contractors'!$B$6:$B$35,0)),"")))</f>
        <v/>
      </c>
      <c r="R10" s="63">
        <f>IF(O10="","",IF(O10="OVERDUE",2,IF(O10="Paid",0,IF(AND(I10&lt;&gt;"",I10&lt;=AsOf+AlertDays),1,0))))</f>
        <v/>
      </c>
      <c r="S10" s="63">
        <f>IF(AND(B10&lt;&gt;"",M10="",I10&lt;&gt;""),IF(L10&lt;&gt;"",L10,IF(H10="",0,H10)),0)</f>
        <v/>
      </c>
      <c r="T10" s="63">
        <f>IF(AND(B10&lt;&gt;"",M10="",I10&lt;&gt;""),1/I10,0)</f>
        <v/>
      </c>
      <c r="U10" s="85">
        <f>IF(AND(B10&lt;&gt;"",M10="",I10&lt;&gt;""),I10,"")</f>
        <v/>
      </c>
      <c r="V10" s="63">
        <f>IF(U10="","",IF(U10&lt;AsOf,1,IF(U10&lt;=AsOf+AlertDays,2,IF(U10&lt;=AsOf+2*AlertDays,3,""))))</f>
        <v/>
      </c>
      <c r="W10" s="63">
        <f>IF(V10="","",IF(O10="OVERDUE","Overdue payment: ","Payment due: ")&amp;B10&amp;" — "&amp;C10&amp;" ("&amp;CurSym&amp;" "&amp;FIXED(S10,0)&amp;")")</f>
        <v/>
      </c>
      <c r="Z10" s="93">
        <f>IF('Contractors'!B10="","",'Contractors'!B10)</f>
        <v/>
      </c>
      <c r="AA10" s="71">
        <f>IF(Z10="","",'Contractors'!K10)</f>
        <v/>
      </c>
      <c r="AB10" s="71">
        <f>IF(Z10="","",SUMIFS($L$6:$L$205,$B$6:$B$205,Z10))</f>
        <v/>
      </c>
      <c r="AC10" s="71">
        <f>IF(Z10="","",SUMIFS($N$6:$N$205,$B$6:$B$205,Z10))</f>
        <v/>
      </c>
      <c r="AD10" s="70">
        <f>IF(Z10="","",AA10-AC10)</f>
        <v/>
      </c>
      <c r="AE10" s="94">
        <f>IF(Z10="","",IFERROR(1/SUMPRODUCT(MAX(($B$6:$B$205=Z10)*$T$6:$T$205)),""))</f>
        <v/>
      </c>
      <c r="AF10" s="71">
        <f>IF(AE10="","",SUMIFS($S$6:$S$205,$B$6:$B$205,Z10,$I$6:$I$205,AE10))</f>
        <v/>
      </c>
    </row>
    <row r="11" ht="20" customHeight="1">
      <c r="B11" s="65" t="inlineStr">
        <is>
          <t>City Skips</t>
        </is>
      </c>
      <c r="C11" s="65" t="inlineStr">
        <is>
          <t>Skip hire (2 skips)</t>
        </is>
      </c>
      <c r="D11" s="65" t="n"/>
      <c r="E11" s="65" t="inlineStr">
        <is>
          <t>Waste removal</t>
        </is>
      </c>
      <c r="F11" s="83" t="n"/>
      <c r="G11" s="66" t="n">
        <v>640</v>
      </c>
      <c r="H11" s="69">
        <f>IF(B11="","",IF(G11&lt;&gt;"",G11,IF(F11&lt;&gt;"",F11*IFERROR(INDEX('Contractors'!$I$6:$I$35,MATCH(B11,'Contractors'!$B$6:$B$35,0)),0),"")))</f>
        <v/>
      </c>
      <c r="I11" s="81" t="n">
        <v>46134</v>
      </c>
      <c r="J11" s="65" t="inlineStr">
        <is>
          <t>CS-88</t>
        </is>
      </c>
      <c r="K11" s="81" t="n">
        <v>46132</v>
      </c>
      <c r="L11" s="66" t="n">
        <v>640</v>
      </c>
      <c r="M11" s="81" t="n">
        <v>46134</v>
      </c>
      <c r="N11" s="66" t="n">
        <v>640</v>
      </c>
      <c r="O11" s="91">
        <f>IF(B11="","",IF(M11&lt;&gt;"","Paid",IF(AND(I11&lt;&gt;"",I11&lt;AsOf),"OVERDUE",IF(OR(K11&lt;&gt;"",L11&lt;&gt;""),"Invoiced","Scheduled"))))</f>
        <v/>
      </c>
      <c r="P11" s="92">
        <f>IF(B11="","",IF(E11&lt;&gt;"",E11,IFERROR(INDEX('Contractors'!$D$6:$D$35,MATCH(B11,'Contractors'!$B$6:$B$35,0)),"")))</f>
        <v/>
      </c>
      <c r="Q11" s="63">
        <f>IF(B11="","",IF(D11&lt;&gt;"",D11,IFERROR(INDEX('Contractors'!$E$6:$E$35,MATCH(B11,'Contractors'!$B$6:$B$35,0)),"")))</f>
        <v/>
      </c>
      <c r="R11" s="63">
        <f>IF(O11="","",IF(O11="OVERDUE",2,IF(O11="Paid",0,IF(AND(I11&lt;&gt;"",I11&lt;=AsOf+AlertDays),1,0))))</f>
        <v/>
      </c>
      <c r="S11" s="63">
        <f>IF(AND(B11&lt;&gt;"",M11="",I11&lt;&gt;""),IF(L11&lt;&gt;"",L11,IF(H11="",0,H11)),0)</f>
        <v/>
      </c>
      <c r="T11" s="63">
        <f>IF(AND(B11&lt;&gt;"",M11="",I11&lt;&gt;""),1/I11,0)</f>
        <v/>
      </c>
      <c r="U11" s="85">
        <f>IF(AND(B11&lt;&gt;"",M11="",I11&lt;&gt;""),I11,"")</f>
        <v/>
      </c>
      <c r="V11" s="63">
        <f>IF(U11="","",IF(U11&lt;AsOf,1,IF(U11&lt;=AsOf+AlertDays,2,IF(U11&lt;=AsOf+2*AlertDays,3,""))))</f>
        <v/>
      </c>
      <c r="W11" s="63">
        <f>IF(V11="","",IF(O11="OVERDUE","Overdue payment: ","Payment due: ")&amp;B11&amp;" — "&amp;C11&amp;" ("&amp;CurSym&amp;" "&amp;FIXED(S11,0)&amp;")")</f>
        <v/>
      </c>
      <c r="Z11" s="93">
        <f>IF('Contractors'!B11="","",'Contractors'!B11)</f>
        <v/>
      </c>
      <c r="AA11" s="71">
        <f>IF(Z11="","",'Contractors'!K11)</f>
        <v/>
      </c>
      <c r="AB11" s="71">
        <f>IF(Z11="","",SUMIFS($L$6:$L$205,$B$6:$B$205,Z11))</f>
        <v/>
      </c>
      <c r="AC11" s="71">
        <f>IF(Z11="","",SUMIFS($N$6:$N$205,$B$6:$B$205,Z11))</f>
        <v/>
      </c>
      <c r="AD11" s="70">
        <f>IF(Z11="","",AA11-AC11)</f>
        <v/>
      </c>
      <c r="AE11" s="94">
        <f>IF(Z11="","",IFERROR(1/SUMPRODUCT(MAX(($B$6:$B$205=Z11)*$T$6:$T$205)),""))</f>
        <v/>
      </c>
      <c r="AF11" s="71">
        <f>IF(AE11="","",SUMIFS($S$6:$S$205,$B$6:$B$205,Z11,$I$6:$I$205,AE11))</f>
        <v/>
      </c>
    </row>
    <row r="12" ht="20" customHeight="1">
      <c r="B12" s="65" t="inlineStr">
        <is>
          <t>Solid Structures Ltd</t>
        </is>
      </c>
      <c r="C12" s="65" t="inlineStr">
        <is>
          <t>Deposit 30%</t>
        </is>
      </c>
      <c r="D12" s="65" t="n"/>
      <c r="E12" s="65" t="n"/>
      <c r="F12" s="83" t="n">
        <v>0.3</v>
      </c>
      <c r="G12" s="66" t="n"/>
      <c r="H12" s="69">
        <f>IF(B12="","",IF(G12&lt;&gt;"",G12,IF(F12&lt;&gt;"",F12*IFERROR(INDEX('Contractors'!$I$6:$I$35,MATCH(B12,'Contractors'!$B$6:$B$35,0)),0),"")))</f>
        <v/>
      </c>
      <c r="I12" s="81" t="n">
        <v>46137</v>
      </c>
      <c r="J12" s="65" t="inlineStr">
        <is>
          <t>SS-12</t>
        </is>
      </c>
      <c r="K12" s="81" t="n">
        <v>46133</v>
      </c>
      <c r="L12" s="66" t="n">
        <v>2820</v>
      </c>
      <c r="M12" s="81" t="n">
        <v>46136</v>
      </c>
      <c r="N12" s="66" t="n">
        <v>2820</v>
      </c>
      <c r="O12" s="91">
        <f>IF(B12="","",IF(M12&lt;&gt;"","Paid",IF(AND(I12&lt;&gt;"",I12&lt;AsOf),"OVERDUE",IF(OR(K12&lt;&gt;"",L12&lt;&gt;""),"Invoiced","Scheduled"))))</f>
        <v/>
      </c>
      <c r="P12" s="92">
        <f>IF(B12="","",IF(E12&lt;&gt;"",E12,IFERROR(INDEX('Contractors'!$D$6:$D$35,MATCH(B12,'Contractors'!$B$6:$B$35,0)),"")))</f>
        <v/>
      </c>
      <c r="Q12" s="63">
        <f>IF(B12="","",IF(D12&lt;&gt;"",D12,IFERROR(INDEX('Contractors'!$E$6:$E$35,MATCH(B12,'Contractors'!$B$6:$B$35,0)),"")))</f>
        <v/>
      </c>
      <c r="R12" s="63">
        <f>IF(O12="","",IF(O12="OVERDUE",2,IF(O12="Paid",0,IF(AND(I12&lt;&gt;"",I12&lt;=AsOf+AlertDays),1,0))))</f>
        <v/>
      </c>
      <c r="S12" s="63">
        <f>IF(AND(B12&lt;&gt;"",M12="",I12&lt;&gt;""),IF(L12&lt;&gt;"",L12,IF(H12="",0,H12)),0)</f>
        <v/>
      </c>
      <c r="T12" s="63">
        <f>IF(AND(B12&lt;&gt;"",M12="",I12&lt;&gt;""),1/I12,0)</f>
        <v/>
      </c>
      <c r="U12" s="85">
        <f>IF(AND(B12&lt;&gt;"",M12="",I12&lt;&gt;""),I12,"")</f>
        <v/>
      </c>
      <c r="V12" s="63">
        <f>IF(U12="","",IF(U12&lt;AsOf,1,IF(U12&lt;=AsOf+AlertDays,2,IF(U12&lt;=AsOf+2*AlertDays,3,""))))</f>
        <v/>
      </c>
      <c r="W12" s="63">
        <f>IF(V12="","",IF(O12="OVERDUE","Overdue payment: ","Payment due: ")&amp;B12&amp;" — "&amp;C12&amp;" ("&amp;CurSym&amp;" "&amp;FIXED(S12,0)&amp;")")</f>
        <v/>
      </c>
      <c r="Z12" s="93">
        <f>IF('Contractors'!B12="","",'Contractors'!B12)</f>
        <v/>
      </c>
      <c r="AA12" s="71">
        <f>IF(Z12="","",'Contractors'!K12)</f>
        <v/>
      </c>
      <c r="AB12" s="71">
        <f>IF(Z12="","",SUMIFS($L$6:$L$205,$B$6:$B$205,Z12))</f>
        <v/>
      </c>
      <c r="AC12" s="71">
        <f>IF(Z12="","",SUMIFS($N$6:$N$205,$B$6:$B$205,Z12))</f>
        <v/>
      </c>
      <c r="AD12" s="70">
        <f>IF(Z12="","",AA12-AC12)</f>
        <v/>
      </c>
      <c r="AE12" s="94">
        <f>IF(Z12="","",IFERROR(1/SUMPRODUCT(MAX(($B$6:$B$205=Z12)*$T$6:$T$205)),""))</f>
        <v/>
      </c>
      <c r="AF12" s="71">
        <f>IF(AE12="","",SUMIFS($S$6:$S$205,$B$6:$B$205,Z12,$I$6:$I$205,AE12))</f>
        <v/>
      </c>
    </row>
    <row r="13" ht="20" customHeight="1">
      <c r="B13" s="65" t="inlineStr">
        <is>
          <t>Hansen Demolition</t>
        </is>
      </c>
      <c r="C13" s="65" t="inlineStr">
        <is>
          <t>Completion 70%</t>
        </is>
      </c>
      <c r="D13" s="65" t="n"/>
      <c r="E13" s="65" t="n"/>
      <c r="F13" s="83" t="n">
        <v>0.7</v>
      </c>
      <c r="G13" s="66" t="n"/>
      <c r="H13" s="69">
        <f>IF(B13="","",IF(G13&lt;&gt;"",G13,IF(F13&lt;&gt;"",F13*IFERROR(INDEX('Contractors'!$I$6:$I$35,MATCH(B13,'Contractors'!$B$6:$B$35,0)),0),"")))</f>
        <v/>
      </c>
      <c r="I13" s="81" t="n">
        <v>46147</v>
      </c>
      <c r="J13" s="65" t="inlineStr">
        <is>
          <t>H-107</t>
        </is>
      </c>
      <c r="K13" s="81" t="n">
        <v>46142</v>
      </c>
      <c r="L13" s="66" t="n">
        <v>2660</v>
      </c>
      <c r="M13" s="81" t="n">
        <v>46146</v>
      </c>
      <c r="N13" s="66" t="n">
        <v>2660</v>
      </c>
      <c r="O13" s="91">
        <f>IF(B13="","",IF(M13&lt;&gt;"","Paid",IF(AND(I13&lt;&gt;"",I13&lt;AsOf),"OVERDUE",IF(OR(K13&lt;&gt;"",L13&lt;&gt;""),"Invoiced","Scheduled"))))</f>
        <v/>
      </c>
      <c r="P13" s="92">
        <f>IF(B13="","",IF(E13&lt;&gt;"",E13,IFERROR(INDEX('Contractors'!$D$6:$D$35,MATCH(B13,'Contractors'!$B$6:$B$35,0)),"")))</f>
        <v/>
      </c>
      <c r="Q13" s="63">
        <f>IF(B13="","",IF(D13&lt;&gt;"",D13,IFERROR(INDEX('Contractors'!$E$6:$E$35,MATCH(B13,'Contractors'!$B$6:$B$35,0)),"")))</f>
        <v/>
      </c>
      <c r="R13" s="63">
        <f>IF(O13="","",IF(O13="OVERDUE",2,IF(O13="Paid",0,IF(AND(I13&lt;&gt;"",I13&lt;=AsOf+AlertDays),1,0))))</f>
        <v/>
      </c>
      <c r="S13" s="63">
        <f>IF(AND(B13&lt;&gt;"",M13="",I13&lt;&gt;""),IF(L13&lt;&gt;"",L13,IF(H13="",0,H13)),0)</f>
        <v/>
      </c>
      <c r="T13" s="63">
        <f>IF(AND(B13&lt;&gt;"",M13="",I13&lt;&gt;""),1/I13,0)</f>
        <v/>
      </c>
      <c r="U13" s="85">
        <f>IF(AND(B13&lt;&gt;"",M13="",I13&lt;&gt;""),I13,"")</f>
        <v/>
      </c>
      <c r="V13" s="63">
        <f>IF(U13="","",IF(U13&lt;AsOf,1,IF(U13&lt;=AsOf+AlertDays,2,IF(U13&lt;=AsOf+2*AlertDays,3,""))))</f>
        <v/>
      </c>
      <c r="W13" s="63">
        <f>IF(V13="","",IF(O13="OVERDUE","Overdue payment: ","Payment due: ")&amp;B13&amp;" — "&amp;C13&amp;" ("&amp;CurSym&amp;" "&amp;FIXED(S13,0)&amp;")")</f>
        <v/>
      </c>
      <c r="Z13" s="93">
        <f>IF('Contractors'!B13="","",'Contractors'!B13)</f>
        <v/>
      </c>
      <c r="AA13" s="71">
        <f>IF(Z13="","",'Contractors'!K13)</f>
        <v/>
      </c>
      <c r="AB13" s="71">
        <f>IF(Z13="","",SUMIFS($L$6:$L$205,$B$6:$B$205,Z13))</f>
        <v/>
      </c>
      <c r="AC13" s="71">
        <f>IF(Z13="","",SUMIFS($N$6:$N$205,$B$6:$B$205,Z13))</f>
        <v/>
      </c>
      <c r="AD13" s="70">
        <f>IF(Z13="","",AA13-AC13)</f>
        <v/>
      </c>
      <c r="AE13" s="94">
        <f>IF(Z13="","",IFERROR(1/SUMPRODUCT(MAX(($B$6:$B$205=Z13)*$T$6:$T$205)),""))</f>
        <v/>
      </c>
      <c r="AF13" s="71">
        <f>IF(AE13="","",SUMIFS($S$6:$S$205,$B$6:$B$205,Z13,$I$6:$I$205,AE13))</f>
        <v/>
      </c>
    </row>
    <row r="14" ht="20" customHeight="1">
      <c r="B14" s="65" t="inlineStr">
        <is>
          <t>Bright Spark Electric</t>
        </is>
      </c>
      <c r="C14" s="65" t="inlineStr">
        <is>
          <t>Deposit 30%</t>
        </is>
      </c>
      <c r="D14" s="65" t="n"/>
      <c r="E14" s="65" t="n"/>
      <c r="F14" s="83" t="n">
        <v>0.3</v>
      </c>
      <c r="G14" s="66" t="n"/>
      <c r="H14" s="69">
        <f>IF(B14="","",IF(G14&lt;&gt;"",G14,IF(F14&lt;&gt;"",F14*IFERROR(INDEX('Contractors'!$I$6:$I$35,MATCH(B14,'Contractors'!$B$6:$B$35,0)),0),"")))</f>
        <v/>
      </c>
      <c r="I14" s="81" t="n">
        <v>46150</v>
      </c>
      <c r="J14" s="65" t="inlineStr">
        <is>
          <t>BS-2026-04</t>
        </is>
      </c>
      <c r="K14" s="81" t="n">
        <v>46146</v>
      </c>
      <c r="L14" s="66" t="n">
        <v>3150</v>
      </c>
      <c r="M14" s="81" t="n">
        <v>46149</v>
      </c>
      <c r="N14" s="66" t="n">
        <v>3150</v>
      </c>
      <c r="O14" s="91">
        <f>IF(B14="","",IF(M14&lt;&gt;"","Paid",IF(AND(I14&lt;&gt;"",I14&lt;AsOf),"OVERDUE",IF(OR(K14&lt;&gt;"",L14&lt;&gt;""),"Invoiced","Scheduled"))))</f>
        <v/>
      </c>
      <c r="P14" s="92">
        <f>IF(B14="","",IF(E14&lt;&gt;"",E14,IFERROR(INDEX('Contractors'!$D$6:$D$35,MATCH(B14,'Contractors'!$B$6:$B$35,0)),"")))</f>
        <v/>
      </c>
      <c r="Q14" s="63">
        <f>IF(B14="","",IF(D14&lt;&gt;"",D14,IFERROR(INDEX('Contractors'!$E$6:$E$35,MATCH(B14,'Contractors'!$B$6:$B$35,0)),"")))</f>
        <v/>
      </c>
      <c r="R14" s="63">
        <f>IF(O14="","",IF(O14="OVERDUE",2,IF(O14="Paid",0,IF(AND(I14&lt;&gt;"",I14&lt;=AsOf+AlertDays),1,0))))</f>
        <v/>
      </c>
      <c r="S14" s="63">
        <f>IF(AND(B14&lt;&gt;"",M14="",I14&lt;&gt;""),IF(L14&lt;&gt;"",L14,IF(H14="",0,H14)),0)</f>
        <v/>
      </c>
      <c r="T14" s="63">
        <f>IF(AND(B14&lt;&gt;"",M14="",I14&lt;&gt;""),1/I14,0)</f>
        <v/>
      </c>
      <c r="U14" s="85">
        <f>IF(AND(B14&lt;&gt;"",M14="",I14&lt;&gt;""),I14,"")</f>
        <v/>
      </c>
      <c r="V14" s="63">
        <f>IF(U14="","",IF(U14&lt;AsOf,1,IF(U14&lt;=AsOf+AlertDays,2,IF(U14&lt;=AsOf+2*AlertDays,3,""))))</f>
        <v/>
      </c>
      <c r="W14" s="63">
        <f>IF(V14="","",IF(O14="OVERDUE","Overdue payment: ","Payment due: ")&amp;B14&amp;" — "&amp;C14&amp;" ("&amp;CurSym&amp;" "&amp;FIXED(S14,0)&amp;")")</f>
        <v/>
      </c>
      <c r="Z14" s="93">
        <f>IF('Contractors'!B14="","",'Contractors'!B14)</f>
        <v/>
      </c>
      <c r="AA14" s="71">
        <f>IF(Z14="","",'Contractors'!K14)</f>
        <v/>
      </c>
      <c r="AB14" s="71">
        <f>IF(Z14="","",SUMIFS($L$6:$L$205,$B$6:$B$205,Z14))</f>
        <v/>
      </c>
      <c r="AC14" s="71">
        <f>IF(Z14="","",SUMIFS($N$6:$N$205,$B$6:$B$205,Z14))</f>
        <v/>
      </c>
      <c r="AD14" s="70">
        <f>IF(Z14="","",AA14-AC14)</f>
        <v/>
      </c>
      <c r="AE14" s="94">
        <f>IF(Z14="","",IFERROR(1/SUMPRODUCT(MAX(($B$6:$B$205=Z14)*$T$6:$T$205)),""))</f>
        <v/>
      </c>
      <c r="AF14" s="71">
        <f>IF(AE14="","",SUMIFS($S$6:$S$205,$B$6:$B$205,Z14,$I$6:$I$205,AE14))</f>
        <v/>
      </c>
    </row>
    <row r="15" ht="20" customHeight="1">
      <c r="B15" s="65" t="inlineStr">
        <is>
          <t>FlowRight Plumbing</t>
        </is>
      </c>
      <c r="C15" s="65" t="inlineStr">
        <is>
          <t>Start of works 30%</t>
        </is>
      </c>
      <c r="D15" s="65" t="n"/>
      <c r="E15" s="65" t="n"/>
      <c r="F15" s="83" t="n">
        <v>0.3</v>
      </c>
      <c r="G15" s="66" t="n"/>
      <c r="H15" s="69">
        <f>IF(B15="","",IF(G15&lt;&gt;"",G15,IF(F15&lt;&gt;"",F15*IFERROR(INDEX('Contractors'!$I$6:$I$35,MATCH(B15,'Contractors'!$B$6:$B$35,0)),0),"")))</f>
        <v/>
      </c>
      <c r="I15" s="81" t="n">
        <v>46154</v>
      </c>
      <c r="J15" s="65" t="inlineStr">
        <is>
          <t>FR-5501</t>
        </is>
      </c>
      <c r="K15" s="81" t="n">
        <v>46150</v>
      </c>
      <c r="L15" s="66" t="n">
        <v>2760</v>
      </c>
      <c r="M15" s="81" t="n">
        <v>46153</v>
      </c>
      <c r="N15" s="66" t="n">
        <v>2760</v>
      </c>
      <c r="O15" s="91">
        <f>IF(B15="","",IF(M15&lt;&gt;"","Paid",IF(AND(I15&lt;&gt;"",I15&lt;AsOf),"OVERDUE",IF(OR(K15&lt;&gt;"",L15&lt;&gt;""),"Invoiced","Scheduled"))))</f>
        <v/>
      </c>
      <c r="P15" s="92">
        <f>IF(B15="","",IF(E15&lt;&gt;"",E15,IFERROR(INDEX('Contractors'!$D$6:$D$35,MATCH(B15,'Contractors'!$B$6:$B$35,0)),"")))</f>
        <v/>
      </c>
      <c r="Q15" s="63">
        <f>IF(B15="","",IF(D15&lt;&gt;"",D15,IFERROR(INDEX('Contractors'!$E$6:$E$35,MATCH(B15,'Contractors'!$B$6:$B$35,0)),"")))</f>
        <v/>
      </c>
      <c r="R15" s="63">
        <f>IF(O15="","",IF(O15="OVERDUE",2,IF(O15="Paid",0,IF(AND(I15&lt;&gt;"",I15&lt;=AsOf+AlertDays),1,0))))</f>
        <v/>
      </c>
      <c r="S15" s="63">
        <f>IF(AND(B15&lt;&gt;"",M15="",I15&lt;&gt;""),IF(L15&lt;&gt;"",L15,IF(H15="",0,H15)),0)</f>
        <v/>
      </c>
      <c r="T15" s="63">
        <f>IF(AND(B15&lt;&gt;"",M15="",I15&lt;&gt;""),1/I15,0)</f>
        <v/>
      </c>
      <c r="U15" s="85">
        <f>IF(AND(B15&lt;&gt;"",M15="",I15&lt;&gt;""),I15,"")</f>
        <v/>
      </c>
      <c r="V15" s="63">
        <f>IF(U15="","",IF(U15&lt;AsOf,1,IF(U15&lt;=AsOf+AlertDays,2,IF(U15&lt;=AsOf+2*AlertDays,3,""))))</f>
        <v/>
      </c>
      <c r="W15" s="63">
        <f>IF(V15="","",IF(O15="OVERDUE","Overdue payment: ","Payment due: ")&amp;B15&amp;" — "&amp;C15&amp;" ("&amp;CurSym&amp;" "&amp;FIXED(S15,0)&amp;")")</f>
        <v/>
      </c>
      <c r="Z15" s="93">
        <f>IF('Contractors'!B15="","",'Contractors'!B15)</f>
        <v/>
      </c>
      <c r="AA15" s="71">
        <f>IF(Z15="","",'Contractors'!K15)</f>
        <v/>
      </c>
      <c r="AB15" s="71">
        <f>IF(Z15="","",SUMIFS($L$6:$L$205,$B$6:$B$205,Z15))</f>
        <v/>
      </c>
      <c r="AC15" s="71">
        <f>IF(Z15="","",SUMIFS($N$6:$N$205,$B$6:$B$205,Z15))</f>
        <v/>
      </c>
      <c r="AD15" s="70">
        <f>IF(Z15="","",AA15-AC15)</f>
        <v/>
      </c>
      <c r="AE15" s="94">
        <f>IF(Z15="","",IFERROR(1/SUMPRODUCT(MAX(($B$6:$B$205=Z15)*$T$6:$T$205)),""))</f>
        <v/>
      </c>
      <c r="AF15" s="71">
        <f>IF(AE15="","",SUMIFS($S$6:$S$205,$B$6:$B$205,Z15,$I$6:$I$205,AE15))</f>
        <v/>
      </c>
    </row>
    <row r="16" ht="20" customHeight="1">
      <c r="B16" s="65" t="inlineStr">
        <is>
          <t>Nordic Kitchens</t>
        </is>
      </c>
      <c r="C16" s="65" t="inlineStr">
        <is>
          <t>Deposit 10%</t>
        </is>
      </c>
      <c r="D16" s="65" t="inlineStr">
        <is>
          <t>Kitchen</t>
        </is>
      </c>
      <c r="E16" s="65" t="n"/>
      <c r="F16" s="83" t="n">
        <v>0.1</v>
      </c>
      <c r="G16" s="66" t="n"/>
      <c r="H16" s="69">
        <f>IF(B16="","",IF(G16&lt;&gt;"",G16,IF(F16&lt;&gt;"",F16*IFERROR(INDEX('Contractors'!$I$6:$I$35,MATCH(B16,'Contractors'!$B$6:$B$35,0)),0),"")))</f>
        <v/>
      </c>
      <c r="I16" s="81" t="n">
        <v>46157</v>
      </c>
      <c r="J16" s="65" t="inlineStr">
        <is>
          <t>NK-778</t>
        </is>
      </c>
      <c r="K16" s="81" t="n">
        <v>46153</v>
      </c>
      <c r="L16" s="66" t="n">
        <v>1940</v>
      </c>
      <c r="M16" s="81" t="n">
        <v>46156</v>
      </c>
      <c r="N16" s="66" t="n">
        <v>1940</v>
      </c>
      <c r="O16" s="91">
        <f>IF(B16="","",IF(M16&lt;&gt;"","Paid",IF(AND(I16&lt;&gt;"",I16&lt;AsOf),"OVERDUE",IF(OR(K16&lt;&gt;"",L16&lt;&gt;""),"Invoiced","Scheduled"))))</f>
        <v/>
      </c>
      <c r="P16" s="92">
        <f>IF(B16="","",IF(E16&lt;&gt;"",E16,IFERROR(INDEX('Contractors'!$D$6:$D$35,MATCH(B16,'Contractors'!$B$6:$B$35,0)),"")))</f>
        <v/>
      </c>
      <c r="Q16" s="63">
        <f>IF(B16="","",IF(D16&lt;&gt;"",D16,IFERROR(INDEX('Contractors'!$E$6:$E$35,MATCH(B16,'Contractors'!$B$6:$B$35,0)),"")))</f>
        <v/>
      </c>
      <c r="R16" s="63">
        <f>IF(O16="","",IF(O16="OVERDUE",2,IF(O16="Paid",0,IF(AND(I16&lt;&gt;"",I16&lt;=AsOf+AlertDays),1,0))))</f>
        <v/>
      </c>
      <c r="S16" s="63">
        <f>IF(AND(B16&lt;&gt;"",M16="",I16&lt;&gt;""),IF(L16&lt;&gt;"",L16,IF(H16="",0,H16)),0)</f>
        <v/>
      </c>
      <c r="T16" s="63">
        <f>IF(AND(B16&lt;&gt;"",M16="",I16&lt;&gt;""),1/I16,0)</f>
        <v/>
      </c>
      <c r="U16" s="85">
        <f>IF(AND(B16&lt;&gt;"",M16="",I16&lt;&gt;""),I16,"")</f>
        <v/>
      </c>
      <c r="V16" s="63">
        <f>IF(U16="","",IF(U16&lt;AsOf,1,IF(U16&lt;=AsOf+AlertDays,2,IF(U16&lt;=AsOf+2*AlertDays,3,""))))</f>
        <v/>
      </c>
      <c r="W16" s="63">
        <f>IF(V16="","",IF(O16="OVERDUE","Overdue payment: ","Payment due: ")&amp;B16&amp;" — "&amp;C16&amp;" ("&amp;CurSym&amp;" "&amp;FIXED(S16,0)&amp;")")</f>
        <v/>
      </c>
      <c r="Z16" s="93">
        <f>IF('Contractors'!B16="","",'Contractors'!B16)</f>
        <v/>
      </c>
      <c r="AA16" s="71">
        <f>IF(Z16="","",'Contractors'!K16)</f>
        <v/>
      </c>
      <c r="AB16" s="71">
        <f>IF(Z16="","",SUMIFS($L$6:$L$205,$B$6:$B$205,Z16))</f>
        <v/>
      </c>
      <c r="AC16" s="71">
        <f>IF(Z16="","",SUMIFS($N$6:$N$205,$B$6:$B$205,Z16))</f>
        <v/>
      </c>
      <c r="AD16" s="70">
        <f>IF(Z16="","",AA16-AC16)</f>
        <v/>
      </c>
      <c r="AE16" s="94">
        <f>IF(Z16="","",IFERROR(1/SUMPRODUCT(MAX(($B$6:$B$205=Z16)*$T$6:$T$205)),""))</f>
        <v/>
      </c>
      <c r="AF16" s="71">
        <f>IF(AE16="","",SUMIFS($S$6:$S$205,$B$6:$B$205,Z16,$I$6:$I$205,AE16))</f>
        <v/>
      </c>
    </row>
    <row r="17" ht="20" customHeight="1">
      <c r="B17" s="65" t="inlineStr">
        <is>
          <t>ClearView Windows</t>
        </is>
      </c>
      <c r="C17" s="65" t="inlineStr">
        <is>
          <t>Installation 50%</t>
        </is>
      </c>
      <c r="D17" s="65" t="n"/>
      <c r="E17" s="65" t="n"/>
      <c r="F17" s="83" t="n">
        <v>0.5</v>
      </c>
      <c r="G17" s="66" t="n"/>
      <c r="H17" s="69">
        <f>IF(B17="","",IF(G17&lt;&gt;"",G17,IF(F17&lt;&gt;"",F17*IFERROR(INDEX('Contractors'!$I$6:$I$35,MATCH(B17,'Contractors'!$B$6:$B$35,0)),0),"")))</f>
        <v/>
      </c>
      <c r="I17" s="81" t="n">
        <v>46157</v>
      </c>
      <c r="J17" s="65" t="inlineStr">
        <is>
          <t>CV-340</t>
        </is>
      </c>
      <c r="K17" s="81" t="n">
        <v>46150</v>
      </c>
      <c r="L17" s="66" t="n">
        <v>6200</v>
      </c>
      <c r="M17" s="81" t="n">
        <v>46156</v>
      </c>
      <c r="N17" s="66" t="n">
        <v>6200</v>
      </c>
      <c r="O17" s="91">
        <f>IF(B17="","",IF(M17&lt;&gt;"","Paid",IF(AND(I17&lt;&gt;"",I17&lt;AsOf),"OVERDUE",IF(OR(K17&lt;&gt;"",L17&lt;&gt;""),"Invoiced","Scheduled"))))</f>
        <v/>
      </c>
      <c r="P17" s="92">
        <f>IF(B17="","",IF(E17&lt;&gt;"",E17,IFERROR(INDEX('Contractors'!$D$6:$D$35,MATCH(B17,'Contractors'!$B$6:$B$35,0)),"")))</f>
        <v/>
      </c>
      <c r="Q17" s="63">
        <f>IF(B17="","",IF(D17&lt;&gt;"",D17,IFERROR(INDEX('Contractors'!$E$6:$E$35,MATCH(B17,'Contractors'!$B$6:$B$35,0)),"")))</f>
        <v/>
      </c>
      <c r="R17" s="63">
        <f>IF(O17="","",IF(O17="OVERDUE",2,IF(O17="Paid",0,IF(AND(I17&lt;&gt;"",I17&lt;=AsOf+AlertDays),1,0))))</f>
        <v/>
      </c>
      <c r="S17" s="63">
        <f>IF(AND(B17&lt;&gt;"",M17="",I17&lt;&gt;""),IF(L17&lt;&gt;"",L17,IF(H17="",0,H17)),0)</f>
        <v/>
      </c>
      <c r="T17" s="63">
        <f>IF(AND(B17&lt;&gt;"",M17="",I17&lt;&gt;""),1/I17,0)</f>
        <v/>
      </c>
      <c r="U17" s="85">
        <f>IF(AND(B17&lt;&gt;"",M17="",I17&lt;&gt;""),I17,"")</f>
        <v/>
      </c>
      <c r="V17" s="63">
        <f>IF(U17="","",IF(U17&lt;AsOf,1,IF(U17&lt;=AsOf+AlertDays,2,IF(U17&lt;=AsOf+2*AlertDays,3,""))))</f>
        <v/>
      </c>
      <c r="W17" s="63">
        <f>IF(V17="","",IF(O17="OVERDUE","Overdue payment: ","Payment due: ")&amp;B17&amp;" — "&amp;C17&amp;" ("&amp;CurSym&amp;" "&amp;FIXED(S17,0)&amp;")")</f>
        <v/>
      </c>
      <c r="Z17" s="93">
        <f>IF('Contractors'!B17="","",'Contractors'!B17)</f>
        <v/>
      </c>
      <c r="AA17" s="71">
        <f>IF(Z17="","",'Contractors'!K17)</f>
        <v/>
      </c>
      <c r="AB17" s="71">
        <f>IF(Z17="","",SUMIFS($L$6:$L$205,$B$6:$B$205,Z17))</f>
        <v/>
      </c>
      <c r="AC17" s="71">
        <f>IF(Z17="","",SUMIFS($N$6:$N$205,$B$6:$B$205,Z17))</f>
        <v/>
      </c>
      <c r="AD17" s="70">
        <f>IF(Z17="","",AA17-AC17)</f>
        <v/>
      </c>
      <c r="AE17" s="94">
        <f>IF(Z17="","",IFERROR(1/SUMPRODUCT(MAX(($B$6:$B$205=Z17)*$T$6:$T$205)),""))</f>
        <v/>
      </c>
      <c r="AF17" s="71">
        <f>IF(AE17="","",SUMIFS($S$6:$S$205,$B$6:$B$205,Z17,$I$6:$I$205,AE17))</f>
        <v/>
      </c>
    </row>
    <row r="18" ht="20" customHeight="1">
      <c r="B18" s="65" t="inlineStr">
        <is>
          <t>Solid Structures Ltd</t>
        </is>
      </c>
      <c r="C18" s="65" t="inlineStr">
        <is>
          <t>Completion 70%</t>
        </is>
      </c>
      <c r="D18" s="65" t="n"/>
      <c r="E18" s="65" t="n"/>
      <c r="F18" s="83" t="n">
        <v>0.7</v>
      </c>
      <c r="G18" s="66" t="n"/>
      <c r="H18" s="69">
        <f>IF(B18="","",IF(G18&lt;&gt;"",G18,IF(F18&lt;&gt;"",F18*IFERROR(INDEX('Contractors'!$I$6:$I$35,MATCH(B18,'Contractors'!$B$6:$B$35,0)),0),"")))</f>
        <v/>
      </c>
      <c r="I18" s="81" t="n">
        <v>46162</v>
      </c>
      <c r="J18" s="65" t="inlineStr">
        <is>
          <t>SS-19</t>
        </is>
      </c>
      <c r="K18" s="81" t="n">
        <v>46154</v>
      </c>
      <c r="L18" s="66" t="n">
        <v>6580</v>
      </c>
      <c r="M18" s="81" t="n">
        <v>46161</v>
      </c>
      <c r="N18" s="66" t="n">
        <v>6580</v>
      </c>
      <c r="O18" s="91">
        <f>IF(B18="","",IF(M18&lt;&gt;"","Paid",IF(AND(I18&lt;&gt;"",I18&lt;AsOf),"OVERDUE",IF(OR(K18&lt;&gt;"",L18&lt;&gt;""),"Invoiced","Scheduled"))))</f>
        <v/>
      </c>
      <c r="P18" s="92">
        <f>IF(B18="","",IF(E18&lt;&gt;"",E18,IFERROR(INDEX('Contractors'!$D$6:$D$35,MATCH(B18,'Contractors'!$B$6:$B$35,0)),"")))</f>
        <v/>
      </c>
      <c r="Q18" s="63">
        <f>IF(B18="","",IF(D18&lt;&gt;"",D18,IFERROR(INDEX('Contractors'!$E$6:$E$35,MATCH(B18,'Contractors'!$B$6:$B$35,0)),"")))</f>
        <v/>
      </c>
      <c r="R18" s="63">
        <f>IF(O18="","",IF(O18="OVERDUE",2,IF(O18="Paid",0,IF(AND(I18&lt;&gt;"",I18&lt;=AsOf+AlertDays),1,0))))</f>
        <v/>
      </c>
      <c r="S18" s="63">
        <f>IF(AND(B18&lt;&gt;"",M18="",I18&lt;&gt;""),IF(L18&lt;&gt;"",L18,IF(H18="",0,H18)),0)</f>
        <v/>
      </c>
      <c r="T18" s="63">
        <f>IF(AND(B18&lt;&gt;"",M18="",I18&lt;&gt;""),1/I18,0)</f>
        <v/>
      </c>
      <c r="U18" s="85">
        <f>IF(AND(B18&lt;&gt;"",M18="",I18&lt;&gt;""),I18,"")</f>
        <v/>
      </c>
      <c r="V18" s="63">
        <f>IF(U18="","",IF(U18&lt;AsOf,1,IF(U18&lt;=AsOf+AlertDays,2,IF(U18&lt;=AsOf+2*AlertDays,3,""))))</f>
        <v/>
      </c>
      <c r="W18" s="63">
        <f>IF(V18="","",IF(O18="OVERDUE","Overdue payment: ","Payment due: ")&amp;B18&amp;" — "&amp;C18&amp;" ("&amp;CurSym&amp;" "&amp;FIXED(S18,0)&amp;")")</f>
        <v/>
      </c>
      <c r="Z18" s="93">
        <f>IF('Contractors'!B18="","",'Contractors'!B18)</f>
        <v/>
      </c>
      <c r="AA18" s="71">
        <f>IF(Z18="","",'Contractors'!K18)</f>
        <v/>
      </c>
      <c r="AB18" s="71">
        <f>IF(Z18="","",SUMIFS($L$6:$L$205,$B$6:$B$205,Z18))</f>
        <v/>
      </c>
      <c r="AC18" s="71">
        <f>IF(Z18="","",SUMIFS($N$6:$N$205,$B$6:$B$205,Z18))</f>
        <v/>
      </c>
      <c r="AD18" s="70">
        <f>IF(Z18="","",AA18-AC18)</f>
        <v/>
      </c>
      <c r="AE18" s="94">
        <f>IF(Z18="","",IFERROR(1/SUMPRODUCT(MAX(($B$6:$B$205=Z18)*$T$6:$T$205)),""))</f>
        <v/>
      </c>
      <c r="AF18" s="71">
        <f>IF(AE18="","",SUMIFS($S$6:$S$205,$B$6:$B$205,Z18,$I$6:$I$205,AE18))</f>
        <v/>
      </c>
    </row>
    <row r="19" ht="20" customHeight="1">
      <c r="B19" s="65" t="inlineStr">
        <is>
          <t>Solid Structures Ltd</t>
        </is>
      </c>
      <c r="C19" s="65" t="inlineStr">
        <is>
          <t>Change order CO-1 (steel beam)</t>
        </is>
      </c>
      <c r="D19" s="65" t="n"/>
      <c r="E19" s="65" t="n"/>
      <c r="F19" s="83" t="n"/>
      <c r="G19" s="66" t="n">
        <v>1200</v>
      </c>
      <c r="H19" s="69">
        <f>IF(B19="","",IF(G19&lt;&gt;"",G19,IF(F19&lt;&gt;"",F19*IFERROR(INDEX('Contractors'!$I$6:$I$35,MATCH(B19,'Contractors'!$B$6:$B$35,0)),0),"")))</f>
        <v/>
      </c>
      <c r="I19" s="81" t="n">
        <v>46167</v>
      </c>
      <c r="J19" s="65" t="inlineStr">
        <is>
          <t>SS-20</t>
        </is>
      </c>
      <c r="K19" s="81" t="n">
        <v>46160</v>
      </c>
      <c r="L19" s="66" t="n">
        <v>1200</v>
      </c>
      <c r="M19" s="81" t="n">
        <v>46167</v>
      </c>
      <c r="N19" s="66" t="n">
        <v>1200</v>
      </c>
      <c r="O19" s="91">
        <f>IF(B19="","",IF(M19&lt;&gt;"","Paid",IF(AND(I19&lt;&gt;"",I19&lt;AsOf),"OVERDUE",IF(OR(K19&lt;&gt;"",L19&lt;&gt;""),"Invoiced","Scheduled"))))</f>
        <v/>
      </c>
      <c r="P19" s="92">
        <f>IF(B19="","",IF(E19&lt;&gt;"",E19,IFERROR(INDEX('Contractors'!$D$6:$D$35,MATCH(B19,'Contractors'!$B$6:$B$35,0)),"")))</f>
        <v/>
      </c>
      <c r="Q19" s="63">
        <f>IF(B19="","",IF(D19&lt;&gt;"",D19,IFERROR(INDEX('Contractors'!$E$6:$E$35,MATCH(B19,'Contractors'!$B$6:$B$35,0)),"")))</f>
        <v/>
      </c>
      <c r="R19" s="63">
        <f>IF(O19="","",IF(O19="OVERDUE",2,IF(O19="Paid",0,IF(AND(I19&lt;&gt;"",I19&lt;=AsOf+AlertDays),1,0))))</f>
        <v/>
      </c>
      <c r="S19" s="63">
        <f>IF(AND(B19&lt;&gt;"",M19="",I19&lt;&gt;""),IF(L19&lt;&gt;"",L19,IF(H19="",0,H19)),0)</f>
        <v/>
      </c>
      <c r="T19" s="63">
        <f>IF(AND(B19&lt;&gt;"",M19="",I19&lt;&gt;""),1/I19,0)</f>
        <v/>
      </c>
      <c r="U19" s="85">
        <f>IF(AND(B19&lt;&gt;"",M19="",I19&lt;&gt;""),I19,"")</f>
        <v/>
      </c>
      <c r="V19" s="63">
        <f>IF(U19="","",IF(U19&lt;AsOf,1,IF(U19&lt;=AsOf+AlertDays,2,IF(U19&lt;=AsOf+2*AlertDays,3,""))))</f>
        <v/>
      </c>
      <c r="W19" s="63">
        <f>IF(V19="","",IF(O19="OVERDUE","Overdue payment: ","Payment due: ")&amp;B19&amp;" — "&amp;C19&amp;" ("&amp;CurSym&amp;" "&amp;FIXED(S19,0)&amp;")")</f>
        <v/>
      </c>
      <c r="Z19" s="93">
        <f>IF('Contractors'!B19="","",'Contractors'!B19)</f>
        <v/>
      </c>
      <c r="AA19" s="71">
        <f>IF(Z19="","",'Contractors'!K19)</f>
        <v/>
      </c>
      <c r="AB19" s="71">
        <f>IF(Z19="","",SUMIFS($L$6:$L$205,$B$6:$B$205,Z19))</f>
        <v/>
      </c>
      <c r="AC19" s="71">
        <f>IF(Z19="","",SUMIFS($N$6:$N$205,$B$6:$B$205,Z19))</f>
        <v/>
      </c>
      <c r="AD19" s="70">
        <f>IF(Z19="","",AA19-AC19)</f>
        <v/>
      </c>
      <c r="AE19" s="94">
        <f>IF(Z19="","",IFERROR(1/SUMPRODUCT(MAX(($B$6:$B$205=Z19)*$T$6:$T$205)),""))</f>
        <v/>
      </c>
      <c r="AF19" s="71">
        <f>IF(AE19="","",SUMIFS($S$6:$S$205,$B$6:$B$205,Z19,$I$6:$I$205,AE19))</f>
        <v/>
      </c>
    </row>
    <row r="20" ht="20" customHeight="1">
      <c r="B20" s="65" t="inlineStr">
        <is>
          <t>Bright Spark Electric</t>
        </is>
      </c>
      <c r="C20" s="65" t="inlineStr">
        <is>
          <t>First fix 30%</t>
        </is>
      </c>
      <c r="D20" s="65" t="n"/>
      <c r="E20" s="65" t="n"/>
      <c r="F20" s="83" t="n">
        <v>0.3</v>
      </c>
      <c r="G20" s="66" t="n"/>
      <c r="H20" s="69">
        <f>IF(B20="","",IF(G20&lt;&gt;"",G20,IF(F20&lt;&gt;"",F20*IFERROR(INDEX('Contractors'!$I$6:$I$35,MATCH(B20,'Contractors'!$B$6:$B$35,0)),0),"")))</f>
        <v/>
      </c>
      <c r="I20" s="81" t="n">
        <v>46174</v>
      </c>
      <c r="J20" s="65" t="inlineStr">
        <is>
          <t>BS-2026-07</t>
        </is>
      </c>
      <c r="K20" s="81" t="n">
        <v>46168</v>
      </c>
      <c r="L20" s="66" t="n">
        <v>3150</v>
      </c>
      <c r="M20" s="81" t="n">
        <v>46172</v>
      </c>
      <c r="N20" s="66" t="n">
        <v>3150</v>
      </c>
      <c r="O20" s="91">
        <f>IF(B20="","",IF(M20&lt;&gt;"","Paid",IF(AND(I20&lt;&gt;"",I20&lt;AsOf),"OVERDUE",IF(OR(K20&lt;&gt;"",L20&lt;&gt;""),"Invoiced","Scheduled"))))</f>
        <v/>
      </c>
      <c r="P20" s="92">
        <f>IF(B20="","",IF(E20&lt;&gt;"",E20,IFERROR(INDEX('Contractors'!$D$6:$D$35,MATCH(B20,'Contractors'!$B$6:$B$35,0)),"")))</f>
        <v/>
      </c>
      <c r="Q20" s="63">
        <f>IF(B20="","",IF(D20&lt;&gt;"",D20,IFERROR(INDEX('Contractors'!$E$6:$E$35,MATCH(B20,'Contractors'!$B$6:$B$35,0)),"")))</f>
        <v/>
      </c>
      <c r="R20" s="63">
        <f>IF(O20="","",IF(O20="OVERDUE",2,IF(O20="Paid",0,IF(AND(I20&lt;&gt;"",I20&lt;=AsOf+AlertDays),1,0))))</f>
        <v/>
      </c>
      <c r="S20" s="63">
        <f>IF(AND(B20&lt;&gt;"",M20="",I20&lt;&gt;""),IF(L20&lt;&gt;"",L20,IF(H20="",0,H20)),0)</f>
        <v/>
      </c>
      <c r="T20" s="63">
        <f>IF(AND(B20&lt;&gt;"",M20="",I20&lt;&gt;""),1/I20,0)</f>
        <v/>
      </c>
      <c r="U20" s="85">
        <f>IF(AND(B20&lt;&gt;"",M20="",I20&lt;&gt;""),I20,"")</f>
        <v/>
      </c>
      <c r="V20" s="63">
        <f>IF(U20="","",IF(U20&lt;AsOf,1,IF(U20&lt;=AsOf+AlertDays,2,IF(U20&lt;=AsOf+2*AlertDays,3,""))))</f>
        <v/>
      </c>
      <c r="W20" s="63">
        <f>IF(V20="","",IF(O20="OVERDUE","Overdue payment: ","Payment due: ")&amp;B20&amp;" — "&amp;C20&amp;" ("&amp;CurSym&amp;" "&amp;FIXED(S20,0)&amp;")")</f>
        <v/>
      </c>
      <c r="Z20" s="93">
        <f>IF('Contractors'!B20="","",'Contractors'!B20)</f>
        <v/>
      </c>
      <c r="AA20" s="71">
        <f>IF(Z20="","",'Contractors'!K20)</f>
        <v/>
      </c>
      <c r="AB20" s="71">
        <f>IF(Z20="","",SUMIFS($L$6:$L$205,$B$6:$B$205,Z20))</f>
        <v/>
      </c>
      <c r="AC20" s="71">
        <f>IF(Z20="","",SUMIFS($N$6:$N$205,$B$6:$B$205,Z20))</f>
        <v/>
      </c>
      <c r="AD20" s="70">
        <f>IF(Z20="","",AA20-AC20)</f>
        <v/>
      </c>
      <c r="AE20" s="94">
        <f>IF(Z20="","",IFERROR(1/SUMPRODUCT(MAX(($B$6:$B$205=Z20)*$T$6:$T$205)),""))</f>
        <v/>
      </c>
      <c r="AF20" s="71">
        <f>IF(AE20="","",SUMIFS($S$6:$S$205,$B$6:$B$205,Z20,$I$6:$I$205,AE20))</f>
        <v/>
      </c>
    </row>
    <row r="21" ht="20" customHeight="1">
      <c r="B21" s="65" t="inlineStr">
        <is>
          <t>ClimaHeat HVAC</t>
        </is>
      </c>
      <c r="C21" s="65" t="inlineStr">
        <is>
          <t>Equipment 30%</t>
        </is>
      </c>
      <c r="D21" s="65" t="n"/>
      <c r="E21" s="65" t="n"/>
      <c r="F21" s="83" t="n">
        <v>0.3</v>
      </c>
      <c r="G21" s="66" t="n"/>
      <c r="H21" s="69">
        <f>IF(B21="","",IF(G21&lt;&gt;"",G21,IF(F21&lt;&gt;"",F21*IFERROR(INDEX('Contractors'!$I$6:$I$35,MATCH(B21,'Contractors'!$B$6:$B$35,0)),0),"")))</f>
        <v/>
      </c>
      <c r="I21" s="81" t="n">
        <v>46178</v>
      </c>
      <c r="J21" s="65" t="inlineStr">
        <is>
          <t>CH-90</t>
        </is>
      </c>
      <c r="K21" s="81" t="n">
        <v>46174</v>
      </c>
      <c r="L21" s="66" t="n">
        <v>2790</v>
      </c>
      <c r="M21" s="81" t="n">
        <v>46177</v>
      </c>
      <c r="N21" s="66" t="n">
        <v>2790</v>
      </c>
      <c r="O21" s="91">
        <f>IF(B21="","",IF(M21&lt;&gt;"","Paid",IF(AND(I21&lt;&gt;"",I21&lt;AsOf),"OVERDUE",IF(OR(K21&lt;&gt;"",L21&lt;&gt;""),"Invoiced","Scheduled"))))</f>
        <v/>
      </c>
      <c r="P21" s="92">
        <f>IF(B21="","",IF(E21&lt;&gt;"",E21,IFERROR(INDEX('Contractors'!$D$6:$D$35,MATCH(B21,'Contractors'!$B$6:$B$35,0)),"")))</f>
        <v/>
      </c>
      <c r="Q21" s="63">
        <f>IF(B21="","",IF(D21&lt;&gt;"",D21,IFERROR(INDEX('Contractors'!$E$6:$E$35,MATCH(B21,'Contractors'!$B$6:$B$35,0)),"")))</f>
        <v/>
      </c>
      <c r="R21" s="63">
        <f>IF(O21="","",IF(O21="OVERDUE",2,IF(O21="Paid",0,IF(AND(I21&lt;&gt;"",I21&lt;=AsOf+AlertDays),1,0))))</f>
        <v/>
      </c>
      <c r="S21" s="63">
        <f>IF(AND(B21&lt;&gt;"",M21="",I21&lt;&gt;""),IF(L21&lt;&gt;"",L21,IF(H21="",0,H21)),0)</f>
        <v/>
      </c>
      <c r="T21" s="63">
        <f>IF(AND(B21&lt;&gt;"",M21="",I21&lt;&gt;""),1/I21,0)</f>
        <v/>
      </c>
      <c r="U21" s="85">
        <f>IF(AND(B21&lt;&gt;"",M21="",I21&lt;&gt;""),I21,"")</f>
        <v/>
      </c>
      <c r="V21" s="63">
        <f>IF(U21="","",IF(U21&lt;AsOf,1,IF(U21&lt;=AsOf+AlertDays,2,IF(U21&lt;=AsOf+2*AlertDays,3,""))))</f>
        <v/>
      </c>
      <c r="W21" s="63">
        <f>IF(V21="","",IF(O21="OVERDUE","Overdue payment: ","Payment due: ")&amp;B21&amp;" — "&amp;C21&amp;" ("&amp;CurSym&amp;" "&amp;FIXED(S21,0)&amp;")")</f>
        <v/>
      </c>
      <c r="Z21" s="93">
        <f>IF('Contractors'!B21="","",'Contractors'!B21)</f>
        <v/>
      </c>
      <c r="AA21" s="71">
        <f>IF(Z21="","",'Contractors'!K21)</f>
        <v/>
      </c>
      <c r="AB21" s="71">
        <f>IF(Z21="","",SUMIFS($L$6:$L$205,$B$6:$B$205,Z21))</f>
        <v/>
      </c>
      <c r="AC21" s="71">
        <f>IF(Z21="","",SUMIFS($N$6:$N$205,$B$6:$B$205,Z21))</f>
        <v/>
      </c>
      <c r="AD21" s="70">
        <f>IF(Z21="","",AA21-AC21)</f>
        <v/>
      </c>
      <c r="AE21" s="94">
        <f>IF(Z21="","",IFERROR(1/SUMPRODUCT(MAX(($B$6:$B$205=Z21)*$T$6:$T$205)),""))</f>
        <v/>
      </c>
      <c r="AF21" s="71">
        <f>IF(AE21="","",SUMIFS($S$6:$S$205,$B$6:$B$205,Z21,$I$6:$I$205,AE21))</f>
        <v/>
      </c>
    </row>
    <row r="22" ht="20" customHeight="1">
      <c r="B22" s="65" t="inlineStr">
        <is>
          <t>FlowRight Plumbing</t>
        </is>
      </c>
      <c r="C22" s="65" t="inlineStr">
        <is>
          <t>Rough-in complete 40%</t>
        </is>
      </c>
      <c r="D22" s="65" t="n"/>
      <c r="E22" s="65" t="n"/>
      <c r="F22" s="83" t="n">
        <v>0.4</v>
      </c>
      <c r="G22" s="66" t="n"/>
      <c r="H22" s="69">
        <f>IF(B22="","",IF(G22&lt;&gt;"",G22,IF(F22&lt;&gt;"",F22*IFERROR(INDEX('Contractors'!$I$6:$I$35,MATCH(B22,'Contractors'!$B$6:$B$35,0)),0),"")))</f>
        <v/>
      </c>
      <c r="I22" s="81" t="n">
        <v>46183</v>
      </c>
      <c r="J22" s="65" t="inlineStr">
        <is>
          <t>FR-5534</t>
        </is>
      </c>
      <c r="K22" s="81" t="n">
        <v>46174</v>
      </c>
      <c r="L22" s="66" t="n">
        <v>3680</v>
      </c>
      <c r="M22" s="81" t="n"/>
      <c r="N22" s="66" t="n"/>
      <c r="O22" s="91">
        <f>IF(B22="","",IF(M22&lt;&gt;"","Paid",IF(AND(I22&lt;&gt;"",I22&lt;AsOf),"OVERDUE",IF(OR(K22&lt;&gt;"",L22&lt;&gt;""),"Invoiced","Scheduled"))))</f>
        <v/>
      </c>
      <c r="P22" s="92">
        <f>IF(B22="","",IF(E22&lt;&gt;"",E22,IFERROR(INDEX('Contractors'!$D$6:$D$35,MATCH(B22,'Contractors'!$B$6:$B$35,0)),"")))</f>
        <v/>
      </c>
      <c r="Q22" s="63">
        <f>IF(B22="","",IF(D22&lt;&gt;"",D22,IFERROR(INDEX('Contractors'!$E$6:$E$35,MATCH(B22,'Contractors'!$B$6:$B$35,0)),"")))</f>
        <v/>
      </c>
      <c r="R22" s="63">
        <f>IF(O22="","",IF(O22="OVERDUE",2,IF(O22="Paid",0,IF(AND(I22&lt;&gt;"",I22&lt;=AsOf+AlertDays),1,0))))</f>
        <v/>
      </c>
      <c r="S22" s="63">
        <f>IF(AND(B22&lt;&gt;"",M22="",I22&lt;&gt;""),IF(L22&lt;&gt;"",L22,IF(H22="",0,H22)),0)</f>
        <v/>
      </c>
      <c r="T22" s="63">
        <f>IF(AND(B22&lt;&gt;"",M22="",I22&lt;&gt;""),1/I22,0)</f>
        <v/>
      </c>
      <c r="U22" s="85">
        <f>IF(AND(B22&lt;&gt;"",M22="",I22&lt;&gt;""),I22,"")</f>
        <v/>
      </c>
      <c r="V22" s="63">
        <f>IF(U22="","",IF(U22&lt;AsOf,1,IF(U22&lt;=AsOf+AlertDays,2,IF(U22&lt;=AsOf+2*AlertDays,3,""))))</f>
        <v/>
      </c>
      <c r="W22" s="63">
        <f>IF(V22="","",IF(O22="OVERDUE","Overdue payment: ","Payment due: ")&amp;B22&amp;" — "&amp;C22&amp;" ("&amp;CurSym&amp;" "&amp;FIXED(S22,0)&amp;")")</f>
        <v/>
      </c>
      <c r="Z22" s="93">
        <f>IF('Contractors'!B22="","",'Contractors'!B22)</f>
        <v/>
      </c>
      <c r="AA22" s="71">
        <f>IF(Z22="","",'Contractors'!K22)</f>
        <v/>
      </c>
      <c r="AB22" s="71">
        <f>IF(Z22="","",SUMIFS($L$6:$L$205,$B$6:$B$205,Z22))</f>
        <v/>
      </c>
      <c r="AC22" s="71">
        <f>IF(Z22="","",SUMIFS($N$6:$N$205,$B$6:$B$205,Z22))</f>
        <v/>
      </c>
      <c r="AD22" s="70">
        <f>IF(Z22="","",AA22-AC22)</f>
        <v/>
      </c>
      <c r="AE22" s="94">
        <f>IF(Z22="","",IFERROR(1/SUMPRODUCT(MAX(($B$6:$B$205=Z22)*$T$6:$T$205)),""))</f>
        <v/>
      </c>
      <c r="AF22" s="71">
        <f>IF(AE22="","",SUMIFS($S$6:$S$205,$B$6:$B$205,Z22,$I$6:$I$205,AE22))</f>
        <v/>
      </c>
    </row>
    <row r="23" ht="20" customHeight="1">
      <c r="B23" s="65" t="inlineStr">
        <is>
          <t>Aqua Bath Studio</t>
        </is>
      </c>
      <c r="C23" s="65" t="inlineStr">
        <is>
          <t>Deposit 20%</t>
        </is>
      </c>
      <c r="D23" s="65" t="n"/>
      <c r="E23" s="65" t="n"/>
      <c r="F23" s="83" t="n">
        <v>0.2</v>
      </c>
      <c r="G23" s="66" t="n"/>
      <c r="H23" s="69">
        <f>IF(B23="","",IF(G23&lt;&gt;"",G23,IF(F23&lt;&gt;"",F23*IFERROR(INDEX('Contractors'!$I$6:$I$35,MATCH(B23,'Contractors'!$B$6:$B$35,0)),0),"")))</f>
        <v/>
      </c>
      <c r="I23" s="81" t="n">
        <v>46192</v>
      </c>
      <c r="J23" s="65" t="inlineStr">
        <is>
          <t>ABS-301</t>
        </is>
      </c>
      <c r="K23" s="81" t="n">
        <v>46185</v>
      </c>
      <c r="L23" s="66" t="n">
        <v>2240</v>
      </c>
      <c r="M23" s="81" t="n"/>
      <c r="N23" s="66" t="n"/>
      <c r="O23" s="91">
        <f>IF(B23="","",IF(M23&lt;&gt;"","Paid",IF(AND(I23&lt;&gt;"",I23&lt;AsOf),"OVERDUE",IF(OR(K23&lt;&gt;"",L23&lt;&gt;""),"Invoiced","Scheduled"))))</f>
        <v/>
      </c>
      <c r="P23" s="92">
        <f>IF(B23="","",IF(E23&lt;&gt;"",E23,IFERROR(INDEX('Contractors'!$D$6:$D$35,MATCH(B23,'Contractors'!$B$6:$B$35,0)),"")))</f>
        <v/>
      </c>
      <c r="Q23" s="63">
        <f>IF(B23="","",IF(D23&lt;&gt;"",D23,IFERROR(INDEX('Contractors'!$E$6:$E$35,MATCH(B23,'Contractors'!$B$6:$B$35,0)),"")))</f>
        <v/>
      </c>
      <c r="R23" s="63">
        <f>IF(O23="","",IF(O23="OVERDUE",2,IF(O23="Paid",0,IF(AND(I23&lt;&gt;"",I23&lt;=AsOf+AlertDays),1,0))))</f>
        <v/>
      </c>
      <c r="S23" s="63">
        <f>IF(AND(B23&lt;&gt;"",M23="",I23&lt;&gt;""),IF(L23&lt;&gt;"",L23,IF(H23="",0,H23)),0)</f>
        <v/>
      </c>
      <c r="T23" s="63">
        <f>IF(AND(B23&lt;&gt;"",M23="",I23&lt;&gt;""),1/I23,0)</f>
        <v/>
      </c>
      <c r="U23" s="85">
        <f>IF(AND(B23&lt;&gt;"",M23="",I23&lt;&gt;""),I23,"")</f>
        <v/>
      </c>
      <c r="V23" s="63">
        <f>IF(U23="","",IF(U23&lt;AsOf,1,IF(U23&lt;=AsOf+AlertDays,2,IF(U23&lt;=AsOf+2*AlertDays,3,""))))</f>
        <v/>
      </c>
      <c r="W23" s="63">
        <f>IF(V23="","",IF(O23="OVERDUE","Overdue payment: ","Payment due: ")&amp;B23&amp;" — "&amp;C23&amp;" ("&amp;CurSym&amp;" "&amp;FIXED(S23,0)&amp;")")</f>
        <v/>
      </c>
      <c r="Z23" s="93">
        <f>IF('Contractors'!B23="","",'Contractors'!B23)</f>
        <v/>
      </c>
      <c r="AA23" s="71">
        <f>IF(Z23="","",'Contractors'!K23)</f>
        <v/>
      </c>
      <c r="AB23" s="71">
        <f>IF(Z23="","",SUMIFS($L$6:$L$205,$B$6:$B$205,Z23))</f>
        <v/>
      </c>
      <c r="AC23" s="71">
        <f>IF(Z23="","",SUMIFS($N$6:$N$205,$B$6:$B$205,Z23))</f>
        <v/>
      </c>
      <c r="AD23" s="70">
        <f>IF(Z23="","",AA23-AC23)</f>
        <v/>
      </c>
      <c r="AE23" s="94">
        <f>IF(Z23="","",IFERROR(1/SUMPRODUCT(MAX(($B$6:$B$205=Z23)*$T$6:$T$205)),""))</f>
        <v/>
      </c>
      <c r="AF23" s="71">
        <f>IF(AE23="","",SUMIFS($S$6:$S$205,$B$6:$B$205,Z23,$I$6:$I$205,AE23))</f>
        <v/>
      </c>
    </row>
    <row r="24" ht="20" customHeight="1">
      <c r="B24" s="65" t="inlineStr">
        <is>
          <t>ClearView Windows</t>
        </is>
      </c>
      <c r="C24" s="65" t="inlineStr">
        <is>
          <t>Final 10% (after snagging)</t>
        </is>
      </c>
      <c r="D24" s="65" t="n"/>
      <c r="E24" s="65" t="n"/>
      <c r="F24" s="83" t="n">
        <v>0.1</v>
      </c>
      <c r="G24" s="66" t="n"/>
      <c r="H24" s="69">
        <f>IF(B24="","",IF(G24&lt;&gt;"",G24,IF(F24&lt;&gt;"",F24*IFERROR(INDEX('Contractors'!$I$6:$I$35,MATCH(B24,'Contractors'!$B$6:$B$35,0)),0),"")))</f>
        <v/>
      </c>
      <c r="I24" s="81" t="n">
        <v>46193</v>
      </c>
      <c r="J24" s="65" t="inlineStr">
        <is>
          <t>CV-362</t>
        </is>
      </c>
      <c r="K24" s="81" t="n">
        <v>46185</v>
      </c>
      <c r="L24" s="66" t="n">
        <v>1240</v>
      </c>
      <c r="M24" s="81" t="n"/>
      <c r="N24" s="66" t="n"/>
      <c r="O24" s="91">
        <f>IF(B24="","",IF(M24&lt;&gt;"","Paid",IF(AND(I24&lt;&gt;"",I24&lt;AsOf),"OVERDUE",IF(OR(K24&lt;&gt;"",L24&lt;&gt;""),"Invoiced","Scheduled"))))</f>
        <v/>
      </c>
      <c r="P24" s="92">
        <f>IF(B24="","",IF(E24&lt;&gt;"",E24,IFERROR(INDEX('Contractors'!$D$6:$D$35,MATCH(B24,'Contractors'!$B$6:$B$35,0)),"")))</f>
        <v/>
      </c>
      <c r="Q24" s="63">
        <f>IF(B24="","",IF(D24&lt;&gt;"",D24,IFERROR(INDEX('Contractors'!$E$6:$E$35,MATCH(B24,'Contractors'!$B$6:$B$35,0)),"")))</f>
        <v/>
      </c>
      <c r="R24" s="63">
        <f>IF(O24="","",IF(O24="OVERDUE",2,IF(O24="Paid",0,IF(AND(I24&lt;&gt;"",I24&lt;=AsOf+AlertDays),1,0))))</f>
        <v/>
      </c>
      <c r="S24" s="63">
        <f>IF(AND(B24&lt;&gt;"",M24="",I24&lt;&gt;""),IF(L24&lt;&gt;"",L24,IF(H24="",0,H24)),0)</f>
        <v/>
      </c>
      <c r="T24" s="63">
        <f>IF(AND(B24&lt;&gt;"",M24="",I24&lt;&gt;""),1/I24,0)</f>
        <v/>
      </c>
      <c r="U24" s="85">
        <f>IF(AND(B24&lt;&gt;"",M24="",I24&lt;&gt;""),I24,"")</f>
        <v/>
      </c>
      <c r="V24" s="63">
        <f>IF(U24="","",IF(U24&lt;AsOf,1,IF(U24&lt;=AsOf+AlertDays,2,IF(U24&lt;=AsOf+2*AlertDays,3,""))))</f>
        <v/>
      </c>
      <c r="W24" s="63">
        <f>IF(V24="","",IF(O24="OVERDUE","Overdue payment: ","Payment due: ")&amp;B24&amp;" — "&amp;C24&amp;" ("&amp;CurSym&amp;" "&amp;FIXED(S24,0)&amp;")")</f>
        <v/>
      </c>
      <c r="Z24" s="93">
        <f>IF('Contractors'!B24="","",'Contractors'!B24)</f>
        <v/>
      </c>
      <c r="AA24" s="71">
        <f>IF(Z24="","",'Contractors'!K24)</f>
        <v/>
      </c>
      <c r="AB24" s="71">
        <f>IF(Z24="","",SUMIFS($L$6:$L$205,$B$6:$B$205,Z24))</f>
        <v/>
      </c>
      <c r="AC24" s="71">
        <f>IF(Z24="","",SUMIFS($N$6:$N$205,$B$6:$B$205,Z24))</f>
        <v/>
      </c>
      <c r="AD24" s="70">
        <f>IF(Z24="","",AA24-AC24)</f>
        <v/>
      </c>
      <c r="AE24" s="94">
        <f>IF(Z24="","",IFERROR(1/SUMPRODUCT(MAX(($B$6:$B$205=Z24)*$T$6:$T$205)),""))</f>
        <v/>
      </c>
      <c r="AF24" s="71">
        <f>IF(AE24="","",SUMIFS($S$6:$S$205,$B$6:$B$205,Z24,$I$6:$I$205,AE24))</f>
        <v/>
      </c>
    </row>
    <row r="25" ht="20" customHeight="1">
      <c r="B25" s="65" t="inlineStr">
        <is>
          <t>TileDepot</t>
        </is>
      </c>
      <c r="C25" s="65" t="inlineStr">
        <is>
          <t>Bathroom 1 tiles</t>
        </is>
      </c>
      <c r="D25" s="65" t="inlineStr">
        <is>
          <t>Bathroom 1</t>
        </is>
      </c>
      <c r="E25" s="65" t="inlineStr">
        <is>
          <t>Bathrooms</t>
        </is>
      </c>
      <c r="F25" s="83" t="n"/>
      <c r="G25" s="66" t="n">
        <v>1450</v>
      </c>
      <c r="H25" s="69">
        <f>IF(B25="","",IF(G25&lt;&gt;"",G25,IF(F25&lt;&gt;"",F25*IFERROR(INDEX('Contractors'!$I$6:$I$35,MATCH(B25,'Contractors'!$B$6:$B$35,0)),0),"")))</f>
        <v/>
      </c>
      <c r="I25" s="81" t="n">
        <v>46188</v>
      </c>
      <c r="J25" s="65" t="inlineStr">
        <is>
          <t>TD-4471</t>
        </is>
      </c>
      <c r="K25" s="81" t="n">
        <v>46185</v>
      </c>
      <c r="L25" s="66" t="n">
        <v>1450</v>
      </c>
      <c r="M25" s="81" t="n">
        <v>46188</v>
      </c>
      <c r="N25" s="66" t="n">
        <v>1450</v>
      </c>
      <c r="O25" s="91">
        <f>IF(B25="","",IF(M25&lt;&gt;"","Paid",IF(AND(I25&lt;&gt;"",I25&lt;AsOf),"OVERDUE",IF(OR(K25&lt;&gt;"",L25&lt;&gt;""),"Invoiced","Scheduled"))))</f>
        <v/>
      </c>
      <c r="P25" s="92">
        <f>IF(B25="","",IF(E25&lt;&gt;"",E25,IFERROR(INDEX('Contractors'!$D$6:$D$35,MATCH(B25,'Contractors'!$B$6:$B$35,0)),"")))</f>
        <v/>
      </c>
      <c r="Q25" s="63">
        <f>IF(B25="","",IF(D25&lt;&gt;"",D25,IFERROR(INDEX('Contractors'!$E$6:$E$35,MATCH(B25,'Contractors'!$B$6:$B$35,0)),"")))</f>
        <v/>
      </c>
      <c r="R25" s="63">
        <f>IF(O25="","",IF(O25="OVERDUE",2,IF(O25="Paid",0,IF(AND(I25&lt;&gt;"",I25&lt;=AsOf+AlertDays),1,0))))</f>
        <v/>
      </c>
      <c r="S25" s="63">
        <f>IF(AND(B25&lt;&gt;"",M25="",I25&lt;&gt;""),IF(L25&lt;&gt;"",L25,IF(H25="",0,H25)),0)</f>
        <v/>
      </c>
      <c r="T25" s="63">
        <f>IF(AND(B25&lt;&gt;"",M25="",I25&lt;&gt;""),1/I25,0)</f>
        <v/>
      </c>
      <c r="U25" s="85">
        <f>IF(AND(B25&lt;&gt;"",M25="",I25&lt;&gt;""),I25,"")</f>
        <v/>
      </c>
      <c r="V25" s="63">
        <f>IF(U25="","",IF(U25&lt;AsOf,1,IF(U25&lt;=AsOf+AlertDays,2,IF(U25&lt;=AsOf+2*AlertDays,3,""))))</f>
        <v/>
      </c>
      <c r="W25" s="63">
        <f>IF(V25="","",IF(O25="OVERDUE","Overdue payment: ","Payment due: ")&amp;B25&amp;" — "&amp;C25&amp;" ("&amp;CurSym&amp;" "&amp;FIXED(S25,0)&amp;")")</f>
        <v/>
      </c>
      <c r="Z25" s="93">
        <f>IF('Contractors'!B25="","",'Contractors'!B25)</f>
        <v/>
      </c>
      <c r="AA25" s="71">
        <f>IF(Z25="","",'Contractors'!K25)</f>
        <v/>
      </c>
      <c r="AB25" s="71">
        <f>IF(Z25="","",SUMIFS($L$6:$L$205,$B$6:$B$205,Z25))</f>
        <v/>
      </c>
      <c r="AC25" s="71">
        <f>IF(Z25="","",SUMIFS($N$6:$N$205,$B$6:$B$205,Z25))</f>
        <v/>
      </c>
      <c r="AD25" s="70">
        <f>IF(Z25="","",AA25-AC25)</f>
        <v/>
      </c>
      <c r="AE25" s="94">
        <f>IF(Z25="","",IFERROR(1/SUMPRODUCT(MAX(($B$6:$B$205=Z25)*$T$6:$T$205)),""))</f>
        <v/>
      </c>
      <c r="AF25" s="71">
        <f>IF(AE25="","",SUMIFS($S$6:$S$205,$B$6:$B$205,Z25,$I$6:$I$205,AE25))</f>
        <v/>
      </c>
    </row>
    <row r="26" ht="20" customHeight="1">
      <c r="B26" s="65" t="inlineStr">
        <is>
          <t>StoneWorks</t>
        </is>
      </c>
      <c r="C26" s="65" t="inlineStr">
        <is>
          <t>Quartz worktop</t>
        </is>
      </c>
      <c r="D26" s="65" t="inlineStr">
        <is>
          <t>Kitchen</t>
        </is>
      </c>
      <c r="E26" s="65" t="inlineStr">
        <is>
          <t>Kitchen</t>
        </is>
      </c>
      <c r="F26" s="83" t="n"/>
      <c r="G26" s="66" t="n">
        <v>2450</v>
      </c>
      <c r="H26" s="69">
        <f>IF(B26="","",IF(G26&lt;&gt;"",G26,IF(F26&lt;&gt;"",F26*IFERROR(INDEX('Contractors'!$I$6:$I$35,MATCH(B26,'Contractors'!$B$6:$B$35,0)),0),"")))</f>
        <v/>
      </c>
      <c r="I26" s="81" t="n">
        <v>46198</v>
      </c>
      <c r="J26" s="65" t="n"/>
      <c r="K26" s="81" t="n"/>
      <c r="L26" s="66" t="n"/>
      <c r="M26" s="81" t="n"/>
      <c r="N26" s="66" t="n"/>
      <c r="O26" s="91">
        <f>IF(B26="","",IF(M26&lt;&gt;"","Paid",IF(AND(I26&lt;&gt;"",I26&lt;AsOf),"OVERDUE",IF(OR(K26&lt;&gt;"",L26&lt;&gt;""),"Invoiced","Scheduled"))))</f>
        <v/>
      </c>
      <c r="P26" s="92">
        <f>IF(B26="","",IF(E26&lt;&gt;"",E26,IFERROR(INDEX('Contractors'!$D$6:$D$35,MATCH(B26,'Contractors'!$B$6:$B$35,0)),"")))</f>
        <v/>
      </c>
      <c r="Q26" s="63">
        <f>IF(B26="","",IF(D26&lt;&gt;"",D26,IFERROR(INDEX('Contractors'!$E$6:$E$35,MATCH(B26,'Contractors'!$B$6:$B$35,0)),"")))</f>
        <v/>
      </c>
      <c r="R26" s="63">
        <f>IF(O26="","",IF(O26="OVERDUE",2,IF(O26="Paid",0,IF(AND(I26&lt;&gt;"",I26&lt;=AsOf+AlertDays),1,0))))</f>
        <v/>
      </c>
      <c r="S26" s="63">
        <f>IF(AND(B26&lt;&gt;"",M26="",I26&lt;&gt;""),IF(L26&lt;&gt;"",L26,IF(H26="",0,H26)),0)</f>
        <v/>
      </c>
      <c r="T26" s="63">
        <f>IF(AND(B26&lt;&gt;"",M26="",I26&lt;&gt;""),1/I26,0)</f>
        <v/>
      </c>
      <c r="U26" s="85">
        <f>IF(AND(B26&lt;&gt;"",M26="",I26&lt;&gt;""),I26,"")</f>
        <v/>
      </c>
      <c r="V26" s="63">
        <f>IF(U26="","",IF(U26&lt;AsOf,1,IF(U26&lt;=AsOf+AlertDays,2,IF(U26&lt;=AsOf+2*AlertDays,3,""))))</f>
        <v/>
      </c>
      <c r="W26" s="63">
        <f>IF(V26="","",IF(O26="OVERDUE","Overdue payment: ","Payment due: ")&amp;B26&amp;" — "&amp;C26&amp;" ("&amp;CurSym&amp;" "&amp;FIXED(S26,0)&amp;")")</f>
        <v/>
      </c>
      <c r="Z26" s="93">
        <f>IF('Contractors'!B26="","",'Contractors'!B26)</f>
        <v/>
      </c>
      <c r="AA26" s="71">
        <f>IF(Z26="","",'Contractors'!K26)</f>
        <v/>
      </c>
      <c r="AB26" s="71">
        <f>IF(Z26="","",SUMIFS($L$6:$L$205,$B$6:$B$205,Z26))</f>
        <v/>
      </c>
      <c r="AC26" s="71">
        <f>IF(Z26="","",SUMIFS($N$6:$N$205,$B$6:$B$205,Z26))</f>
        <v/>
      </c>
      <c r="AD26" s="70">
        <f>IF(Z26="","",AA26-AC26)</f>
        <v/>
      </c>
      <c r="AE26" s="94">
        <f>IF(Z26="","",IFERROR(1/SUMPRODUCT(MAX(($B$6:$B$205=Z26)*$T$6:$T$205)),""))</f>
        <v/>
      </c>
      <c r="AF26" s="71">
        <f>IF(AE26="","",SUMIFS($S$6:$S$205,$B$6:$B$205,Z26,$I$6:$I$205,AE26))</f>
        <v/>
      </c>
    </row>
    <row r="27" ht="20" customHeight="1">
      <c r="B27" s="65" t="inlineStr">
        <is>
          <t>Nordic Kitchens</t>
        </is>
      </c>
      <c r="C27" s="65" t="inlineStr">
        <is>
          <t>Delivery 50%</t>
        </is>
      </c>
      <c r="D27" s="65" t="inlineStr">
        <is>
          <t>Kitchen</t>
        </is>
      </c>
      <c r="E27" s="65" t="n"/>
      <c r="F27" s="83" t="n">
        <v>0.5</v>
      </c>
      <c r="G27" s="66" t="n"/>
      <c r="H27" s="69">
        <f>IF(B27="","",IF(G27&lt;&gt;"",G27,IF(F27&lt;&gt;"",F27*IFERROR(INDEX('Contractors'!$I$6:$I$35,MATCH(B27,'Contractors'!$B$6:$B$35,0)),0),"")))</f>
        <v/>
      </c>
      <c r="I27" s="81" t="n">
        <v>46202</v>
      </c>
      <c r="J27" s="65" t="n"/>
      <c r="K27" s="81" t="n"/>
      <c r="L27" s="66" t="n"/>
      <c r="M27" s="81" t="n"/>
      <c r="N27" s="66" t="n"/>
      <c r="O27" s="91">
        <f>IF(B27="","",IF(M27&lt;&gt;"","Paid",IF(AND(I27&lt;&gt;"",I27&lt;AsOf),"OVERDUE",IF(OR(K27&lt;&gt;"",L27&lt;&gt;""),"Invoiced","Scheduled"))))</f>
        <v/>
      </c>
      <c r="P27" s="92">
        <f>IF(B27="","",IF(E27&lt;&gt;"",E27,IFERROR(INDEX('Contractors'!$D$6:$D$35,MATCH(B27,'Contractors'!$B$6:$B$35,0)),"")))</f>
        <v/>
      </c>
      <c r="Q27" s="63">
        <f>IF(B27="","",IF(D27&lt;&gt;"",D27,IFERROR(INDEX('Contractors'!$E$6:$E$35,MATCH(B27,'Contractors'!$B$6:$B$35,0)),"")))</f>
        <v/>
      </c>
      <c r="R27" s="63">
        <f>IF(O27="","",IF(O27="OVERDUE",2,IF(O27="Paid",0,IF(AND(I27&lt;&gt;"",I27&lt;=AsOf+AlertDays),1,0))))</f>
        <v/>
      </c>
      <c r="S27" s="63">
        <f>IF(AND(B27&lt;&gt;"",M27="",I27&lt;&gt;""),IF(L27&lt;&gt;"",L27,IF(H27="",0,H27)),0)</f>
        <v/>
      </c>
      <c r="T27" s="63">
        <f>IF(AND(B27&lt;&gt;"",M27="",I27&lt;&gt;""),1/I27,0)</f>
        <v/>
      </c>
      <c r="U27" s="85">
        <f>IF(AND(B27&lt;&gt;"",M27="",I27&lt;&gt;""),I27,"")</f>
        <v/>
      </c>
      <c r="V27" s="63">
        <f>IF(U27="","",IF(U27&lt;AsOf,1,IF(U27&lt;=AsOf+AlertDays,2,IF(U27&lt;=AsOf+2*AlertDays,3,""))))</f>
        <v/>
      </c>
      <c r="W27" s="63">
        <f>IF(V27="","",IF(O27="OVERDUE","Overdue payment: ","Payment due: ")&amp;B27&amp;" — "&amp;C27&amp;" ("&amp;CurSym&amp;" "&amp;FIXED(S27,0)&amp;")")</f>
        <v/>
      </c>
      <c r="Z27" s="93">
        <f>IF('Contractors'!B27="","",'Contractors'!B27)</f>
        <v/>
      </c>
      <c r="AA27" s="71">
        <f>IF(Z27="","",'Contractors'!K27)</f>
        <v/>
      </c>
      <c r="AB27" s="71">
        <f>IF(Z27="","",SUMIFS($L$6:$L$205,$B$6:$B$205,Z27))</f>
        <v/>
      </c>
      <c r="AC27" s="71">
        <f>IF(Z27="","",SUMIFS($N$6:$N$205,$B$6:$B$205,Z27))</f>
        <v/>
      </c>
      <c r="AD27" s="70">
        <f>IF(Z27="","",AA27-AC27)</f>
        <v/>
      </c>
      <c r="AE27" s="94">
        <f>IF(Z27="","",IFERROR(1/SUMPRODUCT(MAX(($B$6:$B$205=Z27)*$T$6:$T$205)),""))</f>
        <v/>
      </c>
      <c r="AF27" s="71">
        <f>IF(AE27="","",SUMIFS($S$6:$S$205,$B$6:$B$205,Z27,$I$6:$I$205,AE27))</f>
        <v/>
      </c>
    </row>
    <row r="28" ht="20" customHeight="1">
      <c r="B28" s="65" t="inlineStr">
        <is>
          <t>ClimaHeat HVAC</t>
        </is>
      </c>
      <c r="C28" s="65" t="inlineStr">
        <is>
          <t>Commissioning 70%</t>
        </is>
      </c>
      <c r="D28" s="65" t="n"/>
      <c r="E28" s="65" t="n"/>
      <c r="F28" s="83" t="n">
        <v>0.7</v>
      </c>
      <c r="G28" s="66" t="n"/>
      <c r="H28" s="69">
        <f>IF(B28="","",IF(G28&lt;&gt;"",G28,IF(F28&lt;&gt;"",F28*IFERROR(INDEX('Contractors'!$I$6:$I$35,MATCH(B28,'Contractors'!$B$6:$B$35,0)),0),"")))</f>
        <v/>
      </c>
      <c r="I28" s="81" t="n">
        <v>46203</v>
      </c>
      <c r="J28" s="65" t="n"/>
      <c r="K28" s="81" t="n"/>
      <c r="L28" s="66" t="n"/>
      <c r="M28" s="81" t="n"/>
      <c r="N28" s="66" t="n"/>
      <c r="O28" s="91">
        <f>IF(B28="","",IF(M28&lt;&gt;"","Paid",IF(AND(I28&lt;&gt;"",I28&lt;AsOf),"OVERDUE",IF(OR(K28&lt;&gt;"",L28&lt;&gt;""),"Invoiced","Scheduled"))))</f>
        <v/>
      </c>
      <c r="P28" s="92">
        <f>IF(B28="","",IF(E28&lt;&gt;"",E28,IFERROR(INDEX('Contractors'!$D$6:$D$35,MATCH(B28,'Contractors'!$B$6:$B$35,0)),"")))</f>
        <v/>
      </c>
      <c r="Q28" s="63">
        <f>IF(B28="","",IF(D28&lt;&gt;"",D28,IFERROR(INDEX('Contractors'!$E$6:$E$35,MATCH(B28,'Contractors'!$B$6:$B$35,0)),"")))</f>
        <v/>
      </c>
      <c r="R28" s="63">
        <f>IF(O28="","",IF(O28="OVERDUE",2,IF(O28="Paid",0,IF(AND(I28&lt;&gt;"",I28&lt;=AsOf+AlertDays),1,0))))</f>
        <v/>
      </c>
      <c r="S28" s="63">
        <f>IF(AND(B28&lt;&gt;"",M28="",I28&lt;&gt;""),IF(L28&lt;&gt;"",L28,IF(H28="",0,H28)),0)</f>
        <v/>
      </c>
      <c r="T28" s="63">
        <f>IF(AND(B28&lt;&gt;"",M28="",I28&lt;&gt;""),1/I28,0)</f>
        <v/>
      </c>
      <c r="U28" s="85">
        <f>IF(AND(B28&lt;&gt;"",M28="",I28&lt;&gt;""),I28,"")</f>
        <v/>
      </c>
      <c r="V28" s="63">
        <f>IF(U28="","",IF(U28&lt;AsOf,1,IF(U28&lt;=AsOf+AlertDays,2,IF(U28&lt;=AsOf+2*AlertDays,3,""))))</f>
        <v/>
      </c>
      <c r="W28" s="63">
        <f>IF(V28="","",IF(O28="OVERDUE","Overdue payment: ","Payment due: ")&amp;B28&amp;" — "&amp;C28&amp;" ("&amp;CurSym&amp;" "&amp;FIXED(S28,0)&amp;")")</f>
        <v/>
      </c>
      <c r="Z28" s="93">
        <f>IF('Contractors'!B28="","",'Contractors'!B28)</f>
        <v/>
      </c>
      <c r="AA28" s="71">
        <f>IF(Z28="","",'Contractors'!K28)</f>
        <v/>
      </c>
      <c r="AB28" s="71">
        <f>IF(Z28="","",SUMIFS($L$6:$L$205,$B$6:$B$205,Z28))</f>
        <v/>
      </c>
      <c r="AC28" s="71">
        <f>IF(Z28="","",SUMIFS($N$6:$N$205,$B$6:$B$205,Z28))</f>
        <v/>
      </c>
      <c r="AD28" s="70">
        <f>IF(Z28="","",AA28-AC28)</f>
        <v/>
      </c>
      <c r="AE28" s="94">
        <f>IF(Z28="","",IFERROR(1/SUMPRODUCT(MAX(($B$6:$B$205=Z28)*$T$6:$T$205)),""))</f>
        <v/>
      </c>
      <c r="AF28" s="71">
        <f>IF(AE28="","",SUMIFS($S$6:$S$205,$B$6:$B$205,Z28,$I$6:$I$205,AE28))</f>
        <v/>
      </c>
    </row>
    <row r="29" ht="20" customHeight="1">
      <c r="B29" s="65" t="inlineStr">
        <is>
          <t>FlowRight Plumbing</t>
        </is>
      </c>
      <c r="C29" s="65" t="inlineStr">
        <is>
          <t>Final 30%</t>
        </is>
      </c>
      <c r="D29" s="65" t="n"/>
      <c r="E29" s="65" t="n"/>
      <c r="F29" s="83" t="n">
        <v>0.3</v>
      </c>
      <c r="G29" s="66" t="n"/>
      <c r="H29" s="69">
        <f>IF(B29="","",IF(G29&lt;&gt;"",G29,IF(F29&lt;&gt;"",F29*IFERROR(INDEX('Contractors'!$I$6:$I$35,MATCH(B29,'Contractors'!$B$6:$B$35,0)),0),"")))</f>
        <v/>
      </c>
      <c r="I29" s="81" t="n">
        <v>46223</v>
      </c>
      <c r="J29" s="65" t="n"/>
      <c r="K29" s="81" t="n"/>
      <c r="L29" s="66" t="n"/>
      <c r="M29" s="81" t="n"/>
      <c r="N29" s="66" t="n"/>
      <c r="O29" s="91">
        <f>IF(B29="","",IF(M29&lt;&gt;"","Paid",IF(AND(I29&lt;&gt;"",I29&lt;AsOf),"OVERDUE",IF(OR(K29&lt;&gt;"",L29&lt;&gt;""),"Invoiced","Scheduled"))))</f>
        <v/>
      </c>
      <c r="P29" s="92">
        <f>IF(B29="","",IF(E29&lt;&gt;"",E29,IFERROR(INDEX('Contractors'!$D$6:$D$35,MATCH(B29,'Contractors'!$B$6:$B$35,0)),"")))</f>
        <v/>
      </c>
      <c r="Q29" s="63">
        <f>IF(B29="","",IF(D29&lt;&gt;"",D29,IFERROR(INDEX('Contractors'!$E$6:$E$35,MATCH(B29,'Contractors'!$B$6:$B$35,0)),"")))</f>
        <v/>
      </c>
      <c r="R29" s="63">
        <f>IF(O29="","",IF(O29="OVERDUE",2,IF(O29="Paid",0,IF(AND(I29&lt;&gt;"",I29&lt;=AsOf+AlertDays),1,0))))</f>
        <v/>
      </c>
      <c r="S29" s="63">
        <f>IF(AND(B29&lt;&gt;"",M29="",I29&lt;&gt;""),IF(L29&lt;&gt;"",L29,IF(H29="",0,H29)),0)</f>
        <v/>
      </c>
      <c r="T29" s="63">
        <f>IF(AND(B29&lt;&gt;"",M29="",I29&lt;&gt;""),1/I29,0)</f>
        <v/>
      </c>
      <c r="U29" s="85">
        <f>IF(AND(B29&lt;&gt;"",M29="",I29&lt;&gt;""),I29,"")</f>
        <v/>
      </c>
      <c r="V29" s="63">
        <f>IF(U29="","",IF(U29&lt;AsOf,1,IF(U29&lt;=AsOf+AlertDays,2,IF(U29&lt;=AsOf+2*AlertDays,3,""))))</f>
        <v/>
      </c>
      <c r="W29" s="63">
        <f>IF(V29="","",IF(O29="OVERDUE","Overdue payment: ","Payment due: ")&amp;B29&amp;" — "&amp;C29&amp;" ("&amp;CurSym&amp;" "&amp;FIXED(S29,0)&amp;")")</f>
        <v/>
      </c>
      <c r="Z29" s="93">
        <f>IF('Contractors'!B29="","",'Contractors'!B29)</f>
        <v/>
      </c>
      <c r="AA29" s="71">
        <f>IF(Z29="","",'Contractors'!K29)</f>
        <v/>
      </c>
      <c r="AB29" s="71">
        <f>IF(Z29="","",SUMIFS($L$6:$L$205,$B$6:$B$205,Z29))</f>
        <v/>
      </c>
      <c r="AC29" s="71">
        <f>IF(Z29="","",SUMIFS($N$6:$N$205,$B$6:$B$205,Z29))</f>
        <v/>
      </c>
      <c r="AD29" s="70">
        <f>IF(Z29="","",AA29-AC29)</f>
        <v/>
      </c>
      <c r="AE29" s="94">
        <f>IF(Z29="","",IFERROR(1/SUMPRODUCT(MAX(($B$6:$B$205=Z29)*$T$6:$T$205)),""))</f>
        <v/>
      </c>
      <c r="AF29" s="71">
        <f>IF(AE29="","",SUMIFS($S$6:$S$205,$B$6:$B$205,Z29,$I$6:$I$205,AE29))</f>
        <v/>
      </c>
    </row>
    <row r="30" ht="20" customHeight="1">
      <c r="B30" s="65" t="inlineStr">
        <is>
          <t>Nordic Kitchens</t>
        </is>
      </c>
      <c r="C30" s="65" t="inlineStr">
        <is>
          <t>Completion 40%</t>
        </is>
      </c>
      <c r="D30" s="65" t="inlineStr">
        <is>
          <t>Kitchen</t>
        </is>
      </c>
      <c r="E30" s="65" t="n"/>
      <c r="F30" s="83" t="n">
        <v>0.4</v>
      </c>
      <c r="G30" s="66" t="n"/>
      <c r="H30" s="69">
        <f>IF(B30="","",IF(G30&lt;&gt;"",G30,IF(F30&lt;&gt;"",F30*IFERROR(INDEX('Contractors'!$I$6:$I$35,MATCH(B30,'Contractors'!$B$6:$B$35,0)),0),"")))</f>
        <v/>
      </c>
      <c r="I30" s="81" t="n">
        <v>46223</v>
      </c>
      <c r="J30" s="65" t="n"/>
      <c r="K30" s="81" t="n"/>
      <c r="L30" s="66" t="n"/>
      <c r="M30" s="81" t="n"/>
      <c r="N30" s="66" t="n"/>
      <c r="O30" s="91">
        <f>IF(B30="","",IF(M30&lt;&gt;"","Paid",IF(AND(I30&lt;&gt;"",I30&lt;AsOf),"OVERDUE",IF(OR(K30&lt;&gt;"",L30&lt;&gt;""),"Invoiced","Scheduled"))))</f>
        <v/>
      </c>
      <c r="P30" s="92">
        <f>IF(B30="","",IF(E30&lt;&gt;"",E30,IFERROR(INDEX('Contractors'!$D$6:$D$35,MATCH(B30,'Contractors'!$B$6:$B$35,0)),"")))</f>
        <v/>
      </c>
      <c r="Q30" s="63">
        <f>IF(B30="","",IF(D30&lt;&gt;"",D30,IFERROR(INDEX('Contractors'!$E$6:$E$35,MATCH(B30,'Contractors'!$B$6:$B$35,0)),"")))</f>
        <v/>
      </c>
      <c r="R30" s="63">
        <f>IF(O30="","",IF(O30="OVERDUE",2,IF(O30="Paid",0,IF(AND(I30&lt;&gt;"",I30&lt;=AsOf+AlertDays),1,0))))</f>
        <v/>
      </c>
      <c r="S30" s="63">
        <f>IF(AND(B30&lt;&gt;"",M30="",I30&lt;&gt;""),IF(L30&lt;&gt;"",L30,IF(H30="",0,H30)),0)</f>
        <v/>
      </c>
      <c r="T30" s="63">
        <f>IF(AND(B30&lt;&gt;"",M30="",I30&lt;&gt;""),1/I30,0)</f>
        <v/>
      </c>
      <c r="U30" s="85">
        <f>IF(AND(B30&lt;&gt;"",M30="",I30&lt;&gt;""),I30,"")</f>
        <v/>
      </c>
      <c r="V30" s="63">
        <f>IF(U30="","",IF(U30&lt;AsOf,1,IF(U30&lt;=AsOf+AlertDays,2,IF(U30&lt;=AsOf+2*AlertDays,3,""))))</f>
        <v/>
      </c>
      <c r="W30" s="63">
        <f>IF(V30="","",IF(O30="OVERDUE","Overdue payment: ","Payment due: ")&amp;B30&amp;" — "&amp;C30&amp;" ("&amp;CurSym&amp;" "&amp;FIXED(S30,0)&amp;")")</f>
        <v/>
      </c>
      <c r="Z30" s="93">
        <f>IF('Contractors'!B30="","",'Contractors'!B30)</f>
        <v/>
      </c>
      <c r="AA30" s="71">
        <f>IF(Z30="","",'Contractors'!K30)</f>
        <v/>
      </c>
      <c r="AB30" s="71">
        <f>IF(Z30="","",SUMIFS($L$6:$L$205,$B$6:$B$205,Z30))</f>
        <v/>
      </c>
      <c r="AC30" s="71">
        <f>IF(Z30="","",SUMIFS($N$6:$N$205,$B$6:$B$205,Z30))</f>
        <v/>
      </c>
      <c r="AD30" s="70">
        <f>IF(Z30="","",AA30-AC30)</f>
        <v/>
      </c>
      <c r="AE30" s="94">
        <f>IF(Z30="","",IFERROR(1/SUMPRODUCT(MAX(($B$6:$B$205=Z30)*$T$6:$T$205)),""))</f>
        <v/>
      </c>
      <c r="AF30" s="71">
        <f>IF(AE30="","",SUMIFS($S$6:$S$205,$B$6:$B$205,Z30,$I$6:$I$205,AE30))</f>
        <v/>
      </c>
    </row>
    <row r="31" ht="20" customHeight="1">
      <c r="B31" s="65" t="inlineStr">
        <is>
          <t>Aqua Bath Studio</t>
        </is>
      </c>
      <c r="C31" s="65" t="inlineStr">
        <is>
          <t>Completion 80%</t>
        </is>
      </c>
      <c r="D31" s="65" t="n"/>
      <c r="E31" s="65" t="n"/>
      <c r="F31" s="83" t="n">
        <v>0.8</v>
      </c>
      <c r="G31" s="66" t="n"/>
      <c r="H31" s="69">
        <f>IF(B31="","",IF(G31&lt;&gt;"",G31,IF(F31&lt;&gt;"",F31*IFERROR(INDEX('Contractors'!$I$6:$I$35,MATCH(B31,'Contractors'!$B$6:$B$35,0)),0),"")))</f>
        <v/>
      </c>
      <c r="I31" s="81" t="n">
        <v>46234</v>
      </c>
      <c r="J31" s="65" t="n"/>
      <c r="K31" s="81" t="n"/>
      <c r="L31" s="66" t="n"/>
      <c r="M31" s="81" t="n"/>
      <c r="N31" s="66" t="n"/>
      <c r="O31" s="91">
        <f>IF(B31="","",IF(M31&lt;&gt;"","Paid",IF(AND(I31&lt;&gt;"",I31&lt;AsOf),"OVERDUE",IF(OR(K31&lt;&gt;"",L31&lt;&gt;""),"Invoiced","Scheduled"))))</f>
        <v/>
      </c>
      <c r="P31" s="92">
        <f>IF(B31="","",IF(E31&lt;&gt;"",E31,IFERROR(INDEX('Contractors'!$D$6:$D$35,MATCH(B31,'Contractors'!$B$6:$B$35,0)),"")))</f>
        <v/>
      </c>
      <c r="Q31" s="63">
        <f>IF(B31="","",IF(D31&lt;&gt;"",D31,IFERROR(INDEX('Contractors'!$E$6:$E$35,MATCH(B31,'Contractors'!$B$6:$B$35,0)),"")))</f>
        <v/>
      </c>
      <c r="R31" s="63">
        <f>IF(O31="","",IF(O31="OVERDUE",2,IF(O31="Paid",0,IF(AND(I31&lt;&gt;"",I31&lt;=AsOf+AlertDays),1,0))))</f>
        <v/>
      </c>
      <c r="S31" s="63">
        <f>IF(AND(B31&lt;&gt;"",M31="",I31&lt;&gt;""),IF(L31&lt;&gt;"",L31,IF(H31="",0,H31)),0)</f>
        <v/>
      </c>
      <c r="T31" s="63">
        <f>IF(AND(B31&lt;&gt;"",M31="",I31&lt;&gt;""),1/I31,0)</f>
        <v/>
      </c>
      <c r="U31" s="85">
        <f>IF(AND(B31&lt;&gt;"",M31="",I31&lt;&gt;""),I31,"")</f>
        <v/>
      </c>
      <c r="V31" s="63">
        <f>IF(U31="","",IF(U31&lt;AsOf,1,IF(U31&lt;=AsOf+AlertDays,2,IF(U31&lt;=AsOf+2*AlertDays,3,""))))</f>
        <v/>
      </c>
      <c r="W31" s="63">
        <f>IF(V31="","",IF(O31="OVERDUE","Overdue payment: ","Payment due: ")&amp;B31&amp;" — "&amp;C31&amp;" ("&amp;CurSym&amp;" "&amp;FIXED(S31,0)&amp;")")</f>
        <v/>
      </c>
      <c r="Z31" s="93">
        <f>IF('Contractors'!B31="","",'Contractors'!B31)</f>
        <v/>
      </c>
      <c r="AA31" s="71">
        <f>IF(Z31="","",'Contractors'!K31)</f>
        <v/>
      </c>
      <c r="AB31" s="71">
        <f>IF(Z31="","",SUMIFS($L$6:$L$205,$B$6:$B$205,Z31))</f>
        <v/>
      </c>
      <c r="AC31" s="71">
        <f>IF(Z31="","",SUMIFS($N$6:$N$205,$B$6:$B$205,Z31))</f>
        <v/>
      </c>
      <c r="AD31" s="70">
        <f>IF(Z31="","",AA31-AC31)</f>
        <v/>
      </c>
      <c r="AE31" s="94">
        <f>IF(Z31="","",IFERROR(1/SUMPRODUCT(MAX(($B$6:$B$205=Z31)*$T$6:$T$205)),""))</f>
        <v/>
      </c>
      <c r="AF31" s="71">
        <f>IF(AE31="","",SUMIFS($S$6:$S$205,$B$6:$B$205,Z31,$I$6:$I$205,AE31))</f>
        <v/>
      </c>
    </row>
    <row r="32" ht="20" customHeight="1">
      <c r="B32" s="65" t="inlineStr">
        <is>
          <t>Bright Spark Electric</t>
        </is>
      </c>
      <c r="C32" s="65" t="inlineStr">
        <is>
          <t>Final 40%</t>
        </is>
      </c>
      <c r="D32" s="65" t="n"/>
      <c r="E32" s="65" t="n"/>
      <c r="F32" s="83" t="n">
        <v>0.4</v>
      </c>
      <c r="G32" s="66" t="n"/>
      <c r="H32" s="69">
        <f>IF(B32="","",IF(G32&lt;&gt;"",G32,IF(F32&lt;&gt;"",F32*IFERROR(INDEX('Contractors'!$I$6:$I$35,MATCH(B32,'Contractors'!$B$6:$B$35,0)),0),"")))</f>
        <v/>
      </c>
      <c r="I32" s="81" t="n">
        <v>46246</v>
      </c>
      <c r="J32" s="65" t="n"/>
      <c r="K32" s="81" t="n"/>
      <c r="L32" s="66" t="n"/>
      <c r="M32" s="81" t="n"/>
      <c r="N32" s="66" t="n"/>
      <c r="O32" s="91">
        <f>IF(B32="","",IF(M32&lt;&gt;"","Paid",IF(AND(I32&lt;&gt;"",I32&lt;AsOf),"OVERDUE",IF(OR(K32&lt;&gt;"",L32&lt;&gt;""),"Invoiced","Scheduled"))))</f>
        <v/>
      </c>
      <c r="P32" s="92">
        <f>IF(B32="","",IF(E32&lt;&gt;"",E32,IFERROR(INDEX('Contractors'!$D$6:$D$35,MATCH(B32,'Contractors'!$B$6:$B$35,0)),"")))</f>
        <v/>
      </c>
      <c r="Q32" s="63">
        <f>IF(B32="","",IF(D32&lt;&gt;"",D32,IFERROR(INDEX('Contractors'!$E$6:$E$35,MATCH(B32,'Contractors'!$B$6:$B$35,0)),"")))</f>
        <v/>
      </c>
      <c r="R32" s="63">
        <f>IF(O32="","",IF(O32="OVERDUE",2,IF(O32="Paid",0,IF(AND(I32&lt;&gt;"",I32&lt;=AsOf+AlertDays),1,0))))</f>
        <v/>
      </c>
      <c r="S32" s="63">
        <f>IF(AND(B32&lt;&gt;"",M32="",I32&lt;&gt;""),IF(L32&lt;&gt;"",L32,IF(H32="",0,H32)),0)</f>
        <v/>
      </c>
      <c r="T32" s="63">
        <f>IF(AND(B32&lt;&gt;"",M32="",I32&lt;&gt;""),1/I32,0)</f>
        <v/>
      </c>
      <c r="U32" s="85">
        <f>IF(AND(B32&lt;&gt;"",M32="",I32&lt;&gt;""),I32,"")</f>
        <v/>
      </c>
      <c r="V32" s="63">
        <f>IF(U32="","",IF(U32&lt;AsOf,1,IF(U32&lt;=AsOf+AlertDays,2,IF(U32&lt;=AsOf+2*AlertDays,3,""))))</f>
        <v/>
      </c>
      <c r="W32" s="63">
        <f>IF(V32="","",IF(O32="OVERDUE","Overdue payment: ","Payment due: ")&amp;B32&amp;" — "&amp;C32&amp;" ("&amp;CurSym&amp;" "&amp;FIXED(S32,0)&amp;")")</f>
        <v/>
      </c>
      <c r="Z32" s="93">
        <f>IF('Contractors'!B32="","",'Contractors'!B32)</f>
        <v/>
      </c>
      <c r="AA32" s="71">
        <f>IF(Z32="","",'Contractors'!K32)</f>
        <v/>
      </c>
      <c r="AB32" s="71">
        <f>IF(Z32="","",SUMIFS($L$6:$L$205,$B$6:$B$205,Z32))</f>
        <v/>
      </c>
      <c r="AC32" s="71">
        <f>IF(Z32="","",SUMIFS($N$6:$N$205,$B$6:$B$205,Z32))</f>
        <v/>
      </c>
      <c r="AD32" s="70">
        <f>IF(Z32="","",AA32-AC32)</f>
        <v/>
      </c>
      <c r="AE32" s="94">
        <f>IF(Z32="","",IFERROR(1/SUMPRODUCT(MAX(($B$6:$B$205=Z32)*$T$6:$T$205)),""))</f>
        <v/>
      </c>
      <c r="AF32" s="71">
        <f>IF(AE32="","",SUMIFS($S$6:$S$205,$B$6:$B$205,Z32,$I$6:$I$205,AE32))</f>
        <v/>
      </c>
    </row>
    <row r="33" ht="20" customHeight="1">
      <c r="B33" s="65" t="inlineStr">
        <is>
          <t>GreenPlan Architects</t>
        </is>
      </c>
      <c r="C33" s="65" t="inlineStr">
        <is>
          <t>Final sign-off 25%</t>
        </is>
      </c>
      <c r="D33" s="65" t="n"/>
      <c r="E33" s="65" t="n"/>
      <c r="F33" s="83" t="n">
        <v>0.25</v>
      </c>
      <c r="G33" s="66" t="n"/>
      <c r="H33" s="69">
        <f>IF(B33="","",IF(G33&lt;&gt;"",G33,IF(F33&lt;&gt;"",F33*IFERROR(INDEX('Contractors'!$I$6:$I$35,MATCH(B33,'Contractors'!$B$6:$B$35,0)),0),"")))</f>
        <v/>
      </c>
      <c r="I33" s="81" t="n">
        <v>46254</v>
      </c>
      <c r="J33" s="65" t="n"/>
      <c r="K33" s="81" t="n"/>
      <c r="L33" s="66" t="n"/>
      <c r="M33" s="81" t="n"/>
      <c r="N33" s="66" t="n"/>
      <c r="O33" s="91">
        <f>IF(B33="","",IF(M33&lt;&gt;"","Paid",IF(AND(I33&lt;&gt;"",I33&lt;AsOf),"OVERDUE",IF(OR(K33&lt;&gt;"",L33&lt;&gt;""),"Invoiced","Scheduled"))))</f>
        <v/>
      </c>
      <c r="P33" s="92">
        <f>IF(B33="","",IF(E33&lt;&gt;"",E33,IFERROR(INDEX('Contractors'!$D$6:$D$35,MATCH(B33,'Contractors'!$B$6:$B$35,0)),"")))</f>
        <v/>
      </c>
      <c r="Q33" s="63">
        <f>IF(B33="","",IF(D33&lt;&gt;"",D33,IFERROR(INDEX('Contractors'!$E$6:$E$35,MATCH(B33,'Contractors'!$B$6:$B$35,0)),"")))</f>
        <v/>
      </c>
      <c r="R33" s="63">
        <f>IF(O33="","",IF(O33="OVERDUE",2,IF(O33="Paid",0,IF(AND(I33&lt;&gt;"",I33&lt;=AsOf+AlertDays),1,0))))</f>
        <v/>
      </c>
      <c r="S33" s="63">
        <f>IF(AND(B33&lt;&gt;"",M33="",I33&lt;&gt;""),IF(L33&lt;&gt;"",L33,IF(H33="",0,H33)),0)</f>
        <v/>
      </c>
      <c r="T33" s="63">
        <f>IF(AND(B33&lt;&gt;"",M33="",I33&lt;&gt;""),1/I33,0)</f>
        <v/>
      </c>
      <c r="U33" s="85">
        <f>IF(AND(B33&lt;&gt;"",M33="",I33&lt;&gt;""),I33,"")</f>
        <v/>
      </c>
      <c r="V33" s="63">
        <f>IF(U33="","",IF(U33&lt;AsOf,1,IF(U33&lt;=AsOf+AlertDays,2,IF(U33&lt;=AsOf+2*AlertDays,3,""))))</f>
        <v/>
      </c>
      <c r="W33" s="63">
        <f>IF(V33="","",IF(O33="OVERDUE","Overdue payment: ","Payment due: ")&amp;B33&amp;" — "&amp;C33&amp;" ("&amp;CurSym&amp;" "&amp;FIXED(S33,0)&amp;")")</f>
        <v/>
      </c>
      <c r="Z33" s="93">
        <f>IF('Contractors'!B33="","",'Contractors'!B33)</f>
        <v/>
      </c>
      <c r="AA33" s="71">
        <f>IF(Z33="","",'Contractors'!K33)</f>
        <v/>
      </c>
      <c r="AB33" s="71">
        <f>IF(Z33="","",SUMIFS($L$6:$L$205,$B$6:$B$205,Z33))</f>
        <v/>
      </c>
      <c r="AC33" s="71">
        <f>IF(Z33="","",SUMIFS($N$6:$N$205,$B$6:$B$205,Z33))</f>
        <v/>
      </c>
      <c r="AD33" s="70">
        <f>IF(Z33="","",AA33-AC33)</f>
        <v/>
      </c>
      <c r="AE33" s="94">
        <f>IF(Z33="","",IFERROR(1/SUMPRODUCT(MAX(($B$6:$B$205=Z33)*$T$6:$T$205)),""))</f>
        <v/>
      </c>
      <c r="AF33" s="71">
        <f>IF(AE33="","",SUMIFS($S$6:$S$205,$B$6:$B$205,Z33,$I$6:$I$205,AE33))</f>
        <v/>
      </c>
    </row>
    <row r="34" ht="20" customHeight="1">
      <c r="B34" s="65" t="n"/>
      <c r="C34" s="65" t="n"/>
      <c r="D34" s="65" t="n"/>
      <c r="E34" s="65" t="n"/>
      <c r="F34" s="83" t="n"/>
      <c r="G34" s="66" t="n"/>
      <c r="H34" s="69">
        <f>IF(B34="","",IF(G34&lt;&gt;"",G34,IF(F34&lt;&gt;"",F34*IFERROR(INDEX('Contractors'!$I$6:$I$35,MATCH(B34,'Contractors'!$B$6:$B$35,0)),0),"")))</f>
        <v/>
      </c>
      <c r="I34" s="81" t="n"/>
      <c r="J34" s="65" t="n"/>
      <c r="K34" s="81" t="n"/>
      <c r="L34" s="66" t="n"/>
      <c r="M34" s="81" t="n"/>
      <c r="N34" s="66" t="n"/>
      <c r="O34" s="91">
        <f>IF(B34="","",IF(M34&lt;&gt;"","Paid",IF(AND(I34&lt;&gt;"",I34&lt;AsOf),"OVERDUE",IF(OR(K34&lt;&gt;"",L34&lt;&gt;""),"Invoiced","Scheduled"))))</f>
        <v/>
      </c>
      <c r="P34" s="92">
        <f>IF(B34="","",IF(E34&lt;&gt;"",E34,IFERROR(INDEX('Contractors'!$D$6:$D$35,MATCH(B34,'Contractors'!$B$6:$B$35,0)),"")))</f>
        <v/>
      </c>
      <c r="Q34" s="63">
        <f>IF(B34="","",IF(D34&lt;&gt;"",D34,IFERROR(INDEX('Contractors'!$E$6:$E$35,MATCH(B34,'Contractors'!$B$6:$B$35,0)),"")))</f>
        <v/>
      </c>
      <c r="R34" s="63">
        <f>IF(O34="","",IF(O34="OVERDUE",2,IF(O34="Paid",0,IF(AND(I34&lt;&gt;"",I34&lt;=AsOf+AlertDays),1,0))))</f>
        <v/>
      </c>
      <c r="S34" s="63">
        <f>IF(AND(B34&lt;&gt;"",M34="",I34&lt;&gt;""),IF(L34&lt;&gt;"",L34,IF(H34="",0,H34)),0)</f>
        <v/>
      </c>
      <c r="T34" s="63">
        <f>IF(AND(B34&lt;&gt;"",M34="",I34&lt;&gt;""),1/I34,0)</f>
        <v/>
      </c>
      <c r="U34" s="85">
        <f>IF(AND(B34&lt;&gt;"",M34="",I34&lt;&gt;""),I34,"")</f>
        <v/>
      </c>
      <c r="V34" s="63">
        <f>IF(U34="","",IF(U34&lt;AsOf,1,IF(U34&lt;=AsOf+AlertDays,2,IF(U34&lt;=AsOf+2*AlertDays,3,""))))</f>
        <v/>
      </c>
      <c r="W34" s="63">
        <f>IF(V34="","",IF(O34="OVERDUE","Overdue payment: ","Payment due: ")&amp;B34&amp;" — "&amp;C34&amp;" ("&amp;CurSym&amp;" "&amp;FIXED(S34,0)&amp;")")</f>
        <v/>
      </c>
      <c r="Z34" s="93">
        <f>IF('Contractors'!B34="","",'Contractors'!B34)</f>
        <v/>
      </c>
      <c r="AA34" s="71">
        <f>IF(Z34="","",'Contractors'!K34)</f>
        <v/>
      </c>
      <c r="AB34" s="71">
        <f>IF(Z34="","",SUMIFS($L$6:$L$205,$B$6:$B$205,Z34))</f>
        <v/>
      </c>
      <c r="AC34" s="71">
        <f>IF(Z34="","",SUMIFS($N$6:$N$205,$B$6:$B$205,Z34))</f>
        <v/>
      </c>
      <c r="AD34" s="70">
        <f>IF(Z34="","",AA34-AC34)</f>
        <v/>
      </c>
      <c r="AE34" s="94">
        <f>IF(Z34="","",IFERROR(1/SUMPRODUCT(MAX(($B$6:$B$205=Z34)*$T$6:$T$205)),""))</f>
        <v/>
      </c>
      <c r="AF34" s="71">
        <f>IF(AE34="","",SUMIFS($S$6:$S$205,$B$6:$B$205,Z34,$I$6:$I$205,AE34))</f>
        <v/>
      </c>
    </row>
    <row r="35" ht="20" customHeight="1">
      <c r="B35" s="65" t="n"/>
      <c r="C35" s="65" t="n"/>
      <c r="D35" s="65" t="n"/>
      <c r="E35" s="65" t="n"/>
      <c r="F35" s="83" t="n"/>
      <c r="G35" s="66" t="n"/>
      <c r="H35" s="69">
        <f>IF(B35="","",IF(G35&lt;&gt;"",G35,IF(F35&lt;&gt;"",F35*IFERROR(INDEX('Contractors'!$I$6:$I$35,MATCH(B35,'Contractors'!$B$6:$B$35,0)),0),"")))</f>
        <v/>
      </c>
      <c r="I35" s="81" t="n"/>
      <c r="J35" s="65" t="n"/>
      <c r="K35" s="81" t="n"/>
      <c r="L35" s="66" t="n"/>
      <c r="M35" s="81" t="n"/>
      <c r="N35" s="66" t="n"/>
      <c r="O35" s="91">
        <f>IF(B35="","",IF(M35&lt;&gt;"","Paid",IF(AND(I35&lt;&gt;"",I35&lt;AsOf),"OVERDUE",IF(OR(K35&lt;&gt;"",L35&lt;&gt;""),"Invoiced","Scheduled"))))</f>
        <v/>
      </c>
      <c r="P35" s="92">
        <f>IF(B35="","",IF(E35&lt;&gt;"",E35,IFERROR(INDEX('Contractors'!$D$6:$D$35,MATCH(B35,'Contractors'!$B$6:$B$35,0)),"")))</f>
        <v/>
      </c>
      <c r="Q35" s="63">
        <f>IF(B35="","",IF(D35&lt;&gt;"",D35,IFERROR(INDEX('Contractors'!$E$6:$E$35,MATCH(B35,'Contractors'!$B$6:$B$35,0)),"")))</f>
        <v/>
      </c>
      <c r="R35" s="63">
        <f>IF(O35="","",IF(O35="OVERDUE",2,IF(O35="Paid",0,IF(AND(I35&lt;&gt;"",I35&lt;=AsOf+AlertDays),1,0))))</f>
        <v/>
      </c>
      <c r="S35" s="63">
        <f>IF(AND(B35&lt;&gt;"",M35="",I35&lt;&gt;""),IF(L35&lt;&gt;"",L35,IF(H35="",0,H35)),0)</f>
        <v/>
      </c>
      <c r="T35" s="63">
        <f>IF(AND(B35&lt;&gt;"",M35="",I35&lt;&gt;""),1/I35,0)</f>
        <v/>
      </c>
      <c r="U35" s="85">
        <f>IF(AND(B35&lt;&gt;"",M35="",I35&lt;&gt;""),I35,"")</f>
        <v/>
      </c>
      <c r="V35" s="63">
        <f>IF(U35="","",IF(U35&lt;AsOf,1,IF(U35&lt;=AsOf+AlertDays,2,IF(U35&lt;=AsOf+2*AlertDays,3,""))))</f>
        <v/>
      </c>
      <c r="W35" s="63">
        <f>IF(V35="","",IF(O35="OVERDUE","Overdue payment: ","Payment due: ")&amp;B35&amp;" — "&amp;C35&amp;" ("&amp;CurSym&amp;" "&amp;FIXED(S35,0)&amp;")")</f>
        <v/>
      </c>
      <c r="Z35" s="93">
        <f>IF('Contractors'!B35="","",'Contractors'!B35)</f>
        <v/>
      </c>
      <c r="AA35" s="71">
        <f>IF(Z35="","",'Contractors'!K35)</f>
        <v/>
      </c>
      <c r="AB35" s="71">
        <f>IF(Z35="","",SUMIFS($L$6:$L$205,$B$6:$B$205,Z35))</f>
        <v/>
      </c>
      <c r="AC35" s="71">
        <f>IF(Z35="","",SUMIFS($N$6:$N$205,$B$6:$B$205,Z35))</f>
        <v/>
      </c>
      <c r="AD35" s="70">
        <f>IF(Z35="","",AA35-AC35)</f>
        <v/>
      </c>
      <c r="AE35" s="94">
        <f>IF(Z35="","",IFERROR(1/SUMPRODUCT(MAX(($B$6:$B$205=Z35)*$T$6:$T$205)),""))</f>
        <v/>
      </c>
      <c r="AF35" s="71">
        <f>IF(AE35="","",SUMIFS($S$6:$S$205,$B$6:$B$205,Z35,$I$6:$I$205,AE35))</f>
        <v/>
      </c>
    </row>
    <row r="36" ht="20" customHeight="1">
      <c r="B36" s="65" t="n"/>
      <c r="C36" s="65" t="n"/>
      <c r="D36" s="65" t="n"/>
      <c r="E36" s="65" t="n"/>
      <c r="F36" s="83" t="n"/>
      <c r="G36" s="66" t="n"/>
      <c r="H36" s="69">
        <f>IF(B36="","",IF(G36&lt;&gt;"",G36,IF(F36&lt;&gt;"",F36*IFERROR(INDEX('Contractors'!$I$6:$I$35,MATCH(B36,'Contractors'!$B$6:$B$35,0)),0),"")))</f>
        <v/>
      </c>
      <c r="I36" s="81" t="n"/>
      <c r="J36" s="65" t="n"/>
      <c r="K36" s="81" t="n"/>
      <c r="L36" s="66" t="n"/>
      <c r="M36" s="81" t="n"/>
      <c r="N36" s="66" t="n"/>
      <c r="O36" s="91">
        <f>IF(B36="","",IF(M36&lt;&gt;"","Paid",IF(AND(I36&lt;&gt;"",I36&lt;AsOf),"OVERDUE",IF(OR(K36&lt;&gt;"",L36&lt;&gt;""),"Invoiced","Scheduled"))))</f>
        <v/>
      </c>
      <c r="P36" s="92">
        <f>IF(B36="","",IF(E36&lt;&gt;"",E36,IFERROR(INDEX('Contractors'!$D$6:$D$35,MATCH(B36,'Contractors'!$B$6:$B$35,0)),"")))</f>
        <v/>
      </c>
      <c r="Q36" s="63">
        <f>IF(B36="","",IF(D36&lt;&gt;"",D36,IFERROR(INDEX('Contractors'!$E$6:$E$35,MATCH(B36,'Contractors'!$B$6:$B$35,0)),"")))</f>
        <v/>
      </c>
      <c r="R36" s="63">
        <f>IF(O36="","",IF(O36="OVERDUE",2,IF(O36="Paid",0,IF(AND(I36&lt;&gt;"",I36&lt;=AsOf+AlertDays),1,0))))</f>
        <v/>
      </c>
      <c r="S36" s="63">
        <f>IF(AND(B36&lt;&gt;"",M36="",I36&lt;&gt;""),IF(L36&lt;&gt;"",L36,IF(H36="",0,H36)),0)</f>
        <v/>
      </c>
      <c r="T36" s="63">
        <f>IF(AND(B36&lt;&gt;"",M36="",I36&lt;&gt;""),1/I36,0)</f>
        <v/>
      </c>
      <c r="U36" s="85">
        <f>IF(AND(B36&lt;&gt;"",M36="",I36&lt;&gt;""),I36,"")</f>
        <v/>
      </c>
      <c r="V36" s="63">
        <f>IF(U36="","",IF(U36&lt;AsOf,1,IF(U36&lt;=AsOf+AlertDays,2,IF(U36&lt;=AsOf+2*AlertDays,3,""))))</f>
        <v/>
      </c>
      <c r="W36" s="63">
        <f>IF(V36="","",IF(O36="OVERDUE","Overdue payment: ","Payment due: ")&amp;B36&amp;" — "&amp;C36&amp;" ("&amp;CurSym&amp;" "&amp;FIXED(S36,0)&amp;")")</f>
        <v/>
      </c>
    </row>
    <row r="37" ht="20" customHeight="1">
      <c r="B37" s="65" t="n"/>
      <c r="C37" s="65" t="n"/>
      <c r="D37" s="65" t="n"/>
      <c r="E37" s="65" t="n"/>
      <c r="F37" s="83" t="n"/>
      <c r="G37" s="66" t="n"/>
      <c r="H37" s="69">
        <f>IF(B37="","",IF(G37&lt;&gt;"",G37,IF(F37&lt;&gt;"",F37*IFERROR(INDEX('Contractors'!$I$6:$I$35,MATCH(B37,'Contractors'!$B$6:$B$35,0)),0),"")))</f>
        <v/>
      </c>
      <c r="I37" s="81" t="n"/>
      <c r="J37" s="65" t="n"/>
      <c r="K37" s="81" t="n"/>
      <c r="L37" s="66" t="n"/>
      <c r="M37" s="81" t="n"/>
      <c r="N37" s="66" t="n"/>
      <c r="O37" s="91">
        <f>IF(B37="","",IF(M37&lt;&gt;"","Paid",IF(AND(I37&lt;&gt;"",I37&lt;AsOf),"OVERDUE",IF(OR(K37&lt;&gt;"",L37&lt;&gt;""),"Invoiced","Scheduled"))))</f>
        <v/>
      </c>
      <c r="P37" s="92">
        <f>IF(B37="","",IF(E37&lt;&gt;"",E37,IFERROR(INDEX('Contractors'!$D$6:$D$35,MATCH(B37,'Contractors'!$B$6:$B$35,0)),"")))</f>
        <v/>
      </c>
      <c r="Q37" s="63">
        <f>IF(B37="","",IF(D37&lt;&gt;"",D37,IFERROR(INDEX('Contractors'!$E$6:$E$35,MATCH(B37,'Contractors'!$B$6:$B$35,0)),"")))</f>
        <v/>
      </c>
      <c r="R37" s="63">
        <f>IF(O37="","",IF(O37="OVERDUE",2,IF(O37="Paid",0,IF(AND(I37&lt;&gt;"",I37&lt;=AsOf+AlertDays),1,0))))</f>
        <v/>
      </c>
      <c r="S37" s="63">
        <f>IF(AND(B37&lt;&gt;"",M37="",I37&lt;&gt;""),IF(L37&lt;&gt;"",L37,IF(H37="",0,H37)),0)</f>
        <v/>
      </c>
      <c r="T37" s="63">
        <f>IF(AND(B37&lt;&gt;"",M37="",I37&lt;&gt;""),1/I37,0)</f>
        <v/>
      </c>
      <c r="U37" s="85">
        <f>IF(AND(B37&lt;&gt;"",M37="",I37&lt;&gt;""),I37,"")</f>
        <v/>
      </c>
      <c r="V37" s="63">
        <f>IF(U37="","",IF(U37&lt;AsOf,1,IF(U37&lt;=AsOf+AlertDays,2,IF(U37&lt;=AsOf+2*AlertDays,3,""))))</f>
        <v/>
      </c>
      <c r="W37" s="63">
        <f>IF(V37="","",IF(O37="OVERDUE","Overdue payment: ","Payment due: ")&amp;B37&amp;" — "&amp;C37&amp;" ("&amp;CurSym&amp;" "&amp;FIXED(S37,0)&amp;")")</f>
        <v/>
      </c>
      <c r="Z37" s="4" t="inlineStr">
        <is>
          <t>CASH FLOW — 12 months from project start</t>
        </is>
      </c>
      <c r="AA37" s="5" t="n"/>
      <c r="AB37" s="5" t="n"/>
      <c r="AC37" s="5" t="n"/>
      <c r="AD37" s="5" t="n"/>
      <c r="AE37" s="5" t="n"/>
      <c r="AF37" s="5" t="n"/>
    </row>
    <row r="38" ht="20" customHeight="1">
      <c r="B38" s="65" t="n"/>
      <c r="C38" s="65" t="n"/>
      <c r="D38" s="65" t="n"/>
      <c r="E38" s="65" t="n"/>
      <c r="F38" s="83" t="n"/>
      <c r="G38" s="66" t="n"/>
      <c r="H38" s="69">
        <f>IF(B38="","",IF(G38&lt;&gt;"",G38,IF(F38&lt;&gt;"",F38*IFERROR(INDEX('Contractors'!$I$6:$I$35,MATCH(B38,'Contractors'!$B$6:$B$35,0)),0),"")))</f>
        <v/>
      </c>
      <c r="I38" s="81" t="n"/>
      <c r="J38" s="65" t="n"/>
      <c r="K38" s="81" t="n"/>
      <c r="L38" s="66" t="n"/>
      <c r="M38" s="81" t="n"/>
      <c r="N38" s="66" t="n"/>
      <c r="O38" s="91">
        <f>IF(B38="","",IF(M38&lt;&gt;"","Paid",IF(AND(I38&lt;&gt;"",I38&lt;AsOf),"OVERDUE",IF(OR(K38&lt;&gt;"",L38&lt;&gt;""),"Invoiced","Scheduled"))))</f>
        <v/>
      </c>
      <c r="P38" s="92">
        <f>IF(B38="","",IF(E38&lt;&gt;"",E38,IFERROR(INDEX('Contractors'!$D$6:$D$35,MATCH(B38,'Contractors'!$B$6:$B$35,0)),"")))</f>
        <v/>
      </c>
      <c r="Q38" s="63">
        <f>IF(B38="","",IF(D38&lt;&gt;"",D38,IFERROR(INDEX('Contractors'!$E$6:$E$35,MATCH(B38,'Contractors'!$B$6:$B$35,0)),"")))</f>
        <v/>
      </c>
      <c r="R38" s="63">
        <f>IF(O38="","",IF(O38="OVERDUE",2,IF(O38="Paid",0,IF(AND(I38&lt;&gt;"",I38&lt;=AsOf+AlertDays),1,0))))</f>
        <v/>
      </c>
      <c r="S38" s="63">
        <f>IF(AND(B38&lt;&gt;"",M38="",I38&lt;&gt;""),IF(L38&lt;&gt;"",L38,IF(H38="",0,H38)),0)</f>
        <v/>
      </c>
      <c r="T38" s="63">
        <f>IF(AND(B38&lt;&gt;"",M38="",I38&lt;&gt;""),1/I38,0)</f>
        <v/>
      </c>
      <c r="U38" s="85">
        <f>IF(AND(B38&lt;&gt;"",M38="",I38&lt;&gt;""),I38,"")</f>
        <v/>
      </c>
      <c r="V38" s="63">
        <f>IF(U38="","",IF(U38&lt;AsOf,1,IF(U38&lt;=AsOf+AlertDays,2,IF(U38&lt;=AsOf+2*AlertDays,3,""))))</f>
        <v/>
      </c>
      <c r="W38" s="63">
        <f>IF(V38="","",IF(O38="OVERDUE","Overdue payment: ","Payment due: ")&amp;B38&amp;" — "&amp;C38&amp;" ("&amp;CurSym&amp;" "&amp;FIXED(S38,0)&amp;")")</f>
        <v/>
      </c>
      <c r="Z38" s="13">
        <f>"Cash needed in the next 30 days ("&amp;CurSym&amp;")"</f>
        <v/>
      </c>
      <c r="AC38" s="95">
        <f>SUMIFS($S$6:$S$205,$I$6:$I$205,"&lt;="&amp;(AsOf+30))</f>
        <v/>
      </c>
    </row>
    <row r="39" ht="20" customHeight="1">
      <c r="B39" s="65" t="n"/>
      <c r="C39" s="65" t="n"/>
      <c r="D39" s="65" t="n"/>
      <c r="E39" s="65" t="n"/>
      <c r="F39" s="83" t="n"/>
      <c r="G39" s="66" t="n"/>
      <c r="H39" s="69">
        <f>IF(B39="","",IF(G39&lt;&gt;"",G39,IF(F39&lt;&gt;"",F39*IFERROR(INDEX('Contractors'!$I$6:$I$35,MATCH(B39,'Contractors'!$B$6:$B$35,0)),0),"")))</f>
        <v/>
      </c>
      <c r="I39" s="81" t="n"/>
      <c r="J39" s="65" t="n"/>
      <c r="K39" s="81" t="n"/>
      <c r="L39" s="66" t="n"/>
      <c r="M39" s="81" t="n"/>
      <c r="N39" s="66" t="n"/>
      <c r="O39" s="91">
        <f>IF(B39="","",IF(M39&lt;&gt;"","Paid",IF(AND(I39&lt;&gt;"",I39&lt;AsOf),"OVERDUE",IF(OR(K39&lt;&gt;"",L39&lt;&gt;""),"Invoiced","Scheduled"))))</f>
        <v/>
      </c>
      <c r="P39" s="92">
        <f>IF(B39="","",IF(E39&lt;&gt;"",E39,IFERROR(INDEX('Contractors'!$D$6:$D$35,MATCH(B39,'Contractors'!$B$6:$B$35,0)),"")))</f>
        <v/>
      </c>
      <c r="Q39" s="63">
        <f>IF(B39="","",IF(D39&lt;&gt;"",D39,IFERROR(INDEX('Contractors'!$E$6:$E$35,MATCH(B39,'Contractors'!$B$6:$B$35,0)),"")))</f>
        <v/>
      </c>
      <c r="R39" s="63">
        <f>IF(O39="","",IF(O39="OVERDUE",2,IF(O39="Paid",0,IF(AND(I39&lt;&gt;"",I39&lt;=AsOf+AlertDays),1,0))))</f>
        <v/>
      </c>
      <c r="S39" s="63">
        <f>IF(AND(B39&lt;&gt;"",M39="",I39&lt;&gt;""),IF(L39&lt;&gt;"",L39,IF(H39="",0,H39)),0)</f>
        <v/>
      </c>
      <c r="T39" s="63">
        <f>IF(AND(B39&lt;&gt;"",M39="",I39&lt;&gt;""),1/I39,0)</f>
        <v/>
      </c>
      <c r="U39" s="85">
        <f>IF(AND(B39&lt;&gt;"",M39="",I39&lt;&gt;""),I39,"")</f>
        <v/>
      </c>
      <c r="V39" s="63">
        <f>IF(U39="","",IF(U39&lt;AsOf,1,IF(U39&lt;=AsOf+AlertDays,2,IF(U39&lt;=AsOf+2*AlertDays,3,""))))</f>
        <v/>
      </c>
      <c r="W39" s="63">
        <f>IF(V39="","",IF(O39="OVERDUE","Overdue payment: ","Payment due: ")&amp;B39&amp;" — "&amp;C39&amp;" ("&amp;CurSym&amp;" "&amp;FIXED(S39,0)&amp;")")</f>
        <v/>
      </c>
    </row>
    <row r="40" ht="20" customHeight="1">
      <c r="B40" s="65" t="n"/>
      <c r="C40" s="65" t="n"/>
      <c r="D40" s="65" t="n"/>
      <c r="E40" s="65" t="n"/>
      <c r="F40" s="83" t="n"/>
      <c r="G40" s="66" t="n"/>
      <c r="H40" s="69">
        <f>IF(B40="","",IF(G40&lt;&gt;"",G40,IF(F40&lt;&gt;"",F40*IFERROR(INDEX('Contractors'!$I$6:$I$35,MATCH(B40,'Contractors'!$B$6:$B$35,0)),0),"")))</f>
        <v/>
      </c>
      <c r="I40" s="81" t="n"/>
      <c r="J40" s="65" t="n"/>
      <c r="K40" s="81" t="n"/>
      <c r="L40" s="66" t="n"/>
      <c r="M40" s="81" t="n"/>
      <c r="N40" s="66" t="n"/>
      <c r="O40" s="91">
        <f>IF(B40="","",IF(M40&lt;&gt;"","Paid",IF(AND(I40&lt;&gt;"",I40&lt;AsOf),"OVERDUE",IF(OR(K40&lt;&gt;"",L40&lt;&gt;""),"Invoiced","Scheduled"))))</f>
        <v/>
      </c>
      <c r="P40" s="92">
        <f>IF(B40="","",IF(E40&lt;&gt;"",E40,IFERROR(INDEX('Contractors'!$D$6:$D$35,MATCH(B40,'Contractors'!$B$6:$B$35,0)),"")))</f>
        <v/>
      </c>
      <c r="Q40" s="63">
        <f>IF(B40="","",IF(D40&lt;&gt;"",D40,IFERROR(INDEX('Contractors'!$E$6:$E$35,MATCH(B40,'Contractors'!$B$6:$B$35,0)),"")))</f>
        <v/>
      </c>
      <c r="R40" s="63">
        <f>IF(O40="","",IF(O40="OVERDUE",2,IF(O40="Paid",0,IF(AND(I40&lt;&gt;"",I40&lt;=AsOf+AlertDays),1,0))))</f>
        <v/>
      </c>
      <c r="S40" s="63">
        <f>IF(AND(B40&lt;&gt;"",M40="",I40&lt;&gt;""),IF(L40&lt;&gt;"",L40,IF(H40="",0,H40)),0)</f>
        <v/>
      </c>
      <c r="T40" s="63">
        <f>IF(AND(B40&lt;&gt;"",M40="",I40&lt;&gt;""),1/I40,0)</f>
        <v/>
      </c>
      <c r="U40" s="85">
        <f>IF(AND(B40&lt;&gt;"",M40="",I40&lt;&gt;""),I40,"")</f>
        <v/>
      </c>
      <c r="V40" s="63">
        <f>IF(U40="","",IF(U40&lt;AsOf,1,IF(U40&lt;=AsOf+AlertDays,2,IF(U40&lt;=AsOf+2*AlertDays,3,""))))</f>
        <v/>
      </c>
      <c r="W40" s="63">
        <f>IF(V40="","",IF(O40="OVERDUE","Overdue payment: ","Payment due: ")&amp;B40&amp;" — "&amp;C40&amp;" ("&amp;CurSym&amp;" "&amp;FIXED(S40,0)&amp;")")</f>
        <v/>
      </c>
      <c r="Z40" s="53" t="inlineStr">
        <is>
          <t>Month</t>
        </is>
      </c>
      <c r="AA40" s="62">
        <f>"Paid ("&amp;CurSym&amp;")"</f>
        <v/>
      </c>
      <c r="AB40" s="62">
        <f>"Still to pay ("&amp;CurSym&amp;")"</f>
        <v/>
      </c>
      <c r="AC40" s="62">
        <f>"Total ("&amp;CurSym&amp;")"</f>
        <v/>
      </c>
      <c r="AD40" s="62">
        <f>"Cumulative ("&amp;CurSym&amp;")"</f>
        <v/>
      </c>
    </row>
    <row r="41" ht="20" customHeight="1">
      <c r="B41" s="65" t="n"/>
      <c r="C41" s="65" t="n"/>
      <c r="D41" s="65" t="n"/>
      <c r="E41" s="65" t="n"/>
      <c r="F41" s="83" t="n"/>
      <c r="G41" s="66" t="n"/>
      <c r="H41" s="69">
        <f>IF(B41="","",IF(G41&lt;&gt;"",G41,IF(F41&lt;&gt;"",F41*IFERROR(INDEX('Contractors'!$I$6:$I$35,MATCH(B41,'Contractors'!$B$6:$B$35,0)),0),"")))</f>
        <v/>
      </c>
      <c r="I41" s="81" t="n"/>
      <c r="J41" s="65" t="n"/>
      <c r="K41" s="81" t="n"/>
      <c r="L41" s="66" t="n"/>
      <c r="M41" s="81" t="n"/>
      <c r="N41" s="66" t="n"/>
      <c r="O41" s="91">
        <f>IF(B41="","",IF(M41&lt;&gt;"","Paid",IF(AND(I41&lt;&gt;"",I41&lt;AsOf),"OVERDUE",IF(OR(K41&lt;&gt;"",L41&lt;&gt;""),"Invoiced","Scheduled"))))</f>
        <v/>
      </c>
      <c r="P41" s="92">
        <f>IF(B41="","",IF(E41&lt;&gt;"",E41,IFERROR(INDEX('Contractors'!$D$6:$D$35,MATCH(B41,'Contractors'!$B$6:$B$35,0)),"")))</f>
        <v/>
      </c>
      <c r="Q41" s="63">
        <f>IF(B41="","",IF(D41&lt;&gt;"",D41,IFERROR(INDEX('Contractors'!$E$6:$E$35,MATCH(B41,'Contractors'!$B$6:$B$35,0)),"")))</f>
        <v/>
      </c>
      <c r="R41" s="63">
        <f>IF(O41="","",IF(O41="OVERDUE",2,IF(O41="Paid",0,IF(AND(I41&lt;&gt;"",I41&lt;=AsOf+AlertDays),1,0))))</f>
        <v/>
      </c>
      <c r="S41" s="63">
        <f>IF(AND(B41&lt;&gt;"",M41="",I41&lt;&gt;""),IF(L41&lt;&gt;"",L41,IF(H41="",0,H41)),0)</f>
        <v/>
      </c>
      <c r="T41" s="63">
        <f>IF(AND(B41&lt;&gt;"",M41="",I41&lt;&gt;""),1/I41,0)</f>
        <v/>
      </c>
      <c r="U41" s="85">
        <f>IF(AND(B41&lt;&gt;"",M41="",I41&lt;&gt;""),I41,"")</f>
        <v/>
      </c>
      <c r="V41" s="63">
        <f>IF(U41="","",IF(U41&lt;AsOf,1,IF(U41&lt;=AsOf+AlertDays,2,IF(U41&lt;=AsOf+2*AlertDays,3,""))))</f>
        <v/>
      </c>
      <c r="W41" s="63">
        <f>IF(V41="","",IF(O41="OVERDUE","Overdue payment: ","Payment due: ")&amp;B41&amp;" — "&amp;C41&amp;" ("&amp;CurSym&amp;" "&amp;FIXED(S41,0)&amp;")")</f>
        <v/>
      </c>
      <c r="Z41" s="96">
        <f>IF(ProjStart="","",DATE(YEAR(ProjStart),MONTH(ProjStart)+0,1))</f>
        <v/>
      </c>
      <c r="AA41" s="71">
        <f>IF(Z41="","",SUMIFS($N$6:$N$205,$M$6:$M$205,"&gt;="&amp;Z41,$M$6:$M$205,"&lt;"&amp;DATE(YEAR(Z41),MONTH(Z41)+1,1)))</f>
        <v/>
      </c>
      <c r="AB41" s="71">
        <f>IF(Z41="","",SUMIFS($S$6:$S$205,$I$6:$I$205,"&gt;="&amp;Z41,$I$6:$I$205,"&lt;"&amp;DATE(YEAR(Z41),MONTH(Z41)+1,1)))</f>
        <v/>
      </c>
      <c r="AC41" s="70">
        <f>IF(Z41="","",AA41+AB41)</f>
        <v/>
      </c>
      <c r="AD41" s="69">
        <f>IF(Z41="","",SUM($AC$41:AC41))</f>
        <v/>
      </c>
    </row>
    <row r="42" ht="20" customHeight="1">
      <c r="B42" s="65" t="n"/>
      <c r="C42" s="65" t="n"/>
      <c r="D42" s="65" t="n"/>
      <c r="E42" s="65" t="n"/>
      <c r="F42" s="83" t="n"/>
      <c r="G42" s="66" t="n"/>
      <c r="H42" s="69">
        <f>IF(B42="","",IF(G42&lt;&gt;"",G42,IF(F42&lt;&gt;"",F42*IFERROR(INDEX('Contractors'!$I$6:$I$35,MATCH(B42,'Contractors'!$B$6:$B$35,0)),0),"")))</f>
        <v/>
      </c>
      <c r="I42" s="81" t="n"/>
      <c r="J42" s="65" t="n"/>
      <c r="K42" s="81" t="n"/>
      <c r="L42" s="66" t="n"/>
      <c r="M42" s="81" t="n"/>
      <c r="N42" s="66" t="n"/>
      <c r="O42" s="91">
        <f>IF(B42="","",IF(M42&lt;&gt;"","Paid",IF(AND(I42&lt;&gt;"",I42&lt;AsOf),"OVERDUE",IF(OR(K42&lt;&gt;"",L42&lt;&gt;""),"Invoiced","Scheduled"))))</f>
        <v/>
      </c>
      <c r="P42" s="92">
        <f>IF(B42="","",IF(E42&lt;&gt;"",E42,IFERROR(INDEX('Contractors'!$D$6:$D$35,MATCH(B42,'Contractors'!$B$6:$B$35,0)),"")))</f>
        <v/>
      </c>
      <c r="Q42" s="63">
        <f>IF(B42="","",IF(D42&lt;&gt;"",D42,IFERROR(INDEX('Contractors'!$E$6:$E$35,MATCH(B42,'Contractors'!$B$6:$B$35,0)),"")))</f>
        <v/>
      </c>
      <c r="R42" s="63">
        <f>IF(O42="","",IF(O42="OVERDUE",2,IF(O42="Paid",0,IF(AND(I42&lt;&gt;"",I42&lt;=AsOf+AlertDays),1,0))))</f>
        <v/>
      </c>
      <c r="S42" s="63">
        <f>IF(AND(B42&lt;&gt;"",M42="",I42&lt;&gt;""),IF(L42&lt;&gt;"",L42,IF(H42="",0,H42)),0)</f>
        <v/>
      </c>
      <c r="T42" s="63">
        <f>IF(AND(B42&lt;&gt;"",M42="",I42&lt;&gt;""),1/I42,0)</f>
        <v/>
      </c>
      <c r="U42" s="85">
        <f>IF(AND(B42&lt;&gt;"",M42="",I42&lt;&gt;""),I42,"")</f>
        <v/>
      </c>
      <c r="V42" s="63">
        <f>IF(U42="","",IF(U42&lt;AsOf,1,IF(U42&lt;=AsOf+AlertDays,2,IF(U42&lt;=AsOf+2*AlertDays,3,""))))</f>
        <v/>
      </c>
      <c r="W42" s="63">
        <f>IF(V42="","",IF(O42="OVERDUE","Overdue payment: ","Payment due: ")&amp;B42&amp;" — "&amp;C42&amp;" ("&amp;CurSym&amp;" "&amp;FIXED(S42,0)&amp;")")</f>
        <v/>
      </c>
      <c r="Z42" s="96">
        <f>IF(ProjStart="","",DATE(YEAR(ProjStart),MONTH(ProjStart)+1,1))</f>
        <v/>
      </c>
      <c r="AA42" s="71">
        <f>IF(Z42="","",SUMIFS($N$6:$N$205,$M$6:$M$205,"&gt;="&amp;Z42,$M$6:$M$205,"&lt;"&amp;DATE(YEAR(Z42),MONTH(Z42)+1,1)))</f>
        <v/>
      </c>
      <c r="AB42" s="71">
        <f>IF(Z42="","",SUMIFS($S$6:$S$205,$I$6:$I$205,"&gt;="&amp;Z42,$I$6:$I$205,"&lt;"&amp;DATE(YEAR(Z42),MONTH(Z42)+1,1)))</f>
        <v/>
      </c>
      <c r="AC42" s="70">
        <f>IF(Z42="","",AA42+AB42)</f>
        <v/>
      </c>
      <c r="AD42" s="69">
        <f>IF(Z42="","",SUM($AC$41:AC42))</f>
        <v/>
      </c>
    </row>
    <row r="43" ht="20" customHeight="1">
      <c r="B43" s="65" t="n"/>
      <c r="C43" s="65" t="n"/>
      <c r="D43" s="65" t="n"/>
      <c r="E43" s="65" t="n"/>
      <c r="F43" s="83" t="n"/>
      <c r="G43" s="66" t="n"/>
      <c r="H43" s="69">
        <f>IF(B43="","",IF(G43&lt;&gt;"",G43,IF(F43&lt;&gt;"",F43*IFERROR(INDEX('Contractors'!$I$6:$I$35,MATCH(B43,'Contractors'!$B$6:$B$35,0)),0),"")))</f>
        <v/>
      </c>
      <c r="I43" s="81" t="n"/>
      <c r="J43" s="65" t="n"/>
      <c r="K43" s="81" t="n"/>
      <c r="L43" s="66" t="n"/>
      <c r="M43" s="81" t="n"/>
      <c r="N43" s="66" t="n"/>
      <c r="O43" s="91">
        <f>IF(B43="","",IF(M43&lt;&gt;"","Paid",IF(AND(I43&lt;&gt;"",I43&lt;AsOf),"OVERDUE",IF(OR(K43&lt;&gt;"",L43&lt;&gt;""),"Invoiced","Scheduled"))))</f>
        <v/>
      </c>
      <c r="P43" s="92">
        <f>IF(B43="","",IF(E43&lt;&gt;"",E43,IFERROR(INDEX('Contractors'!$D$6:$D$35,MATCH(B43,'Contractors'!$B$6:$B$35,0)),"")))</f>
        <v/>
      </c>
      <c r="Q43" s="63">
        <f>IF(B43="","",IF(D43&lt;&gt;"",D43,IFERROR(INDEX('Contractors'!$E$6:$E$35,MATCH(B43,'Contractors'!$B$6:$B$35,0)),"")))</f>
        <v/>
      </c>
      <c r="R43" s="63">
        <f>IF(O43="","",IF(O43="OVERDUE",2,IF(O43="Paid",0,IF(AND(I43&lt;&gt;"",I43&lt;=AsOf+AlertDays),1,0))))</f>
        <v/>
      </c>
      <c r="S43" s="63">
        <f>IF(AND(B43&lt;&gt;"",M43="",I43&lt;&gt;""),IF(L43&lt;&gt;"",L43,IF(H43="",0,H43)),0)</f>
        <v/>
      </c>
      <c r="T43" s="63">
        <f>IF(AND(B43&lt;&gt;"",M43="",I43&lt;&gt;""),1/I43,0)</f>
        <v/>
      </c>
      <c r="U43" s="85">
        <f>IF(AND(B43&lt;&gt;"",M43="",I43&lt;&gt;""),I43,"")</f>
        <v/>
      </c>
      <c r="V43" s="63">
        <f>IF(U43="","",IF(U43&lt;AsOf,1,IF(U43&lt;=AsOf+AlertDays,2,IF(U43&lt;=AsOf+2*AlertDays,3,""))))</f>
        <v/>
      </c>
      <c r="W43" s="63">
        <f>IF(V43="","",IF(O43="OVERDUE","Overdue payment: ","Payment due: ")&amp;B43&amp;" — "&amp;C43&amp;" ("&amp;CurSym&amp;" "&amp;FIXED(S43,0)&amp;")")</f>
        <v/>
      </c>
      <c r="Z43" s="96">
        <f>IF(ProjStart="","",DATE(YEAR(ProjStart),MONTH(ProjStart)+2,1))</f>
        <v/>
      </c>
      <c r="AA43" s="71">
        <f>IF(Z43="","",SUMIFS($N$6:$N$205,$M$6:$M$205,"&gt;="&amp;Z43,$M$6:$M$205,"&lt;"&amp;DATE(YEAR(Z43),MONTH(Z43)+1,1)))</f>
        <v/>
      </c>
      <c r="AB43" s="71">
        <f>IF(Z43="","",SUMIFS($S$6:$S$205,$I$6:$I$205,"&gt;="&amp;Z43,$I$6:$I$205,"&lt;"&amp;DATE(YEAR(Z43),MONTH(Z43)+1,1)))</f>
        <v/>
      </c>
      <c r="AC43" s="70">
        <f>IF(Z43="","",AA43+AB43)</f>
        <v/>
      </c>
      <c r="AD43" s="69">
        <f>IF(Z43="","",SUM($AC$41:AC43))</f>
        <v/>
      </c>
    </row>
    <row r="44" ht="20" customHeight="1">
      <c r="B44" s="65" t="n"/>
      <c r="C44" s="65" t="n"/>
      <c r="D44" s="65" t="n"/>
      <c r="E44" s="65" t="n"/>
      <c r="F44" s="83" t="n"/>
      <c r="G44" s="66" t="n"/>
      <c r="H44" s="69">
        <f>IF(B44="","",IF(G44&lt;&gt;"",G44,IF(F44&lt;&gt;"",F44*IFERROR(INDEX('Contractors'!$I$6:$I$35,MATCH(B44,'Contractors'!$B$6:$B$35,0)),0),"")))</f>
        <v/>
      </c>
      <c r="I44" s="81" t="n"/>
      <c r="J44" s="65" t="n"/>
      <c r="K44" s="81" t="n"/>
      <c r="L44" s="66" t="n"/>
      <c r="M44" s="81" t="n"/>
      <c r="N44" s="66" t="n"/>
      <c r="O44" s="91">
        <f>IF(B44="","",IF(M44&lt;&gt;"","Paid",IF(AND(I44&lt;&gt;"",I44&lt;AsOf),"OVERDUE",IF(OR(K44&lt;&gt;"",L44&lt;&gt;""),"Invoiced","Scheduled"))))</f>
        <v/>
      </c>
      <c r="P44" s="92">
        <f>IF(B44="","",IF(E44&lt;&gt;"",E44,IFERROR(INDEX('Contractors'!$D$6:$D$35,MATCH(B44,'Contractors'!$B$6:$B$35,0)),"")))</f>
        <v/>
      </c>
      <c r="Q44" s="63">
        <f>IF(B44="","",IF(D44&lt;&gt;"",D44,IFERROR(INDEX('Contractors'!$E$6:$E$35,MATCH(B44,'Contractors'!$B$6:$B$35,0)),"")))</f>
        <v/>
      </c>
      <c r="R44" s="63">
        <f>IF(O44="","",IF(O44="OVERDUE",2,IF(O44="Paid",0,IF(AND(I44&lt;&gt;"",I44&lt;=AsOf+AlertDays),1,0))))</f>
        <v/>
      </c>
      <c r="S44" s="63">
        <f>IF(AND(B44&lt;&gt;"",M44="",I44&lt;&gt;""),IF(L44&lt;&gt;"",L44,IF(H44="",0,H44)),0)</f>
        <v/>
      </c>
      <c r="T44" s="63">
        <f>IF(AND(B44&lt;&gt;"",M44="",I44&lt;&gt;""),1/I44,0)</f>
        <v/>
      </c>
      <c r="U44" s="85">
        <f>IF(AND(B44&lt;&gt;"",M44="",I44&lt;&gt;""),I44,"")</f>
        <v/>
      </c>
      <c r="V44" s="63">
        <f>IF(U44="","",IF(U44&lt;AsOf,1,IF(U44&lt;=AsOf+AlertDays,2,IF(U44&lt;=AsOf+2*AlertDays,3,""))))</f>
        <v/>
      </c>
      <c r="W44" s="63">
        <f>IF(V44="","",IF(O44="OVERDUE","Overdue payment: ","Payment due: ")&amp;B44&amp;" — "&amp;C44&amp;" ("&amp;CurSym&amp;" "&amp;FIXED(S44,0)&amp;")")</f>
        <v/>
      </c>
      <c r="Z44" s="96">
        <f>IF(ProjStart="","",DATE(YEAR(ProjStart),MONTH(ProjStart)+3,1))</f>
        <v/>
      </c>
      <c r="AA44" s="71">
        <f>IF(Z44="","",SUMIFS($N$6:$N$205,$M$6:$M$205,"&gt;="&amp;Z44,$M$6:$M$205,"&lt;"&amp;DATE(YEAR(Z44),MONTH(Z44)+1,1)))</f>
        <v/>
      </c>
      <c r="AB44" s="71">
        <f>IF(Z44="","",SUMIFS($S$6:$S$205,$I$6:$I$205,"&gt;="&amp;Z44,$I$6:$I$205,"&lt;"&amp;DATE(YEAR(Z44),MONTH(Z44)+1,1)))</f>
        <v/>
      </c>
      <c r="AC44" s="70">
        <f>IF(Z44="","",AA44+AB44)</f>
        <v/>
      </c>
      <c r="AD44" s="69">
        <f>IF(Z44="","",SUM($AC$41:AC44))</f>
        <v/>
      </c>
    </row>
    <row r="45" ht="20" customHeight="1">
      <c r="B45" s="65" t="n"/>
      <c r="C45" s="65" t="n"/>
      <c r="D45" s="65" t="n"/>
      <c r="E45" s="65" t="n"/>
      <c r="F45" s="83" t="n"/>
      <c r="G45" s="66" t="n"/>
      <c r="H45" s="69">
        <f>IF(B45="","",IF(G45&lt;&gt;"",G45,IF(F45&lt;&gt;"",F45*IFERROR(INDEX('Contractors'!$I$6:$I$35,MATCH(B45,'Contractors'!$B$6:$B$35,0)),0),"")))</f>
        <v/>
      </c>
      <c r="I45" s="81" t="n"/>
      <c r="J45" s="65" t="n"/>
      <c r="K45" s="81" t="n"/>
      <c r="L45" s="66" t="n"/>
      <c r="M45" s="81" t="n"/>
      <c r="N45" s="66" t="n"/>
      <c r="O45" s="91">
        <f>IF(B45="","",IF(M45&lt;&gt;"","Paid",IF(AND(I45&lt;&gt;"",I45&lt;AsOf),"OVERDUE",IF(OR(K45&lt;&gt;"",L45&lt;&gt;""),"Invoiced","Scheduled"))))</f>
        <v/>
      </c>
      <c r="P45" s="92">
        <f>IF(B45="","",IF(E45&lt;&gt;"",E45,IFERROR(INDEX('Contractors'!$D$6:$D$35,MATCH(B45,'Contractors'!$B$6:$B$35,0)),"")))</f>
        <v/>
      </c>
      <c r="Q45" s="63">
        <f>IF(B45="","",IF(D45&lt;&gt;"",D45,IFERROR(INDEX('Contractors'!$E$6:$E$35,MATCH(B45,'Contractors'!$B$6:$B$35,0)),"")))</f>
        <v/>
      </c>
      <c r="R45" s="63">
        <f>IF(O45="","",IF(O45="OVERDUE",2,IF(O45="Paid",0,IF(AND(I45&lt;&gt;"",I45&lt;=AsOf+AlertDays),1,0))))</f>
        <v/>
      </c>
      <c r="S45" s="63">
        <f>IF(AND(B45&lt;&gt;"",M45="",I45&lt;&gt;""),IF(L45&lt;&gt;"",L45,IF(H45="",0,H45)),0)</f>
        <v/>
      </c>
      <c r="T45" s="63">
        <f>IF(AND(B45&lt;&gt;"",M45="",I45&lt;&gt;""),1/I45,0)</f>
        <v/>
      </c>
      <c r="U45" s="85">
        <f>IF(AND(B45&lt;&gt;"",M45="",I45&lt;&gt;""),I45,"")</f>
        <v/>
      </c>
      <c r="V45" s="63">
        <f>IF(U45="","",IF(U45&lt;AsOf,1,IF(U45&lt;=AsOf+AlertDays,2,IF(U45&lt;=AsOf+2*AlertDays,3,""))))</f>
        <v/>
      </c>
      <c r="W45" s="63">
        <f>IF(V45="","",IF(O45="OVERDUE","Overdue payment: ","Payment due: ")&amp;B45&amp;" — "&amp;C45&amp;" ("&amp;CurSym&amp;" "&amp;FIXED(S45,0)&amp;")")</f>
        <v/>
      </c>
      <c r="Z45" s="96">
        <f>IF(ProjStart="","",DATE(YEAR(ProjStart),MONTH(ProjStart)+4,1))</f>
        <v/>
      </c>
      <c r="AA45" s="71">
        <f>IF(Z45="","",SUMIFS($N$6:$N$205,$M$6:$M$205,"&gt;="&amp;Z45,$M$6:$M$205,"&lt;"&amp;DATE(YEAR(Z45),MONTH(Z45)+1,1)))</f>
        <v/>
      </c>
      <c r="AB45" s="71">
        <f>IF(Z45="","",SUMIFS($S$6:$S$205,$I$6:$I$205,"&gt;="&amp;Z45,$I$6:$I$205,"&lt;"&amp;DATE(YEAR(Z45),MONTH(Z45)+1,1)))</f>
        <v/>
      </c>
      <c r="AC45" s="70">
        <f>IF(Z45="","",AA45+AB45)</f>
        <v/>
      </c>
      <c r="AD45" s="69">
        <f>IF(Z45="","",SUM($AC$41:AC45))</f>
        <v/>
      </c>
    </row>
    <row r="46" ht="20" customHeight="1">
      <c r="B46" s="65" t="n"/>
      <c r="C46" s="65" t="n"/>
      <c r="D46" s="65" t="n"/>
      <c r="E46" s="65" t="n"/>
      <c r="F46" s="83" t="n"/>
      <c r="G46" s="66" t="n"/>
      <c r="H46" s="69">
        <f>IF(B46="","",IF(G46&lt;&gt;"",G46,IF(F46&lt;&gt;"",F46*IFERROR(INDEX('Contractors'!$I$6:$I$35,MATCH(B46,'Contractors'!$B$6:$B$35,0)),0),"")))</f>
        <v/>
      </c>
      <c r="I46" s="81" t="n"/>
      <c r="J46" s="65" t="n"/>
      <c r="K46" s="81" t="n"/>
      <c r="L46" s="66" t="n"/>
      <c r="M46" s="81" t="n"/>
      <c r="N46" s="66" t="n"/>
      <c r="O46" s="91">
        <f>IF(B46="","",IF(M46&lt;&gt;"","Paid",IF(AND(I46&lt;&gt;"",I46&lt;AsOf),"OVERDUE",IF(OR(K46&lt;&gt;"",L46&lt;&gt;""),"Invoiced","Scheduled"))))</f>
        <v/>
      </c>
      <c r="P46" s="92">
        <f>IF(B46="","",IF(E46&lt;&gt;"",E46,IFERROR(INDEX('Contractors'!$D$6:$D$35,MATCH(B46,'Contractors'!$B$6:$B$35,0)),"")))</f>
        <v/>
      </c>
      <c r="Q46" s="63">
        <f>IF(B46="","",IF(D46&lt;&gt;"",D46,IFERROR(INDEX('Contractors'!$E$6:$E$35,MATCH(B46,'Contractors'!$B$6:$B$35,0)),"")))</f>
        <v/>
      </c>
      <c r="R46" s="63">
        <f>IF(O46="","",IF(O46="OVERDUE",2,IF(O46="Paid",0,IF(AND(I46&lt;&gt;"",I46&lt;=AsOf+AlertDays),1,0))))</f>
        <v/>
      </c>
      <c r="S46" s="63">
        <f>IF(AND(B46&lt;&gt;"",M46="",I46&lt;&gt;""),IF(L46&lt;&gt;"",L46,IF(H46="",0,H46)),0)</f>
        <v/>
      </c>
      <c r="T46" s="63">
        <f>IF(AND(B46&lt;&gt;"",M46="",I46&lt;&gt;""),1/I46,0)</f>
        <v/>
      </c>
      <c r="U46" s="85">
        <f>IF(AND(B46&lt;&gt;"",M46="",I46&lt;&gt;""),I46,"")</f>
        <v/>
      </c>
      <c r="V46" s="63">
        <f>IF(U46="","",IF(U46&lt;AsOf,1,IF(U46&lt;=AsOf+AlertDays,2,IF(U46&lt;=AsOf+2*AlertDays,3,""))))</f>
        <v/>
      </c>
      <c r="W46" s="63">
        <f>IF(V46="","",IF(O46="OVERDUE","Overdue payment: ","Payment due: ")&amp;B46&amp;" — "&amp;C46&amp;" ("&amp;CurSym&amp;" "&amp;FIXED(S46,0)&amp;")")</f>
        <v/>
      </c>
      <c r="Z46" s="96">
        <f>IF(ProjStart="","",DATE(YEAR(ProjStart),MONTH(ProjStart)+5,1))</f>
        <v/>
      </c>
      <c r="AA46" s="71">
        <f>IF(Z46="","",SUMIFS($N$6:$N$205,$M$6:$M$205,"&gt;="&amp;Z46,$M$6:$M$205,"&lt;"&amp;DATE(YEAR(Z46),MONTH(Z46)+1,1)))</f>
        <v/>
      </c>
      <c r="AB46" s="71">
        <f>IF(Z46="","",SUMIFS($S$6:$S$205,$I$6:$I$205,"&gt;="&amp;Z46,$I$6:$I$205,"&lt;"&amp;DATE(YEAR(Z46),MONTH(Z46)+1,1)))</f>
        <v/>
      </c>
      <c r="AC46" s="70">
        <f>IF(Z46="","",AA46+AB46)</f>
        <v/>
      </c>
      <c r="AD46" s="69">
        <f>IF(Z46="","",SUM($AC$41:AC46))</f>
        <v/>
      </c>
    </row>
    <row r="47" ht="20" customHeight="1">
      <c r="B47" s="65" t="n"/>
      <c r="C47" s="65" t="n"/>
      <c r="D47" s="65" t="n"/>
      <c r="E47" s="65" t="n"/>
      <c r="F47" s="83" t="n"/>
      <c r="G47" s="66" t="n"/>
      <c r="H47" s="69">
        <f>IF(B47="","",IF(G47&lt;&gt;"",G47,IF(F47&lt;&gt;"",F47*IFERROR(INDEX('Contractors'!$I$6:$I$35,MATCH(B47,'Contractors'!$B$6:$B$35,0)),0),"")))</f>
        <v/>
      </c>
      <c r="I47" s="81" t="n"/>
      <c r="J47" s="65" t="n"/>
      <c r="K47" s="81" t="n"/>
      <c r="L47" s="66" t="n"/>
      <c r="M47" s="81" t="n"/>
      <c r="N47" s="66" t="n"/>
      <c r="O47" s="91">
        <f>IF(B47="","",IF(M47&lt;&gt;"","Paid",IF(AND(I47&lt;&gt;"",I47&lt;AsOf),"OVERDUE",IF(OR(K47&lt;&gt;"",L47&lt;&gt;""),"Invoiced","Scheduled"))))</f>
        <v/>
      </c>
      <c r="P47" s="92">
        <f>IF(B47="","",IF(E47&lt;&gt;"",E47,IFERROR(INDEX('Contractors'!$D$6:$D$35,MATCH(B47,'Contractors'!$B$6:$B$35,0)),"")))</f>
        <v/>
      </c>
      <c r="Q47" s="63">
        <f>IF(B47="","",IF(D47&lt;&gt;"",D47,IFERROR(INDEX('Contractors'!$E$6:$E$35,MATCH(B47,'Contractors'!$B$6:$B$35,0)),"")))</f>
        <v/>
      </c>
      <c r="R47" s="63">
        <f>IF(O47="","",IF(O47="OVERDUE",2,IF(O47="Paid",0,IF(AND(I47&lt;&gt;"",I47&lt;=AsOf+AlertDays),1,0))))</f>
        <v/>
      </c>
      <c r="S47" s="63">
        <f>IF(AND(B47&lt;&gt;"",M47="",I47&lt;&gt;""),IF(L47&lt;&gt;"",L47,IF(H47="",0,H47)),0)</f>
        <v/>
      </c>
      <c r="T47" s="63">
        <f>IF(AND(B47&lt;&gt;"",M47="",I47&lt;&gt;""),1/I47,0)</f>
        <v/>
      </c>
      <c r="U47" s="85">
        <f>IF(AND(B47&lt;&gt;"",M47="",I47&lt;&gt;""),I47,"")</f>
        <v/>
      </c>
      <c r="V47" s="63">
        <f>IF(U47="","",IF(U47&lt;AsOf,1,IF(U47&lt;=AsOf+AlertDays,2,IF(U47&lt;=AsOf+2*AlertDays,3,""))))</f>
        <v/>
      </c>
      <c r="W47" s="63">
        <f>IF(V47="","",IF(O47="OVERDUE","Overdue payment: ","Payment due: ")&amp;B47&amp;" — "&amp;C47&amp;" ("&amp;CurSym&amp;" "&amp;FIXED(S47,0)&amp;")")</f>
        <v/>
      </c>
      <c r="Z47" s="96">
        <f>IF(ProjStart="","",DATE(YEAR(ProjStart),MONTH(ProjStart)+6,1))</f>
        <v/>
      </c>
      <c r="AA47" s="71">
        <f>IF(Z47="","",SUMIFS($N$6:$N$205,$M$6:$M$205,"&gt;="&amp;Z47,$M$6:$M$205,"&lt;"&amp;DATE(YEAR(Z47),MONTH(Z47)+1,1)))</f>
        <v/>
      </c>
      <c r="AB47" s="71">
        <f>IF(Z47="","",SUMIFS($S$6:$S$205,$I$6:$I$205,"&gt;="&amp;Z47,$I$6:$I$205,"&lt;"&amp;DATE(YEAR(Z47),MONTH(Z47)+1,1)))</f>
        <v/>
      </c>
      <c r="AC47" s="70">
        <f>IF(Z47="","",AA47+AB47)</f>
        <v/>
      </c>
      <c r="AD47" s="69">
        <f>IF(Z47="","",SUM($AC$41:AC47))</f>
        <v/>
      </c>
    </row>
    <row r="48" ht="20" customHeight="1">
      <c r="B48" s="65" t="n"/>
      <c r="C48" s="65" t="n"/>
      <c r="D48" s="65" t="n"/>
      <c r="E48" s="65" t="n"/>
      <c r="F48" s="83" t="n"/>
      <c r="G48" s="66" t="n"/>
      <c r="H48" s="69">
        <f>IF(B48="","",IF(G48&lt;&gt;"",G48,IF(F48&lt;&gt;"",F48*IFERROR(INDEX('Contractors'!$I$6:$I$35,MATCH(B48,'Contractors'!$B$6:$B$35,0)),0),"")))</f>
        <v/>
      </c>
      <c r="I48" s="81" t="n"/>
      <c r="J48" s="65" t="n"/>
      <c r="K48" s="81" t="n"/>
      <c r="L48" s="66" t="n"/>
      <c r="M48" s="81" t="n"/>
      <c r="N48" s="66" t="n"/>
      <c r="O48" s="91">
        <f>IF(B48="","",IF(M48&lt;&gt;"","Paid",IF(AND(I48&lt;&gt;"",I48&lt;AsOf),"OVERDUE",IF(OR(K48&lt;&gt;"",L48&lt;&gt;""),"Invoiced","Scheduled"))))</f>
        <v/>
      </c>
      <c r="P48" s="92">
        <f>IF(B48="","",IF(E48&lt;&gt;"",E48,IFERROR(INDEX('Contractors'!$D$6:$D$35,MATCH(B48,'Contractors'!$B$6:$B$35,0)),"")))</f>
        <v/>
      </c>
      <c r="Q48" s="63">
        <f>IF(B48="","",IF(D48&lt;&gt;"",D48,IFERROR(INDEX('Contractors'!$E$6:$E$35,MATCH(B48,'Contractors'!$B$6:$B$35,0)),"")))</f>
        <v/>
      </c>
      <c r="R48" s="63">
        <f>IF(O48="","",IF(O48="OVERDUE",2,IF(O48="Paid",0,IF(AND(I48&lt;&gt;"",I48&lt;=AsOf+AlertDays),1,0))))</f>
        <v/>
      </c>
      <c r="S48" s="63">
        <f>IF(AND(B48&lt;&gt;"",M48="",I48&lt;&gt;""),IF(L48&lt;&gt;"",L48,IF(H48="",0,H48)),0)</f>
        <v/>
      </c>
      <c r="T48" s="63">
        <f>IF(AND(B48&lt;&gt;"",M48="",I48&lt;&gt;""),1/I48,0)</f>
        <v/>
      </c>
      <c r="U48" s="85">
        <f>IF(AND(B48&lt;&gt;"",M48="",I48&lt;&gt;""),I48,"")</f>
        <v/>
      </c>
      <c r="V48" s="63">
        <f>IF(U48="","",IF(U48&lt;AsOf,1,IF(U48&lt;=AsOf+AlertDays,2,IF(U48&lt;=AsOf+2*AlertDays,3,""))))</f>
        <v/>
      </c>
      <c r="W48" s="63">
        <f>IF(V48="","",IF(O48="OVERDUE","Overdue payment: ","Payment due: ")&amp;B48&amp;" — "&amp;C48&amp;" ("&amp;CurSym&amp;" "&amp;FIXED(S48,0)&amp;")")</f>
        <v/>
      </c>
      <c r="Z48" s="96">
        <f>IF(ProjStart="","",DATE(YEAR(ProjStart),MONTH(ProjStart)+7,1))</f>
        <v/>
      </c>
      <c r="AA48" s="71">
        <f>IF(Z48="","",SUMIFS($N$6:$N$205,$M$6:$M$205,"&gt;="&amp;Z48,$M$6:$M$205,"&lt;"&amp;DATE(YEAR(Z48),MONTH(Z48)+1,1)))</f>
        <v/>
      </c>
      <c r="AB48" s="71">
        <f>IF(Z48="","",SUMIFS($S$6:$S$205,$I$6:$I$205,"&gt;="&amp;Z48,$I$6:$I$205,"&lt;"&amp;DATE(YEAR(Z48),MONTH(Z48)+1,1)))</f>
        <v/>
      </c>
      <c r="AC48" s="70">
        <f>IF(Z48="","",AA48+AB48)</f>
        <v/>
      </c>
      <c r="AD48" s="69">
        <f>IF(Z48="","",SUM($AC$41:AC48))</f>
        <v/>
      </c>
    </row>
    <row r="49" ht="20" customHeight="1">
      <c r="B49" s="65" t="n"/>
      <c r="C49" s="65" t="n"/>
      <c r="D49" s="65" t="n"/>
      <c r="E49" s="65" t="n"/>
      <c r="F49" s="83" t="n"/>
      <c r="G49" s="66" t="n"/>
      <c r="H49" s="69">
        <f>IF(B49="","",IF(G49&lt;&gt;"",G49,IF(F49&lt;&gt;"",F49*IFERROR(INDEX('Contractors'!$I$6:$I$35,MATCH(B49,'Contractors'!$B$6:$B$35,0)),0),"")))</f>
        <v/>
      </c>
      <c r="I49" s="81" t="n"/>
      <c r="J49" s="65" t="n"/>
      <c r="K49" s="81" t="n"/>
      <c r="L49" s="66" t="n"/>
      <c r="M49" s="81" t="n"/>
      <c r="N49" s="66" t="n"/>
      <c r="O49" s="91">
        <f>IF(B49="","",IF(M49&lt;&gt;"","Paid",IF(AND(I49&lt;&gt;"",I49&lt;AsOf),"OVERDUE",IF(OR(K49&lt;&gt;"",L49&lt;&gt;""),"Invoiced","Scheduled"))))</f>
        <v/>
      </c>
      <c r="P49" s="92">
        <f>IF(B49="","",IF(E49&lt;&gt;"",E49,IFERROR(INDEX('Contractors'!$D$6:$D$35,MATCH(B49,'Contractors'!$B$6:$B$35,0)),"")))</f>
        <v/>
      </c>
      <c r="Q49" s="63">
        <f>IF(B49="","",IF(D49&lt;&gt;"",D49,IFERROR(INDEX('Contractors'!$E$6:$E$35,MATCH(B49,'Contractors'!$B$6:$B$35,0)),"")))</f>
        <v/>
      </c>
      <c r="R49" s="63">
        <f>IF(O49="","",IF(O49="OVERDUE",2,IF(O49="Paid",0,IF(AND(I49&lt;&gt;"",I49&lt;=AsOf+AlertDays),1,0))))</f>
        <v/>
      </c>
      <c r="S49" s="63">
        <f>IF(AND(B49&lt;&gt;"",M49="",I49&lt;&gt;""),IF(L49&lt;&gt;"",L49,IF(H49="",0,H49)),0)</f>
        <v/>
      </c>
      <c r="T49" s="63">
        <f>IF(AND(B49&lt;&gt;"",M49="",I49&lt;&gt;""),1/I49,0)</f>
        <v/>
      </c>
      <c r="U49" s="85">
        <f>IF(AND(B49&lt;&gt;"",M49="",I49&lt;&gt;""),I49,"")</f>
        <v/>
      </c>
      <c r="V49" s="63">
        <f>IF(U49="","",IF(U49&lt;AsOf,1,IF(U49&lt;=AsOf+AlertDays,2,IF(U49&lt;=AsOf+2*AlertDays,3,""))))</f>
        <v/>
      </c>
      <c r="W49" s="63">
        <f>IF(V49="","",IF(O49="OVERDUE","Overdue payment: ","Payment due: ")&amp;B49&amp;" — "&amp;C49&amp;" ("&amp;CurSym&amp;" "&amp;FIXED(S49,0)&amp;")")</f>
        <v/>
      </c>
      <c r="Z49" s="96">
        <f>IF(ProjStart="","",DATE(YEAR(ProjStart),MONTH(ProjStart)+8,1))</f>
        <v/>
      </c>
      <c r="AA49" s="71">
        <f>IF(Z49="","",SUMIFS($N$6:$N$205,$M$6:$M$205,"&gt;="&amp;Z49,$M$6:$M$205,"&lt;"&amp;DATE(YEAR(Z49),MONTH(Z49)+1,1)))</f>
        <v/>
      </c>
      <c r="AB49" s="71">
        <f>IF(Z49="","",SUMIFS($S$6:$S$205,$I$6:$I$205,"&gt;="&amp;Z49,$I$6:$I$205,"&lt;"&amp;DATE(YEAR(Z49),MONTH(Z49)+1,1)))</f>
        <v/>
      </c>
      <c r="AC49" s="70">
        <f>IF(Z49="","",AA49+AB49)</f>
        <v/>
      </c>
      <c r="AD49" s="69">
        <f>IF(Z49="","",SUM($AC$41:AC49))</f>
        <v/>
      </c>
    </row>
    <row r="50" ht="20" customHeight="1">
      <c r="B50" s="65" t="n"/>
      <c r="C50" s="65" t="n"/>
      <c r="D50" s="65" t="n"/>
      <c r="E50" s="65" t="n"/>
      <c r="F50" s="83" t="n"/>
      <c r="G50" s="66" t="n"/>
      <c r="H50" s="69">
        <f>IF(B50="","",IF(G50&lt;&gt;"",G50,IF(F50&lt;&gt;"",F50*IFERROR(INDEX('Contractors'!$I$6:$I$35,MATCH(B50,'Contractors'!$B$6:$B$35,0)),0),"")))</f>
        <v/>
      </c>
      <c r="I50" s="81" t="n"/>
      <c r="J50" s="65" t="n"/>
      <c r="K50" s="81" t="n"/>
      <c r="L50" s="66" t="n"/>
      <c r="M50" s="81" t="n"/>
      <c r="N50" s="66" t="n"/>
      <c r="O50" s="91">
        <f>IF(B50="","",IF(M50&lt;&gt;"","Paid",IF(AND(I50&lt;&gt;"",I50&lt;AsOf),"OVERDUE",IF(OR(K50&lt;&gt;"",L50&lt;&gt;""),"Invoiced","Scheduled"))))</f>
        <v/>
      </c>
      <c r="P50" s="92">
        <f>IF(B50="","",IF(E50&lt;&gt;"",E50,IFERROR(INDEX('Contractors'!$D$6:$D$35,MATCH(B50,'Contractors'!$B$6:$B$35,0)),"")))</f>
        <v/>
      </c>
      <c r="Q50" s="63">
        <f>IF(B50="","",IF(D50&lt;&gt;"",D50,IFERROR(INDEX('Contractors'!$E$6:$E$35,MATCH(B50,'Contractors'!$B$6:$B$35,0)),"")))</f>
        <v/>
      </c>
      <c r="R50" s="63">
        <f>IF(O50="","",IF(O50="OVERDUE",2,IF(O50="Paid",0,IF(AND(I50&lt;&gt;"",I50&lt;=AsOf+AlertDays),1,0))))</f>
        <v/>
      </c>
      <c r="S50" s="63">
        <f>IF(AND(B50&lt;&gt;"",M50="",I50&lt;&gt;""),IF(L50&lt;&gt;"",L50,IF(H50="",0,H50)),0)</f>
        <v/>
      </c>
      <c r="T50" s="63">
        <f>IF(AND(B50&lt;&gt;"",M50="",I50&lt;&gt;""),1/I50,0)</f>
        <v/>
      </c>
      <c r="U50" s="85">
        <f>IF(AND(B50&lt;&gt;"",M50="",I50&lt;&gt;""),I50,"")</f>
        <v/>
      </c>
      <c r="V50" s="63">
        <f>IF(U50="","",IF(U50&lt;AsOf,1,IF(U50&lt;=AsOf+AlertDays,2,IF(U50&lt;=AsOf+2*AlertDays,3,""))))</f>
        <v/>
      </c>
      <c r="W50" s="63">
        <f>IF(V50="","",IF(O50="OVERDUE","Overdue payment: ","Payment due: ")&amp;B50&amp;" — "&amp;C50&amp;" ("&amp;CurSym&amp;" "&amp;FIXED(S50,0)&amp;")")</f>
        <v/>
      </c>
      <c r="Z50" s="96">
        <f>IF(ProjStart="","",DATE(YEAR(ProjStart),MONTH(ProjStart)+9,1))</f>
        <v/>
      </c>
      <c r="AA50" s="71">
        <f>IF(Z50="","",SUMIFS($N$6:$N$205,$M$6:$M$205,"&gt;="&amp;Z50,$M$6:$M$205,"&lt;"&amp;DATE(YEAR(Z50),MONTH(Z50)+1,1)))</f>
        <v/>
      </c>
      <c r="AB50" s="71">
        <f>IF(Z50="","",SUMIFS($S$6:$S$205,$I$6:$I$205,"&gt;="&amp;Z50,$I$6:$I$205,"&lt;"&amp;DATE(YEAR(Z50),MONTH(Z50)+1,1)))</f>
        <v/>
      </c>
      <c r="AC50" s="70">
        <f>IF(Z50="","",AA50+AB50)</f>
        <v/>
      </c>
      <c r="AD50" s="69">
        <f>IF(Z50="","",SUM($AC$41:AC50))</f>
        <v/>
      </c>
    </row>
    <row r="51" ht="20" customHeight="1">
      <c r="B51" s="65" t="n"/>
      <c r="C51" s="65" t="n"/>
      <c r="D51" s="65" t="n"/>
      <c r="E51" s="65" t="n"/>
      <c r="F51" s="83" t="n"/>
      <c r="G51" s="66" t="n"/>
      <c r="H51" s="69">
        <f>IF(B51="","",IF(G51&lt;&gt;"",G51,IF(F51&lt;&gt;"",F51*IFERROR(INDEX('Contractors'!$I$6:$I$35,MATCH(B51,'Contractors'!$B$6:$B$35,0)),0),"")))</f>
        <v/>
      </c>
      <c r="I51" s="81" t="n"/>
      <c r="J51" s="65" t="n"/>
      <c r="K51" s="81" t="n"/>
      <c r="L51" s="66" t="n"/>
      <c r="M51" s="81" t="n"/>
      <c r="N51" s="66" t="n"/>
      <c r="O51" s="91">
        <f>IF(B51="","",IF(M51&lt;&gt;"","Paid",IF(AND(I51&lt;&gt;"",I51&lt;AsOf),"OVERDUE",IF(OR(K51&lt;&gt;"",L51&lt;&gt;""),"Invoiced","Scheduled"))))</f>
        <v/>
      </c>
      <c r="P51" s="92">
        <f>IF(B51="","",IF(E51&lt;&gt;"",E51,IFERROR(INDEX('Contractors'!$D$6:$D$35,MATCH(B51,'Contractors'!$B$6:$B$35,0)),"")))</f>
        <v/>
      </c>
      <c r="Q51" s="63">
        <f>IF(B51="","",IF(D51&lt;&gt;"",D51,IFERROR(INDEX('Contractors'!$E$6:$E$35,MATCH(B51,'Contractors'!$B$6:$B$35,0)),"")))</f>
        <v/>
      </c>
      <c r="R51" s="63">
        <f>IF(O51="","",IF(O51="OVERDUE",2,IF(O51="Paid",0,IF(AND(I51&lt;&gt;"",I51&lt;=AsOf+AlertDays),1,0))))</f>
        <v/>
      </c>
      <c r="S51" s="63">
        <f>IF(AND(B51&lt;&gt;"",M51="",I51&lt;&gt;""),IF(L51&lt;&gt;"",L51,IF(H51="",0,H51)),0)</f>
        <v/>
      </c>
      <c r="T51" s="63">
        <f>IF(AND(B51&lt;&gt;"",M51="",I51&lt;&gt;""),1/I51,0)</f>
        <v/>
      </c>
      <c r="U51" s="85">
        <f>IF(AND(B51&lt;&gt;"",M51="",I51&lt;&gt;""),I51,"")</f>
        <v/>
      </c>
      <c r="V51" s="63">
        <f>IF(U51="","",IF(U51&lt;AsOf,1,IF(U51&lt;=AsOf+AlertDays,2,IF(U51&lt;=AsOf+2*AlertDays,3,""))))</f>
        <v/>
      </c>
      <c r="W51" s="63">
        <f>IF(V51="","",IF(O51="OVERDUE","Overdue payment: ","Payment due: ")&amp;B51&amp;" — "&amp;C51&amp;" ("&amp;CurSym&amp;" "&amp;FIXED(S51,0)&amp;")")</f>
        <v/>
      </c>
      <c r="Z51" s="96">
        <f>IF(ProjStart="","",DATE(YEAR(ProjStart),MONTH(ProjStart)+10,1))</f>
        <v/>
      </c>
      <c r="AA51" s="71">
        <f>IF(Z51="","",SUMIFS($N$6:$N$205,$M$6:$M$205,"&gt;="&amp;Z51,$M$6:$M$205,"&lt;"&amp;DATE(YEAR(Z51),MONTH(Z51)+1,1)))</f>
        <v/>
      </c>
      <c r="AB51" s="71">
        <f>IF(Z51="","",SUMIFS($S$6:$S$205,$I$6:$I$205,"&gt;="&amp;Z51,$I$6:$I$205,"&lt;"&amp;DATE(YEAR(Z51),MONTH(Z51)+1,1)))</f>
        <v/>
      </c>
      <c r="AC51" s="70">
        <f>IF(Z51="","",AA51+AB51)</f>
        <v/>
      </c>
      <c r="AD51" s="69">
        <f>IF(Z51="","",SUM($AC$41:AC51))</f>
        <v/>
      </c>
    </row>
    <row r="52" ht="20" customHeight="1">
      <c r="B52" s="65" t="n"/>
      <c r="C52" s="65" t="n"/>
      <c r="D52" s="65" t="n"/>
      <c r="E52" s="65" t="n"/>
      <c r="F52" s="83" t="n"/>
      <c r="G52" s="66" t="n"/>
      <c r="H52" s="69">
        <f>IF(B52="","",IF(G52&lt;&gt;"",G52,IF(F52&lt;&gt;"",F52*IFERROR(INDEX('Contractors'!$I$6:$I$35,MATCH(B52,'Contractors'!$B$6:$B$35,0)),0),"")))</f>
        <v/>
      </c>
      <c r="I52" s="81" t="n"/>
      <c r="J52" s="65" t="n"/>
      <c r="K52" s="81" t="n"/>
      <c r="L52" s="66" t="n"/>
      <c r="M52" s="81" t="n"/>
      <c r="N52" s="66" t="n"/>
      <c r="O52" s="91">
        <f>IF(B52="","",IF(M52&lt;&gt;"","Paid",IF(AND(I52&lt;&gt;"",I52&lt;AsOf),"OVERDUE",IF(OR(K52&lt;&gt;"",L52&lt;&gt;""),"Invoiced","Scheduled"))))</f>
        <v/>
      </c>
      <c r="P52" s="92">
        <f>IF(B52="","",IF(E52&lt;&gt;"",E52,IFERROR(INDEX('Contractors'!$D$6:$D$35,MATCH(B52,'Contractors'!$B$6:$B$35,0)),"")))</f>
        <v/>
      </c>
      <c r="Q52" s="63">
        <f>IF(B52="","",IF(D52&lt;&gt;"",D52,IFERROR(INDEX('Contractors'!$E$6:$E$35,MATCH(B52,'Contractors'!$B$6:$B$35,0)),"")))</f>
        <v/>
      </c>
      <c r="R52" s="63">
        <f>IF(O52="","",IF(O52="OVERDUE",2,IF(O52="Paid",0,IF(AND(I52&lt;&gt;"",I52&lt;=AsOf+AlertDays),1,0))))</f>
        <v/>
      </c>
      <c r="S52" s="63">
        <f>IF(AND(B52&lt;&gt;"",M52="",I52&lt;&gt;""),IF(L52&lt;&gt;"",L52,IF(H52="",0,H52)),0)</f>
        <v/>
      </c>
      <c r="T52" s="63">
        <f>IF(AND(B52&lt;&gt;"",M52="",I52&lt;&gt;""),1/I52,0)</f>
        <v/>
      </c>
      <c r="U52" s="85">
        <f>IF(AND(B52&lt;&gt;"",M52="",I52&lt;&gt;""),I52,"")</f>
        <v/>
      </c>
      <c r="V52" s="63">
        <f>IF(U52="","",IF(U52&lt;AsOf,1,IF(U52&lt;=AsOf+AlertDays,2,IF(U52&lt;=AsOf+2*AlertDays,3,""))))</f>
        <v/>
      </c>
      <c r="W52" s="63">
        <f>IF(V52="","",IF(O52="OVERDUE","Overdue payment: ","Payment due: ")&amp;B52&amp;" — "&amp;C52&amp;" ("&amp;CurSym&amp;" "&amp;FIXED(S52,0)&amp;")")</f>
        <v/>
      </c>
      <c r="Z52" s="96">
        <f>IF(ProjStart="","",DATE(YEAR(ProjStart),MONTH(ProjStart)+11,1))</f>
        <v/>
      </c>
      <c r="AA52" s="71">
        <f>IF(Z52="","",SUMIFS($N$6:$N$205,$M$6:$M$205,"&gt;="&amp;Z52,$M$6:$M$205,"&lt;"&amp;DATE(YEAR(Z52),MONTH(Z52)+1,1)))</f>
        <v/>
      </c>
      <c r="AB52" s="71">
        <f>IF(Z52="","",SUMIFS($S$6:$S$205,$I$6:$I$205,"&gt;="&amp;Z52,$I$6:$I$205,"&lt;"&amp;DATE(YEAR(Z52),MONTH(Z52)+1,1)))</f>
        <v/>
      </c>
      <c r="AC52" s="70">
        <f>IF(Z52="","",AA52+AB52)</f>
        <v/>
      </c>
      <c r="AD52" s="69">
        <f>IF(Z52="","",SUM($AC$41:AC52))</f>
        <v/>
      </c>
    </row>
    <row r="53" ht="20" customHeight="1">
      <c r="B53" s="65" t="n"/>
      <c r="C53" s="65" t="n"/>
      <c r="D53" s="65" t="n"/>
      <c r="E53" s="65" t="n"/>
      <c r="F53" s="83" t="n"/>
      <c r="G53" s="66" t="n"/>
      <c r="H53" s="69">
        <f>IF(B53="","",IF(G53&lt;&gt;"",G53,IF(F53&lt;&gt;"",F53*IFERROR(INDEX('Contractors'!$I$6:$I$35,MATCH(B53,'Contractors'!$B$6:$B$35,0)),0),"")))</f>
        <v/>
      </c>
      <c r="I53" s="81" t="n"/>
      <c r="J53" s="65" t="n"/>
      <c r="K53" s="81" t="n"/>
      <c r="L53" s="66" t="n"/>
      <c r="M53" s="81" t="n"/>
      <c r="N53" s="66" t="n"/>
      <c r="O53" s="91">
        <f>IF(B53="","",IF(M53&lt;&gt;"","Paid",IF(AND(I53&lt;&gt;"",I53&lt;AsOf),"OVERDUE",IF(OR(K53&lt;&gt;"",L53&lt;&gt;""),"Invoiced","Scheduled"))))</f>
        <v/>
      </c>
      <c r="P53" s="92">
        <f>IF(B53="","",IF(E53&lt;&gt;"",E53,IFERROR(INDEX('Contractors'!$D$6:$D$35,MATCH(B53,'Contractors'!$B$6:$B$35,0)),"")))</f>
        <v/>
      </c>
      <c r="Q53" s="63">
        <f>IF(B53="","",IF(D53&lt;&gt;"",D53,IFERROR(INDEX('Contractors'!$E$6:$E$35,MATCH(B53,'Contractors'!$B$6:$B$35,0)),"")))</f>
        <v/>
      </c>
      <c r="R53" s="63">
        <f>IF(O53="","",IF(O53="OVERDUE",2,IF(O53="Paid",0,IF(AND(I53&lt;&gt;"",I53&lt;=AsOf+AlertDays),1,0))))</f>
        <v/>
      </c>
      <c r="S53" s="63">
        <f>IF(AND(B53&lt;&gt;"",M53="",I53&lt;&gt;""),IF(L53&lt;&gt;"",L53,IF(H53="",0,H53)),0)</f>
        <v/>
      </c>
      <c r="T53" s="63">
        <f>IF(AND(B53&lt;&gt;"",M53="",I53&lt;&gt;""),1/I53,0)</f>
        <v/>
      </c>
      <c r="U53" s="85">
        <f>IF(AND(B53&lt;&gt;"",M53="",I53&lt;&gt;""),I53,"")</f>
        <v/>
      </c>
      <c r="V53" s="63">
        <f>IF(U53="","",IF(U53&lt;AsOf,1,IF(U53&lt;=AsOf+AlertDays,2,IF(U53&lt;=AsOf+2*AlertDays,3,""))))</f>
        <v/>
      </c>
      <c r="W53" s="63">
        <f>IF(V53="","",IF(O53="OVERDUE","Overdue payment: ","Payment due: ")&amp;B53&amp;" — "&amp;C53&amp;" ("&amp;CurSym&amp;" "&amp;FIXED(S53,0)&amp;")")</f>
        <v/>
      </c>
    </row>
    <row r="54" ht="20" customHeight="1">
      <c r="B54" s="65" t="n"/>
      <c r="C54" s="65" t="n"/>
      <c r="D54" s="65" t="n"/>
      <c r="E54" s="65" t="n"/>
      <c r="F54" s="83" t="n"/>
      <c r="G54" s="66" t="n"/>
      <c r="H54" s="69">
        <f>IF(B54="","",IF(G54&lt;&gt;"",G54,IF(F54&lt;&gt;"",F54*IFERROR(INDEX('Contractors'!$I$6:$I$35,MATCH(B54,'Contractors'!$B$6:$B$35,0)),0),"")))</f>
        <v/>
      </c>
      <c r="I54" s="81" t="n"/>
      <c r="J54" s="65" t="n"/>
      <c r="K54" s="81" t="n"/>
      <c r="L54" s="66" t="n"/>
      <c r="M54" s="81" t="n"/>
      <c r="N54" s="66" t="n"/>
      <c r="O54" s="91">
        <f>IF(B54="","",IF(M54&lt;&gt;"","Paid",IF(AND(I54&lt;&gt;"",I54&lt;AsOf),"OVERDUE",IF(OR(K54&lt;&gt;"",L54&lt;&gt;""),"Invoiced","Scheduled"))))</f>
        <v/>
      </c>
      <c r="P54" s="92">
        <f>IF(B54="","",IF(E54&lt;&gt;"",E54,IFERROR(INDEX('Contractors'!$D$6:$D$35,MATCH(B54,'Contractors'!$B$6:$B$35,0)),"")))</f>
        <v/>
      </c>
      <c r="Q54" s="63">
        <f>IF(B54="","",IF(D54&lt;&gt;"",D54,IFERROR(INDEX('Contractors'!$E$6:$E$35,MATCH(B54,'Contractors'!$B$6:$B$35,0)),"")))</f>
        <v/>
      </c>
      <c r="R54" s="63">
        <f>IF(O54="","",IF(O54="OVERDUE",2,IF(O54="Paid",0,IF(AND(I54&lt;&gt;"",I54&lt;=AsOf+AlertDays),1,0))))</f>
        <v/>
      </c>
      <c r="S54" s="63">
        <f>IF(AND(B54&lt;&gt;"",M54="",I54&lt;&gt;""),IF(L54&lt;&gt;"",L54,IF(H54="",0,H54)),0)</f>
        <v/>
      </c>
      <c r="T54" s="63">
        <f>IF(AND(B54&lt;&gt;"",M54="",I54&lt;&gt;""),1/I54,0)</f>
        <v/>
      </c>
      <c r="U54" s="85">
        <f>IF(AND(B54&lt;&gt;"",M54="",I54&lt;&gt;""),I54,"")</f>
        <v/>
      </c>
      <c r="V54" s="63">
        <f>IF(U54="","",IF(U54&lt;AsOf,1,IF(U54&lt;=AsOf+AlertDays,2,IF(U54&lt;=AsOf+2*AlertDays,3,""))))</f>
        <v/>
      </c>
      <c r="W54" s="63">
        <f>IF(V54="","",IF(O54="OVERDUE","Overdue payment: ","Payment due: ")&amp;B54&amp;" — "&amp;C54&amp;" ("&amp;CurSym&amp;" "&amp;FIXED(S54,0)&amp;")")</f>
        <v/>
      </c>
    </row>
    <row r="55" ht="20" customHeight="1">
      <c r="B55" s="65" t="n"/>
      <c r="C55" s="65" t="n"/>
      <c r="D55" s="65" t="n"/>
      <c r="E55" s="65" t="n"/>
      <c r="F55" s="83" t="n"/>
      <c r="G55" s="66" t="n"/>
      <c r="H55" s="69">
        <f>IF(B55="","",IF(G55&lt;&gt;"",G55,IF(F55&lt;&gt;"",F55*IFERROR(INDEX('Contractors'!$I$6:$I$35,MATCH(B55,'Contractors'!$B$6:$B$35,0)),0),"")))</f>
        <v/>
      </c>
      <c r="I55" s="81" t="n"/>
      <c r="J55" s="65" t="n"/>
      <c r="K55" s="81" t="n"/>
      <c r="L55" s="66" t="n"/>
      <c r="M55" s="81" t="n"/>
      <c r="N55" s="66" t="n"/>
      <c r="O55" s="91">
        <f>IF(B55="","",IF(M55&lt;&gt;"","Paid",IF(AND(I55&lt;&gt;"",I55&lt;AsOf),"OVERDUE",IF(OR(K55&lt;&gt;"",L55&lt;&gt;""),"Invoiced","Scheduled"))))</f>
        <v/>
      </c>
      <c r="P55" s="92">
        <f>IF(B55="","",IF(E55&lt;&gt;"",E55,IFERROR(INDEX('Contractors'!$D$6:$D$35,MATCH(B55,'Contractors'!$B$6:$B$35,0)),"")))</f>
        <v/>
      </c>
      <c r="Q55" s="63">
        <f>IF(B55="","",IF(D55&lt;&gt;"",D55,IFERROR(INDEX('Contractors'!$E$6:$E$35,MATCH(B55,'Contractors'!$B$6:$B$35,0)),"")))</f>
        <v/>
      </c>
      <c r="R55" s="63">
        <f>IF(O55="","",IF(O55="OVERDUE",2,IF(O55="Paid",0,IF(AND(I55&lt;&gt;"",I55&lt;=AsOf+AlertDays),1,0))))</f>
        <v/>
      </c>
      <c r="S55" s="63">
        <f>IF(AND(B55&lt;&gt;"",M55="",I55&lt;&gt;""),IF(L55&lt;&gt;"",L55,IF(H55="",0,H55)),0)</f>
        <v/>
      </c>
      <c r="T55" s="63">
        <f>IF(AND(B55&lt;&gt;"",M55="",I55&lt;&gt;""),1/I55,0)</f>
        <v/>
      </c>
      <c r="U55" s="85">
        <f>IF(AND(B55&lt;&gt;"",M55="",I55&lt;&gt;""),I55,"")</f>
        <v/>
      </c>
      <c r="V55" s="63">
        <f>IF(U55="","",IF(U55&lt;AsOf,1,IF(U55&lt;=AsOf+AlertDays,2,IF(U55&lt;=AsOf+2*AlertDays,3,""))))</f>
        <v/>
      </c>
      <c r="W55" s="63">
        <f>IF(V55="","",IF(O55="OVERDUE","Overdue payment: ","Payment due: ")&amp;B55&amp;" — "&amp;C55&amp;" ("&amp;CurSym&amp;" "&amp;FIXED(S55,0)&amp;")")</f>
        <v/>
      </c>
    </row>
    <row r="56" ht="20" customHeight="1">
      <c r="B56" s="65" t="n"/>
      <c r="C56" s="65" t="n"/>
      <c r="D56" s="65" t="n"/>
      <c r="E56" s="65" t="n"/>
      <c r="F56" s="83" t="n"/>
      <c r="G56" s="66" t="n"/>
      <c r="H56" s="69">
        <f>IF(B56="","",IF(G56&lt;&gt;"",G56,IF(F56&lt;&gt;"",F56*IFERROR(INDEX('Contractors'!$I$6:$I$35,MATCH(B56,'Contractors'!$B$6:$B$35,0)),0),"")))</f>
        <v/>
      </c>
      <c r="I56" s="81" t="n"/>
      <c r="J56" s="65" t="n"/>
      <c r="K56" s="81" t="n"/>
      <c r="L56" s="66" t="n"/>
      <c r="M56" s="81" t="n"/>
      <c r="N56" s="66" t="n"/>
      <c r="O56" s="91">
        <f>IF(B56="","",IF(M56&lt;&gt;"","Paid",IF(AND(I56&lt;&gt;"",I56&lt;AsOf),"OVERDUE",IF(OR(K56&lt;&gt;"",L56&lt;&gt;""),"Invoiced","Scheduled"))))</f>
        <v/>
      </c>
      <c r="P56" s="92">
        <f>IF(B56="","",IF(E56&lt;&gt;"",E56,IFERROR(INDEX('Contractors'!$D$6:$D$35,MATCH(B56,'Contractors'!$B$6:$B$35,0)),"")))</f>
        <v/>
      </c>
      <c r="Q56" s="63">
        <f>IF(B56="","",IF(D56&lt;&gt;"",D56,IFERROR(INDEX('Contractors'!$E$6:$E$35,MATCH(B56,'Contractors'!$B$6:$B$35,0)),"")))</f>
        <v/>
      </c>
      <c r="R56" s="63">
        <f>IF(O56="","",IF(O56="OVERDUE",2,IF(O56="Paid",0,IF(AND(I56&lt;&gt;"",I56&lt;=AsOf+AlertDays),1,0))))</f>
        <v/>
      </c>
      <c r="S56" s="63">
        <f>IF(AND(B56&lt;&gt;"",M56="",I56&lt;&gt;""),IF(L56&lt;&gt;"",L56,IF(H56="",0,H56)),0)</f>
        <v/>
      </c>
      <c r="T56" s="63">
        <f>IF(AND(B56&lt;&gt;"",M56="",I56&lt;&gt;""),1/I56,0)</f>
        <v/>
      </c>
      <c r="U56" s="85">
        <f>IF(AND(B56&lt;&gt;"",M56="",I56&lt;&gt;""),I56,"")</f>
        <v/>
      </c>
      <c r="V56" s="63">
        <f>IF(U56="","",IF(U56&lt;AsOf,1,IF(U56&lt;=AsOf+AlertDays,2,IF(U56&lt;=AsOf+2*AlertDays,3,""))))</f>
        <v/>
      </c>
      <c r="W56" s="63">
        <f>IF(V56="","",IF(O56="OVERDUE","Overdue payment: ","Payment due: ")&amp;B56&amp;" — "&amp;C56&amp;" ("&amp;CurSym&amp;" "&amp;FIXED(S56,0)&amp;")")</f>
        <v/>
      </c>
    </row>
    <row r="57" ht="20" customHeight="1">
      <c r="B57" s="65" t="n"/>
      <c r="C57" s="65" t="n"/>
      <c r="D57" s="65" t="n"/>
      <c r="E57" s="65" t="n"/>
      <c r="F57" s="83" t="n"/>
      <c r="G57" s="66" t="n"/>
      <c r="H57" s="69">
        <f>IF(B57="","",IF(G57&lt;&gt;"",G57,IF(F57&lt;&gt;"",F57*IFERROR(INDEX('Contractors'!$I$6:$I$35,MATCH(B57,'Contractors'!$B$6:$B$35,0)),0),"")))</f>
        <v/>
      </c>
      <c r="I57" s="81" t="n"/>
      <c r="J57" s="65" t="n"/>
      <c r="K57" s="81" t="n"/>
      <c r="L57" s="66" t="n"/>
      <c r="M57" s="81" t="n"/>
      <c r="N57" s="66" t="n"/>
      <c r="O57" s="91">
        <f>IF(B57="","",IF(M57&lt;&gt;"","Paid",IF(AND(I57&lt;&gt;"",I57&lt;AsOf),"OVERDUE",IF(OR(K57&lt;&gt;"",L57&lt;&gt;""),"Invoiced","Scheduled"))))</f>
        <v/>
      </c>
      <c r="P57" s="92">
        <f>IF(B57="","",IF(E57&lt;&gt;"",E57,IFERROR(INDEX('Contractors'!$D$6:$D$35,MATCH(B57,'Contractors'!$B$6:$B$35,0)),"")))</f>
        <v/>
      </c>
      <c r="Q57" s="63">
        <f>IF(B57="","",IF(D57&lt;&gt;"",D57,IFERROR(INDEX('Contractors'!$E$6:$E$35,MATCH(B57,'Contractors'!$B$6:$B$35,0)),"")))</f>
        <v/>
      </c>
      <c r="R57" s="63">
        <f>IF(O57="","",IF(O57="OVERDUE",2,IF(O57="Paid",0,IF(AND(I57&lt;&gt;"",I57&lt;=AsOf+AlertDays),1,0))))</f>
        <v/>
      </c>
      <c r="S57" s="63">
        <f>IF(AND(B57&lt;&gt;"",M57="",I57&lt;&gt;""),IF(L57&lt;&gt;"",L57,IF(H57="",0,H57)),0)</f>
        <v/>
      </c>
      <c r="T57" s="63">
        <f>IF(AND(B57&lt;&gt;"",M57="",I57&lt;&gt;""),1/I57,0)</f>
        <v/>
      </c>
      <c r="U57" s="85">
        <f>IF(AND(B57&lt;&gt;"",M57="",I57&lt;&gt;""),I57,"")</f>
        <v/>
      </c>
      <c r="V57" s="63">
        <f>IF(U57="","",IF(U57&lt;AsOf,1,IF(U57&lt;=AsOf+AlertDays,2,IF(U57&lt;=AsOf+2*AlertDays,3,""))))</f>
        <v/>
      </c>
      <c r="W57" s="63">
        <f>IF(V57="","",IF(O57="OVERDUE","Overdue payment: ","Payment due: ")&amp;B57&amp;" — "&amp;C57&amp;" ("&amp;CurSym&amp;" "&amp;FIXED(S57,0)&amp;")")</f>
        <v/>
      </c>
    </row>
    <row r="58" ht="20" customHeight="1">
      <c r="B58" s="65" t="n"/>
      <c r="C58" s="65" t="n"/>
      <c r="D58" s="65" t="n"/>
      <c r="E58" s="65" t="n"/>
      <c r="F58" s="83" t="n"/>
      <c r="G58" s="66" t="n"/>
      <c r="H58" s="69">
        <f>IF(B58="","",IF(G58&lt;&gt;"",G58,IF(F58&lt;&gt;"",F58*IFERROR(INDEX('Contractors'!$I$6:$I$35,MATCH(B58,'Contractors'!$B$6:$B$35,0)),0),"")))</f>
        <v/>
      </c>
      <c r="I58" s="81" t="n"/>
      <c r="J58" s="65" t="n"/>
      <c r="K58" s="81" t="n"/>
      <c r="L58" s="66" t="n"/>
      <c r="M58" s="81" t="n"/>
      <c r="N58" s="66" t="n"/>
      <c r="O58" s="91">
        <f>IF(B58="","",IF(M58&lt;&gt;"","Paid",IF(AND(I58&lt;&gt;"",I58&lt;AsOf),"OVERDUE",IF(OR(K58&lt;&gt;"",L58&lt;&gt;""),"Invoiced","Scheduled"))))</f>
        <v/>
      </c>
      <c r="P58" s="92">
        <f>IF(B58="","",IF(E58&lt;&gt;"",E58,IFERROR(INDEX('Contractors'!$D$6:$D$35,MATCH(B58,'Contractors'!$B$6:$B$35,0)),"")))</f>
        <v/>
      </c>
      <c r="Q58" s="63">
        <f>IF(B58="","",IF(D58&lt;&gt;"",D58,IFERROR(INDEX('Contractors'!$E$6:$E$35,MATCH(B58,'Contractors'!$B$6:$B$35,0)),"")))</f>
        <v/>
      </c>
      <c r="R58" s="63">
        <f>IF(O58="","",IF(O58="OVERDUE",2,IF(O58="Paid",0,IF(AND(I58&lt;&gt;"",I58&lt;=AsOf+AlertDays),1,0))))</f>
        <v/>
      </c>
      <c r="S58" s="63">
        <f>IF(AND(B58&lt;&gt;"",M58="",I58&lt;&gt;""),IF(L58&lt;&gt;"",L58,IF(H58="",0,H58)),0)</f>
        <v/>
      </c>
      <c r="T58" s="63">
        <f>IF(AND(B58&lt;&gt;"",M58="",I58&lt;&gt;""),1/I58,0)</f>
        <v/>
      </c>
      <c r="U58" s="85">
        <f>IF(AND(B58&lt;&gt;"",M58="",I58&lt;&gt;""),I58,"")</f>
        <v/>
      </c>
      <c r="V58" s="63">
        <f>IF(U58="","",IF(U58&lt;AsOf,1,IF(U58&lt;=AsOf+AlertDays,2,IF(U58&lt;=AsOf+2*AlertDays,3,""))))</f>
        <v/>
      </c>
      <c r="W58" s="63">
        <f>IF(V58="","",IF(O58="OVERDUE","Overdue payment: ","Payment due: ")&amp;B58&amp;" — "&amp;C58&amp;" ("&amp;CurSym&amp;" "&amp;FIXED(S58,0)&amp;")")</f>
        <v/>
      </c>
    </row>
    <row r="59" ht="20" customHeight="1">
      <c r="B59" s="65" t="n"/>
      <c r="C59" s="65" t="n"/>
      <c r="D59" s="65" t="n"/>
      <c r="E59" s="65" t="n"/>
      <c r="F59" s="83" t="n"/>
      <c r="G59" s="66" t="n"/>
      <c r="H59" s="69">
        <f>IF(B59="","",IF(G59&lt;&gt;"",G59,IF(F59&lt;&gt;"",F59*IFERROR(INDEX('Contractors'!$I$6:$I$35,MATCH(B59,'Contractors'!$B$6:$B$35,0)),0),"")))</f>
        <v/>
      </c>
      <c r="I59" s="81" t="n"/>
      <c r="J59" s="65" t="n"/>
      <c r="K59" s="81" t="n"/>
      <c r="L59" s="66" t="n"/>
      <c r="M59" s="81" t="n"/>
      <c r="N59" s="66" t="n"/>
      <c r="O59" s="91">
        <f>IF(B59="","",IF(M59&lt;&gt;"","Paid",IF(AND(I59&lt;&gt;"",I59&lt;AsOf),"OVERDUE",IF(OR(K59&lt;&gt;"",L59&lt;&gt;""),"Invoiced","Scheduled"))))</f>
        <v/>
      </c>
      <c r="P59" s="92">
        <f>IF(B59="","",IF(E59&lt;&gt;"",E59,IFERROR(INDEX('Contractors'!$D$6:$D$35,MATCH(B59,'Contractors'!$B$6:$B$35,0)),"")))</f>
        <v/>
      </c>
      <c r="Q59" s="63">
        <f>IF(B59="","",IF(D59&lt;&gt;"",D59,IFERROR(INDEX('Contractors'!$E$6:$E$35,MATCH(B59,'Contractors'!$B$6:$B$35,0)),"")))</f>
        <v/>
      </c>
      <c r="R59" s="63">
        <f>IF(O59="","",IF(O59="OVERDUE",2,IF(O59="Paid",0,IF(AND(I59&lt;&gt;"",I59&lt;=AsOf+AlertDays),1,0))))</f>
        <v/>
      </c>
      <c r="S59" s="63">
        <f>IF(AND(B59&lt;&gt;"",M59="",I59&lt;&gt;""),IF(L59&lt;&gt;"",L59,IF(H59="",0,H59)),0)</f>
        <v/>
      </c>
      <c r="T59" s="63">
        <f>IF(AND(B59&lt;&gt;"",M59="",I59&lt;&gt;""),1/I59,0)</f>
        <v/>
      </c>
      <c r="U59" s="85">
        <f>IF(AND(B59&lt;&gt;"",M59="",I59&lt;&gt;""),I59,"")</f>
        <v/>
      </c>
      <c r="V59" s="63">
        <f>IF(U59="","",IF(U59&lt;AsOf,1,IF(U59&lt;=AsOf+AlertDays,2,IF(U59&lt;=AsOf+2*AlertDays,3,""))))</f>
        <v/>
      </c>
      <c r="W59" s="63">
        <f>IF(V59="","",IF(O59="OVERDUE","Overdue payment: ","Payment due: ")&amp;B59&amp;" — "&amp;C59&amp;" ("&amp;CurSym&amp;" "&amp;FIXED(S59,0)&amp;")")</f>
        <v/>
      </c>
    </row>
    <row r="60" ht="20" customHeight="1">
      <c r="B60" s="65" t="n"/>
      <c r="C60" s="65" t="n"/>
      <c r="D60" s="65" t="n"/>
      <c r="E60" s="65" t="n"/>
      <c r="F60" s="83" t="n"/>
      <c r="G60" s="66" t="n"/>
      <c r="H60" s="69">
        <f>IF(B60="","",IF(G60&lt;&gt;"",G60,IF(F60&lt;&gt;"",F60*IFERROR(INDEX('Contractors'!$I$6:$I$35,MATCH(B60,'Contractors'!$B$6:$B$35,0)),0),"")))</f>
        <v/>
      </c>
      <c r="I60" s="81" t="n"/>
      <c r="J60" s="65" t="n"/>
      <c r="K60" s="81" t="n"/>
      <c r="L60" s="66" t="n"/>
      <c r="M60" s="81" t="n"/>
      <c r="N60" s="66" t="n"/>
      <c r="O60" s="91">
        <f>IF(B60="","",IF(M60&lt;&gt;"","Paid",IF(AND(I60&lt;&gt;"",I60&lt;AsOf),"OVERDUE",IF(OR(K60&lt;&gt;"",L60&lt;&gt;""),"Invoiced","Scheduled"))))</f>
        <v/>
      </c>
      <c r="P60" s="92">
        <f>IF(B60="","",IF(E60&lt;&gt;"",E60,IFERROR(INDEX('Contractors'!$D$6:$D$35,MATCH(B60,'Contractors'!$B$6:$B$35,0)),"")))</f>
        <v/>
      </c>
      <c r="Q60" s="63">
        <f>IF(B60="","",IF(D60&lt;&gt;"",D60,IFERROR(INDEX('Contractors'!$E$6:$E$35,MATCH(B60,'Contractors'!$B$6:$B$35,0)),"")))</f>
        <v/>
      </c>
      <c r="R60" s="63">
        <f>IF(O60="","",IF(O60="OVERDUE",2,IF(O60="Paid",0,IF(AND(I60&lt;&gt;"",I60&lt;=AsOf+AlertDays),1,0))))</f>
        <v/>
      </c>
      <c r="S60" s="63">
        <f>IF(AND(B60&lt;&gt;"",M60="",I60&lt;&gt;""),IF(L60&lt;&gt;"",L60,IF(H60="",0,H60)),0)</f>
        <v/>
      </c>
      <c r="T60" s="63">
        <f>IF(AND(B60&lt;&gt;"",M60="",I60&lt;&gt;""),1/I60,0)</f>
        <v/>
      </c>
      <c r="U60" s="85">
        <f>IF(AND(B60&lt;&gt;"",M60="",I60&lt;&gt;""),I60,"")</f>
        <v/>
      </c>
      <c r="V60" s="63">
        <f>IF(U60="","",IF(U60&lt;AsOf,1,IF(U60&lt;=AsOf+AlertDays,2,IF(U60&lt;=AsOf+2*AlertDays,3,""))))</f>
        <v/>
      </c>
      <c r="W60" s="63">
        <f>IF(V60="","",IF(O60="OVERDUE","Overdue payment: ","Payment due: ")&amp;B60&amp;" — "&amp;C60&amp;" ("&amp;CurSym&amp;" "&amp;FIXED(S60,0)&amp;")")</f>
        <v/>
      </c>
    </row>
    <row r="61" ht="20" customHeight="1">
      <c r="B61" s="65" t="n"/>
      <c r="C61" s="65" t="n"/>
      <c r="D61" s="65" t="n"/>
      <c r="E61" s="65" t="n"/>
      <c r="F61" s="83" t="n"/>
      <c r="G61" s="66" t="n"/>
      <c r="H61" s="69">
        <f>IF(B61="","",IF(G61&lt;&gt;"",G61,IF(F61&lt;&gt;"",F61*IFERROR(INDEX('Contractors'!$I$6:$I$35,MATCH(B61,'Contractors'!$B$6:$B$35,0)),0),"")))</f>
        <v/>
      </c>
      <c r="I61" s="81" t="n"/>
      <c r="J61" s="65" t="n"/>
      <c r="K61" s="81" t="n"/>
      <c r="L61" s="66" t="n"/>
      <c r="M61" s="81" t="n"/>
      <c r="N61" s="66" t="n"/>
      <c r="O61" s="91">
        <f>IF(B61="","",IF(M61&lt;&gt;"","Paid",IF(AND(I61&lt;&gt;"",I61&lt;AsOf),"OVERDUE",IF(OR(K61&lt;&gt;"",L61&lt;&gt;""),"Invoiced","Scheduled"))))</f>
        <v/>
      </c>
      <c r="P61" s="92">
        <f>IF(B61="","",IF(E61&lt;&gt;"",E61,IFERROR(INDEX('Contractors'!$D$6:$D$35,MATCH(B61,'Contractors'!$B$6:$B$35,0)),"")))</f>
        <v/>
      </c>
      <c r="Q61" s="63">
        <f>IF(B61="","",IF(D61&lt;&gt;"",D61,IFERROR(INDEX('Contractors'!$E$6:$E$35,MATCH(B61,'Contractors'!$B$6:$B$35,0)),"")))</f>
        <v/>
      </c>
      <c r="R61" s="63">
        <f>IF(O61="","",IF(O61="OVERDUE",2,IF(O61="Paid",0,IF(AND(I61&lt;&gt;"",I61&lt;=AsOf+AlertDays),1,0))))</f>
        <v/>
      </c>
      <c r="S61" s="63">
        <f>IF(AND(B61&lt;&gt;"",M61="",I61&lt;&gt;""),IF(L61&lt;&gt;"",L61,IF(H61="",0,H61)),0)</f>
        <v/>
      </c>
      <c r="T61" s="63">
        <f>IF(AND(B61&lt;&gt;"",M61="",I61&lt;&gt;""),1/I61,0)</f>
        <v/>
      </c>
      <c r="U61" s="85">
        <f>IF(AND(B61&lt;&gt;"",M61="",I61&lt;&gt;""),I61,"")</f>
        <v/>
      </c>
      <c r="V61" s="63">
        <f>IF(U61="","",IF(U61&lt;AsOf,1,IF(U61&lt;=AsOf+AlertDays,2,IF(U61&lt;=AsOf+2*AlertDays,3,""))))</f>
        <v/>
      </c>
      <c r="W61" s="63">
        <f>IF(V61="","",IF(O61="OVERDUE","Overdue payment: ","Payment due: ")&amp;B61&amp;" — "&amp;C61&amp;" ("&amp;CurSym&amp;" "&amp;FIXED(S61,0)&amp;")")</f>
        <v/>
      </c>
    </row>
    <row r="62" ht="20" customHeight="1">
      <c r="B62" s="65" t="n"/>
      <c r="C62" s="65" t="n"/>
      <c r="D62" s="65" t="n"/>
      <c r="E62" s="65" t="n"/>
      <c r="F62" s="83" t="n"/>
      <c r="G62" s="66" t="n"/>
      <c r="H62" s="69">
        <f>IF(B62="","",IF(G62&lt;&gt;"",G62,IF(F62&lt;&gt;"",F62*IFERROR(INDEX('Contractors'!$I$6:$I$35,MATCH(B62,'Contractors'!$B$6:$B$35,0)),0),"")))</f>
        <v/>
      </c>
      <c r="I62" s="81" t="n"/>
      <c r="J62" s="65" t="n"/>
      <c r="K62" s="81" t="n"/>
      <c r="L62" s="66" t="n"/>
      <c r="M62" s="81" t="n"/>
      <c r="N62" s="66" t="n"/>
      <c r="O62" s="91">
        <f>IF(B62="","",IF(M62&lt;&gt;"","Paid",IF(AND(I62&lt;&gt;"",I62&lt;AsOf),"OVERDUE",IF(OR(K62&lt;&gt;"",L62&lt;&gt;""),"Invoiced","Scheduled"))))</f>
        <v/>
      </c>
      <c r="P62" s="92">
        <f>IF(B62="","",IF(E62&lt;&gt;"",E62,IFERROR(INDEX('Contractors'!$D$6:$D$35,MATCH(B62,'Contractors'!$B$6:$B$35,0)),"")))</f>
        <v/>
      </c>
      <c r="Q62" s="63">
        <f>IF(B62="","",IF(D62&lt;&gt;"",D62,IFERROR(INDEX('Contractors'!$E$6:$E$35,MATCH(B62,'Contractors'!$B$6:$B$35,0)),"")))</f>
        <v/>
      </c>
      <c r="R62" s="63">
        <f>IF(O62="","",IF(O62="OVERDUE",2,IF(O62="Paid",0,IF(AND(I62&lt;&gt;"",I62&lt;=AsOf+AlertDays),1,0))))</f>
        <v/>
      </c>
      <c r="S62" s="63">
        <f>IF(AND(B62&lt;&gt;"",M62="",I62&lt;&gt;""),IF(L62&lt;&gt;"",L62,IF(H62="",0,H62)),0)</f>
        <v/>
      </c>
      <c r="T62" s="63">
        <f>IF(AND(B62&lt;&gt;"",M62="",I62&lt;&gt;""),1/I62,0)</f>
        <v/>
      </c>
      <c r="U62" s="85">
        <f>IF(AND(B62&lt;&gt;"",M62="",I62&lt;&gt;""),I62,"")</f>
        <v/>
      </c>
      <c r="V62" s="63">
        <f>IF(U62="","",IF(U62&lt;AsOf,1,IF(U62&lt;=AsOf+AlertDays,2,IF(U62&lt;=AsOf+2*AlertDays,3,""))))</f>
        <v/>
      </c>
      <c r="W62" s="63">
        <f>IF(V62="","",IF(O62="OVERDUE","Overdue payment: ","Payment due: ")&amp;B62&amp;" — "&amp;C62&amp;" ("&amp;CurSym&amp;" "&amp;FIXED(S62,0)&amp;")")</f>
        <v/>
      </c>
    </row>
    <row r="63" ht="20" customHeight="1">
      <c r="B63" s="65" t="n"/>
      <c r="C63" s="65" t="n"/>
      <c r="D63" s="65" t="n"/>
      <c r="E63" s="65" t="n"/>
      <c r="F63" s="83" t="n"/>
      <c r="G63" s="66" t="n"/>
      <c r="H63" s="69">
        <f>IF(B63="","",IF(G63&lt;&gt;"",G63,IF(F63&lt;&gt;"",F63*IFERROR(INDEX('Contractors'!$I$6:$I$35,MATCH(B63,'Contractors'!$B$6:$B$35,0)),0),"")))</f>
        <v/>
      </c>
      <c r="I63" s="81" t="n"/>
      <c r="J63" s="65" t="n"/>
      <c r="K63" s="81" t="n"/>
      <c r="L63" s="66" t="n"/>
      <c r="M63" s="81" t="n"/>
      <c r="N63" s="66" t="n"/>
      <c r="O63" s="91">
        <f>IF(B63="","",IF(M63&lt;&gt;"","Paid",IF(AND(I63&lt;&gt;"",I63&lt;AsOf),"OVERDUE",IF(OR(K63&lt;&gt;"",L63&lt;&gt;""),"Invoiced","Scheduled"))))</f>
        <v/>
      </c>
      <c r="P63" s="92">
        <f>IF(B63="","",IF(E63&lt;&gt;"",E63,IFERROR(INDEX('Contractors'!$D$6:$D$35,MATCH(B63,'Contractors'!$B$6:$B$35,0)),"")))</f>
        <v/>
      </c>
      <c r="Q63" s="63">
        <f>IF(B63="","",IF(D63&lt;&gt;"",D63,IFERROR(INDEX('Contractors'!$E$6:$E$35,MATCH(B63,'Contractors'!$B$6:$B$35,0)),"")))</f>
        <v/>
      </c>
      <c r="R63" s="63">
        <f>IF(O63="","",IF(O63="OVERDUE",2,IF(O63="Paid",0,IF(AND(I63&lt;&gt;"",I63&lt;=AsOf+AlertDays),1,0))))</f>
        <v/>
      </c>
      <c r="S63" s="63">
        <f>IF(AND(B63&lt;&gt;"",M63="",I63&lt;&gt;""),IF(L63&lt;&gt;"",L63,IF(H63="",0,H63)),0)</f>
        <v/>
      </c>
      <c r="T63" s="63">
        <f>IF(AND(B63&lt;&gt;"",M63="",I63&lt;&gt;""),1/I63,0)</f>
        <v/>
      </c>
      <c r="U63" s="85">
        <f>IF(AND(B63&lt;&gt;"",M63="",I63&lt;&gt;""),I63,"")</f>
        <v/>
      </c>
      <c r="V63" s="63">
        <f>IF(U63="","",IF(U63&lt;AsOf,1,IF(U63&lt;=AsOf+AlertDays,2,IF(U63&lt;=AsOf+2*AlertDays,3,""))))</f>
        <v/>
      </c>
      <c r="W63" s="63">
        <f>IF(V63="","",IF(O63="OVERDUE","Overdue payment: ","Payment due: ")&amp;B63&amp;" — "&amp;C63&amp;" ("&amp;CurSym&amp;" "&amp;FIXED(S63,0)&amp;")")</f>
        <v/>
      </c>
    </row>
    <row r="64" ht="20" customHeight="1">
      <c r="B64" s="65" t="n"/>
      <c r="C64" s="65" t="n"/>
      <c r="D64" s="65" t="n"/>
      <c r="E64" s="65" t="n"/>
      <c r="F64" s="83" t="n"/>
      <c r="G64" s="66" t="n"/>
      <c r="H64" s="69">
        <f>IF(B64="","",IF(G64&lt;&gt;"",G64,IF(F64&lt;&gt;"",F64*IFERROR(INDEX('Contractors'!$I$6:$I$35,MATCH(B64,'Contractors'!$B$6:$B$35,0)),0),"")))</f>
        <v/>
      </c>
      <c r="I64" s="81" t="n"/>
      <c r="J64" s="65" t="n"/>
      <c r="K64" s="81" t="n"/>
      <c r="L64" s="66" t="n"/>
      <c r="M64" s="81" t="n"/>
      <c r="N64" s="66" t="n"/>
      <c r="O64" s="91">
        <f>IF(B64="","",IF(M64&lt;&gt;"","Paid",IF(AND(I64&lt;&gt;"",I64&lt;AsOf),"OVERDUE",IF(OR(K64&lt;&gt;"",L64&lt;&gt;""),"Invoiced","Scheduled"))))</f>
        <v/>
      </c>
      <c r="P64" s="92">
        <f>IF(B64="","",IF(E64&lt;&gt;"",E64,IFERROR(INDEX('Contractors'!$D$6:$D$35,MATCH(B64,'Contractors'!$B$6:$B$35,0)),"")))</f>
        <v/>
      </c>
      <c r="Q64" s="63">
        <f>IF(B64="","",IF(D64&lt;&gt;"",D64,IFERROR(INDEX('Contractors'!$E$6:$E$35,MATCH(B64,'Contractors'!$B$6:$B$35,0)),"")))</f>
        <v/>
      </c>
      <c r="R64" s="63">
        <f>IF(O64="","",IF(O64="OVERDUE",2,IF(O64="Paid",0,IF(AND(I64&lt;&gt;"",I64&lt;=AsOf+AlertDays),1,0))))</f>
        <v/>
      </c>
      <c r="S64" s="63">
        <f>IF(AND(B64&lt;&gt;"",M64="",I64&lt;&gt;""),IF(L64&lt;&gt;"",L64,IF(H64="",0,H64)),0)</f>
        <v/>
      </c>
      <c r="T64" s="63">
        <f>IF(AND(B64&lt;&gt;"",M64="",I64&lt;&gt;""),1/I64,0)</f>
        <v/>
      </c>
      <c r="U64" s="85">
        <f>IF(AND(B64&lt;&gt;"",M64="",I64&lt;&gt;""),I64,"")</f>
        <v/>
      </c>
      <c r="V64" s="63">
        <f>IF(U64="","",IF(U64&lt;AsOf,1,IF(U64&lt;=AsOf+AlertDays,2,IF(U64&lt;=AsOf+2*AlertDays,3,""))))</f>
        <v/>
      </c>
      <c r="W64" s="63">
        <f>IF(V64="","",IF(O64="OVERDUE","Overdue payment: ","Payment due: ")&amp;B64&amp;" — "&amp;C64&amp;" ("&amp;CurSym&amp;" "&amp;FIXED(S64,0)&amp;")")</f>
        <v/>
      </c>
    </row>
    <row r="65" ht="20" customHeight="1">
      <c r="B65" s="65" t="n"/>
      <c r="C65" s="65" t="n"/>
      <c r="D65" s="65" t="n"/>
      <c r="E65" s="65" t="n"/>
      <c r="F65" s="83" t="n"/>
      <c r="G65" s="66" t="n"/>
      <c r="H65" s="69">
        <f>IF(B65="","",IF(G65&lt;&gt;"",G65,IF(F65&lt;&gt;"",F65*IFERROR(INDEX('Contractors'!$I$6:$I$35,MATCH(B65,'Contractors'!$B$6:$B$35,0)),0),"")))</f>
        <v/>
      </c>
      <c r="I65" s="81" t="n"/>
      <c r="J65" s="65" t="n"/>
      <c r="K65" s="81" t="n"/>
      <c r="L65" s="66" t="n"/>
      <c r="M65" s="81" t="n"/>
      <c r="N65" s="66" t="n"/>
      <c r="O65" s="91">
        <f>IF(B65="","",IF(M65&lt;&gt;"","Paid",IF(AND(I65&lt;&gt;"",I65&lt;AsOf),"OVERDUE",IF(OR(K65&lt;&gt;"",L65&lt;&gt;""),"Invoiced","Scheduled"))))</f>
        <v/>
      </c>
      <c r="P65" s="92">
        <f>IF(B65="","",IF(E65&lt;&gt;"",E65,IFERROR(INDEX('Contractors'!$D$6:$D$35,MATCH(B65,'Contractors'!$B$6:$B$35,0)),"")))</f>
        <v/>
      </c>
      <c r="Q65" s="63">
        <f>IF(B65="","",IF(D65&lt;&gt;"",D65,IFERROR(INDEX('Contractors'!$E$6:$E$35,MATCH(B65,'Contractors'!$B$6:$B$35,0)),"")))</f>
        <v/>
      </c>
      <c r="R65" s="63">
        <f>IF(O65="","",IF(O65="OVERDUE",2,IF(O65="Paid",0,IF(AND(I65&lt;&gt;"",I65&lt;=AsOf+AlertDays),1,0))))</f>
        <v/>
      </c>
      <c r="S65" s="63">
        <f>IF(AND(B65&lt;&gt;"",M65="",I65&lt;&gt;""),IF(L65&lt;&gt;"",L65,IF(H65="",0,H65)),0)</f>
        <v/>
      </c>
      <c r="T65" s="63">
        <f>IF(AND(B65&lt;&gt;"",M65="",I65&lt;&gt;""),1/I65,0)</f>
        <v/>
      </c>
      <c r="U65" s="85">
        <f>IF(AND(B65&lt;&gt;"",M65="",I65&lt;&gt;""),I65,"")</f>
        <v/>
      </c>
      <c r="V65" s="63">
        <f>IF(U65="","",IF(U65&lt;AsOf,1,IF(U65&lt;=AsOf+AlertDays,2,IF(U65&lt;=AsOf+2*AlertDays,3,""))))</f>
        <v/>
      </c>
      <c r="W65" s="63">
        <f>IF(V65="","",IF(O65="OVERDUE","Overdue payment: ","Payment due: ")&amp;B65&amp;" — "&amp;C65&amp;" ("&amp;CurSym&amp;" "&amp;FIXED(S65,0)&amp;")")</f>
        <v/>
      </c>
    </row>
    <row r="66" ht="20" customHeight="1">
      <c r="B66" s="65" t="n"/>
      <c r="C66" s="65" t="n"/>
      <c r="D66" s="65" t="n"/>
      <c r="E66" s="65" t="n"/>
      <c r="F66" s="83" t="n"/>
      <c r="G66" s="66" t="n"/>
      <c r="H66" s="69">
        <f>IF(B66="","",IF(G66&lt;&gt;"",G66,IF(F66&lt;&gt;"",F66*IFERROR(INDEX('Contractors'!$I$6:$I$35,MATCH(B66,'Contractors'!$B$6:$B$35,0)),0),"")))</f>
        <v/>
      </c>
      <c r="I66" s="81" t="n"/>
      <c r="J66" s="65" t="n"/>
      <c r="K66" s="81" t="n"/>
      <c r="L66" s="66" t="n"/>
      <c r="M66" s="81" t="n"/>
      <c r="N66" s="66" t="n"/>
      <c r="O66" s="91">
        <f>IF(B66="","",IF(M66&lt;&gt;"","Paid",IF(AND(I66&lt;&gt;"",I66&lt;AsOf),"OVERDUE",IF(OR(K66&lt;&gt;"",L66&lt;&gt;""),"Invoiced","Scheduled"))))</f>
        <v/>
      </c>
      <c r="P66" s="92">
        <f>IF(B66="","",IF(E66&lt;&gt;"",E66,IFERROR(INDEX('Contractors'!$D$6:$D$35,MATCH(B66,'Contractors'!$B$6:$B$35,0)),"")))</f>
        <v/>
      </c>
      <c r="Q66" s="63">
        <f>IF(B66="","",IF(D66&lt;&gt;"",D66,IFERROR(INDEX('Contractors'!$E$6:$E$35,MATCH(B66,'Contractors'!$B$6:$B$35,0)),"")))</f>
        <v/>
      </c>
      <c r="R66" s="63">
        <f>IF(O66="","",IF(O66="OVERDUE",2,IF(O66="Paid",0,IF(AND(I66&lt;&gt;"",I66&lt;=AsOf+AlertDays),1,0))))</f>
        <v/>
      </c>
      <c r="S66" s="63">
        <f>IF(AND(B66&lt;&gt;"",M66="",I66&lt;&gt;""),IF(L66&lt;&gt;"",L66,IF(H66="",0,H66)),0)</f>
        <v/>
      </c>
      <c r="T66" s="63">
        <f>IF(AND(B66&lt;&gt;"",M66="",I66&lt;&gt;""),1/I66,0)</f>
        <v/>
      </c>
      <c r="U66" s="85">
        <f>IF(AND(B66&lt;&gt;"",M66="",I66&lt;&gt;""),I66,"")</f>
        <v/>
      </c>
      <c r="V66" s="63">
        <f>IF(U66="","",IF(U66&lt;AsOf,1,IF(U66&lt;=AsOf+AlertDays,2,IF(U66&lt;=AsOf+2*AlertDays,3,""))))</f>
        <v/>
      </c>
      <c r="W66" s="63">
        <f>IF(V66="","",IF(O66="OVERDUE","Overdue payment: ","Payment due: ")&amp;B66&amp;" — "&amp;C66&amp;" ("&amp;CurSym&amp;" "&amp;FIXED(S66,0)&amp;")")</f>
        <v/>
      </c>
    </row>
    <row r="67" ht="20" customHeight="1">
      <c r="B67" s="65" t="n"/>
      <c r="C67" s="65" t="n"/>
      <c r="D67" s="65" t="n"/>
      <c r="E67" s="65" t="n"/>
      <c r="F67" s="83" t="n"/>
      <c r="G67" s="66" t="n"/>
      <c r="H67" s="69">
        <f>IF(B67="","",IF(G67&lt;&gt;"",G67,IF(F67&lt;&gt;"",F67*IFERROR(INDEX('Contractors'!$I$6:$I$35,MATCH(B67,'Contractors'!$B$6:$B$35,0)),0),"")))</f>
        <v/>
      </c>
      <c r="I67" s="81" t="n"/>
      <c r="J67" s="65" t="n"/>
      <c r="K67" s="81" t="n"/>
      <c r="L67" s="66" t="n"/>
      <c r="M67" s="81" t="n"/>
      <c r="N67" s="66" t="n"/>
      <c r="O67" s="91">
        <f>IF(B67="","",IF(M67&lt;&gt;"","Paid",IF(AND(I67&lt;&gt;"",I67&lt;AsOf),"OVERDUE",IF(OR(K67&lt;&gt;"",L67&lt;&gt;""),"Invoiced","Scheduled"))))</f>
        <v/>
      </c>
      <c r="P67" s="92">
        <f>IF(B67="","",IF(E67&lt;&gt;"",E67,IFERROR(INDEX('Contractors'!$D$6:$D$35,MATCH(B67,'Contractors'!$B$6:$B$35,0)),"")))</f>
        <v/>
      </c>
      <c r="Q67" s="63">
        <f>IF(B67="","",IF(D67&lt;&gt;"",D67,IFERROR(INDEX('Contractors'!$E$6:$E$35,MATCH(B67,'Contractors'!$B$6:$B$35,0)),"")))</f>
        <v/>
      </c>
      <c r="R67" s="63">
        <f>IF(O67="","",IF(O67="OVERDUE",2,IF(O67="Paid",0,IF(AND(I67&lt;&gt;"",I67&lt;=AsOf+AlertDays),1,0))))</f>
        <v/>
      </c>
      <c r="S67" s="63">
        <f>IF(AND(B67&lt;&gt;"",M67="",I67&lt;&gt;""),IF(L67&lt;&gt;"",L67,IF(H67="",0,H67)),0)</f>
        <v/>
      </c>
      <c r="T67" s="63">
        <f>IF(AND(B67&lt;&gt;"",M67="",I67&lt;&gt;""),1/I67,0)</f>
        <v/>
      </c>
      <c r="U67" s="85">
        <f>IF(AND(B67&lt;&gt;"",M67="",I67&lt;&gt;""),I67,"")</f>
        <v/>
      </c>
      <c r="V67" s="63">
        <f>IF(U67="","",IF(U67&lt;AsOf,1,IF(U67&lt;=AsOf+AlertDays,2,IF(U67&lt;=AsOf+2*AlertDays,3,""))))</f>
        <v/>
      </c>
      <c r="W67" s="63">
        <f>IF(V67="","",IF(O67="OVERDUE","Overdue payment: ","Payment due: ")&amp;B67&amp;" — "&amp;C67&amp;" ("&amp;CurSym&amp;" "&amp;FIXED(S67,0)&amp;")")</f>
        <v/>
      </c>
    </row>
    <row r="68" ht="20" customHeight="1">
      <c r="B68" s="65" t="n"/>
      <c r="C68" s="65" t="n"/>
      <c r="D68" s="65" t="n"/>
      <c r="E68" s="65" t="n"/>
      <c r="F68" s="83" t="n"/>
      <c r="G68" s="66" t="n"/>
      <c r="H68" s="69">
        <f>IF(B68="","",IF(G68&lt;&gt;"",G68,IF(F68&lt;&gt;"",F68*IFERROR(INDEX('Contractors'!$I$6:$I$35,MATCH(B68,'Contractors'!$B$6:$B$35,0)),0),"")))</f>
        <v/>
      </c>
      <c r="I68" s="81" t="n"/>
      <c r="J68" s="65" t="n"/>
      <c r="K68" s="81" t="n"/>
      <c r="L68" s="66" t="n"/>
      <c r="M68" s="81" t="n"/>
      <c r="N68" s="66" t="n"/>
      <c r="O68" s="91">
        <f>IF(B68="","",IF(M68&lt;&gt;"","Paid",IF(AND(I68&lt;&gt;"",I68&lt;AsOf),"OVERDUE",IF(OR(K68&lt;&gt;"",L68&lt;&gt;""),"Invoiced","Scheduled"))))</f>
        <v/>
      </c>
      <c r="P68" s="92">
        <f>IF(B68="","",IF(E68&lt;&gt;"",E68,IFERROR(INDEX('Contractors'!$D$6:$D$35,MATCH(B68,'Contractors'!$B$6:$B$35,0)),"")))</f>
        <v/>
      </c>
      <c r="Q68" s="63">
        <f>IF(B68="","",IF(D68&lt;&gt;"",D68,IFERROR(INDEX('Contractors'!$E$6:$E$35,MATCH(B68,'Contractors'!$B$6:$B$35,0)),"")))</f>
        <v/>
      </c>
      <c r="R68" s="63">
        <f>IF(O68="","",IF(O68="OVERDUE",2,IF(O68="Paid",0,IF(AND(I68&lt;&gt;"",I68&lt;=AsOf+AlertDays),1,0))))</f>
        <v/>
      </c>
      <c r="S68" s="63">
        <f>IF(AND(B68&lt;&gt;"",M68="",I68&lt;&gt;""),IF(L68&lt;&gt;"",L68,IF(H68="",0,H68)),0)</f>
        <v/>
      </c>
      <c r="T68" s="63">
        <f>IF(AND(B68&lt;&gt;"",M68="",I68&lt;&gt;""),1/I68,0)</f>
        <v/>
      </c>
      <c r="U68" s="85">
        <f>IF(AND(B68&lt;&gt;"",M68="",I68&lt;&gt;""),I68,"")</f>
        <v/>
      </c>
      <c r="V68" s="63">
        <f>IF(U68="","",IF(U68&lt;AsOf,1,IF(U68&lt;=AsOf+AlertDays,2,IF(U68&lt;=AsOf+2*AlertDays,3,""))))</f>
        <v/>
      </c>
      <c r="W68" s="63">
        <f>IF(V68="","",IF(O68="OVERDUE","Overdue payment: ","Payment due: ")&amp;B68&amp;" — "&amp;C68&amp;" ("&amp;CurSym&amp;" "&amp;FIXED(S68,0)&amp;")")</f>
        <v/>
      </c>
    </row>
    <row r="69" ht="20" customHeight="1">
      <c r="B69" s="65" t="n"/>
      <c r="C69" s="65" t="n"/>
      <c r="D69" s="65" t="n"/>
      <c r="E69" s="65" t="n"/>
      <c r="F69" s="83" t="n"/>
      <c r="G69" s="66" t="n"/>
      <c r="H69" s="69">
        <f>IF(B69="","",IF(G69&lt;&gt;"",G69,IF(F69&lt;&gt;"",F69*IFERROR(INDEX('Contractors'!$I$6:$I$35,MATCH(B69,'Contractors'!$B$6:$B$35,0)),0),"")))</f>
        <v/>
      </c>
      <c r="I69" s="81" t="n"/>
      <c r="J69" s="65" t="n"/>
      <c r="K69" s="81" t="n"/>
      <c r="L69" s="66" t="n"/>
      <c r="M69" s="81" t="n"/>
      <c r="N69" s="66" t="n"/>
      <c r="O69" s="91">
        <f>IF(B69="","",IF(M69&lt;&gt;"","Paid",IF(AND(I69&lt;&gt;"",I69&lt;AsOf),"OVERDUE",IF(OR(K69&lt;&gt;"",L69&lt;&gt;""),"Invoiced","Scheduled"))))</f>
        <v/>
      </c>
      <c r="P69" s="92">
        <f>IF(B69="","",IF(E69&lt;&gt;"",E69,IFERROR(INDEX('Contractors'!$D$6:$D$35,MATCH(B69,'Contractors'!$B$6:$B$35,0)),"")))</f>
        <v/>
      </c>
      <c r="Q69" s="63">
        <f>IF(B69="","",IF(D69&lt;&gt;"",D69,IFERROR(INDEX('Contractors'!$E$6:$E$35,MATCH(B69,'Contractors'!$B$6:$B$35,0)),"")))</f>
        <v/>
      </c>
      <c r="R69" s="63">
        <f>IF(O69="","",IF(O69="OVERDUE",2,IF(O69="Paid",0,IF(AND(I69&lt;&gt;"",I69&lt;=AsOf+AlertDays),1,0))))</f>
        <v/>
      </c>
      <c r="S69" s="63">
        <f>IF(AND(B69&lt;&gt;"",M69="",I69&lt;&gt;""),IF(L69&lt;&gt;"",L69,IF(H69="",0,H69)),0)</f>
        <v/>
      </c>
      <c r="T69" s="63">
        <f>IF(AND(B69&lt;&gt;"",M69="",I69&lt;&gt;""),1/I69,0)</f>
        <v/>
      </c>
      <c r="U69" s="85">
        <f>IF(AND(B69&lt;&gt;"",M69="",I69&lt;&gt;""),I69,"")</f>
        <v/>
      </c>
      <c r="V69" s="63">
        <f>IF(U69="","",IF(U69&lt;AsOf,1,IF(U69&lt;=AsOf+AlertDays,2,IF(U69&lt;=AsOf+2*AlertDays,3,""))))</f>
        <v/>
      </c>
      <c r="W69" s="63">
        <f>IF(V69="","",IF(O69="OVERDUE","Overdue payment: ","Payment due: ")&amp;B69&amp;" — "&amp;C69&amp;" ("&amp;CurSym&amp;" "&amp;FIXED(S69,0)&amp;")")</f>
        <v/>
      </c>
    </row>
    <row r="70" ht="20" customHeight="1">
      <c r="B70" s="65" t="n"/>
      <c r="C70" s="65" t="n"/>
      <c r="D70" s="65" t="n"/>
      <c r="E70" s="65" t="n"/>
      <c r="F70" s="83" t="n"/>
      <c r="G70" s="66" t="n"/>
      <c r="H70" s="69">
        <f>IF(B70="","",IF(G70&lt;&gt;"",G70,IF(F70&lt;&gt;"",F70*IFERROR(INDEX('Contractors'!$I$6:$I$35,MATCH(B70,'Contractors'!$B$6:$B$35,0)),0),"")))</f>
        <v/>
      </c>
      <c r="I70" s="81" t="n"/>
      <c r="J70" s="65" t="n"/>
      <c r="K70" s="81" t="n"/>
      <c r="L70" s="66" t="n"/>
      <c r="M70" s="81" t="n"/>
      <c r="N70" s="66" t="n"/>
      <c r="O70" s="91">
        <f>IF(B70="","",IF(M70&lt;&gt;"","Paid",IF(AND(I70&lt;&gt;"",I70&lt;AsOf),"OVERDUE",IF(OR(K70&lt;&gt;"",L70&lt;&gt;""),"Invoiced","Scheduled"))))</f>
        <v/>
      </c>
      <c r="P70" s="92">
        <f>IF(B70="","",IF(E70&lt;&gt;"",E70,IFERROR(INDEX('Contractors'!$D$6:$D$35,MATCH(B70,'Contractors'!$B$6:$B$35,0)),"")))</f>
        <v/>
      </c>
      <c r="Q70" s="63">
        <f>IF(B70="","",IF(D70&lt;&gt;"",D70,IFERROR(INDEX('Contractors'!$E$6:$E$35,MATCH(B70,'Contractors'!$B$6:$B$35,0)),"")))</f>
        <v/>
      </c>
      <c r="R70" s="63">
        <f>IF(O70="","",IF(O70="OVERDUE",2,IF(O70="Paid",0,IF(AND(I70&lt;&gt;"",I70&lt;=AsOf+AlertDays),1,0))))</f>
        <v/>
      </c>
      <c r="S70" s="63">
        <f>IF(AND(B70&lt;&gt;"",M70="",I70&lt;&gt;""),IF(L70&lt;&gt;"",L70,IF(H70="",0,H70)),0)</f>
        <v/>
      </c>
      <c r="T70" s="63">
        <f>IF(AND(B70&lt;&gt;"",M70="",I70&lt;&gt;""),1/I70,0)</f>
        <v/>
      </c>
      <c r="U70" s="85">
        <f>IF(AND(B70&lt;&gt;"",M70="",I70&lt;&gt;""),I70,"")</f>
        <v/>
      </c>
      <c r="V70" s="63">
        <f>IF(U70="","",IF(U70&lt;AsOf,1,IF(U70&lt;=AsOf+AlertDays,2,IF(U70&lt;=AsOf+2*AlertDays,3,""))))</f>
        <v/>
      </c>
      <c r="W70" s="63">
        <f>IF(V70="","",IF(O70="OVERDUE","Overdue payment: ","Payment due: ")&amp;B70&amp;" — "&amp;C70&amp;" ("&amp;CurSym&amp;" "&amp;FIXED(S70,0)&amp;")")</f>
        <v/>
      </c>
    </row>
    <row r="71" ht="20" customHeight="1">
      <c r="B71" s="65" t="n"/>
      <c r="C71" s="65" t="n"/>
      <c r="D71" s="65" t="n"/>
      <c r="E71" s="65" t="n"/>
      <c r="F71" s="83" t="n"/>
      <c r="G71" s="66" t="n"/>
      <c r="H71" s="69">
        <f>IF(B71="","",IF(G71&lt;&gt;"",G71,IF(F71&lt;&gt;"",F71*IFERROR(INDEX('Contractors'!$I$6:$I$35,MATCH(B71,'Contractors'!$B$6:$B$35,0)),0),"")))</f>
        <v/>
      </c>
      <c r="I71" s="81" t="n"/>
      <c r="J71" s="65" t="n"/>
      <c r="K71" s="81" t="n"/>
      <c r="L71" s="66" t="n"/>
      <c r="M71" s="81" t="n"/>
      <c r="N71" s="66" t="n"/>
      <c r="O71" s="91">
        <f>IF(B71="","",IF(M71&lt;&gt;"","Paid",IF(AND(I71&lt;&gt;"",I71&lt;AsOf),"OVERDUE",IF(OR(K71&lt;&gt;"",L71&lt;&gt;""),"Invoiced","Scheduled"))))</f>
        <v/>
      </c>
      <c r="P71" s="92">
        <f>IF(B71="","",IF(E71&lt;&gt;"",E71,IFERROR(INDEX('Contractors'!$D$6:$D$35,MATCH(B71,'Contractors'!$B$6:$B$35,0)),"")))</f>
        <v/>
      </c>
      <c r="Q71" s="63">
        <f>IF(B71="","",IF(D71&lt;&gt;"",D71,IFERROR(INDEX('Contractors'!$E$6:$E$35,MATCH(B71,'Contractors'!$B$6:$B$35,0)),"")))</f>
        <v/>
      </c>
      <c r="R71" s="63">
        <f>IF(O71="","",IF(O71="OVERDUE",2,IF(O71="Paid",0,IF(AND(I71&lt;&gt;"",I71&lt;=AsOf+AlertDays),1,0))))</f>
        <v/>
      </c>
      <c r="S71" s="63">
        <f>IF(AND(B71&lt;&gt;"",M71="",I71&lt;&gt;""),IF(L71&lt;&gt;"",L71,IF(H71="",0,H71)),0)</f>
        <v/>
      </c>
      <c r="T71" s="63">
        <f>IF(AND(B71&lt;&gt;"",M71="",I71&lt;&gt;""),1/I71,0)</f>
        <v/>
      </c>
      <c r="U71" s="85">
        <f>IF(AND(B71&lt;&gt;"",M71="",I71&lt;&gt;""),I71,"")</f>
        <v/>
      </c>
      <c r="V71" s="63">
        <f>IF(U71="","",IF(U71&lt;AsOf,1,IF(U71&lt;=AsOf+AlertDays,2,IF(U71&lt;=AsOf+2*AlertDays,3,""))))</f>
        <v/>
      </c>
      <c r="W71" s="63">
        <f>IF(V71="","",IF(O71="OVERDUE","Overdue payment: ","Payment due: ")&amp;B71&amp;" — "&amp;C71&amp;" ("&amp;CurSym&amp;" "&amp;FIXED(S71,0)&amp;")")</f>
        <v/>
      </c>
    </row>
    <row r="72" ht="20" customHeight="1">
      <c r="B72" s="65" t="n"/>
      <c r="C72" s="65" t="n"/>
      <c r="D72" s="65" t="n"/>
      <c r="E72" s="65" t="n"/>
      <c r="F72" s="83" t="n"/>
      <c r="G72" s="66" t="n"/>
      <c r="H72" s="69">
        <f>IF(B72="","",IF(G72&lt;&gt;"",G72,IF(F72&lt;&gt;"",F72*IFERROR(INDEX('Contractors'!$I$6:$I$35,MATCH(B72,'Contractors'!$B$6:$B$35,0)),0),"")))</f>
        <v/>
      </c>
      <c r="I72" s="81" t="n"/>
      <c r="J72" s="65" t="n"/>
      <c r="K72" s="81" t="n"/>
      <c r="L72" s="66" t="n"/>
      <c r="M72" s="81" t="n"/>
      <c r="N72" s="66" t="n"/>
      <c r="O72" s="91">
        <f>IF(B72="","",IF(M72&lt;&gt;"","Paid",IF(AND(I72&lt;&gt;"",I72&lt;AsOf),"OVERDUE",IF(OR(K72&lt;&gt;"",L72&lt;&gt;""),"Invoiced","Scheduled"))))</f>
        <v/>
      </c>
      <c r="P72" s="92">
        <f>IF(B72="","",IF(E72&lt;&gt;"",E72,IFERROR(INDEX('Contractors'!$D$6:$D$35,MATCH(B72,'Contractors'!$B$6:$B$35,0)),"")))</f>
        <v/>
      </c>
      <c r="Q72" s="63">
        <f>IF(B72="","",IF(D72&lt;&gt;"",D72,IFERROR(INDEX('Contractors'!$E$6:$E$35,MATCH(B72,'Contractors'!$B$6:$B$35,0)),"")))</f>
        <v/>
      </c>
      <c r="R72" s="63">
        <f>IF(O72="","",IF(O72="OVERDUE",2,IF(O72="Paid",0,IF(AND(I72&lt;&gt;"",I72&lt;=AsOf+AlertDays),1,0))))</f>
        <v/>
      </c>
      <c r="S72" s="63">
        <f>IF(AND(B72&lt;&gt;"",M72="",I72&lt;&gt;""),IF(L72&lt;&gt;"",L72,IF(H72="",0,H72)),0)</f>
        <v/>
      </c>
      <c r="T72" s="63">
        <f>IF(AND(B72&lt;&gt;"",M72="",I72&lt;&gt;""),1/I72,0)</f>
        <v/>
      </c>
      <c r="U72" s="85">
        <f>IF(AND(B72&lt;&gt;"",M72="",I72&lt;&gt;""),I72,"")</f>
        <v/>
      </c>
      <c r="V72" s="63">
        <f>IF(U72="","",IF(U72&lt;AsOf,1,IF(U72&lt;=AsOf+AlertDays,2,IF(U72&lt;=AsOf+2*AlertDays,3,""))))</f>
        <v/>
      </c>
      <c r="W72" s="63">
        <f>IF(V72="","",IF(O72="OVERDUE","Overdue payment: ","Payment due: ")&amp;B72&amp;" — "&amp;C72&amp;" ("&amp;CurSym&amp;" "&amp;FIXED(S72,0)&amp;")")</f>
        <v/>
      </c>
    </row>
    <row r="73" ht="20" customHeight="1">
      <c r="B73" s="65" t="n"/>
      <c r="C73" s="65" t="n"/>
      <c r="D73" s="65" t="n"/>
      <c r="E73" s="65" t="n"/>
      <c r="F73" s="83" t="n"/>
      <c r="G73" s="66" t="n"/>
      <c r="H73" s="69">
        <f>IF(B73="","",IF(G73&lt;&gt;"",G73,IF(F73&lt;&gt;"",F73*IFERROR(INDEX('Contractors'!$I$6:$I$35,MATCH(B73,'Contractors'!$B$6:$B$35,0)),0),"")))</f>
        <v/>
      </c>
      <c r="I73" s="81" t="n"/>
      <c r="J73" s="65" t="n"/>
      <c r="K73" s="81" t="n"/>
      <c r="L73" s="66" t="n"/>
      <c r="M73" s="81" t="n"/>
      <c r="N73" s="66" t="n"/>
      <c r="O73" s="91">
        <f>IF(B73="","",IF(M73&lt;&gt;"","Paid",IF(AND(I73&lt;&gt;"",I73&lt;AsOf),"OVERDUE",IF(OR(K73&lt;&gt;"",L73&lt;&gt;""),"Invoiced","Scheduled"))))</f>
        <v/>
      </c>
      <c r="P73" s="92">
        <f>IF(B73="","",IF(E73&lt;&gt;"",E73,IFERROR(INDEX('Contractors'!$D$6:$D$35,MATCH(B73,'Contractors'!$B$6:$B$35,0)),"")))</f>
        <v/>
      </c>
      <c r="Q73" s="63">
        <f>IF(B73="","",IF(D73&lt;&gt;"",D73,IFERROR(INDEX('Contractors'!$E$6:$E$35,MATCH(B73,'Contractors'!$B$6:$B$35,0)),"")))</f>
        <v/>
      </c>
      <c r="R73" s="63">
        <f>IF(O73="","",IF(O73="OVERDUE",2,IF(O73="Paid",0,IF(AND(I73&lt;&gt;"",I73&lt;=AsOf+AlertDays),1,0))))</f>
        <v/>
      </c>
      <c r="S73" s="63">
        <f>IF(AND(B73&lt;&gt;"",M73="",I73&lt;&gt;""),IF(L73&lt;&gt;"",L73,IF(H73="",0,H73)),0)</f>
        <v/>
      </c>
      <c r="T73" s="63">
        <f>IF(AND(B73&lt;&gt;"",M73="",I73&lt;&gt;""),1/I73,0)</f>
        <v/>
      </c>
      <c r="U73" s="85">
        <f>IF(AND(B73&lt;&gt;"",M73="",I73&lt;&gt;""),I73,"")</f>
        <v/>
      </c>
      <c r="V73" s="63">
        <f>IF(U73="","",IF(U73&lt;AsOf,1,IF(U73&lt;=AsOf+AlertDays,2,IF(U73&lt;=AsOf+2*AlertDays,3,""))))</f>
        <v/>
      </c>
      <c r="W73" s="63">
        <f>IF(V73="","",IF(O73="OVERDUE","Overdue payment: ","Payment due: ")&amp;B73&amp;" — "&amp;C73&amp;" ("&amp;CurSym&amp;" "&amp;FIXED(S73,0)&amp;")")</f>
        <v/>
      </c>
    </row>
    <row r="74" ht="20" customHeight="1">
      <c r="B74" s="65" t="n"/>
      <c r="C74" s="65" t="n"/>
      <c r="D74" s="65" t="n"/>
      <c r="E74" s="65" t="n"/>
      <c r="F74" s="83" t="n"/>
      <c r="G74" s="66" t="n"/>
      <c r="H74" s="69">
        <f>IF(B74="","",IF(G74&lt;&gt;"",G74,IF(F74&lt;&gt;"",F74*IFERROR(INDEX('Contractors'!$I$6:$I$35,MATCH(B74,'Contractors'!$B$6:$B$35,0)),0),"")))</f>
        <v/>
      </c>
      <c r="I74" s="81" t="n"/>
      <c r="J74" s="65" t="n"/>
      <c r="K74" s="81" t="n"/>
      <c r="L74" s="66" t="n"/>
      <c r="M74" s="81" t="n"/>
      <c r="N74" s="66" t="n"/>
      <c r="O74" s="91">
        <f>IF(B74="","",IF(M74&lt;&gt;"","Paid",IF(AND(I74&lt;&gt;"",I74&lt;AsOf),"OVERDUE",IF(OR(K74&lt;&gt;"",L74&lt;&gt;""),"Invoiced","Scheduled"))))</f>
        <v/>
      </c>
      <c r="P74" s="92">
        <f>IF(B74="","",IF(E74&lt;&gt;"",E74,IFERROR(INDEX('Contractors'!$D$6:$D$35,MATCH(B74,'Contractors'!$B$6:$B$35,0)),"")))</f>
        <v/>
      </c>
      <c r="Q74" s="63">
        <f>IF(B74="","",IF(D74&lt;&gt;"",D74,IFERROR(INDEX('Contractors'!$E$6:$E$35,MATCH(B74,'Contractors'!$B$6:$B$35,0)),"")))</f>
        <v/>
      </c>
      <c r="R74" s="63">
        <f>IF(O74="","",IF(O74="OVERDUE",2,IF(O74="Paid",0,IF(AND(I74&lt;&gt;"",I74&lt;=AsOf+AlertDays),1,0))))</f>
        <v/>
      </c>
      <c r="S74" s="63">
        <f>IF(AND(B74&lt;&gt;"",M74="",I74&lt;&gt;""),IF(L74&lt;&gt;"",L74,IF(H74="",0,H74)),0)</f>
        <v/>
      </c>
      <c r="T74" s="63">
        <f>IF(AND(B74&lt;&gt;"",M74="",I74&lt;&gt;""),1/I74,0)</f>
        <v/>
      </c>
      <c r="U74" s="85">
        <f>IF(AND(B74&lt;&gt;"",M74="",I74&lt;&gt;""),I74,"")</f>
        <v/>
      </c>
      <c r="V74" s="63">
        <f>IF(U74="","",IF(U74&lt;AsOf,1,IF(U74&lt;=AsOf+AlertDays,2,IF(U74&lt;=AsOf+2*AlertDays,3,""))))</f>
        <v/>
      </c>
      <c r="W74" s="63">
        <f>IF(V74="","",IF(O74="OVERDUE","Overdue payment: ","Payment due: ")&amp;B74&amp;" — "&amp;C74&amp;" ("&amp;CurSym&amp;" "&amp;FIXED(S74,0)&amp;")")</f>
        <v/>
      </c>
    </row>
    <row r="75" ht="20" customHeight="1">
      <c r="B75" s="65" t="n"/>
      <c r="C75" s="65" t="n"/>
      <c r="D75" s="65" t="n"/>
      <c r="E75" s="65" t="n"/>
      <c r="F75" s="83" t="n"/>
      <c r="G75" s="66" t="n"/>
      <c r="H75" s="69">
        <f>IF(B75="","",IF(G75&lt;&gt;"",G75,IF(F75&lt;&gt;"",F75*IFERROR(INDEX('Contractors'!$I$6:$I$35,MATCH(B75,'Contractors'!$B$6:$B$35,0)),0),"")))</f>
        <v/>
      </c>
      <c r="I75" s="81" t="n"/>
      <c r="J75" s="65" t="n"/>
      <c r="K75" s="81" t="n"/>
      <c r="L75" s="66" t="n"/>
      <c r="M75" s="81" t="n"/>
      <c r="N75" s="66" t="n"/>
      <c r="O75" s="91">
        <f>IF(B75="","",IF(M75&lt;&gt;"","Paid",IF(AND(I75&lt;&gt;"",I75&lt;AsOf),"OVERDUE",IF(OR(K75&lt;&gt;"",L75&lt;&gt;""),"Invoiced","Scheduled"))))</f>
        <v/>
      </c>
      <c r="P75" s="92">
        <f>IF(B75="","",IF(E75&lt;&gt;"",E75,IFERROR(INDEX('Contractors'!$D$6:$D$35,MATCH(B75,'Contractors'!$B$6:$B$35,0)),"")))</f>
        <v/>
      </c>
      <c r="Q75" s="63">
        <f>IF(B75="","",IF(D75&lt;&gt;"",D75,IFERROR(INDEX('Contractors'!$E$6:$E$35,MATCH(B75,'Contractors'!$B$6:$B$35,0)),"")))</f>
        <v/>
      </c>
      <c r="R75" s="63">
        <f>IF(O75="","",IF(O75="OVERDUE",2,IF(O75="Paid",0,IF(AND(I75&lt;&gt;"",I75&lt;=AsOf+AlertDays),1,0))))</f>
        <v/>
      </c>
      <c r="S75" s="63">
        <f>IF(AND(B75&lt;&gt;"",M75="",I75&lt;&gt;""),IF(L75&lt;&gt;"",L75,IF(H75="",0,H75)),0)</f>
        <v/>
      </c>
      <c r="T75" s="63">
        <f>IF(AND(B75&lt;&gt;"",M75="",I75&lt;&gt;""),1/I75,0)</f>
        <v/>
      </c>
      <c r="U75" s="85">
        <f>IF(AND(B75&lt;&gt;"",M75="",I75&lt;&gt;""),I75,"")</f>
        <v/>
      </c>
      <c r="V75" s="63">
        <f>IF(U75="","",IF(U75&lt;AsOf,1,IF(U75&lt;=AsOf+AlertDays,2,IF(U75&lt;=AsOf+2*AlertDays,3,""))))</f>
        <v/>
      </c>
      <c r="W75" s="63">
        <f>IF(V75="","",IF(O75="OVERDUE","Overdue payment: ","Payment due: ")&amp;B75&amp;" — "&amp;C75&amp;" ("&amp;CurSym&amp;" "&amp;FIXED(S75,0)&amp;")")</f>
        <v/>
      </c>
    </row>
    <row r="76" ht="20" customHeight="1">
      <c r="B76" s="65" t="n"/>
      <c r="C76" s="65" t="n"/>
      <c r="D76" s="65" t="n"/>
      <c r="E76" s="65" t="n"/>
      <c r="F76" s="83" t="n"/>
      <c r="G76" s="66" t="n"/>
      <c r="H76" s="69">
        <f>IF(B76="","",IF(G76&lt;&gt;"",G76,IF(F76&lt;&gt;"",F76*IFERROR(INDEX('Contractors'!$I$6:$I$35,MATCH(B76,'Contractors'!$B$6:$B$35,0)),0),"")))</f>
        <v/>
      </c>
      <c r="I76" s="81" t="n"/>
      <c r="J76" s="65" t="n"/>
      <c r="K76" s="81" t="n"/>
      <c r="L76" s="66" t="n"/>
      <c r="M76" s="81" t="n"/>
      <c r="N76" s="66" t="n"/>
      <c r="O76" s="91">
        <f>IF(B76="","",IF(M76&lt;&gt;"","Paid",IF(AND(I76&lt;&gt;"",I76&lt;AsOf),"OVERDUE",IF(OR(K76&lt;&gt;"",L76&lt;&gt;""),"Invoiced","Scheduled"))))</f>
        <v/>
      </c>
      <c r="P76" s="92">
        <f>IF(B76="","",IF(E76&lt;&gt;"",E76,IFERROR(INDEX('Contractors'!$D$6:$D$35,MATCH(B76,'Contractors'!$B$6:$B$35,0)),"")))</f>
        <v/>
      </c>
      <c r="Q76" s="63">
        <f>IF(B76="","",IF(D76&lt;&gt;"",D76,IFERROR(INDEX('Contractors'!$E$6:$E$35,MATCH(B76,'Contractors'!$B$6:$B$35,0)),"")))</f>
        <v/>
      </c>
      <c r="R76" s="63">
        <f>IF(O76="","",IF(O76="OVERDUE",2,IF(O76="Paid",0,IF(AND(I76&lt;&gt;"",I76&lt;=AsOf+AlertDays),1,0))))</f>
        <v/>
      </c>
      <c r="S76" s="63">
        <f>IF(AND(B76&lt;&gt;"",M76="",I76&lt;&gt;""),IF(L76&lt;&gt;"",L76,IF(H76="",0,H76)),0)</f>
        <v/>
      </c>
      <c r="T76" s="63">
        <f>IF(AND(B76&lt;&gt;"",M76="",I76&lt;&gt;""),1/I76,0)</f>
        <v/>
      </c>
      <c r="U76" s="85">
        <f>IF(AND(B76&lt;&gt;"",M76="",I76&lt;&gt;""),I76,"")</f>
        <v/>
      </c>
      <c r="V76" s="63">
        <f>IF(U76="","",IF(U76&lt;AsOf,1,IF(U76&lt;=AsOf+AlertDays,2,IF(U76&lt;=AsOf+2*AlertDays,3,""))))</f>
        <v/>
      </c>
      <c r="W76" s="63">
        <f>IF(V76="","",IF(O76="OVERDUE","Overdue payment: ","Payment due: ")&amp;B76&amp;" — "&amp;C76&amp;" ("&amp;CurSym&amp;" "&amp;FIXED(S76,0)&amp;")")</f>
        <v/>
      </c>
    </row>
    <row r="77" ht="20" customHeight="1">
      <c r="B77" s="65" t="n"/>
      <c r="C77" s="65" t="n"/>
      <c r="D77" s="65" t="n"/>
      <c r="E77" s="65" t="n"/>
      <c r="F77" s="83" t="n"/>
      <c r="G77" s="66" t="n"/>
      <c r="H77" s="69">
        <f>IF(B77="","",IF(G77&lt;&gt;"",G77,IF(F77&lt;&gt;"",F77*IFERROR(INDEX('Contractors'!$I$6:$I$35,MATCH(B77,'Contractors'!$B$6:$B$35,0)),0),"")))</f>
        <v/>
      </c>
      <c r="I77" s="81" t="n"/>
      <c r="J77" s="65" t="n"/>
      <c r="K77" s="81" t="n"/>
      <c r="L77" s="66" t="n"/>
      <c r="M77" s="81" t="n"/>
      <c r="N77" s="66" t="n"/>
      <c r="O77" s="91">
        <f>IF(B77="","",IF(M77&lt;&gt;"","Paid",IF(AND(I77&lt;&gt;"",I77&lt;AsOf),"OVERDUE",IF(OR(K77&lt;&gt;"",L77&lt;&gt;""),"Invoiced","Scheduled"))))</f>
        <v/>
      </c>
      <c r="P77" s="92">
        <f>IF(B77="","",IF(E77&lt;&gt;"",E77,IFERROR(INDEX('Contractors'!$D$6:$D$35,MATCH(B77,'Contractors'!$B$6:$B$35,0)),"")))</f>
        <v/>
      </c>
      <c r="Q77" s="63">
        <f>IF(B77="","",IF(D77&lt;&gt;"",D77,IFERROR(INDEX('Contractors'!$E$6:$E$35,MATCH(B77,'Contractors'!$B$6:$B$35,0)),"")))</f>
        <v/>
      </c>
      <c r="R77" s="63">
        <f>IF(O77="","",IF(O77="OVERDUE",2,IF(O77="Paid",0,IF(AND(I77&lt;&gt;"",I77&lt;=AsOf+AlertDays),1,0))))</f>
        <v/>
      </c>
      <c r="S77" s="63">
        <f>IF(AND(B77&lt;&gt;"",M77="",I77&lt;&gt;""),IF(L77&lt;&gt;"",L77,IF(H77="",0,H77)),0)</f>
        <v/>
      </c>
      <c r="T77" s="63">
        <f>IF(AND(B77&lt;&gt;"",M77="",I77&lt;&gt;""),1/I77,0)</f>
        <v/>
      </c>
      <c r="U77" s="85">
        <f>IF(AND(B77&lt;&gt;"",M77="",I77&lt;&gt;""),I77,"")</f>
        <v/>
      </c>
      <c r="V77" s="63">
        <f>IF(U77="","",IF(U77&lt;AsOf,1,IF(U77&lt;=AsOf+AlertDays,2,IF(U77&lt;=AsOf+2*AlertDays,3,""))))</f>
        <v/>
      </c>
      <c r="W77" s="63">
        <f>IF(V77="","",IF(O77="OVERDUE","Overdue payment: ","Payment due: ")&amp;B77&amp;" — "&amp;C77&amp;" ("&amp;CurSym&amp;" "&amp;FIXED(S77,0)&amp;")")</f>
        <v/>
      </c>
    </row>
    <row r="78" ht="20" customHeight="1">
      <c r="B78" s="65" t="n"/>
      <c r="C78" s="65" t="n"/>
      <c r="D78" s="65" t="n"/>
      <c r="E78" s="65" t="n"/>
      <c r="F78" s="83" t="n"/>
      <c r="G78" s="66" t="n"/>
      <c r="H78" s="69">
        <f>IF(B78="","",IF(G78&lt;&gt;"",G78,IF(F78&lt;&gt;"",F78*IFERROR(INDEX('Contractors'!$I$6:$I$35,MATCH(B78,'Contractors'!$B$6:$B$35,0)),0),"")))</f>
        <v/>
      </c>
      <c r="I78" s="81" t="n"/>
      <c r="J78" s="65" t="n"/>
      <c r="K78" s="81" t="n"/>
      <c r="L78" s="66" t="n"/>
      <c r="M78" s="81" t="n"/>
      <c r="N78" s="66" t="n"/>
      <c r="O78" s="91">
        <f>IF(B78="","",IF(M78&lt;&gt;"","Paid",IF(AND(I78&lt;&gt;"",I78&lt;AsOf),"OVERDUE",IF(OR(K78&lt;&gt;"",L78&lt;&gt;""),"Invoiced","Scheduled"))))</f>
        <v/>
      </c>
      <c r="P78" s="92">
        <f>IF(B78="","",IF(E78&lt;&gt;"",E78,IFERROR(INDEX('Contractors'!$D$6:$D$35,MATCH(B78,'Contractors'!$B$6:$B$35,0)),"")))</f>
        <v/>
      </c>
      <c r="Q78" s="63">
        <f>IF(B78="","",IF(D78&lt;&gt;"",D78,IFERROR(INDEX('Contractors'!$E$6:$E$35,MATCH(B78,'Contractors'!$B$6:$B$35,0)),"")))</f>
        <v/>
      </c>
      <c r="R78" s="63">
        <f>IF(O78="","",IF(O78="OVERDUE",2,IF(O78="Paid",0,IF(AND(I78&lt;&gt;"",I78&lt;=AsOf+AlertDays),1,0))))</f>
        <v/>
      </c>
      <c r="S78" s="63">
        <f>IF(AND(B78&lt;&gt;"",M78="",I78&lt;&gt;""),IF(L78&lt;&gt;"",L78,IF(H78="",0,H78)),0)</f>
        <v/>
      </c>
      <c r="T78" s="63">
        <f>IF(AND(B78&lt;&gt;"",M78="",I78&lt;&gt;""),1/I78,0)</f>
        <v/>
      </c>
      <c r="U78" s="85">
        <f>IF(AND(B78&lt;&gt;"",M78="",I78&lt;&gt;""),I78,"")</f>
        <v/>
      </c>
      <c r="V78" s="63">
        <f>IF(U78="","",IF(U78&lt;AsOf,1,IF(U78&lt;=AsOf+AlertDays,2,IF(U78&lt;=AsOf+2*AlertDays,3,""))))</f>
        <v/>
      </c>
      <c r="W78" s="63">
        <f>IF(V78="","",IF(O78="OVERDUE","Overdue payment: ","Payment due: ")&amp;B78&amp;" — "&amp;C78&amp;" ("&amp;CurSym&amp;" "&amp;FIXED(S78,0)&amp;")")</f>
        <v/>
      </c>
    </row>
    <row r="79" ht="20" customHeight="1">
      <c r="B79" s="65" t="n"/>
      <c r="C79" s="65" t="n"/>
      <c r="D79" s="65" t="n"/>
      <c r="E79" s="65" t="n"/>
      <c r="F79" s="83" t="n"/>
      <c r="G79" s="66" t="n"/>
      <c r="H79" s="69">
        <f>IF(B79="","",IF(G79&lt;&gt;"",G79,IF(F79&lt;&gt;"",F79*IFERROR(INDEX('Contractors'!$I$6:$I$35,MATCH(B79,'Contractors'!$B$6:$B$35,0)),0),"")))</f>
        <v/>
      </c>
      <c r="I79" s="81" t="n"/>
      <c r="J79" s="65" t="n"/>
      <c r="K79" s="81" t="n"/>
      <c r="L79" s="66" t="n"/>
      <c r="M79" s="81" t="n"/>
      <c r="N79" s="66" t="n"/>
      <c r="O79" s="91">
        <f>IF(B79="","",IF(M79&lt;&gt;"","Paid",IF(AND(I79&lt;&gt;"",I79&lt;AsOf),"OVERDUE",IF(OR(K79&lt;&gt;"",L79&lt;&gt;""),"Invoiced","Scheduled"))))</f>
        <v/>
      </c>
      <c r="P79" s="92">
        <f>IF(B79="","",IF(E79&lt;&gt;"",E79,IFERROR(INDEX('Contractors'!$D$6:$D$35,MATCH(B79,'Contractors'!$B$6:$B$35,0)),"")))</f>
        <v/>
      </c>
      <c r="Q79" s="63">
        <f>IF(B79="","",IF(D79&lt;&gt;"",D79,IFERROR(INDEX('Contractors'!$E$6:$E$35,MATCH(B79,'Contractors'!$B$6:$B$35,0)),"")))</f>
        <v/>
      </c>
      <c r="R79" s="63">
        <f>IF(O79="","",IF(O79="OVERDUE",2,IF(O79="Paid",0,IF(AND(I79&lt;&gt;"",I79&lt;=AsOf+AlertDays),1,0))))</f>
        <v/>
      </c>
      <c r="S79" s="63">
        <f>IF(AND(B79&lt;&gt;"",M79="",I79&lt;&gt;""),IF(L79&lt;&gt;"",L79,IF(H79="",0,H79)),0)</f>
        <v/>
      </c>
      <c r="T79" s="63">
        <f>IF(AND(B79&lt;&gt;"",M79="",I79&lt;&gt;""),1/I79,0)</f>
        <v/>
      </c>
      <c r="U79" s="85">
        <f>IF(AND(B79&lt;&gt;"",M79="",I79&lt;&gt;""),I79,"")</f>
        <v/>
      </c>
      <c r="V79" s="63">
        <f>IF(U79="","",IF(U79&lt;AsOf,1,IF(U79&lt;=AsOf+AlertDays,2,IF(U79&lt;=AsOf+2*AlertDays,3,""))))</f>
        <v/>
      </c>
      <c r="W79" s="63">
        <f>IF(V79="","",IF(O79="OVERDUE","Overdue payment: ","Payment due: ")&amp;B79&amp;" — "&amp;C79&amp;" ("&amp;CurSym&amp;" "&amp;FIXED(S79,0)&amp;")")</f>
        <v/>
      </c>
    </row>
    <row r="80" ht="20" customHeight="1">
      <c r="B80" s="65" t="n"/>
      <c r="C80" s="65" t="n"/>
      <c r="D80" s="65" t="n"/>
      <c r="E80" s="65" t="n"/>
      <c r="F80" s="83" t="n"/>
      <c r="G80" s="66" t="n"/>
      <c r="H80" s="69">
        <f>IF(B80="","",IF(G80&lt;&gt;"",G80,IF(F80&lt;&gt;"",F80*IFERROR(INDEX('Contractors'!$I$6:$I$35,MATCH(B80,'Contractors'!$B$6:$B$35,0)),0),"")))</f>
        <v/>
      </c>
      <c r="I80" s="81" t="n"/>
      <c r="J80" s="65" t="n"/>
      <c r="K80" s="81" t="n"/>
      <c r="L80" s="66" t="n"/>
      <c r="M80" s="81" t="n"/>
      <c r="N80" s="66" t="n"/>
      <c r="O80" s="91">
        <f>IF(B80="","",IF(M80&lt;&gt;"","Paid",IF(AND(I80&lt;&gt;"",I80&lt;AsOf),"OVERDUE",IF(OR(K80&lt;&gt;"",L80&lt;&gt;""),"Invoiced","Scheduled"))))</f>
        <v/>
      </c>
      <c r="P80" s="92">
        <f>IF(B80="","",IF(E80&lt;&gt;"",E80,IFERROR(INDEX('Contractors'!$D$6:$D$35,MATCH(B80,'Contractors'!$B$6:$B$35,0)),"")))</f>
        <v/>
      </c>
      <c r="Q80" s="63">
        <f>IF(B80="","",IF(D80&lt;&gt;"",D80,IFERROR(INDEX('Contractors'!$E$6:$E$35,MATCH(B80,'Contractors'!$B$6:$B$35,0)),"")))</f>
        <v/>
      </c>
      <c r="R80" s="63">
        <f>IF(O80="","",IF(O80="OVERDUE",2,IF(O80="Paid",0,IF(AND(I80&lt;&gt;"",I80&lt;=AsOf+AlertDays),1,0))))</f>
        <v/>
      </c>
      <c r="S80" s="63">
        <f>IF(AND(B80&lt;&gt;"",M80="",I80&lt;&gt;""),IF(L80&lt;&gt;"",L80,IF(H80="",0,H80)),0)</f>
        <v/>
      </c>
      <c r="T80" s="63">
        <f>IF(AND(B80&lt;&gt;"",M80="",I80&lt;&gt;""),1/I80,0)</f>
        <v/>
      </c>
      <c r="U80" s="85">
        <f>IF(AND(B80&lt;&gt;"",M80="",I80&lt;&gt;""),I80,"")</f>
        <v/>
      </c>
      <c r="V80" s="63">
        <f>IF(U80="","",IF(U80&lt;AsOf,1,IF(U80&lt;=AsOf+AlertDays,2,IF(U80&lt;=AsOf+2*AlertDays,3,""))))</f>
        <v/>
      </c>
      <c r="W80" s="63">
        <f>IF(V80="","",IF(O80="OVERDUE","Overdue payment: ","Payment due: ")&amp;B80&amp;" — "&amp;C80&amp;" ("&amp;CurSym&amp;" "&amp;FIXED(S80,0)&amp;")")</f>
        <v/>
      </c>
    </row>
    <row r="81" ht="20" customHeight="1">
      <c r="B81" s="65" t="n"/>
      <c r="C81" s="65" t="n"/>
      <c r="D81" s="65" t="n"/>
      <c r="E81" s="65" t="n"/>
      <c r="F81" s="83" t="n"/>
      <c r="G81" s="66" t="n"/>
      <c r="H81" s="69">
        <f>IF(B81="","",IF(G81&lt;&gt;"",G81,IF(F81&lt;&gt;"",F81*IFERROR(INDEX('Contractors'!$I$6:$I$35,MATCH(B81,'Contractors'!$B$6:$B$35,0)),0),"")))</f>
        <v/>
      </c>
      <c r="I81" s="81" t="n"/>
      <c r="J81" s="65" t="n"/>
      <c r="K81" s="81" t="n"/>
      <c r="L81" s="66" t="n"/>
      <c r="M81" s="81" t="n"/>
      <c r="N81" s="66" t="n"/>
      <c r="O81" s="91">
        <f>IF(B81="","",IF(M81&lt;&gt;"","Paid",IF(AND(I81&lt;&gt;"",I81&lt;AsOf),"OVERDUE",IF(OR(K81&lt;&gt;"",L81&lt;&gt;""),"Invoiced","Scheduled"))))</f>
        <v/>
      </c>
      <c r="P81" s="92">
        <f>IF(B81="","",IF(E81&lt;&gt;"",E81,IFERROR(INDEX('Contractors'!$D$6:$D$35,MATCH(B81,'Contractors'!$B$6:$B$35,0)),"")))</f>
        <v/>
      </c>
      <c r="Q81" s="63">
        <f>IF(B81="","",IF(D81&lt;&gt;"",D81,IFERROR(INDEX('Contractors'!$E$6:$E$35,MATCH(B81,'Contractors'!$B$6:$B$35,0)),"")))</f>
        <v/>
      </c>
      <c r="R81" s="63">
        <f>IF(O81="","",IF(O81="OVERDUE",2,IF(O81="Paid",0,IF(AND(I81&lt;&gt;"",I81&lt;=AsOf+AlertDays),1,0))))</f>
        <v/>
      </c>
      <c r="S81" s="63">
        <f>IF(AND(B81&lt;&gt;"",M81="",I81&lt;&gt;""),IF(L81&lt;&gt;"",L81,IF(H81="",0,H81)),0)</f>
        <v/>
      </c>
      <c r="T81" s="63">
        <f>IF(AND(B81&lt;&gt;"",M81="",I81&lt;&gt;""),1/I81,0)</f>
        <v/>
      </c>
      <c r="U81" s="85">
        <f>IF(AND(B81&lt;&gt;"",M81="",I81&lt;&gt;""),I81,"")</f>
        <v/>
      </c>
      <c r="V81" s="63">
        <f>IF(U81="","",IF(U81&lt;AsOf,1,IF(U81&lt;=AsOf+AlertDays,2,IF(U81&lt;=AsOf+2*AlertDays,3,""))))</f>
        <v/>
      </c>
      <c r="W81" s="63">
        <f>IF(V81="","",IF(O81="OVERDUE","Overdue payment: ","Payment due: ")&amp;B81&amp;" — "&amp;C81&amp;" ("&amp;CurSym&amp;" "&amp;FIXED(S81,0)&amp;")")</f>
        <v/>
      </c>
    </row>
    <row r="82" ht="20" customHeight="1">
      <c r="B82" s="65" t="n"/>
      <c r="C82" s="65" t="n"/>
      <c r="D82" s="65" t="n"/>
      <c r="E82" s="65" t="n"/>
      <c r="F82" s="83" t="n"/>
      <c r="G82" s="66" t="n"/>
      <c r="H82" s="69">
        <f>IF(B82="","",IF(G82&lt;&gt;"",G82,IF(F82&lt;&gt;"",F82*IFERROR(INDEX('Contractors'!$I$6:$I$35,MATCH(B82,'Contractors'!$B$6:$B$35,0)),0),"")))</f>
        <v/>
      </c>
      <c r="I82" s="81" t="n"/>
      <c r="J82" s="65" t="n"/>
      <c r="K82" s="81" t="n"/>
      <c r="L82" s="66" t="n"/>
      <c r="M82" s="81" t="n"/>
      <c r="N82" s="66" t="n"/>
      <c r="O82" s="91">
        <f>IF(B82="","",IF(M82&lt;&gt;"","Paid",IF(AND(I82&lt;&gt;"",I82&lt;AsOf),"OVERDUE",IF(OR(K82&lt;&gt;"",L82&lt;&gt;""),"Invoiced","Scheduled"))))</f>
        <v/>
      </c>
      <c r="P82" s="92">
        <f>IF(B82="","",IF(E82&lt;&gt;"",E82,IFERROR(INDEX('Contractors'!$D$6:$D$35,MATCH(B82,'Contractors'!$B$6:$B$35,0)),"")))</f>
        <v/>
      </c>
      <c r="Q82" s="63">
        <f>IF(B82="","",IF(D82&lt;&gt;"",D82,IFERROR(INDEX('Contractors'!$E$6:$E$35,MATCH(B82,'Contractors'!$B$6:$B$35,0)),"")))</f>
        <v/>
      </c>
      <c r="R82" s="63">
        <f>IF(O82="","",IF(O82="OVERDUE",2,IF(O82="Paid",0,IF(AND(I82&lt;&gt;"",I82&lt;=AsOf+AlertDays),1,0))))</f>
        <v/>
      </c>
      <c r="S82" s="63">
        <f>IF(AND(B82&lt;&gt;"",M82="",I82&lt;&gt;""),IF(L82&lt;&gt;"",L82,IF(H82="",0,H82)),0)</f>
        <v/>
      </c>
      <c r="T82" s="63">
        <f>IF(AND(B82&lt;&gt;"",M82="",I82&lt;&gt;""),1/I82,0)</f>
        <v/>
      </c>
      <c r="U82" s="85">
        <f>IF(AND(B82&lt;&gt;"",M82="",I82&lt;&gt;""),I82,"")</f>
        <v/>
      </c>
      <c r="V82" s="63">
        <f>IF(U82="","",IF(U82&lt;AsOf,1,IF(U82&lt;=AsOf+AlertDays,2,IF(U82&lt;=AsOf+2*AlertDays,3,""))))</f>
        <v/>
      </c>
      <c r="W82" s="63">
        <f>IF(V82="","",IF(O82="OVERDUE","Overdue payment: ","Payment due: ")&amp;B82&amp;" — "&amp;C82&amp;" ("&amp;CurSym&amp;" "&amp;FIXED(S82,0)&amp;")")</f>
        <v/>
      </c>
    </row>
    <row r="83" ht="20" customHeight="1">
      <c r="B83" s="65" t="n"/>
      <c r="C83" s="65" t="n"/>
      <c r="D83" s="65" t="n"/>
      <c r="E83" s="65" t="n"/>
      <c r="F83" s="83" t="n"/>
      <c r="G83" s="66" t="n"/>
      <c r="H83" s="69">
        <f>IF(B83="","",IF(G83&lt;&gt;"",G83,IF(F83&lt;&gt;"",F83*IFERROR(INDEX('Contractors'!$I$6:$I$35,MATCH(B83,'Contractors'!$B$6:$B$35,0)),0),"")))</f>
        <v/>
      </c>
      <c r="I83" s="81" t="n"/>
      <c r="J83" s="65" t="n"/>
      <c r="K83" s="81" t="n"/>
      <c r="L83" s="66" t="n"/>
      <c r="M83" s="81" t="n"/>
      <c r="N83" s="66" t="n"/>
      <c r="O83" s="91">
        <f>IF(B83="","",IF(M83&lt;&gt;"","Paid",IF(AND(I83&lt;&gt;"",I83&lt;AsOf),"OVERDUE",IF(OR(K83&lt;&gt;"",L83&lt;&gt;""),"Invoiced","Scheduled"))))</f>
        <v/>
      </c>
      <c r="P83" s="92">
        <f>IF(B83="","",IF(E83&lt;&gt;"",E83,IFERROR(INDEX('Contractors'!$D$6:$D$35,MATCH(B83,'Contractors'!$B$6:$B$35,0)),"")))</f>
        <v/>
      </c>
      <c r="Q83" s="63">
        <f>IF(B83="","",IF(D83&lt;&gt;"",D83,IFERROR(INDEX('Contractors'!$E$6:$E$35,MATCH(B83,'Contractors'!$B$6:$B$35,0)),"")))</f>
        <v/>
      </c>
      <c r="R83" s="63">
        <f>IF(O83="","",IF(O83="OVERDUE",2,IF(O83="Paid",0,IF(AND(I83&lt;&gt;"",I83&lt;=AsOf+AlertDays),1,0))))</f>
        <v/>
      </c>
      <c r="S83" s="63">
        <f>IF(AND(B83&lt;&gt;"",M83="",I83&lt;&gt;""),IF(L83&lt;&gt;"",L83,IF(H83="",0,H83)),0)</f>
        <v/>
      </c>
      <c r="T83" s="63">
        <f>IF(AND(B83&lt;&gt;"",M83="",I83&lt;&gt;""),1/I83,0)</f>
        <v/>
      </c>
      <c r="U83" s="85">
        <f>IF(AND(B83&lt;&gt;"",M83="",I83&lt;&gt;""),I83,"")</f>
        <v/>
      </c>
      <c r="V83" s="63">
        <f>IF(U83="","",IF(U83&lt;AsOf,1,IF(U83&lt;=AsOf+AlertDays,2,IF(U83&lt;=AsOf+2*AlertDays,3,""))))</f>
        <v/>
      </c>
      <c r="W83" s="63">
        <f>IF(V83="","",IF(O83="OVERDUE","Overdue payment: ","Payment due: ")&amp;B83&amp;" — "&amp;C83&amp;" ("&amp;CurSym&amp;" "&amp;FIXED(S83,0)&amp;")")</f>
        <v/>
      </c>
    </row>
    <row r="84" ht="20" customHeight="1">
      <c r="B84" s="65" t="n"/>
      <c r="C84" s="65" t="n"/>
      <c r="D84" s="65" t="n"/>
      <c r="E84" s="65" t="n"/>
      <c r="F84" s="83" t="n"/>
      <c r="G84" s="66" t="n"/>
      <c r="H84" s="69">
        <f>IF(B84="","",IF(G84&lt;&gt;"",G84,IF(F84&lt;&gt;"",F84*IFERROR(INDEX('Contractors'!$I$6:$I$35,MATCH(B84,'Contractors'!$B$6:$B$35,0)),0),"")))</f>
        <v/>
      </c>
      <c r="I84" s="81" t="n"/>
      <c r="J84" s="65" t="n"/>
      <c r="K84" s="81" t="n"/>
      <c r="L84" s="66" t="n"/>
      <c r="M84" s="81" t="n"/>
      <c r="N84" s="66" t="n"/>
      <c r="O84" s="91">
        <f>IF(B84="","",IF(M84&lt;&gt;"","Paid",IF(AND(I84&lt;&gt;"",I84&lt;AsOf),"OVERDUE",IF(OR(K84&lt;&gt;"",L84&lt;&gt;""),"Invoiced","Scheduled"))))</f>
        <v/>
      </c>
      <c r="P84" s="92">
        <f>IF(B84="","",IF(E84&lt;&gt;"",E84,IFERROR(INDEX('Contractors'!$D$6:$D$35,MATCH(B84,'Contractors'!$B$6:$B$35,0)),"")))</f>
        <v/>
      </c>
      <c r="Q84" s="63">
        <f>IF(B84="","",IF(D84&lt;&gt;"",D84,IFERROR(INDEX('Contractors'!$E$6:$E$35,MATCH(B84,'Contractors'!$B$6:$B$35,0)),"")))</f>
        <v/>
      </c>
      <c r="R84" s="63">
        <f>IF(O84="","",IF(O84="OVERDUE",2,IF(O84="Paid",0,IF(AND(I84&lt;&gt;"",I84&lt;=AsOf+AlertDays),1,0))))</f>
        <v/>
      </c>
      <c r="S84" s="63">
        <f>IF(AND(B84&lt;&gt;"",M84="",I84&lt;&gt;""),IF(L84&lt;&gt;"",L84,IF(H84="",0,H84)),0)</f>
        <v/>
      </c>
      <c r="T84" s="63">
        <f>IF(AND(B84&lt;&gt;"",M84="",I84&lt;&gt;""),1/I84,0)</f>
        <v/>
      </c>
      <c r="U84" s="85">
        <f>IF(AND(B84&lt;&gt;"",M84="",I84&lt;&gt;""),I84,"")</f>
        <v/>
      </c>
      <c r="V84" s="63">
        <f>IF(U84="","",IF(U84&lt;AsOf,1,IF(U84&lt;=AsOf+AlertDays,2,IF(U84&lt;=AsOf+2*AlertDays,3,""))))</f>
        <v/>
      </c>
      <c r="W84" s="63">
        <f>IF(V84="","",IF(O84="OVERDUE","Overdue payment: ","Payment due: ")&amp;B84&amp;" — "&amp;C84&amp;" ("&amp;CurSym&amp;" "&amp;FIXED(S84,0)&amp;")")</f>
        <v/>
      </c>
    </row>
    <row r="85" ht="20" customHeight="1">
      <c r="B85" s="65" t="n"/>
      <c r="C85" s="65" t="n"/>
      <c r="D85" s="65" t="n"/>
      <c r="E85" s="65" t="n"/>
      <c r="F85" s="83" t="n"/>
      <c r="G85" s="66" t="n"/>
      <c r="H85" s="69">
        <f>IF(B85="","",IF(G85&lt;&gt;"",G85,IF(F85&lt;&gt;"",F85*IFERROR(INDEX('Contractors'!$I$6:$I$35,MATCH(B85,'Contractors'!$B$6:$B$35,0)),0),"")))</f>
        <v/>
      </c>
      <c r="I85" s="81" t="n"/>
      <c r="J85" s="65" t="n"/>
      <c r="K85" s="81" t="n"/>
      <c r="L85" s="66" t="n"/>
      <c r="M85" s="81" t="n"/>
      <c r="N85" s="66" t="n"/>
      <c r="O85" s="91">
        <f>IF(B85="","",IF(M85&lt;&gt;"","Paid",IF(AND(I85&lt;&gt;"",I85&lt;AsOf),"OVERDUE",IF(OR(K85&lt;&gt;"",L85&lt;&gt;""),"Invoiced","Scheduled"))))</f>
        <v/>
      </c>
      <c r="P85" s="92">
        <f>IF(B85="","",IF(E85&lt;&gt;"",E85,IFERROR(INDEX('Contractors'!$D$6:$D$35,MATCH(B85,'Contractors'!$B$6:$B$35,0)),"")))</f>
        <v/>
      </c>
      <c r="Q85" s="63">
        <f>IF(B85="","",IF(D85&lt;&gt;"",D85,IFERROR(INDEX('Contractors'!$E$6:$E$35,MATCH(B85,'Contractors'!$B$6:$B$35,0)),"")))</f>
        <v/>
      </c>
      <c r="R85" s="63">
        <f>IF(O85="","",IF(O85="OVERDUE",2,IF(O85="Paid",0,IF(AND(I85&lt;&gt;"",I85&lt;=AsOf+AlertDays),1,0))))</f>
        <v/>
      </c>
      <c r="S85" s="63">
        <f>IF(AND(B85&lt;&gt;"",M85="",I85&lt;&gt;""),IF(L85&lt;&gt;"",L85,IF(H85="",0,H85)),0)</f>
        <v/>
      </c>
      <c r="T85" s="63">
        <f>IF(AND(B85&lt;&gt;"",M85="",I85&lt;&gt;""),1/I85,0)</f>
        <v/>
      </c>
      <c r="U85" s="85">
        <f>IF(AND(B85&lt;&gt;"",M85="",I85&lt;&gt;""),I85,"")</f>
        <v/>
      </c>
      <c r="V85" s="63">
        <f>IF(U85="","",IF(U85&lt;AsOf,1,IF(U85&lt;=AsOf+AlertDays,2,IF(U85&lt;=AsOf+2*AlertDays,3,""))))</f>
        <v/>
      </c>
      <c r="W85" s="63">
        <f>IF(V85="","",IF(O85="OVERDUE","Overdue payment: ","Payment due: ")&amp;B85&amp;" — "&amp;C85&amp;" ("&amp;CurSym&amp;" "&amp;FIXED(S85,0)&amp;")")</f>
        <v/>
      </c>
    </row>
    <row r="86" ht="20" customHeight="1">
      <c r="B86" s="65" t="n"/>
      <c r="C86" s="65" t="n"/>
      <c r="D86" s="65" t="n"/>
      <c r="E86" s="65" t="n"/>
      <c r="F86" s="83" t="n"/>
      <c r="G86" s="66" t="n"/>
      <c r="H86" s="69">
        <f>IF(B86="","",IF(G86&lt;&gt;"",G86,IF(F86&lt;&gt;"",F86*IFERROR(INDEX('Contractors'!$I$6:$I$35,MATCH(B86,'Contractors'!$B$6:$B$35,0)),0),"")))</f>
        <v/>
      </c>
      <c r="I86" s="81" t="n"/>
      <c r="J86" s="65" t="n"/>
      <c r="K86" s="81" t="n"/>
      <c r="L86" s="66" t="n"/>
      <c r="M86" s="81" t="n"/>
      <c r="N86" s="66" t="n"/>
      <c r="O86" s="91">
        <f>IF(B86="","",IF(M86&lt;&gt;"","Paid",IF(AND(I86&lt;&gt;"",I86&lt;AsOf),"OVERDUE",IF(OR(K86&lt;&gt;"",L86&lt;&gt;""),"Invoiced","Scheduled"))))</f>
        <v/>
      </c>
      <c r="P86" s="92">
        <f>IF(B86="","",IF(E86&lt;&gt;"",E86,IFERROR(INDEX('Contractors'!$D$6:$D$35,MATCH(B86,'Contractors'!$B$6:$B$35,0)),"")))</f>
        <v/>
      </c>
      <c r="Q86" s="63">
        <f>IF(B86="","",IF(D86&lt;&gt;"",D86,IFERROR(INDEX('Contractors'!$E$6:$E$35,MATCH(B86,'Contractors'!$B$6:$B$35,0)),"")))</f>
        <v/>
      </c>
      <c r="R86" s="63">
        <f>IF(O86="","",IF(O86="OVERDUE",2,IF(O86="Paid",0,IF(AND(I86&lt;&gt;"",I86&lt;=AsOf+AlertDays),1,0))))</f>
        <v/>
      </c>
      <c r="S86" s="63">
        <f>IF(AND(B86&lt;&gt;"",M86="",I86&lt;&gt;""),IF(L86&lt;&gt;"",L86,IF(H86="",0,H86)),0)</f>
        <v/>
      </c>
      <c r="T86" s="63">
        <f>IF(AND(B86&lt;&gt;"",M86="",I86&lt;&gt;""),1/I86,0)</f>
        <v/>
      </c>
      <c r="U86" s="85">
        <f>IF(AND(B86&lt;&gt;"",M86="",I86&lt;&gt;""),I86,"")</f>
        <v/>
      </c>
      <c r="V86" s="63">
        <f>IF(U86="","",IF(U86&lt;AsOf,1,IF(U86&lt;=AsOf+AlertDays,2,IF(U86&lt;=AsOf+2*AlertDays,3,""))))</f>
        <v/>
      </c>
      <c r="W86" s="63">
        <f>IF(V86="","",IF(O86="OVERDUE","Overdue payment: ","Payment due: ")&amp;B86&amp;" — "&amp;C86&amp;" ("&amp;CurSym&amp;" "&amp;FIXED(S86,0)&amp;")")</f>
        <v/>
      </c>
    </row>
    <row r="87" ht="20" customHeight="1">
      <c r="B87" s="65" t="n"/>
      <c r="C87" s="65" t="n"/>
      <c r="D87" s="65" t="n"/>
      <c r="E87" s="65" t="n"/>
      <c r="F87" s="83" t="n"/>
      <c r="G87" s="66" t="n"/>
      <c r="H87" s="69">
        <f>IF(B87="","",IF(G87&lt;&gt;"",G87,IF(F87&lt;&gt;"",F87*IFERROR(INDEX('Contractors'!$I$6:$I$35,MATCH(B87,'Contractors'!$B$6:$B$35,0)),0),"")))</f>
        <v/>
      </c>
      <c r="I87" s="81" t="n"/>
      <c r="J87" s="65" t="n"/>
      <c r="K87" s="81" t="n"/>
      <c r="L87" s="66" t="n"/>
      <c r="M87" s="81" t="n"/>
      <c r="N87" s="66" t="n"/>
      <c r="O87" s="91">
        <f>IF(B87="","",IF(M87&lt;&gt;"","Paid",IF(AND(I87&lt;&gt;"",I87&lt;AsOf),"OVERDUE",IF(OR(K87&lt;&gt;"",L87&lt;&gt;""),"Invoiced","Scheduled"))))</f>
        <v/>
      </c>
      <c r="P87" s="92">
        <f>IF(B87="","",IF(E87&lt;&gt;"",E87,IFERROR(INDEX('Contractors'!$D$6:$D$35,MATCH(B87,'Contractors'!$B$6:$B$35,0)),"")))</f>
        <v/>
      </c>
      <c r="Q87" s="63">
        <f>IF(B87="","",IF(D87&lt;&gt;"",D87,IFERROR(INDEX('Contractors'!$E$6:$E$35,MATCH(B87,'Contractors'!$B$6:$B$35,0)),"")))</f>
        <v/>
      </c>
      <c r="R87" s="63">
        <f>IF(O87="","",IF(O87="OVERDUE",2,IF(O87="Paid",0,IF(AND(I87&lt;&gt;"",I87&lt;=AsOf+AlertDays),1,0))))</f>
        <v/>
      </c>
      <c r="S87" s="63">
        <f>IF(AND(B87&lt;&gt;"",M87="",I87&lt;&gt;""),IF(L87&lt;&gt;"",L87,IF(H87="",0,H87)),0)</f>
        <v/>
      </c>
      <c r="T87" s="63">
        <f>IF(AND(B87&lt;&gt;"",M87="",I87&lt;&gt;""),1/I87,0)</f>
        <v/>
      </c>
      <c r="U87" s="85">
        <f>IF(AND(B87&lt;&gt;"",M87="",I87&lt;&gt;""),I87,"")</f>
        <v/>
      </c>
      <c r="V87" s="63">
        <f>IF(U87="","",IF(U87&lt;AsOf,1,IF(U87&lt;=AsOf+AlertDays,2,IF(U87&lt;=AsOf+2*AlertDays,3,""))))</f>
        <v/>
      </c>
      <c r="W87" s="63">
        <f>IF(V87="","",IF(O87="OVERDUE","Overdue payment: ","Payment due: ")&amp;B87&amp;" — "&amp;C87&amp;" ("&amp;CurSym&amp;" "&amp;FIXED(S87,0)&amp;")")</f>
        <v/>
      </c>
    </row>
    <row r="88" ht="20" customHeight="1">
      <c r="B88" s="65" t="n"/>
      <c r="C88" s="65" t="n"/>
      <c r="D88" s="65" t="n"/>
      <c r="E88" s="65" t="n"/>
      <c r="F88" s="83" t="n"/>
      <c r="G88" s="66" t="n"/>
      <c r="H88" s="69">
        <f>IF(B88="","",IF(G88&lt;&gt;"",G88,IF(F88&lt;&gt;"",F88*IFERROR(INDEX('Contractors'!$I$6:$I$35,MATCH(B88,'Contractors'!$B$6:$B$35,0)),0),"")))</f>
        <v/>
      </c>
      <c r="I88" s="81" t="n"/>
      <c r="J88" s="65" t="n"/>
      <c r="K88" s="81" t="n"/>
      <c r="L88" s="66" t="n"/>
      <c r="M88" s="81" t="n"/>
      <c r="N88" s="66" t="n"/>
      <c r="O88" s="91">
        <f>IF(B88="","",IF(M88&lt;&gt;"","Paid",IF(AND(I88&lt;&gt;"",I88&lt;AsOf),"OVERDUE",IF(OR(K88&lt;&gt;"",L88&lt;&gt;""),"Invoiced","Scheduled"))))</f>
        <v/>
      </c>
      <c r="P88" s="92">
        <f>IF(B88="","",IF(E88&lt;&gt;"",E88,IFERROR(INDEX('Contractors'!$D$6:$D$35,MATCH(B88,'Contractors'!$B$6:$B$35,0)),"")))</f>
        <v/>
      </c>
      <c r="Q88" s="63">
        <f>IF(B88="","",IF(D88&lt;&gt;"",D88,IFERROR(INDEX('Contractors'!$E$6:$E$35,MATCH(B88,'Contractors'!$B$6:$B$35,0)),"")))</f>
        <v/>
      </c>
      <c r="R88" s="63">
        <f>IF(O88="","",IF(O88="OVERDUE",2,IF(O88="Paid",0,IF(AND(I88&lt;&gt;"",I88&lt;=AsOf+AlertDays),1,0))))</f>
        <v/>
      </c>
      <c r="S88" s="63">
        <f>IF(AND(B88&lt;&gt;"",M88="",I88&lt;&gt;""),IF(L88&lt;&gt;"",L88,IF(H88="",0,H88)),0)</f>
        <v/>
      </c>
      <c r="T88" s="63">
        <f>IF(AND(B88&lt;&gt;"",M88="",I88&lt;&gt;""),1/I88,0)</f>
        <v/>
      </c>
      <c r="U88" s="85">
        <f>IF(AND(B88&lt;&gt;"",M88="",I88&lt;&gt;""),I88,"")</f>
        <v/>
      </c>
      <c r="V88" s="63">
        <f>IF(U88="","",IF(U88&lt;AsOf,1,IF(U88&lt;=AsOf+AlertDays,2,IF(U88&lt;=AsOf+2*AlertDays,3,""))))</f>
        <v/>
      </c>
      <c r="W88" s="63">
        <f>IF(V88="","",IF(O88="OVERDUE","Overdue payment: ","Payment due: ")&amp;B88&amp;" — "&amp;C88&amp;" ("&amp;CurSym&amp;" "&amp;FIXED(S88,0)&amp;")")</f>
        <v/>
      </c>
    </row>
    <row r="89" ht="20" customHeight="1">
      <c r="B89" s="65" t="n"/>
      <c r="C89" s="65" t="n"/>
      <c r="D89" s="65" t="n"/>
      <c r="E89" s="65" t="n"/>
      <c r="F89" s="83" t="n"/>
      <c r="G89" s="66" t="n"/>
      <c r="H89" s="69">
        <f>IF(B89="","",IF(G89&lt;&gt;"",G89,IF(F89&lt;&gt;"",F89*IFERROR(INDEX('Contractors'!$I$6:$I$35,MATCH(B89,'Contractors'!$B$6:$B$35,0)),0),"")))</f>
        <v/>
      </c>
      <c r="I89" s="81" t="n"/>
      <c r="J89" s="65" t="n"/>
      <c r="K89" s="81" t="n"/>
      <c r="L89" s="66" t="n"/>
      <c r="M89" s="81" t="n"/>
      <c r="N89" s="66" t="n"/>
      <c r="O89" s="91">
        <f>IF(B89="","",IF(M89&lt;&gt;"","Paid",IF(AND(I89&lt;&gt;"",I89&lt;AsOf),"OVERDUE",IF(OR(K89&lt;&gt;"",L89&lt;&gt;""),"Invoiced","Scheduled"))))</f>
        <v/>
      </c>
      <c r="P89" s="92">
        <f>IF(B89="","",IF(E89&lt;&gt;"",E89,IFERROR(INDEX('Contractors'!$D$6:$D$35,MATCH(B89,'Contractors'!$B$6:$B$35,0)),"")))</f>
        <v/>
      </c>
      <c r="Q89" s="63">
        <f>IF(B89="","",IF(D89&lt;&gt;"",D89,IFERROR(INDEX('Contractors'!$E$6:$E$35,MATCH(B89,'Contractors'!$B$6:$B$35,0)),"")))</f>
        <v/>
      </c>
      <c r="R89" s="63">
        <f>IF(O89="","",IF(O89="OVERDUE",2,IF(O89="Paid",0,IF(AND(I89&lt;&gt;"",I89&lt;=AsOf+AlertDays),1,0))))</f>
        <v/>
      </c>
      <c r="S89" s="63">
        <f>IF(AND(B89&lt;&gt;"",M89="",I89&lt;&gt;""),IF(L89&lt;&gt;"",L89,IF(H89="",0,H89)),0)</f>
        <v/>
      </c>
      <c r="T89" s="63">
        <f>IF(AND(B89&lt;&gt;"",M89="",I89&lt;&gt;""),1/I89,0)</f>
        <v/>
      </c>
      <c r="U89" s="85">
        <f>IF(AND(B89&lt;&gt;"",M89="",I89&lt;&gt;""),I89,"")</f>
        <v/>
      </c>
      <c r="V89" s="63">
        <f>IF(U89="","",IF(U89&lt;AsOf,1,IF(U89&lt;=AsOf+AlertDays,2,IF(U89&lt;=AsOf+2*AlertDays,3,""))))</f>
        <v/>
      </c>
      <c r="W89" s="63">
        <f>IF(V89="","",IF(O89="OVERDUE","Overdue payment: ","Payment due: ")&amp;B89&amp;" — "&amp;C89&amp;" ("&amp;CurSym&amp;" "&amp;FIXED(S89,0)&amp;")")</f>
        <v/>
      </c>
    </row>
    <row r="90" ht="20" customHeight="1">
      <c r="B90" s="65" t="n"/>
      <c r="C90" s="65" t="n"/>
      <c r="D90" s="65" t="n"/>
      <c r="E90" s="65" t="n"/>
      <c r="F90" s="83" t="n"/>
      <c r="G90" s="66" t="n"/>
      <c r="H90" s="69">
        <f>IF(B90="","",IF(G90&lt;&gt;"",G90,IF(F90&lt;&gt;"",F90*IFERROR(INDEX('Contractors'!$I$6:$I$35,MATCH(B90,'Contractors'!$B$6:$B$35,0)),0),"")))</f>
        <v/>
      </c>
      <c r="I90" s="81" t="n"/>
      <c r="J90" s="65" t="n"/>
      <c r="K90" s="81" t="n"/>
      <c r="L90" s="66" t="n"/>
      <c r="M90" s="81" t="n"/>
      <c r="N90" s="66" t="n"/>
      <c r="O90" s="91">
        <f>IF(B90="","",IF(M90&lt;&gt;"","Paid",IF(AND(I90&lt;&gt;"",I90&lt;AsOf),"OVERDUE",IF(OR(K90&lt;&gt;"",L90&lt;&gt;""),"Invoiced","Scheduled"))))</f>
        <v/>
      </c>
      <c r="P90" s="92">
        <f>IF(B90="","",IF(E90&lt;&gt;"",E90,IFERROR(INDEX('Contractors'!$D$6:$D$35,MATCH(B90,'Contractors'!$B$6:$B$35,0)),"")))</f>
        <v/>
      </c>
      <c r="Q90" s="63">
        <f>IF(B90="","",IF(D90&lt;&gt;"",D90,IFERROR(INDEX('Contractors'!$E$6:$E$35,MATCH(B90,'Contractors'!$B$6:$B$35,0)),"")))</f>
        <v/>
      </c>
      <c r="R90" s="63">
        <f>IF(O90="","",IF(O90="OVERDUE",2,IF(O90="Paid",0,IF(AND(I90&lt;&gt;"",I90&lt;=AsOf+AlertDays),1,0))))</f>
        <v/>
      </c>
      <c r="S90" s="63">
        <f>IF(AND(B90&lt;&gt;"",M90="",I90&lt;&gt;""),IF(L90&lt;&gt;"",L90,IF(H90="",0,H90)),0)</f>
        <v/>
      </c>
      <c r="T90" s="63">
        <f>IF(AND(B90&lt;&gt;"",M90="",I90&lt;&gt;""),1/I90,0)</f>
        <v/>
      </c>
      <c r="U90" s="85">
        <f>IF(AND(B90&lt;&gt;"",M90="",I90&lt;&gt;""),I90,"")</f>
        <v/>
      </c>
      <c r="V90" s="63">
        <f>IF(U90="","",IF(U90&lt;AsOf,1,IF(U90&lt;=AsOf+AlertDays,2,IF(U90&lt;=AsOf+2*AlertDays,3,""))))</f>
        <v/>
      </c>
      <c r="W90" s="63">
        <f>IF(V90="","",IF(O90="OVERDUE","Overdue payment: ","Payment due: ")&amp;B90&amp;" — "&amp;C90&amp;" ("&amp;CurSym&amp;" "&amp;FIXED(S90,0)&amp;")")</f>
        <v/>
      </c>
    </row>
    <row r="91" ht="20" customHeight="1">
      <c r="B91" s="65" t="n"/>
      <c r="C91" s="65" t="n"/>
      <c r="D91" s="65" t="n"/>
      <c r="E91" s="65" t="n"/>
      <c r="F91" s="83" t="n"/>
      <c r="G91" s="66" t="n"/>
      <c r="H91" s="69">
        <f>IF(B91="","",IF(G91&lt;&gt;"",G91,IF(F91&lt;&gt;"",F91*IFERROR(INDEX('Contractors'!$I$6:$I$35,MATCH(B91,'Contractors'!$B$6:$B$35,0)),0),"")))</f>
        <v/>
      </c>
      <c r="I91" s="81" t="n"/>
      <c r="J91" s="65" t="n"/>
      <c r="K91" s="81" t="n"/>
      <c r="L91" s="66" t="n"/>
      <c r="M91" s="81" t="n"/>
      <c r="N91" s="66" t="n"/>
      <c r="O91" s="91">
        <f>IF(B91="","",IF(M91&lt;&gt;"","Paid",IF(AND(I91&lt;&gt;"",I91&lt;AsOf),"OVERDUE",IF(OR(K91&lt;&gt;"",L91&lt;&gt;""),"Invoiced","Scheduled"))))</f>
        <v/>
      </c>
      <c r="P91" s="92">
        <f>IF(B91="","",IF(E91&lt;&gt;"",E91,IFERROR(INDEX('Contractors'!$D$6:$D$35,MATCH(B91,'Contractors'!$B$6:$B$35,0)),"")))</f>
        <v/>
      </c>
      <c r="Q91" s="63">
        <f>IF(B91="","",IF(D91&lt;&gt;"",D91,IFERROR(INDEX('Contractors'!$E$6:$E$35,MATCH(B91,'Contractors'!$B$6:$B$35,0)),"")))</f>
        <v/>
      </c>
      <c r="R91" s="63">
        <f>IF(O91="","",IF(O91="OVERDUE",2,IF(O91="Paid",0,IF(AND(I91&lt;&gt;"",I91&lt;=AsOf+AlertDays),1,0))))</f>
        <v/>
      </c>
      <c r="S91" s="63">
        <f>IF(AND(B91&lt;&gt;"",M91="",I91&lt;&gt;""),IF(L91&lt;&gt;"",L91,IF(H91="",0,H91)),0)</f>
        <v/>
      </c>
      <c r="T91" s="63">
        <f>IF(AND(B91&lt;&gt;"",M91="",I91&lt;&gt;""),1/I91,0)</f>
        <v/>
      </c>
      <c r="U91" s="85">
        <f>IF(AND(B91&lt;&gt;"",M91="",I91&lt;&gt;""),I91,"")</f>
        <v/>
      </c>
      <c r="V91" s="63">
        <f>IF(U91="","",IF(U91&lt;AsOf,1,IF(U91&lt;=AsOf+AlertDays,2,IF(U91&lt;=AsOf+2*AlertDays,3,""))))</f>
        <v/>
      </c>
      <c r="W91" s="63">
        <f>IF(V91="","",IF(O91="OVERDUE","Overdue payment: ","Payment due: ")&amp;B91&amp;" — "&amp;C91&amp;" ("&amp;CurSym&amp;" "&amp;FIXED(S91,0)&amp;")")</f>
        <v/>
      </c>
    </row>
    <row r="92" ht="20" customHeight="1">
      <c r="B92" s="65" t="n"/>
      <c r="C92" s="65" t="n"/>
      <c r="D92" s="65" t="n"/>
      <c r="E92" s="65" t="n"/>
      <c r="F92" s="83" t="n"/>
      <c r="G92" s="66" t="n"/>
      <c r="H92" s="69">
        <f>IF(B92="","",IF(G92&lt;&gt;"",G92,IF(F92&lt;&gt;"",F92*IFERROR(INDEX('Contractors'!$I$6:$I$35,MATCH(B92,'Contractors'!$B$6:$B$35,0)),0),"")))</f>
        <v/>
      </c>
      <c r="I92" s="81" t="n"/>
      <c r="J92" s="65" t="n"/>
      <c r="K92" s="81" t="n"/>
      <c r="L92" s="66" t="n"/>
      <c r="M92" s="81" t="n"/>
      <c r="N92" s="66" t="n"/>
      <c r="O92" s="91">
        <f>IF(B92="","",IF(M92&lt;&gt;"","Paid",IF(AND(I92&lt;&gt;"",I92&lt;AsOf),"OVERDUE",IF(OR(K92&lt;&gt;"",L92&lt;&gt;""),"Invoiced","Scheduled"))))</f>
        <v/>
      </c>
      <c r="P92" s="92">
        <f>IF(B92="","",IF(E92&lt;&gt;"",E92,IFERROR(INDEX('Contractors'!$D$6:$D$35,MATCH(B92,'Contractors'!$B$6:$B$35,0)),"")))</f>
        <v/>
      </c>
      <c r="Q92" s="63">
        <f>IF(B92="","",IF(D92&lt;&gt;"",D92,IFERROR(INDEX('Contractors'!$E$6:$E$35,MATCH(B92,'Contractors'!$B$6:$B$35,0)),"")))</f>
        <v/>
      </c>
      <c r="R92" s="63">
        <f>IF(O92="","",IF(O92="OVERDUE",2,IF(O92="Paid",0,IF(AND(I92&lt;&gt;"",I92&lt;=AsOf+AlertDays),1,0))))</f>
        <v/>
      </c>
      <c r="S92" s="63">
        <f>IF(AND(B92&lt;&gt;"",M92="",I92&lt;&gt;""),IF(L92&lt;&gt;"",L92,IF(H92="",0,H92)),0)</f>
        <v/>
      </c>
      <c r="T92" s="63">
        <f>IF(AND(B92&lt;&gt;"",M92="",I92&lt;&gt;""),1/I92,0)</f>
        <v/>
      </c>
      <c r="U92" s="85">
        <f>IF(AND(B92&lt;&gt;"",M92="",I92&lt;&gt;""),I92,"")</f>
        <v/>
      </c>
      <c r="V92" s="63">
        <f>IF(U92="","",IF(U92&lt;AsOf,1,IF(U92&lt;=AsOf+AlertDays,2,IF(U92&lt;=AsOf+2*AlertDays,3,""))))</f>
        <v/>
      </c>
      <c r="W92" s="63">
        <f>IF(V92="","",IF(O92="OVERDUE","Overdue payment: ","Payment due: ")&amp;B92&amp;" — "&amp;C92&amp;" ("&amp;CurSym&amp;" "&amp;FIXED(S92,0)&amp;")")</f>
        <v/>
      </c>
    </row>
    <row r="93" ht="20" customHeight="1">
      <c r="B93" s="65" t="n"/>
      <c r="C93" s="65" t="n"/>
      <c r="D93" s="65" t="n"/>
      <c r="E93" s="65" t="n"/>
      <c r="F93" s="83" t="n"/>
      <c r="G93" s="66" t="n"/>
      <c r="H93" s="69">
        <f>IF(B93="","",IF(G93&lt;&gt;"",G93,IF(F93&lt;&gt;"",F93*IFERROR(INDEX('Contractors'!$I$6:$I$35,MATCH(B93,'Contractors'!$B$6:$B$35,0)),0),"")))</f>
        <v/>
      </c>
      <c r="I93" s="81" t="n"/>
      <c r="J93" s="65" t="n"/>
      <c r="K93" s="81" t="n"/>
      <c r="L93" s="66" t="n"/>
      <c r="M93" s="81" t="n"/>
      <c r="N93" s="66" t="n"/>
      <c r="O93" s="91">
        <f>IF(B93="","",IF(M93&lt;&gt;"","Paid",IF(AND(I93&lt;&gt;"",I93&lt;AsOf),"OVERDUE",IF(OR(K93&lt;&gt;"",L93&lt;&gt;""),"Invoiced","Scheduled"))))</f>
        <v/>
      </c>
      <c r="P93" s="92">
        <f>IF(B93="","",IF(E93&lt;&gt;"",E93,IFERROR(INDEX('Contractors'!$D$6:$D$35,MATCH(B93,'Contractors'!$B$6:$B$35,0)),"")))</f>
        <v/>
      </c>
      <c r="Q93" s="63">
        <f>IF(B93="","",IF(D93&lt;&gt;"",D93,IFERROR(INDEX('Contractors'!$E$6:$E$35,MATCH(B93,'Contractors'!$B$6:$B$35,0)),"")))</f>
        <v/>
      </c>
      <c r="R93" s="63">
        <f>IF(O93="","",IF(O93="OVERDUE",2,IF(O93="Paid",0,IF(AND(I93&lt;&gt;"",I93&lt;=AsOf+AlertDays),1,0))))</f>
        <v/>
      </c>
      <c r="S93" s="63">
        <f>IF(AND(B93&lt;&gt;"",M93="",I93&lt;&gt;""),IF(L93&lt;&gt;"",L93,IF(H93="",0,H93)),0)</f>
        <v/>
      </c>
      <c r="T93" s="63">
        <f>IF(AND(B93&lt;&gt;"",M93="",I93&lt;&gt;""),1/I93,0)</f>
        <v/>
      </c>
      <c r="U93" s="85">
        <f>IF(AND(B93&lt;&gt;"",M93="",I93&lt;&gt;""),I93,"")</f>
        <v/>
      </c>
      <c r="V93" s="63">
        <f>IF(U93="","",IF(U93&lt;AsOf,1,IF(U93&lt;=AsOf+AlertDays,2,IF(U93&lt;=AsOf+2*AlertDays,3,""))))</f>
        <v/>
      </c>
      <c r="W93" s="63">
        <f>IF(V93="","",IF(O93="OVERDUE","Overdue payment: ","Payment due: ")&amp;B93&amp;" — "&amp;C93&amp;" ("&amp;CurSym&amp;" "&amp;FIXED(S93,0)&amp;")")</f>
        <v/>
      </c>
    </row>
    <row r="94" ht="20" customHeight="1">
      <c r="B94" s="65" t="n"/>
      <c r="C94" s="65" t="n"/>
      <c r="D94" s="65" t="n"/>
      <c r="E94" s="65" t="n"/>
      <c r="F94" s="83" t="n"/>
      <c r="G94" s="66" t="n"/>
      <c r="H94" s="69">
        <f>IF(B94="","",IF(G94&lt;&gt;"",G94,IF(F94&lt;&gt;"",F94*IFERROR(INDEX('Contractors'!$I$6:$I$35,MATCH(B94,'Contractors'!$B$6:$B$35,0)),0),"")))</f>
        <v/>
      </c>
      <c r="I94" s="81" t="n"/>
      <c r="J94" s="65" t="n"/>
      <c r="K94" s="81" t="n"/>
      <c r="L94" s="66" t="n"/>
      <c r="M94" s="81" t="n"/>
      <c r="N94" s="66" t="n"/>
      <c r="O94" s="91">
        <f>IF(B94="","",IF(M94&lt;&gt;"","Paid",IF(AND(I94&lt;&gt;"",I94&lt;AsOf),"OVERDUE",IF(OR(K94&lt;&gt;"",L94&lt;&gt;""),"Invoiced","Scheduled"))))</f>
        <v/>
      </c>
      <c r="P94" s="92">
        <f>IF(B94="","",IF(E94&lt;&gt;"",E94,IFERROR(INDEX('Contractors'!$D$6:$D$35,MATCH(B94,'Contractors'!$B$6:$B$35,0)),"")))</f>
        <v/>
      </c>
      <c r="Q94" s="63">
        <f>IF(B94="","",IF(D94&lt;&gt;"",D94,IFERROR(INDEX('Contractors'!$E$6:$E$35,MATCH(B94,'Contractors'!$B$6:$B$35,0)),"")))</f>
        <v/>
      </c>
      <c r="R94" s="63">
        <f>IF(O94="","",IF(O94="OVERDUE",2,IF(O94="Paid",0,IF(AND(I94&lt;&gt;"",I94&lt;=AsOf+AlertDays),1,0))))</f>
        <v/>
      </c>
      <c r="S94" s="63">
        <f>IF(AND(B94&lt;&gt;"",M94="",I94&lt;&gt;""),IF(L94&lt;&gt;"",L94,IF(H94="",0,H94)),0)</f>
        <v/>
      </c>
      <c r="T94" s="63">
        <f>IF(AND(B94&lt;&gt;"",M94="",I94&lt;&gt;""),1/I94,0)</f>
        <v/>
      </c>
      <c r="U94" s="85">
        <f>IF(AND(B94&lt;&gt;"",M94="",I94&lt;&gt;""),I94,"")</f>
        <v/>
      </c>
      <c r="V94" s="63">
        <f>IF(U94="","",IF(U94&lt;AsOf,1,IF(U94&lt;=AsOf+AlertDays,2,IF(U94&lt;=AsOf+2*AlertDays,3,""))))</f>
        <v/>
      </c>
      <c r="W94" s="63">
        <f>IF(V94="","",IF(O94="OVERDUE","Overdue payment: ","Payment due: ")&amp;B94&amp;" — "&amp;C94&amp;" ("&amp;CurSym&amp;" "&amp;FIXED(S94,0)&amp;")")</f>
        <v/>
      </c>
    </row>
    <row r="95" ht="20" customHeight="1">
      <c r="B95" s="65" t="n"/>
      <c r="C95" s="65" t="n"/>
      <c r="D95" s="65" t="n"/>
      <c r="E95" s="65" t="n"/>
      <c r="F95" s="83" t="n"/>
      <c r="G95" s="66" t="n"/>
      <c r="H95" s="69">
        <f>IF(B95="","",IF(G95&lt;&gt;"",G95,IF(F95&lt;&gt;"",F95*IFERROR(INDEX('Contractors'!$I$6:$I$35,MATCH(B95,'Contractors'!$B$6:$B$35,0)),0),"")))</f>
        <v/>
      </c>
      <c r="I95" s="81" t="n"/>
      <c r="J95" s="65" t="n"/>
      <c r="K95" s="81" t="n"/>
      <c r="L95" s="66" t="n"/>
      <c r="M95" s="81" t="n"/>
      <c r="N95" s="66" t="n"/>
      <c r="O95" s="91">
        <f>IF(B95="","",IF(M95&lt;&gt;"","Paid",IF(AND(I95&lt;&gt;"",I95&lt;AsOf),"OVERDUE",IF(OR(K95&lt;&gt;"",L95&lt;&gt;""),"Invoiced","Scheduled"))))</f>
        <v/>
      </c>
      <c r="P95" s="92">
        <f>IF(B95="","",IF(E95&lt;&gt;"",E95,IFERROR(INDEX('Contractors'!$D$6:$D$35,MATCH(B95,'Contractors'!$B$6:$B$35,0)),"")))</f>
        <v/>
      </c>
      <c r="Q95" s="63">
        <f>IF(B95="","",IF(D95&lt;&gt;"",D95,IFERROR(INDEX('Contractors'!$E$6:$E$35,MATCH(B95,'Contractors'!$B$6:$B$35,0)),"")))</f>
        <v/>
      </c>
      <c r="R95" s="63">
        <f>IF(O95="","",IF(O95="OVERDUE",2,IF(O95="Paid",0,IF(AND(I95&lt;&gt;"",I95&lt;=AsOf+AlertDays),1,0))))</f>
        <v/>
      </c>
      <c r="S95" s="63">
        <f>IF(AND(B95&lt;&gt;"",M95="",I95&lt;&gt;""),IF(L95&lt;&gt;"",L95,IF(H95="",0,H95)),0)</f>
        <v/>
      </c>
      <c r="T95" s="63">
        <f>IF(AND(B95&lt;&gt;"",M95="",I95&lt;&gt;""),1/I95,0)</f>
        <v/>
      </c>
      <c r="U95" s="85">
        <f>IF(AND(B95&lt;&gt;"",M95="",I95&lt;&gt;""),I95,"")</f>
        <v/>
      </c>
      <c r="V95" s="63">
        <f>IF(U95="","",IF(U95&lt;AsOf,1,IF(U95&lt;=AsOf+AlertDays,2,IF(U95&lt;=AsOf+2*AlertDays,3,""))))</f>
        <v/>
      </c>
      <c r="W95" s="63">
        <f>IF(V95="","",IF(O95="OVERDUE","Overdue payment: ","Payment due: ")&amp;B95&amp;" — "&amp;C95&amp;" ("&amp;CurSym&amp;" "&amp;FIXED(S95,0)&amp;")")</f>
        <v/>
      </c>
    </row>
    <row r="96" ht="20" customHeight="1">
      <c r="B96" s="65" t="n"/>
      <c r="C96" s="65" t="n"/>
      <c r="D96" s="65" t="n"/>
      <c r="E96" s="65" t="n"/>
      <c r="F96" s="83" t="n"/>
      <c r="G96" s="66" t="n"/>
      <c r="H96" s="69">
        <f>IF(B96="","",IF(G96&lt;&gt;"",G96,IF(F96&lt;&gt;"",F96*IFERROR(INDEX('Contractors'!$I$6:$I$35,MATCH(B96,'Contractors'!$B$6:$B$35,0)),0),"")))</f>
        <v/>
      </c>
      <c r="I96" s="81" t="n"/>
      <c r="J96" s="65" t="n"/>
      <c r="K96" s="81" t="n"/>
      <c r="L96" s="66" t="n"/>
      <c r="M96" s="81" t="n"/>
      <c r="N96" s="66" t="n"/>
      <c r="O96" s="91">
        <f>IF(B96="","",IF(M96&lt;&gt;"","Paid",IF(AND(I96&lt;&gt;"",I96&lt;AsOf),"OVERDUE",IF(OR(K96&lt;&gt;"",L96&lt;&gt;""),"Invoiced","Scheduled"))))</f>
        <v/>
      </c>
      <c r="P96" s="92">
        <f>IF(B96="","",IF(E96&lt;&gt;"",E96,IFERROR(INDEX('Contractors'!$D$6:$D$35,MATCH(B96,'Contractors'!$B$6:$B$35,0)),"")))</f>
        <v/>
      </c>
      <c r="Q96" s="63">
        <f>IF(B96="","",IF(D96&lt;&gt;"",D96,IFERROR(INDEX('Contractors'!$E$6:$E$35,MATCH(B96,'Contractors'!$B$6:$B$35,0)),"")))</f>
        <v/>
      </c>
      <c r="R96" s="63">
        <f>IF(O96="","",IF(O96="OVERDUE",2,IF(O96="Paid",0,IF(AND(I96&lt;&gt;"",I96&lt;=AsOf+AlertDays),1,0))))</f>
        <v/>
      </c>
      <c r="S96" s="63">
        <f>IF(AND(B96&lt;&gt;"",M96="",I96&lt;&gt;""),IF(L96&lt;&gt;"",L96,IF(H96="",0,H96)),0)</f>
        <v/>
      </c>
      <c r="T96" s="63">
        <f>IF(AND(B96&lt;&gt;"",M96="",I96&lt;&gt;""),1/I96,0)</f>
        <v/>
      </c>
      <c r="U96" s="85">
        <f>IF(AND(B96&lt;&gt;"",M96="",I96&lt;&gt;""),I96,"")</f>
        <v/>
      </c>
      <c r="V96" s="63">
        <f>IF(U96="","",IF(U96&lt;AsOf,1,IF(U96&lt;=AsOf+AlertDays,2,IF(U96&lt;=AsOf+2*AlertDays,3,""))))</f>
        <v/>
      </c>
      <c r="W96" s="63">
        <f>IF(V96="","",IF(O96="OVERDUE","Overdue payment: ","Payment due: ")&amp;B96&amp;" — "&amp;C96&amp;" ("&amp;CurSym&amp;" "&amp;FIXED(S96,0)&amp;")")</f>
        <v/>
      </c>
    </row>
    <row r="97" ht="20" customHeight="1">
      <c r="B97" s="65" t="n"/>
      <c r="C97" s="65" t="n"/>
      <c r="D97" s="65" t="n"/>
      <c r="E97" s="65" t="n"/>
      <c r="F97" s="83" t="n"/>
      <c r="G97" s="66" t="n"/>
      <c r="H97" s="69">
        <f>IF(B97="","",IF(G97&lt;&gt;"",G97,IF(F97&lt;&gt;"",F97*IFERROR(INDEX('Contractors'!$I$6:$I$35,MATCH(B97,'Contractors'!$B$6:$B$35,0)),0),"")))</f>
        <v/>
      </c>
      <c r="I97" s="81" t="n"/>
      <c r="J97" s="65" t="n"/>
      <c r="K97" s="81" t="n"/>
      <c r="L97" s="66" t="n"/>
      <c r="M97" s="81" t="n"/>
      <c r="N97" s="66" t="n"/>
      <c r="O97" s="91">
        <f>IF(B97="","",IF(M97&lt;&gt;"","Paid",IF(AND(I97&lt;&gt;"",I97&lt;AsOf),"OVERDUE",IF(OR(K97&lt;&gt;"",L97&lt;&gt;""),"Invoiced","Scheduled"))))</f>
        <v/>
      </c>
      <c r="P97" s="92">
        <f>IF(B97="","",IF(E97&lt;&gt;"",E97,IFERROR(INDEX('Contractors'!$D$6:$D$35,MATCH(B97,'Contractors'!$B$6:$B$35,0)),"")))</f>
        <v/>
      </c>
      <c r="Q97" s="63">
        <f>IF(B97="","",IF(D97&lt;&gt;"",D97,IFERROR(INDEX('Contractors'!$E$6:$E$35,MATCH(B97,'Contractors'!$B$6:$B$35,0)),"")))</f>
        <v/>
      </c>
      <c r="R97" s="63">
        <f>IF(O97="","",IF(O97="OVERDUE",2,IF(O97="Paid",0,IF(AND(I97&lt;&gt;"",I97&lt;=AsOf+AlertDays),1,0))))</f>
        <v/>
      </c>
      <c r="S97" s="63">
        <f>IF(AND(B97&lt;&gt;"",M97="",I97&lt;&gt;""),IF(L97&lt;&gt;"",L97,IF(H97="",0,H97)),0)</f>
        <v/>
      </c>
      <c r="T97" s="63">
        <f>IF(AND(B97&lt;&gt;"",M97="",I97&lt;&gt;""),1/I97,0)</f>
        <v/>
      </c>
      <c r="U97" s="85">
        <f>IF(AND(B97&lt;&gt;"",M97="",I97&lt;&gt;""),I97,"")</f>
        <v/>
      </c>
      <c r="V97" s="63">
        <f>IF(U97="","",IF(U97&lt;AsOf,1,IF(U97&lt;=AsOf+AlertDays,2,IF(U97&lt;=AsOf+2*AlertDays,3,""))))</f>
        <v/>
      </c>
      <c r="W97" s="63">
        <f>IF(V97="","",IF(O97="OVERDUE","Overdue payment: ","Payment due: ")&amp;B97&amp;" — "&amp;C97&amp;" ("&amp;CurSym&amp;" "&amp;FIXED(S97,0)&amp;")")</f>
        <v/>
      </c>
    </row>
    <row r="98" ht="20" customHeight="1">
      <c r="B98" s="65" t="n"/>
      <c r="C98" s="65" t="n"/>
      <c r="D98" s="65" t="n"/>
      <c r="E98" s="65" t="n"/>
      <c r="F98" s="83" t="n"/>
      <c r="G98" s="66" t="n"/>
      <c r="H98" s="69">
        <f>IF(B98="","",IF(G98&lt;&gt;"",G98,IF(F98&lt;&gt;"",F98*IFERROR(INDEX('Contractors'!$I$6:$I$35,MATCH(B98,'Contractors'!$B$6:$B$35,0)),0),"")))</f>
        <v/>
      </c>
      <c r="I98" s="81" t="n"/>
      <c r="J98" s="65" t="n"/>
      <c r="K98" s="81" t="n"/>
      <c r="L98" s="66" t="n"/>
      <c r="M98" s="81" t="n"/>
      <c r="N98" s="66" t="n"/>
      <c r="O98" s="91">
        <f>IF(B98="","",IF(M98&lt;&gt;"","Paid",IF(AND(I98&lt;&gt;"",I98&lt;AsOf),"OVERDUE",IF(OR(K98&lt;&gt;"",L98&lt;&gt;""),"Invoiced","Scheduled"))))</f>
        <v/>
      </c>
      <c r="P98" s="92">
        <f>IF(B98="","",IF(E98&lt;&gt;"",E98,IFERROR(INDEX('Contractors'!$D$6:$D$35,MATCH(B98,'Contractors'!$B$6:$B$35,0)),"")))</f>
        <v/>
      </c>
      <c r="Q98" s="63">
        <f>IF(B98="","",IF(D98&lt;&gt;"",D98,IFERROR(INDEX('Contractors'!$E$6:$E$35,MATCH(B98,'Contractors'!$B$6:$B$35,0)),"")))</f>
        <v/>
      </c>
      <c r="R98" s="63">
        <f>IF(O98="","",IF(O98="OVERDUE",2,IF(O98="Paid",0,IF(AND(I98&lt;&gt;"",I98&lt;=AsOf+AlertDays),1,0))))</f>
        <v/>
      </c>
      <c r="S98" s="63">
        <f>IF(AND(B98&lt;&gt;"",M98="",I98&lt;&gt;""),IF(L98&lt;&gt;"",L98,IF(H98="",0,H98)),0)</f>
        <v/>
      </c>
      <c r="T98" s="63">
        <f>IF(AND(B98&lt;&gt;"",M98="",I98&lt;&gt;""),1/I98,0)</f>
        <v/>
      </c>
      <c r="U98" s="85">
        <f>IF(AND(B98&lt;&gt;"",M98="",I98&lt;&gt;""),I98,"")</f>
        <v/>
      </c>
      <c r="V98" s="63">
        <f>IF(U98="","",IF(U98&lt;AsOf,1,IF(U98&lt;=AsOf+AlertDays,2,IF(U98&lt;=AsOf+2*AlertDays,3,""))))</f>
        <v/>
      </c>
      <c r="W98" s="63">
        <f>IF(V98="","",IF(O98="OVERDUE","Overdue payment: ","Payment due: ")&amp;B98&amp;" — "&amp;C98&amp;" ("&amp;CurSym&amp;" "&amp;FIXED(S98,0)&amp;")")</f>
        <v/>
      </c>
    </row>
    <row r="99" ht="20" customHeight="1">
      <c r="B99" s="65" t="n"/>
      <c r="C99" s="65" t="n"/>
      <c r="D99" s="65" t="n"/>
      <c r="E99" s="65" t="n"/>
      <c r="F99" s="83" t="n"/>
      <c r="G99" s="66" t="n"/>
      <c r="H99" s="69">
        <f>IF(B99="","",IF(G99&lt;&gt;"",G99,IF(F99&lt;&gt;"",F99*IFERROR(INDEX('Contractors'!$I$6:$I$35,MATCH(B99,'Contractors'!$B$6:$B$35,0)),0),"")))</f>
        <v/>
      </c>
      <c r="I99" s="81" t="n"/>
      <c r="J99" s="65" t="n"/>
      <c r="K99" s="81" t="n"/>
      <c r="L99" s="66" t="n"/>
      <c r="M99" s="81" t="n"/>
      <c r="N99" s="66" t="n"/>
      <c r="O99" s="91">
        <f>IF(B99="","",IF(M99&lt;&gt;"","Paid",IF(AND(I99&lt;&gt;"",I99&lt;AsOf),"OVERDUE",IF(OR(K99&lt;&gt;"",L99&lt;&gt;""),"Invoiced","Scheduled"))))</f>
        <v/>
      </c>
      <c r="P99" s="92">
        <f>IF(B99="","",IF(E99&lt;&gt;"",E99,IFERROR(INDEX('Contractors'!$D$6:$D$35,MATCH(B99,'Contractors'!$B$6:$B$35,0)),"")))</f>
        <v/>
      </c>
      <c r="Q99" s="63">
        <f>IF(B99="","",IF(D99&lt;&gt;"",D99,IFERROR(INDEX('Contractors'!$E$6:$E$35,MATCH(B99,'Contractors'!$B$6:$B$35,0)),"")))</f>
        <v/>
      </c>
      <c r="R99" s="63">
        <f>IF(O99="","",IF(O99="OVERDUE",2,IF(O99="Paid",0,IF(AND(I99&lt;&gt;"",I99&lt;=AsOf+AlertDays),1,0))))</f>
        <v/>
      </c>
      <c r="S99" s="63">
        <f>IF(AND(B99&lt;&gt;"",M99="",I99&lt;&gt;""),IF(L99&lt;&gt;"",L99,IF(H99="",0,H99)),0)</f>
        <v/>
      </c>
      <c r="T99" s="63">
        <f>IF(AND(B99&lt;&gt;"",M99="",I99&lt;&gt;""),1/I99,0)</f>
        <v/>
      </c>
      <c r="U99" s="85">
        <f>IF(AND(B99&lt;&gt;"",M99="",I99&lt;&gt;""),I99,"")</f>
        <v/>
      </c>
      <c r="V99" s="63">
        <f>IF(U99="","",IF(U99&lt;AsOf,1,IF(U99&lt;=AsOf+AlertDays,2,IF(U99&lt;=AsOf+2*AlertDays,3,""))))</f>
        <v/>
      </c>
      <c r="W99" s="63">
        <f>IF(V99="","",IF(O99="OVERDUE","Overdue payment: ","Payment due: ")&amp;B99&amp;" — "&amp;C99&amp;" ("&amp;CurSym&amp;" "&amp;FIXED(S99,0)&amp;")")</f>
        <v/>
      </c>
    </row>
    <row r="100" ht="20" customHeight="1">
      <c r="B100" s="65" t="n"/>
      <c r="C100" s="65" t="n"/>
      <c r="D100" s="65" t="n"/>
      <c r="E100" s="65" t="n"/>
      <c r="F100" s="83" t="n"/>
      <c r="G100" s="66" t="n"/>
      <c r="H100" s="69">
        <f>IF(B100="","",IF(G100&lt;&gt;"",G100,IF(F100&lt;&gt;"",F100*IFERROR(INDEX('Contractors'!$I$6:$I$35,MATCH(B100,'Contractors'!$B$6:$B$35,0)),0),"")))</f>
        <v/>
      </c>
      <c r="I100" s="81" t="n"/>
      <c r="J100" s="65" t="n"/>
      <c r="K100" s="81" t="n"/>
      <c r="L100" s="66" t="n"/>
      <c r="M100" s="81" t="n"/>
      <c r="N100" s="66" t="n"/>
      <c r="O100" s="91">
        <f>IF(B100="","",IF(M100&lt;&gt;"","Paid",IF(AND(I100&lt;&gt;"",I100&lt;AsOf),"OVERDUE",IF(OR(K100&lt;&gt;"",L100&lt;&gt;""),"Invoiced","Scheduled"))))</f>
        <v/>
      </c>
      <c r="P100" s="92">
        <f>IF(B100="","",IF(E100&lt;&gt;"",E100,IFERROR(INDEX('Contractors'!$D$6:$D$35,MATCH(B100,'Contractors'!$B$6:$B$35,0)),"")))</f>
        <v/>
      </c>
      <c r="Q100" s="63">
        <f>IF(B100="","",IF(D100&lt;&gt;"",D100,IFERROR(INDEX('Contractors'!$E$6:$E$35,MATCH(B100,'Contractors'!$B$6:$B$35,0)),"")))</f>
        <v/>
      </c>
      <c r="R100" s="63">
        <f>IF(O100="","",IF(O100="OVERDUE",2,IF(O100="Paid",0,IF(AND(I100&lt;&gt;"",I100&lt;=AsOf+AlertDays),1,0))))</f>
        <v/>
      </c>
      <c r="S100" s="63">
        <f>IF(AND(B100&lt;&gt;"",M100="",I100&lt;&gt;""),IF(L100&lt;&gt;"",L100,IF(H100="",0,H100)),0)</f>
        <v/>
      </c>
      <c r="T100" s="63">
        <f>IF(AND(B100&lt;&gt;"",M100="",I100&lt;&gt;""),1/I100,0)</f>
        <v/>
      </c>
      <c r="U100" s="85">
        <f>IF(AND(B100&lt;&gt;"",M100="",I100&lt;&gt;""),I100,"")</f>
        <v/>
      </c>
      <c r="V100" s="63">
        <f>IF(U100="","",IF(U100&lt;AsOf,1,IF(U100&lt;=AsOf+AlertDays,2,IF(U100&lt;=AsOf+2*AlertDays,3,""))))</f>
        <v/>
      </c>
      <c r="W100" s="63">
        <f>IF(V100="","",IF(O100="OVERDUE","Overdue payment: ","Payment due: ")&amp;B100&amp;" — "&amp;C100&amp;" ("&amp;CurSym&amp;" "&amp;FIXED(S100,0)&amp;")")</f>
        <v/>
      </c>
    </row>
    <row r="101" ht="20" customHeight="1">
      <c r="B101" s="65" t="n"/>
      <c r="C101" s="65" t="n"/>
      <c r="D101" s="65" t="n"/>
      <c r="E101" s="65" t="n"/>
      <c r="F101" s="83" t="n"/>
      <c r="G101" s="66" t="n"/>
      <c r="H101" s="69">
        <f>IF(B101="","",IF(G101&lt;&gt;"",G101,IF(F101&lt;&gt;"",F101*IFERROR(INDEX('Contractors'!$I$6:$I$35,MATCH(B101,'Contractors'!$B$6:$B$35,0)),0),"")))</f>
        <v/>
      </c>
      <c r="I101" s="81" t="n"/>
      <c r="J101" s="65" t="n"/>
      <c r="K101" s="81" t="n"/>
      <c r="L101" s="66" t="n"/>
      <c r="M101" s="81" t="n"/>
      <c r="N101" s="66" t="n"/>
      <c r="O101" s="91">
        <f>IF(B101="","",IF(M101&lt;&gt;"","Paid",IF(AND(I101&lt;&gt;"",I101&lt;AsOf),"OVERDUE",IF(OR(K101&lt;&gt;"",L101&lt;&gt;""),"Invoiced","Scheduled"))))</f>
        <v/>
      </c>
      <c r="P101" s="92">
        <f>IF(B101="","",IF(E101&lt;&gt;"",E101,IFERROR(INDEX('Contractors'!$D$6:$D$35,MATCH(B101,'Contractors'!$B$6:$B$35,0)),"")))</f>
        <v/>
      </c>
      <c r="Q101" s="63">
        <f>IF(B101="","",IF(D101&lt;&gt;"",D101,IFERROR(INDEX('Contractors'!$E$6:$E$35,MATCH(B101,'Contractors'!$B$6:$B$35,0)),"")))</f>
        <v/>
      </c>
      <c r="R101" s="63">
        <f>IF(O101="","",IF(O101="OVERDUE",2,IF(O101="Paid",0,IF(AND(I101&lt;&gt;"",I101&lt;=AsOf+AlertDays),1,0))))</f>
        <v/>
      </c>
      <c r="S101" s="63">
        <f>IF(AND(B101&lt;&gt;"",M101="",I101&lt;&gt;""),IF(L101&lt;&gt;"",L101,IF(H101="",0,H101)),0)</f>
        <v/>
      </c>
      <c r="T101" s="63">
        <f>IF(AND(B101&lt;&gt;"",M101="",I101&lt;&gt;""),1/I101,0)</f>
        <v/>
      </c>
      <c r="U101" s="85">
        <f>IF(AND(B101&lt;&gt;"",M101="",I101&lt;&gt;""),I101,"")</f>
        <v/>
      </c>
      <c r="V101" s="63">
        <f>IF(U101="","",IF(U101&lt;AsOf,1,IF(U101&lt;=AsOf+AlertDays,2,IF(U101&lt;=AsOf+2*AlertDays,3,""))))</f>
        <v/>
      </c>
      <c r="W101" s="63">
        <f>IF(V101="","",IF(O101="OVERDUE","Overdue payment: ","Payment due: ")&amp;B101&amp;" — "&amp;C101&amp;" ("&amp;CurSym&amp;" "&amp;FIXED(S101,0)&amp;")")</f>
        <v/>
      </c>
    </row>
    <row r="102" ht="20" customHeight="1">
      <c r="B102" s="65" t="n"/>
      <c r="C102" s="65" t="n"/>
      <c r="D102" s="65" t="n"/>
      <c r="E102" s="65" t="n"/>
      <c r="F102" s="83" t="n"/>
      <c r="G102" s="66" t="n"/>
      <c r="H102" s="69">
        <f>IF(B102="","",IF(G102&lt;&gt;"",G102,IF(F102&lt;&gt;"",F102*IFERROR(INDEX('Contractors'!$I$6:$I$35,MATCH(B102,'Contractors'!$B$6:$B$35,0)),0),"")))</f>
        <v/>
      </c>
      <c r="I102" s="81" t="n"/>
      <c r="J102" s="65" t="n"/>
      <c r="K102" s="81" t="n"/>
      <c r="L102" s="66" t="n"/>
      <c r="M102" s="81" t="n"/>
      <c r="N102" s="66" t="n"/>
      <c r="O102" s="91">
        <f>IF(B102="","",IF(M102&lt;&gt;"","Paid",IF(AND(I102&lt;&gt;"",I102&lt;AsOf),"OVERDUE",IF(OR(K102&lt;&gt;"",L102&lt;&gt;""),"Invoiced","Scheduled"))))</f>
        <v/>
      </c>
      <c r="P102" s="92">
        <f>IF(B102="","",IF(E102&lt;&gt;"",E102,IFERROR(INDEX('Contractors'!$D$6:$D$35,MATCH(B102,'Contractors'!$B$6:$B$35,0)),"")))</f>
        <v/>
      </c>
      <c r="Q102" s="63">
        <f>IF(B102="","",IF(D102&lt;&gt;"",D102,IFERROR(INDEX('Contractors'!$E$6:$E$35,MATCH(B102,'Contractors'!$B$6:$B$35,0)),"")))</f>
        <v/>
      </c>
      <c r="R102" s="63">
        <f>IF(O102="","",IF(O102="OVERDUE",2,IF(O102="Paid",0,IF(AND(I102&lt;&gt;"",I102&lt;=AsOf+AlertDays),1,0))))</f>
        <v/>
      </c>
      <c r="S102" s="63">
        <f>IF(AND(B102&lt;&gt;"",M102="",I102&lt;&gt;""),IF(L102&lt;&gt;"",L102,IF(H102="",0,H102)),0)</f>
        <v/>
      </c>
      <c r="T102" s="63">
        <f>IF(AND(B102&lt;&gt;"",M102="",I102&lt;&gt;""),1/I102,0)</f>
        <v/>
      </c>
      <c r="U102" s="85">
        <f>IF(AND(B102&lt;&gt;"",M102="",I102&lt;&gt;""),I102,"")</f>
        <v/>
      </c>
      <c r="V102" s="63">
        <f>IF(U102="","",IF(U102&lt;AsOf,1,IF(U102&lt;=AsOf+AlertDays,2,IF(U102&lt;=AsOf+2*AlertDays,3,""))))</f>
        <v/>
      </c>
      <c r="W102" s="63">
        <f>IF(V102="","",IF(O102="OVERDUE","Overdue payment: ","Payment due: ")&amp;B102&amp;" — "&amp;C102&amp;" ("&amp;CurSym&amp;" "&amp;FIXED(S102,0)&amp;")")</f>
        <v/>
      </c>
    </row>
    <row r="103" ht="20" customHeight="1">
      <c r="B103" s="65" t="n"/>
      <c r="C103" s="65" t="n"/>
      <c r="D103" s="65" t="n"/>
      <c r="E103" s="65" t="n"/>
      <c r="F103" s="83" t="n"/>
      <c r="G103" s="66" t="n"/>
      <c r="H103" s="69">
        <f>IF(B103="","",IF(G103&lt;&gt;"",G103,IF(F103&lt;&gt;"",F103*IFERROR(INDEX('Contractors'!$I$6:$I$35,MATCH(B103,'Contractors'!$B$6:$B$35,0)),0),"")))</f>
        <v/>
      </c>
      <c r="I103" s="81" t="n"/>
      <c r="J103" s="65" t="n"/>
      <c r="K103" s="81" t="n"/>
      <c r="L103" s="66" t="n"/>
      <c r="M103" s="81" t="n"/>
      <c r="N103" s="66" t="n"/>
      <c r="O103" s="91">
        <f>IF(B103="","",IF(M103&lt;&gt;"","Paid",IF(AND(I103&lt;&gt;"",I103&lt;AsOf),"OVERDUE",IF(OR(K103&lt;&gt;"",L103&lt;&gt;""),"Invoiced","Scheduled"))))</f>
        <v/>
      </c>
      <c r="P103" s="92">
        <f>IF(B103="","",IF(E103&lt;&gt;"",E103,IFERROR(INDEX('Contractors'!$D$6:$D$35,MATCH(B103,'Contractors'!$B$6:$B$35,0)),"")))</f>
        <v/>
      </c>
      <c r="Q103" s="63">
        <f>IF(B103="","",IF(D103&lt;&gt;"",D103,IFERROR(INDEX('Contractors'!$E$6:$E$35,MATCH(B103,'Contractors'!$B$6:$B$35,0)),"")))</f>
        <v/>
      </c>
      <c r="R103" s="63">
        <f>IF(O103="","",IF(O103="OVERDUE",2,IF(O103="Paid",0,IF(AND(I103&lt;&gt;"",I103&lt;=AsOf+AlertDays),1,0))))</f>
        <v/>
      </c>
      <c r="S103" s="63">
        <f>IF(AND(B103&lt;&gt;"",M103="",I103&lt;&gt;""),IF(L103&lt;&gt;"",L103,IF(H103="",0,H103)),0)</f>
        <v/>
      </c>
      <c r="T103" s="63">
        <f>IF(AND(B103&lt;&gt;"",M103="",I103&lt;&gt;""),1/I103,0)</f>
        <v/>
      </c>
      <c r="U103" s="85">
        <f>IF(AND(B103&lt;&gt;"",M103="",I103&lt;&gt;""),I103,"")</f>
        <v/>
      </c>
      <c r="V103" s="63">
        <f>IF(U103="","",IF(U103&lt;AsOf,1,IF(U103&lt;=AsOf+AlertDays,2,IF(U103&lt;=AsOf+2*AlertDays,3,""))))</f>
        <v/>
      </c>
      <c r="W103" s="63">
        <f>IF(V103="","",IF(O103="OVERDUE","Overdue payment: ","Payment due: ")&amp;B103&amp;" — "&amp;C103&amp;" ("&amp;CurSym&amp;" "&amp;FIXED(S103,0)&amp;")")</f>
        <v/>
      </c>
    </row>
    <row r="104" ht="20" customHeight="1">
      <c r="B104" s="65" t="n"/>
      <c r="C104" s="65" t="n"/>
      <c r="D104" s="65" t="n"/>
      <c r="E104" s="65" t="n"/>
      <c r="F104" s="83" t="n"/>
      <c r="G104" s="66" t="n"/>
      <c r="H104" s="69">
        <f>IF(B104="","",IF(G104&lt;&gt;"",G104,IF(F104&lt;&gt;"",F104*IFERROR(INDEX('Contractors'!$I$6:$I$35,MATCH(B104,'Contractors'!$B$6:$B$35,0)),0),"")))</f>
        <v/>
      </c>
      <c r="I104" s="81" t="n"/>
      <c r="J104" s="65" t="n"/>
      <c r="K104" s="81" t="n"/>
      <c r="L104" s="66" t="n"/>
      <c r="M104" s="81" t="n"/>
      <c r="N104" s="66" t="n"/>
      <c r="O104" s="91">
        <f>IF(B104="","",IF(M104&lt;&gt;"","Paid",IF(AND(I104&lt;&gt;"",I104&lt;AsOf),"OVERDUE",IF(OR(K104&lt;&gt;"",L104&lt;&gt;""),"Invoiced","Scheduled"))))</f>
        <v/>
      </c>
      <c r="P104" s="92">
        <f>IF(B104="","",IF(E104&lt;&gt;"",E104,IFERROR(INDEX('Contractors'!$D$6:$D$35,MATCH(B104,'Contractors'!$B$6:$B$35,0)),"")))</f>
        <v/>
      </c>
      <c r="Q104" s="63">
        <f>IF(B104="","",IF(D104&lt;&gt;"",D104,IFERROR(INDEX('Contractors'!$E$6:$E$35,MATCH(B104,'Contractors'!$B$6:$B$35,0)),"")))</f>
        <v/>
      </c>
      <c r="R104" s="63">
        <f>IF(O104="","",IF(O104="OVERDUE",2,IF(O104="Paid",0,IF(AND(I104&lt;&gt;"",I104&lt;=AsOf+AlertDays),1,0))))</f>
        <v/>
      </c>
      <c r="S104" s="63">
        <f>IF(AND(B104&lt;&gt;"",M104="",I104&lt;&gt;""),IF(L104&lt;&gt;"",L104,IF(H104="",0,H104)),0)</f>
        <v/>
      </c>
      <c r="T104" s="63">
        <f>IF(AND(B104&lt;&gt;"",M104="",I104&lt;&gt;""),1/I104,0)</f>
        <v/>
      </c>
      <c r="U104" s="85">
        <f>IF(AND(B104&lt;&gt;"",M104="",I104&lt;&gt;""),I104,"")</f>
        <v/>
      </c>
      <c r="V104" s="63">
        <f>IF(U104="","",IF(U104&lt;AsOf,1,IF(U104&lt;=AsOf+AlertDays,2,IF(U104&lt;=AsOf+2*AlertDays,3,""))))</f>
        <v/>
      </c>
      <c r="W104" s="63">
        <f>IF(V104="","",IF(O104="OVERDUE","Overdue payment: ","Payment due: ")&amp;B104&amp;" — "&amp;C104&amp;" ("&amp;CurSym&amp;" "&amp;FIXED(S104,0)&amp;")")</f>
        <v/>
      </c>
    </row>
    <row r="105" ht="20" customHeight="1">
      <c r="B105" s="65" t="n"/>
      <c r="C105" s="65" t="n"/>
      <c r="D105" s="65" t="n"/>
      <c r="E105" s="65" t="n"/>
      <c r="F105" s="83" t="n"/>
      <c r="G105" s="66" t="n"/>
      <c r="H105" s="69">
        <f>IF(B105="","",IF(G105&lt;&gt;"",G105,IF(F105&lt;&gt;"",F105*IFERROR(INDEX('Contractors'!$I$6:$I$35,MATCH(B105,'Contractors'!$B$6:$B$35,0)),0),"")))</f>
        <v/>
      </c>
      <c r="I105" s="81" t="n"/>
      <c r="J105" s="65" t="n"/>
      <c r="K105" s="81" t="n"/>
      <c r="L105" s="66" t="n"/>
      <c r="M105" s="81" t="n"/>
      <c r="N105" s="66" t="n"/>
      <c r="O105" s="91">
        <f>IF(B105="","",IF(M105&lt;&gt;"","Paid",IF(AND(I105&lt;&gt;"",I105&lt;AsOf),"OVERDUE",IF(OR(K105&lt;&gt;"",L105&lt;&gt;""),"Invoiced","Scheduled"))))</f>
        <v/>
      </c>
      <c r="P105" s="92">
        <f>IF(B105="","",IF(E105&lt;&gt;"",E105,IFERROR(INDEX('Contractors'!$D$6:$D$35,MATCH(B105,'Contractors'!$B$6:$B$35,0)),"")))</f>
        <v/>
      </c>
      <c r="Q105" s="63">
        <f>IF(B105="","",IF(D105&lt;&gt;"",D105,IFERROR(INDEX('Contractors'!$E$6:$E$35,MATCH(B105,'Contractors'!$B$6:$B$35,0)),"")))</f>
        <v/>
      </c>
      <c r="R105" s="63">
        <f>IF(O105="","",IF(O105="OVERDUE",2,IF(O105="Paid",0,IF(AND(I105&lt;&gt;"",I105&lt;=AsOf+AlertDays),1,0))))</f>
        <v/>
      </c>
      <c r="S105" s="63">
        <f>IF(AND(B105&lt;&gt;"",M105="",I105&lt;&gt;""),IF(L105&lt;&gt;"",L105,IF(H105="",0,H105)),0)</f>
        <v/>
      </c>
      <c r="T105" s="63">
        <f>IF(AND(B105&lt;&gt;"",M105="",I105&lt;&gt;""),1/I105,0)</f>
        <v/>
      </c>
      <c r="U105" s="85">
        <f>IF(AND(B105&lt;&gt;"",M105="",I105&lt;&gt;""),I105,"")</f>
        <v/>
      </c>
      <c r="V105" s="63">
        <f>IF(U105="","",IF(U105&lt;AsOf,1,IF(U105&lt;=AsOf+AlertDays,2,IF(U105&lt;=AsOf+2*AlertDays,3,""))))</f>
        <v/>
      </c>
      <c r="W105" s="63">
        <f>IF(V105="","",IF(O105="OVERDUE","Overdue payment: ","Payment due: ")&amp;B105&amp;" — "&amp;C105&amp;" ("&amp;CurSym&amp;" "&amp;FIXED(S105,0)&amp;")")</f>
        <v/>
      </c>
    </row>
    <row r="106" ht="20" customHeight="1">
      <c r="B106" s="65" t="n"/>
      <c r="C106" s="65" t="n"/>
      <c r="D106" s="65" t="n"/>
      <c r="E106" s="65" t="n"/>
      <c r="F106" s="83" t="n"/>
      <c r="G106" s="66" t="n"/>
      <c r="H106" s="69">
        <f>IF(B106="","",IF(G106&lt;&gt;"",G106,IF(F106&lt;&gt;"",F106*IFERROR(INDEX('Contractors'!$I$6:$I$35,MATCH(B106,'Contractors'!$B$6:$B$35,0)),0),"")))</f>
        <v/>
      </c>
      <c r="I106" s="81" t="n"/>
      <c r="J106" s="65" t="n"/>
      <c r="K106" s="81" t="n"/>
      <c r="L106" s="66" t="n"/>
      <c r="M106" s="81" t="n"/>
      <c r="N106" s="66" t="n"/>
      <c r="O106" s="91">
        <f>IF(B106="","",IF(M106&lt;&gt;"","Paid",IF(AND(I106&lt;&gt;"",I106&lt;AsOf),"OVERDUE",IF(OR(K106&lt;&gt;"",L106&lt;&gt;""),"Invoiced","Scheduled"))))</f>
        <v/>
      </c>
      <c r="P106" s="92">
        <f>IF(B106="","",IF(E106&lt;&gt;"",E106,IFERROR(INDEX('Contractors'!$D$6:$D$35,MATCH(B106,'Contractors'!$B$6:$B$35,0)),"")))</f>
        <v/>
      </c>
      <c r="Q106" s="63">
        <f>IF(B106="","",IF(D106&lt;&gt;"",D106,IFERROR(INDEX('Contractors'!$E$6:$E$35,MATCH(B106,'Contractors'!$B$6:$B$35,0)),"")))</f>
        <v/>
      </c>
      <c r="R106" s="63">
        <f>IF(O106="","",IF(O106="OVERDUE",2,IF(O106="Paid",0,IF(AND(I106&lt;&gt;"",I106&lt;=AsOf+AlertDays),1,0))))</f>
        <v/>
      </c>
      <c r="S106" s="63">
        <f>IF(AND(B106&lt;&gt;"",M106="",I106&lt;&gt;""),IF(L106&lt;&gt;"",L106,IF(H106="",0,H106)),0)</f>
        <v/>
      </c>
      <c r="T106" s="63">
        <f>IF(AND(B106&lt;&gt;"",M106="",I106&lt;&gt;""),1/I106,0)</f>
        <v/>
      </c>
      <c r="U106" s="85">
        <f>IF(AND(B106&lt;&gt;"",M106="",I106&lt;&gt;""),I106,"")</f>
        <v/>
      </c>
      <c r="V106" s="63">
        <f>IF(U106="","",IF(U106&lt;AsOf,1,IF(U106&lt;=AsOf+AlertDays,2,IF(U106&lt;=AsOf+2*AlertDays,3,""))))</f>
        <v/>
      </c>
      <c r="W106" s="63">
        <f>IF(V106="","",IF(O106="OVERDUE","Overdue payment: ","Payment due: ")&amp;B106&amp;" — "&amp;C106&amp;" ("&amp;CurSym&amp;" "&amp;FIXED(S106,0)&amp;")")</f>
        <v/>
      </c>
    </row>
    <row r="107" ht="20" customHeight="1">
      <c r="B107" s="65" t="n"/>
      <c r="C107" s="65" t="n"/>
      <c r="D107" s="65" t="n"/>
      <c r="E107" s="65" t="n"/>
      <c r="F107" s="83" t="n"/>
      <c r="G107" s="66" t="n"/>
      <c r="H107" s="69">
        <f>IF(B107="","",IF(G107&lt;&gt;"",G107,IF(F107&lt;&gt;"",F107*IFERROR(INDEX('Contractors'!$I$6:$I$35,MATCH(B107,'Contractors'!$B$6:$B$35,0)),0),"")))</f>
        <v/>
      </c>
      <c r="I107" s="81" t="n"/>
      <c r="J107" s="65" t="n"/>
      <c r="K107" s="81" t="n"/>
      <c r="L107" s="66" t="n"/>
      <c r="M107" s="81" t="n"/>
      <c r="N107" s="66" t="n"/>
      <c r="O107" s="91">
        <f>IF(B107="","",IF(M107&lt;&gt;"","Paid",IF(AND(I107&lt;&gt;"",I107&lt;AsOf),"OVERDUE",IF(OR(K107&lt;&gt;"",L107&lt;&gt;""),"Invoiced","Scheduled"))))</f>
        <v/>
      </c>
      <c r="P107" s="92">
        <f>IF(B107="","",IF(E107&lt;&gt;"",E107,IFERROR(INDEX('Contractors'!$D$6:$D$35,MATCH(B107,'Contractors'!$B$6:$B$35,0)),"")))</f>
        <v/>
      </c>
      <c r="Q107" s="63">
        <f>IF(B107="","",IF(D107&lt;&gt;"",D107,IFERROR(INDEX('Contractors'!$E$6:$E$35,MATCH(B107,'Contractors'!$B$6:$B$35,0)),"")))</f>
        <v/>
      </c>
      <c r="R107" s="63">
        <f>IF(O107="","",IF(O107="OVERDUE",2,IF(O107="Paid",0,IF(AND(I107&lt;&gt;"",I107&lt;=AsOf+AlertDays),1,0))))</f>
        <v/>
      </c>
      <c r="S107" s="63">
        <f>IF(AND(B107&lt;&gt;"",M107="",I107&lt;&gt;""),IF(L107&lt;&gt;"",L107,IF(H107="",0,H107)),0)</f>
        <v/>
      </c>
      <c r="T107" s="63">
        <f>IF(AND(B107&lt;&gt;"",M107="",I107&lt;&gt;""),1/I107,0)</f>
        <v/>
      </c>
      <c r="U107" s="85">
        <f>IF(AND(B107&lt;&gt;"",M107="",I107&lt;&gt;""),I107,"")</f>
        <v/>
      </c>
      <c r="V107" s="63">
        <f>IF(U107="","",IF(U107&lt;AsOf,1,IF(U107&lt;=AsOf+AlertDays,2,IF(U107&lt;=AsOf+2*AlertDays,3,""))))</f>
        <v/>
      </c>
      <c r="W107" s="63">
        <f>IF(V107="","",IF(O107="OVERDUE","Overdue payment: ","Payment due: ")&amp;B107&amp;" — "&amp;C107&amp;" ("&amp;CurSym&amp;" "&amp;FIXED(S107,0)&amp;")")</f>
        <v/>
      </c>
    </row>
    <row r="108" ht="20" customHeight="1">
      <c r="B108" s="65" t="n"/>
      <c r="C108" s="65" t="n"/>
      <c r="D108" s="65" t="n"/>
      <c r="E108" s="65" t="n"/>
      <c r="F108" s="83" t="n"/>
      <c r="G108" s="66" t="n"/>
      <c r="H108" s="69">
        <f>IF(B108="","",IF(G108&lt;&gt;"",G108,IF(F108&lt;&gt;"",F108*IFERROR(INDEX('Contractors'!$I$6:$I$35,MATCH(B108,'Contractors'!$B$6:$B$35,0)),0),"")))</f>
        <v/>
      </c>
      <c r="I108" s="81" t="n"/>
      <c r="J108" s="65" t="n"/>
      <c r="K108" s="81" t="n"/>
      <c r="L108" s="66" t="n"/>
      <c r="M108" s="81" t="n"/>
      <c r="N108" s="66" t="n"/>
      <c r="O108" s="91">
        <f>IF(B108="","",IF(M108&lt;&gt;"","Paid",IF(AND(I108&lt;&gt;"",I108&lt;AsOf),"OVERDUE",IF(OR(K108&lt;&gt;"",L108&lt;&gt;""),"Invoiced","Scheduled"))))</f>
        <v/>
      </c>
      <c r="P108" s="92">
        <f>IF(B108="","",IF(E108&lt;&gt;"",E108,IFERROR(INDEX('Contractors'!$D$6:$D$35,MATCH(B108,'Contractors'!$B$6:$B$35,0)),"")))</f>
        <v/>
      </c>
      <c r="Q108" s="63">
        <f>IF(B108="","",IF(D108&lt;&gt;"",D108,IFERROR(INDEX('Contractors'!$E$6:$E$35,MATCH(B108,'Contractors'!$B$6:$B$35,0)),"")))</f>
        <v/>
      </c>
      <c r="R108" s="63">
        <f>IF(O108="","",IF(O108="OVERDUE",2,IF(O108="Paid",0,IF(AND(I108&lt;&gt;"",I108&lt;=AsOf+AlertDays),1,0))))</f>
        <v/>
      </c>
      <c r="S108" s="63">
        <f>IF(AND(B108&lt;&gt;"",M108="",I108&lt;&gt;""),IF(L108&lt;&gt;"",L108,IF(H108="",0,H108)),0)</f>
        <v/>
      </c>
      <c r="T108" s="63">
        <f>IF(AND(B108&lt;&gt;"",M108="",I108&lt;&gt;""),1/I108,0)</f>
        <v/>
      </c>
      <c r="U108" s="85">
        <f>IF(AND(B108&lt;&gt;"",M108="",I108&lt;&gt;""),I108,"")</f>
        <v/>
      </c>
      <c r="V108" s="63">
        <f>IF(U108="","",IF(U108&lt;AsOf,1,IF(U108&lt;=AsOf+AlertDays,2,IF(U108&lt;=AsOf+2*AlertDays,3,""))))</f>
        <v/>
      </c>
      <c r="W108" s="63">
        <f>IF(V108="","",IF(O108="OVERDUE","Overdue payment: ","Payment due: ")&amp;B108&amp;" — "&amp;C108&amp;" ("&amp;CurSym&amp;" "&amp;FIXED(S108,0)&amp;")")</f>
        <v/>
      </c>
    </row>
    <row r="109" ht="20" customHeight="1">
      <c r="B109" s="65" t="n"/>
      <c r="C109" s="65" t="n"/>
      <c r="D109" s="65" t="n"/>
      <c r="E109" s="65" t="n"/>
      <c r="F109" s="83" t="n"/>
      <c r="G109" s="66" t="n"/>
      <c r="H109" s="69">
        <f>IF(B109="","",IF(G109&lt;&gt;"",G109,IF(F109&lt;&gt;"",F109*IFERROR(INDEX('Contractors'!$I$6:$I$35,MATCH(B109,'Contractors'!$B$6:$B$35,0)),0),"")))</f>
        <v/>
      </c>
      <c r="I109" s="81" t="n"/>
      <c r="J109" s="65" t="n"/>
      <c r="K109" s="81" t="n"/>
      <c r="L109" s="66" t="n"/>
      <c r="M109" s="81" t="n"/>
      <c r="N109" s="66" t="n"/>
      <c r="O109" s="91">
        <f>IF(B109="","",IF(M109&lt;&gt;"","Paid",IF(AND(I109&lt;&gt;"",I109&lt;AsOf),"OVERDUE",IF(OR(K109&lt;&gt;"",L109&lt;&gt;""),"Invoiced","Scheduled"))))</f>
        <v/>
      </c>
      <c r="P109" s="92">
        <f>IF(B109="","",IF(E109&lt;&gt;"",E109,IFERROR(INDEX('Contractors'!$D$6:$D$35,MATCH(B109,'Contractors'!$B$6:$B$35,0)),"")))</f>
        <v/>
      </c>
      <c r="Q109" s="63">
        <f>IF(B109="","",IF(D109&lt;&gt;"",D109,IFERROR(INDEX('Contractors'!$E$6:$E$35,MATCH(B109,'Contractors'!$B$6:$B$35,0)),"")))</f>
        <v/>
      </c>
      <c r="R109" s="63">
        <f>IF(O109="","",IF(O109="OVERDUE",2,IF(O109="Paid",0,IF(AND(I109&lt;&gt;"",I109&lt;=AsOf+AlertDays),1,0))))</f>
        <v/>
      </c>
      <c r="S109" s="63">
        <f>IF(AND(B109&lt;&gt;"",M109="",I109&lt;&gt;""),IF(L109&lt;&gt;"",L109,IF(H109="",0,H109)),0)</f>
        <v/>
      </c>
      <c r="T109" s="63">
        <f>IF(AND(B109&lt;&gt;"",M109="",I109&lt;&gt;""),1/I109,0)</f>
        <v/>
      </c>
      <c r="U109" s="85">
        <f>IF(AND(B109&lt;&gt;"",M109="",I109&lt;&gt;""),I109,"")</f>
        <v/>
      </c>
      <c r="V109" s="63">
        <f>IF(U109="","",IF(U109&lt;AsOf,1,IF(U109&lt;=AsOf+AlertDays,2,IF(U109&lt;=AsOf+2*AlertDays,3,""))))</f>
        <v/>
      </c>
      <c r="W109" s="63">
        <f>IF(V109="","",IF(O109="OVERDUE","Overdue payment: ","Payment due: ")&amp;B109&amp;" — "&amp;C109&amp;" ("&amp;CurSym&amp;" "&amp;FIXED(S109,0)&amp;")")</f>
        <v/>
      </c>
    </row>
    <row r="110" ht="20" customHeight="1">
      <c r="B110" s="65" t="n"/>
      <c r="C110" s="65" t="n"/>
      <c r="D110" s="65" t="n"/>
      <c r="E110" s="65" t="n"/>
      <c r="F110" s="83" t="n"/>
      <c r="G110" s="66" t="n"/>
      <c r="H110" s="69">
        <f>IF(B110="","",IF(G110&lt;&gt;"",G110,IF(F110&lt;&gt;"",F110*IFERROR(INDEX('Contractors'!$I$6:$I$35,MATCH(B110,'Contractors'!$B$6:$B$35,0)),0),"")))</f>
        <v/>
      </c>
      <c r="I110" s="81" t="n"/>
      <c r="J110" s="65" t="n"/>
      <c r="K110" s="81" t="n"/>
      <c r="L110" s="66" t="n"/>
      <c r="M110" s="81" t="n"/>
      <c r="N110" s="66" t="n"/>
      <c r="O110" s="91">
        <f>IF(B110="","",IF(M110&lt;&gt;"","Paid",IF(AND(I110&lt;&gt;"",I110&lt;AsOf),"OVERDUE",IF(OR(K110&lt;&gt;"",L110&lt;&gt;""),"Invoiced","Scheduled"))))</f>
        <v/>
      </c>
      <c r="P110" s="92">
        <f>IF(B110="","",IF(E110&lt;&gt;"",E110,IFERROR(INDEX('Contractors'!$D$6:$D$35,MATCH(B110,'Contractors'!$B$6:$B$35,0)),"")))</f>
        <v/>
      </c>
      <c r="Q110" s="63">
        <f>IF(B110="","",IF(D110&lt;&gt;"",D110,IFERROR(INDEX('Contractors'!$E$6:$E$35,MATCH(B110,'Contractors'!$B$6:$B$35,0)),"")))</f>
        <v/>
      </c>
      <c r="R110" s="63">
        <f>IF(O110="","",IF(O110="OVERDUE",2,IF(O110="Paid",0,IF(AND(I110&lt;&gt;"",I110&lt;=AsOf+AlertDays),1,0))))</f>
        <v/>
      </c>
      <c r="S110" s="63">
        <f>IF(AND(B110&lt;&gt;"",M110="",I110&lt;&gt;""),IF(L110&lt;&gt;"",L110,IF(H110="",0,H110)),0)</f>
        <v/>
      </c>
      <c r="T110" s="63">
        <f>IF(AND(B110&lt;&gt;"",M110="",I110&lt;&gt;""),1/I110,0)</f>
        <v/>
      </c>
      <c r="U110" s="85">
        <f>IF(AND(B110&lt;&gt;"",M110="",I110&lt;&gt;""),I110,"")</f>
        <v/>
      </c>
      <c r="V110" s="63">
        <f>IF(U110="","",IF(U110&lt;AsOf,1,IF(U110&lt;=AsOf+AlertDays,2,IF(U110&lt;=AsOf+2*AlertDays,3,""))))</f>
        <v/>
      </c>
      <c r="W110" s="63">
        <f>IF(V110="","",IF(O110="OVERDUE","Overdue payment: ","Payment due: ")&amp;B110&amp;" — "&amp;C110&amp;" ("&amp;CurSym&amp;" "&amp;FIXED(S110,0)&amp;")")</f>
        <v/>
      </c>
    </row>
    <row r="111" ht="20" customHeight="1">
      <c r="B111" s="65" t="n"/>
      <c r="C111" s="65" t="n"/>
      <c r="D111" s="65" t="n"/>
      <c r="E111" s="65" t="n"/>
      <c r="F111" s="83" t="n"/>
      <c r="G111" s="66" t="n"/>
      <c r="H111" s="69">
        <f>IF(B111="","",IF(G111&lt;&gt;"",G111,IF(F111&lt;&gt;"",F111*IFERROR(INDEX('Contractors'!$I$6:$I$35,MATCH(B111,'Contractors'!$B$6:$B$35,0)),0),"")))</f>
        <v/>
      </c>
      <c r="I111" s="81" t="n"/>
      <c r="J111" s="65" t="n"/>
      <c r="K111" s="81" t="n"/>
      <c r="L111" s="66" t="n"/>
      <c r="M111" s="81" t="n"/>
      <c r="N111" s="66" t="n"/>
      <c r="O111" s="91">
        <f>IF(B111="","",IF(M111&lt;&gt;"","Paid",IF(AND(I111&lt;&gt;"",I111&lt;AsOf),"OVERDUE",IF(OR(K111&lt;&gt;"",L111&lt;&gt;""),"Invoiced","Scheduled"))))</f>
        <v/>
      </c>
      <c r="P111" s="92">
        <f>IF(B111="","",IF(E111&lt;&gt;"",E111,IFERROR(INDEX('Contractors'!$D$6:$D$35,MATCH(B111,'Contractors'!$B$6:$B$35,0)),"")))</f>
        <v/>
      </c>
      <c r="Q111" s="63">
        <f>IF(B111="","",IF(D111&lt;&gt;"",D111,IFERROR(INDEX('Contractors'!$E$6:$E$35,MATCH(B111,'Contractors'!$B$6:$B$35,0)),"")))</f>
        <v/>
      </c>
      <c r="R111" s="63">
        <f>IF(O111="","",IF(O111="OVERDUE",2,IF(O111="Paid",0,IF(AND(I111&lt;&gt;"",I111&lt;=AsOf+AlertDays),1,0))))</f>
        <v/>
      </c>
      <c r="S111" s="63">
        <f>IF(AND(B111&lt;&gt;"",M111="",I111&lt;&gt;""),IF(L111&lt;&gt;"",L111,IF(H111="",0,H111)),0)</f>
        <v/>
      </c>
      <c r="T111" s="63">
        <f>IF(AND(B111&lt;&gt;"",M111="",I111&lt;&gt;""),1/I111,0)</f>
        <v/>
      </c>
      <c r="U111" s="85">
        <f>IF(AND(B111&lt;&gt;"",M111="",I111&lt;&gt;""),I111,"")</f>
        <v/>
      </c>
      <c r="V111" s="63">
        <f>IF(U111="","",IF(U111&lt;AsOf,1,IF(U111&lt;=AsOf+AlertDays,2,IF(U111&lt;=AsOf+2*AlertDays,3,""))))</f>
        <v/>
      </c>
      <c r="W111" s="63">
        <f>IF(V111="","",IF(O111="OVERDUE","Overdue payment: ","Payment due: ")&amp;B111&amp;" — "&amp;C111&amp;" ("&amp;CurSym&amp;" "&amp;FIXED(S111,0)&amp;")")</f>
        <v/>
      </c>
    </row>
    <row r="112" ht="20" customHeight="1">
      <c r="B112" s="65" t="n"/>
      <c r="C112" s="65" t="n"/>
      <c r="D112" s="65" t="n"/>
      <c r="E112" s="65" t="n"/>
      <c r="F112" s="83" t="n"/>
      <c r="G112" s="66" t="n"/>
      <c r="H112" s="69">
        <f>IF(B112="","",IF(G112&lt;&gt;"",G112,IF(F112&lt;&gt;"",F112*IFERROR(INDEX('Contractors'!$I$6:$I$35,MATCH(B112,'Contractors'!$B$6:$B$35,0)),0),"")))</f>
        <v/>
      </c>
      <c r="I112" s="81" t="n"/>
      <c r="J112" s="65" t="n"/>
      <c r="K112" s="81" t="n"/>
      <c r="L112" s="66" t="n"/>
      <c r="M112" s="81" t="n"/>
      <c r="N112" s="66" t="n"/>
      <c r="O112" s="91">
        <f>IF(B112="","",IF(M112&lt;&gt;"","Paid",IF(AND(I112&lt;&gt;"",I112&lt;AsOf),"OVERDUE",IF(OR(K112&lt;&gt;"",L112&lt;&gt;""),"Invoiced","Scheduled"))))</f>
        <v/>
      </c>
      <c r="P112" s="92">
        <f>IF(B112="","",IF(E112&lt;&gt;"",E112,IFERROR(INDEX('Contractors'!$D$6:$D$35,MATCH(B112,'Contractors'!$B$6:$B$35,0)),"")))</f>
        <v/>
      </c>
      <c r="Q112" s="63">
        <f>IF(B112="","",IF(D112&lt;&gt;"",D112,IFERROR(INDEX('Contractors'!$E$6:$E$35,MATCH(B112,'Contractors'!$B$6:$B$35,0)),"")))</f>
        <v/>
      </c>
      <c r="R112" s="63">
        <f>IF(O112="","",IF(O112="OVERDUE",2,IF(O112="Paid",0,IF(AND(I112&lt;&gt;"",I112&lt;=AsOf+AlertDays),1,0))))</f>
        <v/>
      </c>
      <c r="S112" s="63">
        <f>IF(AND(B112&lt;&gt;"",M112="",I112&lt;&gt;""),IF(L112&lt;&gt;"",L112,IF(H112="",0,H112)),0)</f>
        <v/>
      </c>
      <c r="T112" s="63">
        <f>IF(AND(B112&lt;&gt;"",M112="",I112&lt;&gt;""),1/I112,0)</f>
        <v/>
      </c>
      <c r="U112" s="85">
        <f>IF(AND(B112&lt;&gt;"",M112="",I112&lt;&gt;""),I112,"")</f>
        <v/>
      </c>
      <c r="V112" s="63">
        <f>IF(U112="","",IF(U112&lt;AsOf,1,IF(U112&lt;=AsOf+AlertDays,2,IF(U112&lt;=AsOf+2*AlertDays,3,""))))</f>
        <v/>
      </c>
      <c r="W112" s="63">
        <f>IF(V112="","",IF(O112="OVERDUE","Overdue payment: ","Payment due: ")&amp;B112&amp;" — "&amp;C112&amp;" ("&amp;CurSym&amp;" "&amp;FIXED(S112,0)&amp;")")</f>
        <v/>
      </c>
    </row>
    <row r="113" ht="20" customHeight="1">
      <c r="B113" s="65" t="n"/>
      <c r="C113" s="65" t="n"/>
      <c r="D113" s="65" t="n"/>
      <c r="E113" s="65" t="n"/>
      <c r="F113" s="83" t="n"/>
      <c r="G113" s="66" t="n"/>
      <c r="H113" s="69">
        <f>IF(B113="","",IF(G113&lt;&gt;"",G113,IF(F113&lt;&gt;"",F113*IFERROR(INDEX('Contractors'!$I$6:$I$35,MATCH(B113,'Contractors'!$B$6:$B$35,0)),0),"")))</f>
        <v/>
      </c>
      <c r="I113" s="81" t="n"/>
      <c r="J113" s="65" t="n"/>
      <c r="K113" s="81" t="n"/>
      <c r="L113" s="66" t="n"/>
      <c r="M113" s="81" t="n"/>
      <c r="N113" s="66" t="n"/>
      <c r="O113" s="91">
        <f>IF(B113="","",IF(M113&lt;&gt;"","Paid",IF(AND(I113&lt;&gt;"",I113&lt;AsOf),"OVERDUE",IF(OR(K113&lt;&gt;"",L113&lt;&gt;""),"Invoiced","Scheduled"))))</f>
        <v/>
      </c>
      <c r="P113" s="92">
        <f>IF(B113="","",IF(E113&lt;&gt;"",E113,IFERROR(INDEX('Contractors'!$D$6:$D$35,MATCH(B113,'Contractors'!$B$6:$B$35,0)),"")))</f>
        <v/>
      </c>
      <c r="Q113" s="63">
        <f>IF(B113="","",IF(D113&lt;&gt;"",D113,IFERROR(INDEX('Contractors'!$E$6:$E$35,MATCH(B113,'Contractors'!$B$6:$B$35,0)),"")))</f>
        <v/>
      </c>
      <c r="R113" s="63">
        <f>IF(O113="","",IF(O113="OVERDUE",2,IF(O113="Paid",0,IF(AND(I113&lt;&gt;"",I113&lt;=AsOf+AlertDays),1,0))))</f>
        <v/>
      </c>
      <c r="S113" s="63">
        <f>IF(AND(B113&lt;&gt;"",M113="",I113&lt;&gt;""),IF(L113&lt;&gt;"",L113,IF(H113="",0,H113)),0)</f>
        <v/>
      </c>
      <c r="T113" s="63">
        <f>IF(AND(B113&lt;&gt;"",M113="",I113&lt;&gt;""),1/I113,0)</f>
        <v/>
      </c>
      <c r="U113" s="85">
        <f>IF(AND(B113&lt;&gt;"",M113="",I113&lt;&gt;""),I113,"")</f>
        <v/>
      </c>
      <c r="V113" s="63">
        <f>IF(U113="","",IF(U113&lt;AsOf,1,IF(U113&lt;=AsOf+AlertDays,2,IF(U113&lt;=AsOf+2*AlertDays,3,""))))</f>
        <v/>
      </c>
      <c r="W113" s="63">
        <f>IF(V113="","",IF(O113="OVERDUE","Overdue payment: ","Payment due: ")&amp;B113&amp;" — "&amp;C113&amp;" ("&amp;CurSym&amp;" "&amp;FIXED(S113,0)&amp;")")</f>
        <v/>
      </c>
    </row>
    <row r="114" ht="20" customHeight="1">
      <c r="B114" s="65" t="n"/>
      <c r="C114" s="65" t="n"/>
      <c r="D114" s="65" t="n"/>
      <c r="E114" s="65" t="n"/>
      <c r="F114" s="83" t="n"/>
      <c r="G114" s="66" t="n"/>
      <c r="H114" s="69">
        <f>IF(B114="","",IF(G114&lt;&gt;"",G114,IF(F114&lt;&gt;"",F114*IFERROR(INDEX('Contractors'!$I$6:$I$35,MATCH(B114,'Contractors'!$B$6:$B$35,0)),0),"")))</f>
        <v/>
      </c>
      <c r="I114" s="81" t="n"/>
      <c r="J114" s="65" t="n"/>
      <c r="K114" s="81" t="n"/>
      <c r="L114" s="66" t="n"/>
      <c r="M114" s="81" t="n"/>
      <c r="N114" s="66" t="n"/>
      <c r="O114" s="91">
        <f>IF(B114="","",IF(M114&lt;&gt;"","Paid",IF(AND(I114&lt;&gt;"",I114&lt;AsOf),"OVERDUE",IF(OR(K114&lt;&gt;"",L114&lt;&gt;""),"Invoiced","Scheduled"))))</f>
        <v/>
      </c>
      <c r="P114" s="92">
        <f>IF(B114="","",IF(E114&lt;&gt;"",E114,IFERROR(INDEX('Contractors'!$D$6:$D$35,MATCH(B114,'Contractors'!$B$6:$B$35,0)),"")))</f>
        <v/>
      </c>
      <c r="Q114" s="63">
        <f>IF(B114="","",IF(D114&lt;&gt;"",D114,IFERROR(INDEX('Contractors'!$E$6:$E$35,MATCH(B114,'Contractors'!$B$6:$B$35,0)),"")))</f>
        <v/>
      </c>
      <c r="R114" s="63">
        <f>IF(O114="","",IF(O114="OVERDUE",2,IF(O114="Paid",0,IF(AND(I114&lt;&gt;"",I114&lt;=AsOf+AlertDays),1,0))))</f>
        <v/>
      </c>
      <c r="S114" s="63">
        <f>IF(AND(B114&lt;&gt;"",M114="",I114&lt;&gt;""),IF(L114&lt;&gt;"",L114,IF(H114="",0,H114)),0)</f>
        <v/>
      </c>
      <c r="T114" s="63">
        <f>IF(AND(B114&lt;&gt;"",M114="",I114&lt;&gt;""),1/I114,0)</f>
        <v/>
      </c>
      <c r="U114" s="85">
        <f>IF(AND(B114&lt;&gt;"",M114="",I114&lt;&gt;""),I114,"")</f>
        <v/>
      </c>
      <c r="V114" s="63">
        <f>IF(U114="","",IF(U114&lt;AsOf,1,IF(U114&lt;=AsOf+AlertDays,2,IF(U114&lt;=AsOf+2*AlertDays,3,""))))</f>
        <v/>
      </c>
      <c r="W114" s="63">
        <f>IF(V114="","",IF(O114="OVERDUE","Overdue payment: ","Payment due: ")&amp;B114&amp;" — "&amp;C114&amp;" ("&amp;CurSym&amp;" "&amp;FIXED(S114,0)&amp;")")</f>
        <v/>
      </c>
    </row>
    <row r="115" ht="20" customHeight="1">
      <c r="B115" s="65" t="n"/>
      <c r="C115" s="65" t="n"/>
      <c r="D115" s="65" t="n"/>
      <c r="E115" s="65" t="n"/>
      <c r="F115" s="83" t="n"/>
      <c r="G115" s="66" t="n"/>
      <c r="H115" s="69">
        <f>IF(B115="","",IF(G115&lt;&gt;"",G115,IF(F115&lt;&gt;"",F115*IFERROR(INDEX('Contractors'!$I$6:$I$35,MATCH(B115,'Contractors'!$B$6:$B$35,0)),0),"")))</f>
        <v/>
      </c>
      <c r="I115" s="81" t="n"/>
      <c r="J115" s="65" t="n"/>
      <c r="K115" s="81" t="n"/>
      <c r="L115" s="66" t="n"/>
      <c r="M115" s="81" t="n"/>
      <c r="N115" s="66" t="n"/>
      <c r="O115" s="91">
        <f>IF(B115="","",IF(M115&lt;&gt;"","Paid",IF(AND(I115&lt;&gt;"",I115&lt;AsOf),"OVERDUE",IF(OR(K115&lt;&gt;"",L115&lt;&gt;""),"Invoiced","Scheduled"))))</f>
        <v/>
      </c>
      <c r="P115" s="92">
        <f>IF(B115="","",IF(E115&lt;&gt;"",E115,IFERROR(INDEX('Contractors'!$D$6:$D$35,MATCH(B115,'Contractors'!$B$6:$B$35,0)),"")))</f>
        <v/>
      </c>
      <c r="Q115" s="63">
        <f>IF(B115="","",IF(D115&lt;&gt;"",D115,IFERROR(INDEX('Contractors'!$E$6:$E$35,MATCH(B115,'Contractors'!$B$6:$B$35,0)),"")))</f>
        <v/>
      </c>
      <c r="R115" s="63">
        <f>IF(O115="","",IF(O115="OVERDUE",2,IF(O115="Paid",0,IF(AND(I115&lt;&gt;"",I115&lt;=AsOf+AlertDays),1,0))))</f>
        <v/>
      </c>
      <c r="S115" s="63">
        <f>IF(AND(B115&lt;&gt;"",M115="",I115&lt;&gt;""),IF(L115&lt;&gt;"",L115,IF(H115="",0,H115)),0)</f>
        <v/>
      </c>
      <c r="T115" s="63">
        <f>IF(AND(B115&lt;&gt;"",M115="",I115&lt;&gt;""),1/I115,0)</f>
        <v/>
      </c>
      <c r="U115" s="85">
        <f>IF(AND(B115&lt;&gt;"",M115="",I115&lt;&gt;""),I115,"")</f>
        <v/>
      </c>
      <c r="V115" s="63">
        <f>IF(U115="","",IF(U115&lt;AsOf,1,IF(U115&lt;=AsOf+AlertDays,2,IF(U115&lt;=AsOf+2*AlertDays,3,""))))</f>
        <v/>
      </c>
      <c r="W115" s="63">
        <f>IF(V115="","",IF(O115="OVERDUE","Overdue payment: ","Payment due: ")&amp;B115&amp;" — "&amp;C115&amp;" ("&amp;CurSym&amp;" "&amp;FIXED(S115,0)&amp;")")</f>
        <v/>
      </c>
    </row>
    <row r="116" ht="20" customHeight="1">
      <c r="B116" s="65" t="n"/>
      <c r="C116" s="65" t="n"/>
      <c r="D116" s="65" t="n"/>
      <c r="E116" s="65" t="n"/>
      <c r="F116" s="83" t="n"/>
      <c r="G116" s="66" t="n"/>
      <c r="H116" s="69">
        <f>IF(B116="","",IF(G116&lt;&gt;"",G116,IF(F116&lt;&gt;"",F116*IFERROR(INDEX('Contractors'!$I$6:$I$35,MATCH(B116,'Contractors'!$B$6:$B$35,0)),0),"")))</f>
        <v/>
      </c>
      <c r="I116" s="81" t="n"/>
      <c r="J116" s="65" t="n"/>
      <c r="K116" s="81" t="n"/>
      <c r="L116" s="66" t="n"/>
      <c r="M116" s="81" t="n"/>
      <c r="N116" s="66" t="n"/>
      <c r="O116" s="91">
        <f>IF(B116="","",IF(M116&lt;&gt;"","Paid",IF(AND(I116&lt;&gt;"",I116&lt;AsOf),"OVERDUE",IF(OR(K116&lt;&gt;"",L116&lt;&gt;""),"Invoiced","Scheduled"))))</f>
        <v/>
      </c>
      <c r="P116" s="92">
        <f>IF(B116="","",IF(E116&lt;&gt;"",E116,IFERROR(INDEX('Contractors'!$D$6:$D$35,MATCH(B116,'Contractors'!$B$6:$B$35,0)),"")))</f>
        <v/>
      </c>
      <c r="Q116" s="63">
        <f>IF(B116="","",IF(D116&lt;&gt;"",D116,IFERROR(INDEX('Contractors'!$E$6:$E$35,MATCH(B116,'Contractors'!$B$6:$B$35,0)),"")))</f>
        <v/>
      </c>
      <c r="R116" s="63">
        <f>IF(O116="","",IF(O116="OVERDUE",2,IF(O116="Paid",0,IF(AND(I116&lt;&gt;"",I116&lt;=AsOf+AlertDays),1,0))))</f>
        <v/>
      </c>
      <c r="S116" s="63">
        <f>IF(AND(B116&lt;&gt;"",M116="",I116&lt;&gt;""),IF(L116&lt;&gt;"",L116,IF(H116="",0,H116)),0)</f>
        <v/>
      </c>
      <c r="T116" s="63">
        <f>IF(AND(B116&lt;&gt;"",M116="",I116&lt;&gt;""),1/I116,0)</f>
        <v/>
      </c>
      <c r="U116" s="85">
        <f>IF(AND(B116&lt;&gt;"",M116="",I116&lt;&gt;""),I116,"")</f>
        <v/>
      </c>
      <c r="V116" s="63">
        <f>IF(U116="","",IF(U116&lt;AsOf,1,IF(U116&lt;=AsOf+AlertDays,2,IF(U116&lt;=AsOf+2*AlertDays,3,""))))</f>
        <v/>
      </c>
      <c r="W116" s="63">
        <f>IF(V116="","",IF(O116="OVERDUE","Overdue payment: ","Payment due: ")&amp;B116&amp;" — "&amp;C116&amp;" ("&amp;CurSym&amp;" "&amp;FIXED(S116,0)&amp;")")</f>
        <v/>
      </c>
    </row>
    <row r="117" ht="20" customHeight="1">
      <c r="B117" s="65" t="n"/>
      <c r="C117" s="65" t="n"/>
      <c r="D117" s="65" t="n"/>
      <c r="E117" s="65" t="n"/>
      <c r="F117" s="83" t="n"/>
      <c r="G117" s="66" t="n"/>
      <c r="H117" s="69">
        <f>IF(B117="","",IF(G117&lt;&gt;"",G117,IF(F117&lt;&gt;"",F117*IFERROR(INDEX('Contractors'!$I$6:$I$35,MATCH(B117,'Contractors'!$B$6:$B$35,0)),0),"")))</f>
        <v/>
      </c>
      <c r="I117" s="81" t="n"/>
      <c r="J117" s="65" t="n"/>
      <c r="K117" s="81" t="n"/>
      <c r="L117" s="66" t="n"/>
      <c r="M117" s="81" t="n"/>
      <c r="N117" s="66" t="n"/>
      <c r="O117" s="91">
        <f>IF(B117="","",IF(M117&lt;&gt;"","Paid",IF(AND(I117&lt;&gt;"",I117&lt;AsOf),"OVERDUE",IF(OR(K117&lt;&gt;"",L117&lt;&gt;""),"Invoiced","Scheduled"))))</f>
        <v/>
      </c>
      <c r="P117" s="92">
        <f>IF(B117="","",IF(E117&lt;&gt;"",E117,IFERROR(INDEX('Contractors'!$D$6:$D$35,MATCH(B117,'Contractors'!$B$6:$B$35,0)),"")))</f>
        <v/>
      </c>
      <c r="Q117" s="63">
        <f>IF(B117="","",IF(D117&lt;&gt;"",D117,IFERROR(INDEX('Contractors'!$E$6:$E$35,MATCH(B117,'Contractors'!$B$6:$B$35,0)),"")))</f>
        <v/>
      </c>
      <c r="R117" s="63">
        <f>IF(O117="","",IF(O117="OVERDUE",2,IF(O117="Paid",0,IF(AND(I117&lt;&gt;"",I117&lt;=AsOf+AlertDays),1,0))))</f>
        <v/>
      </c>
      <c r="S117" s="63">
        <f>IF(AND(B117&lt;&gt;"",M117="",I117&lt;&gt;""),IF(L117&lt;&gt;"",L117,IF(H117="",0,H117)),0)</f>
        <v/>
      </c>
      <c r="T117" s="63">
        <f>IF(AND(B117&lt;&gt;"",M117="",I117&lt;&gt;""),1/I117,0)</f>
        <v/>
      </c>
      <c r="U117" s="85">
        <f>IF(AND(B117&lt;&gt;"",M117="",I117&lt;&gt;""),I117,"")</f>
        <v/>
      </c>
      <c r="V117" s="63">
        <f>IF(U117="","",IF(U117&lt;AsOf,1,IF(U117&lt;=AsOf+AlertDays,2,IF(U117&lt;=AsOf+2*AlertDays,3,""))))</f>
        <v/>
      </c>
      <c r="W117" s="63">
        <f>IF(V117="","",IF(O117="OVERDUE","Overdue payment: ","Payment due: ")&amp;B117&amp;" — "&amp;C117&amp;" ("&amp;CurSym&amp;" "&amp;FIXED(S117,0)&amp;")")</f>
        <v/>
      </c>
    </row>
    <row r="118" ht="20" customHeight="1">
      <c r="B118" s="65" t="n"/>
      <c r="C118" s="65" t="n"/>
      <c r="D118" s="65" t="n"/>
      <c r="E118" s="65" t="n"/>
      <c r="F118" s="83" t="n"/>
      <c r="G118" s="66" t="n"/>
      <c r="H118" s="69">
        <f>IF(B118="","",IF(G118&lt;&gt;"",G118,IF(F118&lt;&gt;"",F118*IFERROR(INDEX('Contractors'!$I$6:$I$35,MATCH(B118,'Contractors'!$B$6:$B$35,0)),0),"")))</f>
        <v/>
      </c>
      <c r="I118" s="81" t="n"/>
      <c r="J118" s="65" t="n"/>
      <c r="K118" s="81" t="n"/>
      <c r="L118" s="66" t="n"/>
      <c r="M118" s="81" t="n"/>
      <c r="N118" s="66" t="n"/>
      <c r="O118" s="91">
        <f>IF(B118="","",IF(M118&lt;&gt;"","Paid",IF(AND(I118&lt;&gt;"",I118&lt;AsOf),"OVERDUE",IF(OR(K118&lt;&gt;"",L118&lt;&gt;""),"Invoiced","Scheduled"))))</f>
        <v/>
      </c>
      <c r="P118" s="92">
        <f>IF(B118="","",IF(E118&lt;&gt;"",E118,IFERROR(INDEX('Contractors'!$D$6:$D$35,MATCH(B118,'Contractors'!$B$6:$B$35,0)),"")))</f>
        <v/>
      </c>
      <c r="Q118" s="63">
        <f>IF(B118="","",IF(D118&lt;&gt;"",D118,IFERROR(INDEX('Contractors'!$E$6:$E$35,MATCH(B118,'Contractors'!$B$6:$B$35,0)),"")))</f>
        <v/>
      </c>
      <c r="R118" s="63">
        <f>IF(O118="","",IF(O118="OVERDUE",2,IF(O118="Paid",0,IF(AND(I118&lt;&gt;"",I118&lt;=AsOf+AlertDays),1,0))))</f>
        <v/>
      </c>
      <c r="S118" s="63">
        <f>IF(AND(B118&lt;&gt;"",M118="",I118&lt;&gt;""),IF(L118&lt;&gt;"",L118,IF(H118="",0,H118)),0)</f>
        <v/>
      </c>
      <c r="T118" s="63">
        <f>IF(AND(B118&lt;&gt;"",M118="",I118&lt;&gt;""),1/I118,0)</f>
        <v/>
      </c>
      <c r="U118" s="85">
        <f>IF(AND(B118&lt;&gt;"",M118="",I118&lt;&gt;""),I118,"")</f>
        <v/>
      </c>
      <c r="V118" s="63">
        <f>IF(U118="","",IF(U118&lt;AsOf,1,IF(U118&lt;=AsOf+AlertDays,2,IF(U118&lt;=AsOf+2*AlertDays,3,""))))</f>
        <v/>
      </c>
      <c r="W118" s="63">
        <f>IF(V118="","",IF(O118="OVERDUE","Overdue payment: ","Payment due: ")&amp;B118&amp;" — "&amp;C118&amp;" ("&amp;CurSym&amp;" "&amp;FIXED(S118,0)&amp;")")</f>
        <v/>
      </c>
    </row>
    <row r="119" ht="20" customHeight="1">
      <c r="B119" s="65" t="n"/>
      <c r="C119" s="65" t="n"/>
      <c r="D119" s="65" t="n"/>
      <c r="E119" s="65" t="n"/>
      <c r="F119" s="83" t="n"/>
      <c r="G119" s="66" t="n"/>
      <c r="H119" s="69">
        <f>IF(B119="","",IF(G119&lt;&gt;"",G119,IF(F119&lt;&gt;"",F119*IFERROR(INDEX('Contractors'!$I$6:$I$35,MATCH(B119,'Contractors'!$B$6:$B$35,0)),0),"")))</f>
        <v/>
      </c>
      <c r="I119" s="81" t="n"/>
      <c r="J119" s="65" t="n"/>
      <c r="K119" s="81" t="n"/>
      <c r="L119" s="66" t="n"/>
      <c r="M119" s="81" t="n"/>
      <c r="N119" s="66" t="n"/>
      <c r="O119" s="91">
        <f>IF(B119="","",IF(M119&lt;&gt;"","Paid",IF(AND(I119&lt;&gt;"",I119&lt;AsOf),"OVERDUE",IF(OR(K119&lt;&gt;"",L119&lt;&gt;""),"Invoiced","Scheduled"))))</f>
        <v/>
      </c>
      <c r="P119" s="92">
        <f>IF(B119="","",IF(E119&lt;&gt;"",E119,IFERROR(INDEX('Contractors'!$D$6:$D$35,MATCH(B119,'Contractors'!$B$6:$B$35,0)),"")))</f>
        <v/>
      </c>
      <c r="Q119" s="63">
        <f>IF(B119="","",IF(D119&lt;&gt;"",D119,IFERROR(INDEX('Contractors'!$E$6:$E$35,MATCH(B119,'Contractors'!$B$6:$B$35,0)),"")))</f>
        <v/>
      </c>
      <c r="R119" s="63">
        <f>IF(O119="","",IF(O119="OVERDUE",2,IF(O119="Paid",0,IF(AND(I119&lt;&gt;"",I119&lt;=AsOf+AlertDays),1,0))))</f>
        <v/>
      </c>
      <c r="S119" s="63">
        <f>IF(AND(B119&lt;&gt;"",M119="",I119&lt;&gt;""),IF(L119&lt;&gt;"",L119,IF(H119="",0,H119)),0)</f>
        <v/>
      </c>
      <c r="T119" s="63">
        <f>IF(AND(B119&lt;&gt;"",M119="",I119&lt;&gt;""),1/I119,0)</f>
        <v/>
      </c>
      <c r="U119" s="85">
        <f>IF(AND(B119&lt;&gt;"",M119="",I119&lt;&gt;""),I119,"")</f>
        <v/>
      </c>
      <c r="V119" s="63">
        <f>IF(U119="","",IF(U119&lt;AsOf,1,IF(U119&lt;=AsOf+AlertDays,2,IF(U119&lt;=AsOf+2*AlertDays,3,""))))</f>
        <v/>
      </c>
      <c r="W119" s="63">
        <f>IF(V119="","",IF(O119="OVERDUE","Overdue payment: ","Payment due: ")&amp;B119&amp;" — "&amp;C119&amp;" ("&amp;CurSym&amp;" "&amp;FIXED(S119,0)&amp;")")</f>
        <v/>
      </c>
    </row>
    <row r="120" ht="20" customHeight="1">
      <c r="B120" s="65" t="n"/>
      <c r="C120" s="65" t="n"/>
      <c r="D120" s="65" t="n"/>
      <c r="E120" s="65" t="n"/>
      <c r="F120" s="83" t="n"/>
      <c r="G120" s="66" t="n"/>
      <c r="H120" s="69">
        <f>IF(B120="","",IF(G120&lt;&gt;"",G120,IF(F120&lt;&gt;"",F120*IFERROR(INDEX('Contractors'!$I$6:$I$35,MATCH(B120,'Contractors'!$B$6:$B$35,0)),0),"")))</f>
        <v/>
      </c>
      <c r="I120" s="81" t="n"/>
      <c r="J120" s="65" t="n"/>
      <c r="K120" s="81" t="n"/>
      <c r="L120" s="66" t="n"/>
      <c r="M120" s="81" t="n"/>
      <c r="N120" s="66" t="n"/>
      <c r="O120" s="91">
        <f>IF(B120="","",IF(M120&lt;&gt;"","Paid",IF(AND(I120&lt;&gt;"",I120&lt;AsOf),"OVERDUE",IF(OR(K120&lt;&gt;"",L120&lt;&gt;""),"Invoiced","Scheduled"))))</f>
        <v/>
      </c>
      <c r="P120" s="92">
        <f>IF(B120="","",IF(E120&lt;&gt;"",E120,IFERROR(INDEX('Contractors'!$D$6:$D$35,MATCH(B120,'Contractors'!$B$6:$B$35,0)),"")))</f>
        <v/>
      </c>
      <c r="Q120" s="63">
        <f>IF(B120="","",IF(D120&lt;&gt;"",D120,IFERROR(INDEX('Contractors'!$E$6:$E$35,MATCH(B120,'Contractors'!$B$6:$B$35,0)),"")))</f>
        <v/>
      </c>
      <c r="R120" s="63">
        <f>IF(O120="","",IF(O120="OVERDUE",2,IF(O120="Paid",0,IF(AND(I120&lt;&gt;"",I120&lt;=AsOf+AlertDays),1,0))))</f>
        <v/>
      </c>
      <c r="S120" s="63">
        <f>IF(AND(B120&lt;&gt;"",M120="",I120&lt;&gt;""),IF(L120&lt;&gt;"",L120,IF(H120="",0,H120)),0)</f>
        <v/>
      </c>
      <c r="T120" s="63">
        <f>IF(AND(B120&lt;&gt;"",M120="",I120&lt;&gt;""),1/I120,0)</f>
        <v/>
      </c>
      <c r="U120" s="85">
        <f>IF(AND(B120&lt;&gt;"",M120="",I120&lt;&gt;""),I120,"")</f>
        <v/>
      </c>
      <c r="V120" s="63">
        <f>IF(U120="","",IF(U120&lt;AsOf,1,IF(U120&lt;=AsOf+AlertDays,2,IF(U120&lt;=AsOf+2*AlertDays,3,""))))</f>
        <v/>
      </c>
      <c r="W120" s="63">
        <f>IF(V120="","",IF(O120="OVERDUE","Overdue payment: ","Payment due: ")&amp;B120&amp;" — "&amp;C120&amp;" ("&amp;CurSym&amp;" "&amp;FIXED(S120,0)&amp;")")</f>
        <v/>
      </c>
    </row>
    <row r="121" ht="20" customHeight="1">
      <c r="B121" s="65" t="n"/>
      <c r="C121" s="65" t="n"/>
      <c r="D121" s="65" t="n"/>
      <c r="E121" s="65" t="n"/>
      <c r="F121" s="83" t="n"/>
      <c r="G121" s="66" t="n"/>
      <c r="H121" s="69">
        <f>IF(B121="","",IF(G121&lt;&gt;"",G121,IF(F121&lt;&gt;"",F121*IFERROR(INDEX('Contractors'!$I$6:$I$35,MATCH(B121,'Contractors'!$B$6:$B$35,0)),0),"")))</f>
        <v/>
      </c>
      <c r="I121" s="81" t="n"/>
      <c r="J121" s="65" t="n"/>
      <c r="K121" s="81" t="n"/>
      <c r="L121" s="66" t="n"/>
      <c r="M121" s="81" t="n"/>
      <c r="N121" s="66" t="n"/>
      <c r="O121" s="91">
        <f>IF(B121="","",IF(M121&lt;&gt;"","Paid",IF(AND(I121&lt;&gt;"",I121&lt;AsOf),"OVERDUE",IF(OR(K121&lt;&gt;"",L121&lt;&gt;""),"Invoiced","Scheduled"))))</f>
        <v/>
      </c>
      <c r="P121" s="92">
        <f>IF(B121="","",IF(E121&lt;&gt;"",E121,IFERROR(INDEX('Contractors'!$D$6:$D$35,MATCH(B121,'Contractors'!$B$6:$B$35,0)),"")))</f>
        <v/>
      </c>
      <c r="Q121" s="63">
        <f>IF(B121="","",IF(D121&lt;&gt;"",D121,IFERROR(INDEX('Contractors'!$E$6:$E$35,MATCH(B121,'Contractors'!$B$6:$B$35,0)),"")))</f>
        <v/>
      </c>
      <c r="R121" s="63">
        <f>IF(O121="","",IF(O121="OVERDUE",2,IF(O121="Paid",0,IF(AND(I121&lt;&gt;"",I121&lt;=AsOf+AlertDays),1,0))))</f>
        <v/>
      </c>
      <c r="S121" s="63">
        <f>IF(AND(B121&lt;&gt;"",M121="",I121&lt;&gt;""),IF(L121&lt;&gt;"",L121,IF(H121="",0,H121)),0)</f>
        <v/>
      </c>
      <c r="T121" s="63">
        <f>IF(AND(B121&lt;&gt;"",M121="",I121&lt;&gt;""),1/I121,0)</f>
        <v/>
      </c>
      <c r="U121" s="85">
        <f>IF(AND(B121&lt;&gt;"",M121="",I121&lt;&gt;""),I121,"")</f>
        <v/>
      </c>
      <c r="V121" s="63">
        <f>IF(U121="","",IF(U121&lt;AsOf,1,IF(U121&lt;=AsOf+AlertDays,2,IF(U121&lt;=AsOf+2*AlertDays,3,""))))</f>
        <v/>
      </c>
      <c r="W121" s="63">
        <f>IF(V121="","",IF(O121="OVERDUE","Overdue payment: ","Payment due: ")&amp;B121&amp;" — "&amp;C121&amp;" ("&amp;CurSym&amp;" "&amp;FIXED(S121,0)&amp;")")</f>
        <v/>
      </c>
    </row>
    <row r="122" ht="20" customHeight="1">
      <c r="B122" s="65" t="n"/>
      <c r="C122" s="65" t="n"/>
      <c r="D122" s="65" t="n"/>
      <c r="E122" s="65" t="n"/>
      <c r="F122" s="83" t="n"/>
      <c r="G122" s="66" t="n"/>
      <c r="H122" s="69">
        <f>IF(B122="","",IF(G122&lt;&gt;"",G122,IF(F122&lt;&gt;"",F122*IFERROR(INDEX('Contractors'!$I$6:$I$35,MATCH(B122,'Contractors'!$B$6:$B$35,0)),0),"")))</f>
        <v/>
      </c>
      <c r="I122" s="81" t="n"/>
      <c r="J122" s="65" t="n"/>
      <c r="K122" s="81" t="n"/>
      <c r="L122" s="66" t="n"/>
      <c r="M122" s="81" t="n"/>
      <c r="N122" s="66" t="n"/>
      <c r="O122" s="91">
        <f>IF(B122="","",IF(M122&lt;&gt;"","Paid",IF(AND(I122&lt;&gt;"",I122&lt;AsOf),"OVERDUE",IF(OR(K122&lt;&gt;"",L122&lt;&gt;""),"Invoiced","Scheduled"))))</f>
        <v/>
      </c>
      <c r="P122" s="92">
        <f>IF(B122="","",IF(E122&lt;&gt;"",E122,IFERROR(INDEX('Contractors'!$D$6:$D$35,MATCH(B122,'Contractors'!$B$6:$B$35,0)),"")))</f>
        <v/>
      </c>
      <c r="Q122" s="63">
        <f>IF(B122="","",IF(D122&lt;&gt;"",D122,IFERROR(INDEX('Contractors'!$E$6:$E$35,MATCH(B122,'Contractors'!$B$6:$B$35,0)),"")))</f>
        <v/>
      </c>
      <c r="R122" s="63">
        <f>IF(O122="","",IF(O122="OVERDUE",2,IF(O122="Paid",0,IF(AND(I122&lt;&gt;"",I122&lt;=AsOf+AlertDays),1,0))))</f>
        <v/>
      </c>
      <c r="S122" s="63">
        <f>IF(AND(B122&lt;&gt;"",M122="",I122&lt;&gt;""),IF(L122&lt;&gt;"",L122,IF(H122="",0,H122)),0)</f>
        <v/>
      </c>
      <c r="T122" s="63">
        <f>IF(AND(B122&lt;&gt;"",M122="",I122&lt;&gt;""),1/I122,0)</f>
        <v/>
      </c>
      <c r="U122" s="85">
        <f>IF(AND(B122&lt;&gt;"",M122="",I122&lt;&gt;""),I122,"")</f>
        <v/>
      </c>
      <c r="V122" s="63">
        <f>IF(U122="","",IF(U122&lt;AsOf,1,IF(U122&lt;=AsOf+AlertDays,2,IF(U122&lt;=AsOf+2*AlertDays,3,""))))</f>
        <v/>
      </c>
      <c r="W122" s="63">
        <f>IF(V122="","",IF(O122="OVERDUE","Overdue payment: ","Payment due: ")&amp;B122&amp;" — "&amp;C122&amp;" ("&amp;CurSym&amp;" "&amp;FIXED(S122,0)&amp;")")</f>
        <v/>
      </c>
    </row>
    <row r="123" ht="20" customHeight="1">
      <c r="B123" s="65" t="n"/>
      <c r="C123" s="65" t="n"/>
      <c r="D123" s="65" t="n"/>
      <c r="E123" s="65" t="n"/>
      <c r="F123" s="83" t="n"/>
      <c r="G123" s="66" t="n"/>
      <c r="H123" s="69">
        <f>IF(B123="","",IF(G123&lt;&gt;"",G123,IF(F123&lt;&gt;"",F123*IFERROR(INDEX('Contractors'!$I$6:$I$35,MATCH(B123,'Contractors'!$B$6:$B$35,0)),0),"")))</f>
        <v/>
      </c>
      <c r="I123" s="81" t="n"/>
      <c r="J123" s="65" t="n"/>
      <c r="K123" s="81" t="n"/>
      <c r="L123" s="66" t="n"/>
      <c r="M123" s="81" t="n"/>
      <c r="N123" s="66" t="n"/>
      <c r="O123" s="91">
        <f>IF(B123="","",IF(M123&lt;&gt;"","Paid",IF(AND(I123&lt;&gt;"",I123&lt;AsOf),"OVERDUE",IF(OR(K123&lt;&gt;"",L123&lt;&gt;""),"Invoiced","Scheduled"))))</f>
        <v/>
      </c>
      <c r="P123" s="92">
        <f>IF(B123="","",IF(E123&lt;&gt;"",E123,IFERROR(INDEX('Contractors'!$D$6:$D$35,MATCH(B123,'Contractors'!$B$6:$B$35,0)),"")))</f>
        <v/>
      </c>
      <c r="Q123" s="63">
        <f>IF(B123="","",IF(D123&lt;&gt;"",D123,IFERROR(INDEX('Contractors'!$E$6:$E$35,MATCH(B123,'Contractors'!$B$6:$B$35,0)),"")))</f>
        <v/>
      </c>
      <c r="R123" s="63">
        <f>IF(O123="","",IF(O123="OVERDUE",2,IF(O123="Paid",0,IF(AND(I123&lt;&gt;"",I123&lt;=AsOf+AlertDays),1,0))))</f>
        <v/>
      </c>
      <c r="S123" s="63">
        <f>IF(AND(B123&lt;&gt;"",M123="",I123&lt;&gt;""),IF(L123&lt;&gt;"",L123,IF(H123="",0,H123)),0)</f>
        <v/>
      </c>
      <c r="T123" s="63">
        <f>IF(AND(B123&lt;&gt;"",M123="",I123&lt;&gt;""),1/I123,0)</f>
        <v/>
      </c>
      <c r="U123" s="85">
        <f>IF(AND(B123&lt;&gt;"",M123="",I123&lt;&gt;""),I123,"")</f>
        <v/>
      </c>
      <c r="V123" s="63">
        <f>IF(U123="","",IF(U123&lt;AsOf,1,IF(U123&lt;=AsOf+AlertDays,2,IF(U123&lt;=AsOf+2*AlertDays,3,""))))</f>
        <v/>
      </c>
      <c r="W123" s="63">
        <f>IF(V123="","",IF(O123="OVERDUE","Overdue payment: ","Payment due: ")&amp;B123&amp;" — "&amp;C123&amp;" ("&amp;CurSym&amp;" "&amp;FIXED(S123,0)&amp;")")</f>
        <v/>
      </c>
    </row>
    <row r="124" ht="20" customHeight="1">
      <c r="B124" s="65" t="n"/>
      <c r="C124" s="65" t="n"/>
      <c r="D124" s="65" t="n"/>
      <c r="E124" s="65" t="n"/>
      <c r="F124" s="83" t="n"/>
      <c r="G124" s="66" t="n"/>
      <c r="H124" s="69">
        <f>IF(B124="","",IF(G124&lt;&gt;"",G124,IF(F124&lt;&gt;"",F124*IFERROR(INDEX('Contractors'!$I$6:$I$35,MATCH(B124,'Contractors'!$B$6:$B$35,0)),0),"")))</f>
        <v/>
      </c>
      <c r="I124" s="81" t="n"/>
      <c r="J124" s="65" t="n"/>
      <c r="K124" s="81" t="n"/>
      <c r="L124" s="66" t="n"/>
      <c r="M124" s="81" t="n"/>
      <c r="N124" s="66" t="n"/>
      <c r="O124" s="91">
        <f>IF(B124="","",IF(M124&lt;&gt;"","Paid",IF(AND(I124&lt;&gt;"",I124&lt;AsOf),"OVERDUE",IF(OR(K124&lt;&gt;"",L124&lt;&gt;""),"Invoiced","Scheduled"))))</f>
        <v/>
      </c>
      <c r="P124" s="92">
        <f>IF(B124="","",IF(E124&lt;&gt;"",E124,IFERROR(INDEX('Contractors'!$D$6:$D$35,MATCH(B124,'Contractors'!$B$6:$B$35,0)),"")))</f>
        <v/>
      </c>
      <c r="Q124" s="63">
        <f>IF(B124="","",IF(D124&lt;&gt;"",D124,IFERROR(INDEX('Contractors'!$E$6:$E$35,MATCH(B124,'Contractors'!$B$6:$B$35,0)),"")))</f>
        <v/>
      </c>
      <c r="R124" s="63">
        <f>IF(O124="","",IF(O124="OVERDUE",2,IF(O124="Paid",0,IF(AND(I124&lt;&gt;"",I124&lt;=AsOf+AlertDays),1,0))))</f>
        <v/>
      </c>
      <c r="S124" s="63">
        <f>IF(AND(B124&lt;&gt;"",M124="",I124&lt;&gt;""),IF(L124&lt;&gt;"",L124,IF(H124="",0,H124)),0)</f>
        <v/>
      </c>
      <c r="T124" s="63">
        <f>IF(AND(B124&lt;&gt;"",M124="",I124&lt;&gt;""),1/I124,0)</f>
        <v/>
      </c>
      <c r="U124" s="85">
        <f>IF(AND(B124&lt;&gt;"",M124="",I124&lt;&gt;""),I124,"")</f>
        <v/>
      </c>
      <c r="V124" s="63">
        <f>IF(U124="","",IF(U124&lt;AsOf,1,IF(U124&lt;=AsOf+AlertDays,2,IF(U124&lt;=AsOf+2*AlertDays,3,""))))</f>
        <v/>
      </c>
      <c r="W124" s="63">
        <f>IF(V124="","",IF(O124="OVERDUE","Overdue payment: ","Payment due: ")&amp;B124&amp;" — "&amp;C124&amp;" ("&amp;CurSym&amp;" "&amp;FIXED(S124,0)&amp;")")</f>
        <v/>
      </c>
    </row>
    <row r="125" ht="20" customHeight="1">
      <c r="B125" s="65" t="n"/>
      <c r="C125" s="65" t="n"/>
      <c r="D125" s="65" t="n"/>
      <c r="E125" s="65" t="n"/>
      <c r="F125" s="83" t="n"/>
      <c r="G125" s="66" t="n"/>
      <c r="H125" s="69">
        <f>IF(B125="","",IF(G125&lt;&gt;"",G125,IF(F125&lt;&gt;"",F125*IFERROR(INDEX('Contractors'!$I$6:$I$35,MATCH(B125,'Contractors'!$B$6:$B$35,0)),0),"")))</f>
        <v/>
      </c>
      <c r="I125" s="81" t="n"/>
      <c r="J125" s="65" t="n"/>
      <c r="K125" s="81" t="n"/>
      <c r="L125" s="66" t="n"/>
      <c r="M125" s="81" t="n"/>
      <c r="N125" s="66" t="n"/>
      <c r="O125" s="91">
        <f>IF(B125="","",IF(M125&lt;&gt;"","Paid",IF(AND(I125&lt;&gt;"",I125&lt;AsOf),"OVERDUE",IF(OR(K125&lt;&gt;"",L125&lt;&gt;""),"Invoiced","Scheduled"))))</f>
        <v/>
      </c>
      <c r="P125" s="92">
        <f>IF(B125="","",IF(E125&lt;&gt;"",E125,IFERROR(INDEX('Contractors'!$D$6:$D$35,MATCH(B125,'Contractors'!$B$6:$B$35,0)),"")))</f>
        <v/>
      </c>
      <c r="Q125" s="63">
        <f>IF(B125="","",IF(D125&lt;&gt;"",D125,IFERROR(INDEX('Contractors'!$E$6:$E$35,MATCH(B125,'Contractors'!$B$6:$B$35,0)),"")))</f>
        <v/>
      </c>
      <c r="R125" s="63">
        <f>IF(O125="","",IF(O125="OVERDUE",2,IF(O125="Paid",0,IF(AND(I125&lt;&gt;"",I125&lt;=AsOf+AlertDays),1,0))))</f>
        <v/>
      </c>
      <c r="S125" s="63">
        <f>IF(AND(B125&lt;&gt;"",M125="",I125&lt;&gt;""),IF(L125&lt;&gt;"",L125,IF(H125="",0,H125)),0)</f>
        <v/>
      </c>
      <c r="T125" s="63">
        <f>IF(AND(B125&lt;&gt;"",M125="",I125&lt;&gt;""),1/I125,0)</f>
        <v/>
      </c>
      <c r="U125" s="85">
        <f>IF(AND(B125&lt;&gt;"",M125="",I125&lt;&gt;""),I125,"")</f>
        <v/>
      </c>
      <c r="V125" s="63">
        <f>IF(U125="","",IF(U125&lt;AsOf,1,IF(U125&lt;=AsOf+AlertDays,2,IF(U125&lt;=AsOf+2*AlertDays,3,""))))</f>
        <v/>
      </c>
      <c r="W125" s="63">
        <f>IF(V125="","",IF(O125="OVERDUE","Overdue payment: ","Payment due: ")&amp;B125&amp;" — "&amp;C125&amp;" ("&amp;CurSym&amp;" "&amp;FIXED(S125,0)&amp;")")</f>
        <v/>
      </c>
    </row>
    <row r="126" ht="20" customHeight="1">
      <c r="B126" s="65" t="n"/>
      <c r="C126" s="65" t="n"/>
      <c r="D126" s="65" t="n"/>
      <c r="E126" s="65" t="n"/>
      <c r="F126" s="83" t="n"/>
      <c r="G126" s="66" t="n"/>
      <c r="H126" s="69">
        <f>IF(B126="","",IF(G126&lt;&gt;"",G126,IF(F126&lt;&gt;"",F126*IFERROR(INDEX('Contractors'!$I$6:$I$35,MATCH(B126,'Contractors'!$B$6:$B$35,0)),0),"")))</f>
        <v/>
      </c>
      <c r="I126" s="81" t="n"/>
      <c r="J126" s="65" t="n"/>
      <c r="K126" s="81" t="n"/>
      <c r="L126" s="66" t="n"/>
      <c r="M126" s="81" t="n"/>
      <c r="N126" s="66" t="n"/>
      <c r="O126" s="91">
        <f>IF(B126="","",IF(M126&lt;&gt;"","Paid",IF(AND(I126&lt;&gt;"",I126&lt;AsOf),"OVERDUE",IF(OR(K126&lt;&gt;"",L126&lt;&gt;""),"Invoiced","Scheduled"))))</f>
        <v/>
      </c>
      <c r="P126" s="92">
        <f>IF(B126="","",IF(E126&lt;&gt;"",E126,IFERROR(INDEX('Contractors'!$D$6:$D$35,MATCH(B126,'Contractors'!$B$6:$B$35,0)),"")))</f>
        <v/>
      </c>
      <c r="Q126" s="63">
        <f>IF(B126="","",IF(D126&lt;&gt;"",D126,IFERROR(INDEX('Contractors'!$E$6:$E$35,MATCH(B126,'Contractors'!$B$6:$B$35,0)),"")))</f>
        <v/>
      </c>
      <c r="R126" s="63">
        <f>IF(O126="","",IF(O126="OVERDUE",2,IF(O126="Paid",0,IF(AND(I126&lt;&gt;"",I126&lt;=AsOf+AlertDays),1,0))))</f>
        <v/>
      </c>
      <c r="S126" s="63">
        <f>IF(AND(B126&lt;&gt;"",M126="",I126&lt;&gt;""),IF(L126&lt;&gt;"",L126,IF(H126="",0,H126)),0)</f>
        <v/>
      </c>
      <c r="T126" s="63">
        <f>IF(AND(B126&lt;&gt;"",M126="",I126&lt;&gt;""),1/I126,0)</f>
        <v/>
      </c>
      <c r="U126" s="85">
        <f>IF(AND(B126&lt;&gt;"",M126="",I126&lt;&gt;""),I126,"")</f>
        <v/>
      </c>
      <c r="V126" s="63">
        <f>IF(U126="","",IF(U126&lt;AsOf,1,IF(U126&lt;=AsOf+AlertDays,2,IF(U126&lt;=AsOf+2*AlertDays,3,""))))</f>
        <v/>
      </c>
      <c r="W126" s="63">
        <f>IF(V126="","",IF(O126="OVERDUE","Overdue payment: ","Payment due: ")&amp;B126&amp;" — "&amp;C126&amp;" ("&amp;CurSym&amp;" "&amp;FIXED(S126,0)&amp;")")</f>
        <v/>
      </c>
    </row>
    <row r="127" ht="20" customHeight="1">
      <c r="B127" s="65" t="n"/>
      <c r="C127" s="65" t="n"/>
      <c r="D127" s="65" t="n"/>
      <c r="E127" s="65" t="n"/>
      <c r="F127" s="83" t="n"/>
      <c r="G127" s="66" t="n"/>
      <c r="H127" s="69">
        <f>IF(B127="","",IF(G127&lt;&gt;"",G127,IF(F127&lt;&gt;"",F127*IFERROR(INDEX('Contractors'!$I$6:$I$35,MATCH(B127,'Contractors'!$B$6:$B$35,0)),0),"")))</f>
        <v/>
      </c>
      <c r="I127" s="81" t="n"/>
      <c r="J127" s="65" t="n"/>
      <c r="K127" s="81" t="n"/>
      <c r="L127" s="66" t="n"/>
      <c r="M127" s="81" t="n"/>
      <c r="N127" s="66" t="n"/>
      <c r="O127" s="91">
        <f>IF(B127="","",IF(M127&lt;&gt;"","Paid",IF(AND(I127&lt;&gt;"",I127&lt;AsOf),"OVERDUE",IF(OR(K127&lt;&gt;"",L127&lt;&gt;""),"Invoiced","Scheduled"))))</f>
        <v/>
      </c>
      <c r="P127" s="92">
        <f>IF(B127="","",IF(E127&lt;&gt;"",E127,IFERROR(INDEX('Contractors'!$D$6:$D$35,MATCH(B127,'Contractors'!$B$6:$B$35,0)),"")))</f>
        <v/>
      </c>
      <c r="Q127" s="63">
        <f>IF(B127="","",IF(D127&lt;&gt;"",D127,IFERROR(INDEX('Contractors'!$E$6:$E$35,MATCH(B127,'Contractors'!$B$6:$B$35,0)),"")))</f>
        <v/>
      </c>
      <c r="R127" s="63">
        <f>IF(O127="","",IF(O127="OVERDUE",2,IF(O127="Paid",0,IF(AND(I127&lt;&gt;"",I127&lt;=AsOf+AlertDays),1,0))))</f>
        <v/>
      </c>
      <c r="S127" s="63">
        <f>IF(AND(B127&lt;&gt;"",M127="",I127&lt;&gt;""),IF(L127&lt;&gt;"",L127,IF(H127="",0,H127)),0)</f>
        <v/>
      </c>
      <c r="T127" s="63">
        <f>IF(AND(B127&lt;&gt;"",M127="",I127&lt;&gt;""),1/I127,0)</f>
        <v/>
      </c>
      <c r="U127" s="85">
        <f>IF(AND(B127&lt;&gt;"",M127="",I127&lt;&gt;""),I127,"")</f>
        <v/>
      </c>
      <c r="V127" s="63">
        <f>IF(U127="","",IF(U127&lt;AsOf,1,IF(U127&lt;=AsOf+AlertDays,2,IF(U127&lt;=AsOf+2*AlertDays,3,""))))</f>
        <v/>
      </c>
      <c r="W127" s="63">
        <f>IF(V127="","",IF(O127="OVERDUE","Overdue payment: ","Payment due: ")&amp;B127&amp;" — "&amp;C127&amp;" ("&amp;CurSym&amp;" "&amp;FIXED(S127,0)&amp;")")</f>
        <v/>
      </c>
    </row>
    <row r="128" ht="20" customHeight="1">
      <c r="B128" s="65" t="n"/>
      <c r="C128" s="65" t="n"/>
      <c r="D128" s="65" t="n"/>
      <c r="E128" s="65" t="n"/>
      <c r="F128" s="83" t="n"/>
      <c r="G128" s="66" t="n"/>
      <c r="H128" s="69">
        <f>IF(B128="","",IF(G128&lt;&gt;"",G128,IF(F128&lt;&gt;"",F128*IFERROR(INDEX('Contractors'!$I$6:$I$35,MATCH(B128,'Contractors'!$B$6:$B$35,0)),0),"")))</f>
        <v/>
      </c>
      <c r="I128" s="81" t="n"/>
      <c r="J128" s="65" t="n"/>
      <c r="K128" s="81" t="n"/>
      <c r="L128" s="66" t="n"/>
      <c r="M128" s="81" t="n"/>
      <c r="N128" s="66" t="n"/>
      <c r="O128" s="91">
        <f>IF(B128="","",IF(M128&lt;&gt;"","Paid",IF(AND(I128&lt;&gt;"",I128&lt;AsOf),"OVERDUE",IF(OR(K128&lt;&gt;"",L128&lt;&gt;""),"Invoiced","Scheduled"))))</f>
        <v/>
      </c>
      <c r="P128" s="92">
        <f>IF(B128="","",IF(E128&lt;&gt;"",E128,IFERROR(INDEX('Contractors'!$D$6:$D$35,MATCH(B128,'Contractors'!$B$6:$B$35,0)),"")))</f>
        <v/>
      </c>
      <c r="Q128" s="63">
        <f>IF(B128="","",IF(D128&lt;&gt;"",D128,IFERROR(INDEX('Contractors'!$E$6:$E$35,MATCH(B128,'Contractors'!$B$6:$B$35,0)),"")))</f>
        <v/>
      </c>
      <c r="R128" s="63">
        <f>IF(O128="","",IF(O128="OVERDUE",2,IF(O128="Paid",0,IF(AND(I128&lt;&gt;"",I128&lt;=AsOf+AlertDays),1,0))))</f>
        <v/>
      </c>
      <c r="S128" s="63">
        <f>IF(AND(B128&lt;&gt;"",M128="",I128&lt;&gt;""),IF(L128&lt;&gt;"",L128,IF(H128="",0,H128)),0)</f>
        <v/>
      </c>
      <c r="T128" s="63">
        <f>IF(AND(B128&lt;&gt;"",M128="",I128&lt;&gt;""),1/I128,0)</f>
        <v/>
      </c>
      <c r="U128" s="85">
        <f>IF(AND(B128&lt;&gt;"",M128="",I128&lt;&gt;""),I128,"")</f>
        <v/>
      </c>
      <c r="V128" s="63">
        <f>IF(U128="","",IF(U128&lt;AsOf,1,IF(U128&lt;=AsOf+AlertDays,2,IF(U128&lt;=AsOf+2*AlertDays,3,""))))</f>
        <v/>
      </c>
      <c r="W128" s="63">
        <f>IF(V128="","",IF(O128="OVERDUE","Overdue payment: ","Payment due: ")&amp;B128&amp;" — "&amp;C128&amp;" ("&amp;CurSym&amp;" "&amp;FIXED(S128,0)&amp;")")</f>
        <v/>
      </c>
    </row>
    <row r="129" ht="20" customHeight="1">
      <c r="B129" s="65" t="n"/>
      <c r="C129" s="65" t="n"/>
      <c r="D129" s="65" t="n"/>
      <c r="E129" s="65" t="n"/>
      <c r="F129" s="83" t="n"/>
      <c r="G129" s="66" t="n"/>
      <c r="H129" s="69">
        <f>IF(B129="","",IF(G129&lt;&gt;"",G129,IF(F129&lt;&gt;"",F129*IFERROR(INDEX('Contractors'!$I$6:$I$35,MATCH(B129,'Contractors'!$B$6:$B$35,0)),0),"")))</f>
        <v/>
      </c>
      <c r="I129" s="81" t="n"/>
      <c r="J129" s="65" t="n"/>
      <c r="K129" s="81" t="n"/>
      <c r="L129" s="66" t="n"/>
      <c r="M129" s="81" t="n"/>
      <c r="N129" s="66" t="n"/>
      <c r="O129" s="91">
        <f>IF(B129="","",IF(M129&lt;&gt;"","Paid",IF(AND(I129&lt;&gt;"",I129&lt;AsOf),"OVERDUE",IF(OR(K129&lt;&gt;"",L129&lt;&gt;""),"Invoiced","Scheduled"))))</f>
        <v/>
      </c>
      <c r="P129" s="92">
        <f>IF(B129="","",IF(E129&lt;&gt;"",E129,IFERROR(INDEX('Contractors'!$D$6:$D$35,MATCH(B129,'Contractors'!$B$6:$B$35,0)),"")))</f>
        <v/>
      </c>
      <c r="Q129" s="63">
        <f>IF(B129="","",IF(D129&lt;&gt;"",D129,IFERROR(INDEX('Contractors'!$E$6:$E$35,MATCH(B129,'Contractors'!$B$6:$B$35,0)),"")))</f>
        <v/>
      </c>
      <c r="R129" s="63">
        <f>IF(O129="","",IF(O129="OVERDUE",2,IF(O129="Paid",0,IF(AND(I129&lt;&gt;"",I129&lt;=AsOf+AlertDays),1,0))))</f>
        <v/>
      </c>
      <c r="S129" s="63">
        <f>IF(AND(B129&lt;&gt;"",M129="",I129&lt;&gt;""),IF(L129&lt;&gt;"",L129,IF(H129="",0,H129)),0)</f>
        <v/>
      </c>
      <c r="T129" s="63">
        <f>IF(AND(B129&lt;&gt;"",M129="",I129&lt;&gt;""),1/I129,0)</f>
        <v/>
      </c>
      <c r="U129" s="85">
        <f>IF(AND(B129&lt;&gt;"",M129="",I129&lt;&gt;""),I129,"")</f>
        <v/>
      </c>
      <c r="V129" s="63">
        <f>IF(U129="","",IF(U129&lt;AsOf,1,IF(U129&lt;=AsOf+AlertDays,2,IF(U129&lt;=AsOf+2*AlertDays,3,""))))</f>
        <v/>
      </c>
      <c r="W129" s="63">
        <f>IF(V129="","",IF(O129="OVERDUE","Overdue payment: ","Payment due: ")&amp;B129&amp;" — "&amp;C129&amp;" ("&amp;CurSym&amp;" "&amp;FIXED(S129,0)&amp;")")</f>
        <v/>
      </c>
    </row>
    <row r="130" ht="20" customHeight="1">
      <c r="B130" s="65" t="n"/>
      <c r="C130" s="65" t="n"/>
      <c r="D130" s="65" t="n"/>
      <c r="E130" s="65" t="n"/>
      <c r="F130" s="83" t="n"/>
      <c r="G130" s="66" t="n"/>
      <c r="H130" s="69">
        <f>IF(B130="","",IF(G130&lt;&gt;"",G130,IF(F130&lt;&gt;"",F130*IFERROR(INDEX('Contractors'!$I$6:$I$35,MATCH(B130,'Contractors'!$B$6:$B$35,0)),0),"")))</f>
        <v/>
      </c>
      <c r="I130" s="81" t="n"/>
      <c r="J130" s="65" t="n"/>
      <c r="K130" s="81" t="n"/>
      <c r="L130" s="66" t="n"/>
      <c r="M130" s="81" t="n"/>
      <c r="N130" s="66" t="n"/>
      <c r="O130" s="91">
        <f>IF(B130="","",IF(M130&lt;&gt;"","Paid",IF(AND(I130&lt;&gt;"",I130&lt;AsOf),"OVERDUE",IF(OR(K130&lt;&gt;"",L130&lt;&gt;""),"Invoiced","Scheduled"))))</f>
        <v/>
      </c>
      <c r="P130" s="92">
        <f>IF(B130="","",IF(E130&lt;&gt;"",E130,IFERROR(INDEX('Contractors'!$D$6:$D$35,MATCH(B130,'Contractors'!$B$6:$B$35,0)),"")))</f>
        <v/>
      </c>
      <c r="Q130" s="63">
        <f>IF(B130="","",IF(D130&lt;&gt;"",D130,IFERROR(INDEX('Contractors'!$E$6:$E$35,MATCH(B130,'Contractors'!$B$6:$B$35,0)),"")))</f>
        <v/>
      </c>
      <c r="R130" s="63">
        <f>IF(O130="","",IF(O130="OVERDUE",2,IF(O130="Paid",0,IF(AND(I130&lt;&gt;"",I130&lt;=AsOf+AlertDays),1,0))))</f>
        <v/>
      </c>
      <c r="S130" s="63">
        <f>IF(AND(B130&lt;&gt;"",M130="",I130&lt;&gt;""),IF(L130&lt;&gt;"",L130,IF(H130="",0,H130)),0)</f>
        <v/>
      </c>
      <c r="T130" s="63">
        <f>IF(AND(B130&lt;&gt;"",M130="",I130&lt;&gt;""),1/I130,0)</f>
        <v/>
      </c>
      <c r="U130" s="85">
        <f>IF(AND(B130&lt;&gt;"",M130="",I130&lt;&gt;""),I130,"")</f>
        <v/>
      </c>
      <c r="V130" s="63">
        <f>IF(U130="","",IF(U130&lt;AsOf,1,IF(U130&lt;=AsOf+AlertDays,2,IF(U130&lt;=AsOf+2*AlertDays,3,""))))</f>
        <v/>
      </c>
      <c r="W130" s="63">
        <f>IF(V130="","",IF(O130="OVERDUE","Overdue payment: ","Payment due: ")&amp;B130&amp;" — "&amp;C130&amp;" ("&amp;CurSym&amp;" "&amp;FIXED(S130,0)&amp;")")</f>
        <v/>
      </c>
    </row>
    <row r="131" ht="20" customHeight="1">
      <c r="B131" s="65" t="n"/>
      <c r="C131" s="65" t="n"/>
      <c r="D131" s="65" t="n"/>
      <c r="E131" s="65" t="n"/>
      <c r="F131" s="83" t="n"/>
      <c r="G131" s="66" t="n"/>
      <c r="H131" s="69">
        <f>IF(B131="","",IF(G131&lt;&gt;"",G131,IF(F131&lt;&gt;"",F131*IFERROR(INDEX('Contractors'!$I$6:$I$35,MATCH(B131,'Contractors'!$B$6:$B$35,0)),0),"")))</f>
        <v/>
      </c>
      <c r="I131" s="81" t="n"/>
      <c r="J131" s="65" t="n"/>
      <c r="K131" s="81" t="n"/>
      <c r="L131" s="66" t="n"/>
      <c r="M131" s="81" t="n"/>
      <c r="N131" s="66" t="n"/>
      <c r="O131" s="91">
        <f>IF(B131="","",IF(M131&lt;&gt;"","Paid",IF(AND(I131&lt;&gt;"",I131&lt;AsOf),"OVERDUE",IF(OR(K131&lt;&gt;"",L131&lt;&gt;""),"Invoiced","Scheduled"))))</f>
        <v/>
      </c>
      <c r="P131" s="92">
        <f>IF(B131="","",IF(E131&lt;&gt;"",E131,IFERROR(INDEX('Contractors'!$D$6:$D$35,MATCH(B131,'Contractors'!$B$6:$B$35,0)),"")))</f>
        <v/>
      </c>
      <c r="Q131" s="63">
        <f>IF(B131="","",IF(D131&lt;&gt;"",D131,IFERROR(INDEX('Contractors'!$E$6:$E$35,MATCH(B131,'Contractors'!$B$6:$B$35,0)),"")))</f>
        <v/>
      </c>
      <c r="R131" s="63">
        <f>IF(O131="","",IF(O131="OVERDUE",2,IF(O131="Paid",0,IF(AND(I131&lt;&gt;"",I131&lt;=AsOf+AlertDays),1,0))))</f>
        <v/>
      </c>
      <c r="S131" s="63">
        <f>IF(AND(B131&lt;&gt;"",M131="",I131&lt;&gt;""),IF(L131&lt;&gt;"",L131,IF(H131="",0,H131)),0)</f>
        <v/>
      </c>
      <c r="T131" s="63">
        <f>IF(AND(B131&lt;&gt;"",M131="",I131&lt;&gt;""),1/I131,0)</f>
        <v/>
      </c>
      <c r="U131" s="85">
        <f>IF(AND(B131&lt;&gt;"",M131="",I131&lt;&gt;""),I131,"")</f>
        <v/>
      </c>
      <c r="V131" s="63">
        <f>IF(U131="","",IF(U131&lt;AsOf,1,IF(U131&lt;=AsOf+AlertDays,2,IF(U131&lt;=AsOf+2*AlertDays,3,""))))</f>
        <v/>
      </c>
      <c r="W131" s="63">
        <f>IF(V131="","",IF(O131="OVERDUE","Overdue payment: ","Payment due: ")&amp;B131&amp;" — "&amp;C131&amp;" ("&amp;CurSym&amp;" "&amp;FIXED(S131,0)&amp;")")</f>
        <v/>
      </c>
    </row>
    <row r="132" ht="20" customHeight="1">
      <c r="B132" s="65" t="n"/>
      <c r="C132" s="65" t="n"/>
      <c r="D132" s="65" t="n"/>
      <c r="E132" s="65" t="n"/>
      <c r="F132" s="83" t="n"/>
      <c r="G132" s="66" t="n"/>
      <c r="H132" s="69">
        <f>IF(B132="","",IF(G132&lt;&gt;"",G132,IF(F132&lt;&gt;"",F132*IFERROR(INDEX('Contractors'!$I$6:$I$35,MATCH(B132,'Contractors'!$B$6:$B$35,0)),0),"")))</f>
        <v/>
      </c>
      <c r="I132" s="81" t="n"/>
      <c r="J132" s="65" t="n"/>
      <c r="K132" s="81" t="n"/>
      <c r="L132" s="66" t="n"/>
      <c r="M132" s="81" t="n"/>
      <c r="N132" s="66" t="n"/>
      <c r="O132" s="91">
        <f>IF(B132="","",IF(M132&lt;&gt;"","Paid",IF(AND(I132&lt;&gt;"",I132&lt;AsOf),"OVERDUE",IF(OR(K132&lt;&gt;"",L132&lt;&gt;""),"Invoiced","Scheduled"))))</f>
        <v/>
      </c>
      <c r="P132" s="92">
        <f>IF(B132="","",IF(E132&lt;&gt;"",E132,IFERROR(INDEX('Contractors'!$D$6:$D$35,MATCH(B132,'Contractors'!$B$6:$B$35,0)),"")))</f>
        <v/>
      </c>
      <c r="Q132" s="63">
        <f>IF(B132="","",IF(D132&lt;&gt;"",D132,IFERROR(INDEX('Contractors'!$E$6:$E$35,MATCH(B132,'Contractors'!$B$6:$B$35,0)),"")))</f>
        <v/>
      </c>
      <c r="R132" s="63">
        <f>IF(O132="","",IF(O132="OVERDUE",2,IF(O132="Paid",0,IF(AND(I132&lt;&gt;"",I132&lt;=AsOf+AlertDays),1,0))))</f>
        <v/>
      </c>
      <c r="S132" s="63">
        <f>IF(AND(B132&lt;&gt;"",M132="",I132&lt;&gt;""),IF(L132&lt;&gt;"",L132,IF(H132="",0,H132)),0)</f>
        <v/>
      </c>
      <c r="T132" s="63">
        <f>IF(AND(B132&lt;&gt;"",M132="",I132&lt;&gt;""),1/I132,0)</f>
        <v/>
      </c>
      <c r="U132" s="85">
        <f>IF(AND(B132&lt;&gt;"",M132="",I132&lt;&gt;""),I132,"")</f>
        <v/>
      </c>
      <c r="V132" s="63">
        <f>IF(U132="","",IF(U132&lt;AsOf,1,IF(U132&lt;=AsOf+AlertDays,2,IF(U132&lt;=AsOf+2*AlertDays,3,""))))</f>
        <v/>
      </c>
      <c r="W132" s="63">
        <f>IF(V132="","",IF(O132="OVERDUE","Overdue payment: ","Payment due: ")&amp;B132&amp;" — "&amp;C132&amp;" ("&amp;CurSym&amp;" "&amp;FIXED(S132,0)&amp;")")</f>
        <v/>
      </c>
    </row>
    <row r="133" ht="20" customHeight="1">
      <c r="B133" s="65" t="n"/>
      <c r="C133" s="65" t="n"/>
      <c r="D133" s="65" t="n"/>
      <c r="E133" s="65" t="n"/>
      <c r="F133" s="83" t="n"/>
      <c r="G133" s="66" t="n"/>
      <c r="H133" s="69">
        <f>IF(B133="","",IF(G133&lt;&gt;"",G133,IF(F133&lt;&gt;"",F133*IFERROR(INDEX('Contractors'!$I$6:$I$35,MATCH(B133,'Contractors'!$B$6:$B$35,0)),0),"")))</f>
        <v/>
      </c>
      <c r="I133" s="81" t="n"/>
      <c r="J133" s="65" t="n"/>
      <c r="K133" s="81" t="n"/>
      <c r="L133" s="66" t="n"/>
      <c r="M133" s="81" t="n"/>
      <c r="N133" s="66" t="n"/>
      <c r="O133" s="91">
        <f>IF(B133="","",IF(M133&lt;&gt;"","Paid",IF(AND(I133&lt;&gt;"",I133&lt;AsOf),"OVERDUE",IF(OR(K133&lt;&gt;"",L133&lt;&gt;""),"Invoiced","Scheduled"))))</f>
        <v/>
      </c>
      <c r="P133" s="92">
        <f>IF(B133="","",IF(E133&lt;&gt;"",E133,IFERROR(INDEX('Contractors'!$D$6:$D$35,MATCH(B133,'Contractors'!$B$6:$B$35,0)),"")))</f>
        <v/>
      </c>
      <c r="Q133" s="63">
        <f>IF(B133="","",IF(D133&lt;&gt;"",D133,IFERROR(INDEX('Contractors'!$E$6:$E$35,MATCH(B133,'Contractors'!$B$6:$B$35,0)),"")))</f>
        <v/>
      </c>
      <c r="R133" s="63">
        <f>IF(O133="","",IF(O133="OVERDUE",2,IF(O133="Paid",0,IF(AND(I133&lt;&gt;"",I133&lt;=AsOf+AlertDays),1,0))))</f>
        <v/>
      </c>
      <c r="S133" s="63">
        <f>IF(AND(B133&lt;&gt;"",M133="",I133&lt;&gt;""),IF(L133&lt;&gt;"",L133,IF(H133="",0,H133)),0)</f>
        <v/>
      </c>
      <c r="T133" s="63">
        <f>IF(AND(B133&lt;&gt;"",M133="",I133&lt;&gt;""),1/I133,0)</f>
        <v/>
      </c>
      <c r="U133" s="85">
        <f>IF(AND(B133&lt;&gt;"",M133="",I133&lt;&gt;""),I133,"")</f>
        <v/>
      </c>
      <c r="V133" s="63">
        <f>IF(U133="","",IF(U133&lt;AsOf,1,IF(U133&lt;=AsOf+AlertDays,2,IF(U133&lt;=AsOf+2*AlertDays,3,""))))</f>
        <v/>
      </c>
      <c r="W133" s="63">
        <f>IF(V133="","",IF(O133="OVERDUE","Overdue payment: ","Payment due: ")&amp;B133&amp;" — "&amp;C133&amp;" ("&amp;CurSym&amp;" "&amp;FIXED(S133,0)&amp;")")</f>
        <v/>
      </c>
    </row>
    <row r="134" ht="20" customHeight="1">
      <c r="B134" s="65" t="n"/>
      <c r="C134" s="65" t="n"/>
      <c r="D134" s="65" t="n"/>
      <c r="E134" s="65" t="n"/>
      <c r="F134" s="83" t="n"/>
      <c r="G134" s="66" t="n"/>
      <c r="H134" s="69">
        <f>IF(B134="","",IF(G134&lt;&gt;"",G134,IF(F134&lt;&gt;"",F134*IFERROR(INDEX('Contractors'!$I$6:$I$35,MATCH(B134,'Contractors'!$B$6:$B$35,0)),0),"")))</f>
        <v/>
      </c>
      <c r="I134" s="81" t="n"/>
      <c r="J134" s="65" t="n"/>
      <c r="K134" s="81" t="n"/>
      <c r="L134" s="66" t="n"/>
      <c r="M134" s="81" t="n"/>
      <c r="N134" s="66" t="n"/>
      <c r="O134" s="91">
        <f>IF(B134="","",IF(M134&lt;&gt;"","Paid",IF(AND(I134&lt;&gt;"",I134&lt;AsOf),"OVERDUE",IF(OR(K134&lt;&gt;"",L134&lt;&gt;""),"Invoiced","Scheduled"))))</f>
        <v/>
      </c>
      <c r="P134" s="92">
        <f>IF(B134="","",IF(E134&lt;&gt;"",E134,IFERROR(INDEX('Contractors'!$D$6:$D$35,MATCH(B134,'Contractors'!$B$6:$B$35,0)),"")))</f>
        <v/>
      </c>
      <c r="Q134" s="63">
        <f>IF(B134="","",IF(D134&lt;&gt;"",D134,IFERROR(INDEX('Contractors'!$E$6:$E$35,MATCH(B134,'Contractors'!$B$6:$B$35,0)),"")))</f>
        <v/>
      </c>
      <c r="R134" s="63">
        <f>IF(O134="","",IF(O134="OVERDUE",2,IF(O134="Paid",0,IF(AND(I134&lt;&gt;"",I134&lt;=AsOf+AlertDays),1,0))))</f>
        <v/>
      </c>
      <c r="S134" s="63">
        <f>IF(AND(B134&lt;&gt;"",M134="",I134&lt;&gt;""),IF(L134&lt;&gt;"",L134,IF(H134="",0,H134)),0)</f>
        <v/>
      </c>
      <c r="T134" s="63">
        <f>IF(AND(B134&lt;&gt;"",M134="",I134&lt;&gt;""),1/I134,0)</f>
        <v/>
      </c>
      <c r="U134" s="85">
        <f>IF(AND(B134&lt;&gt;"",M134="",I134&lt;&gt;""),I134,"")</f>
        <v/>
      </c>
      <c r="V134" s="63">
        <f>IF(U134="","",IF(U134&lt;AsOf,1,IF(U134&lt;=AsOf+AlertDays,2,IF(U134&lt;=AsOf+2*AlertDays,3,""))))</f>
        <v/>
      </c>
      <c r="W134" s="63">
        <f>IF(V134="","",IF(O134="OVERDUE","Overdue payment: ","Payment due: ")&amp;B134&amp;" — "&amp;C134&amp;" ("&amp;CurSym&amp;" "&amp;FIXED(S134,0)&amp;")")</f>
        <v/>
      </c>
    </row>
    <row r="135" ht="20" customHeight="1">
      <c r="B135" s="65" t="n"/>
      <c r="C135" s="65" t="n"/>
      <c r="D135" s="65" t="n"/>
      <c r="E135" s="65" t="n"/>
      <c r="F135" s="83" t="n"/>
      <c r="G135" s="66" t="n"/>
      <c r="H135" s="69">
        <f>IF(B135="","",IF(G135&lt;&gt;"",G135,IF(F135&lt;&gt;"",F135*IFERROR(INDEX('Contractors'!$I$6:$I$35,MATCH(B135,'Contractors'!$B$6:$B$35,0)),0),"")))</f>
        <v/>
      </c>
      <c r="I135" s="81" t="n"/>
      <c r="J135" s="65" t="n"/>
      <c r="K135" s="81" t="n"/>
      <c r="L135" s="66" t="n"/>
      <c r="M135" s="81" t="n"/>
      <c r="N135" s="66" t="n"/>
      <c r="O135" s="91">
        <f>IF(B135="","",IF(M135&lt;&gt;"","Paid",IF(AND(I135&lt;&gt;"",I135&lt;AsOf),"OVERDUE",IF(OR(K135&lt;&gt;"",L135&lt;&gt;""),"Invoiced","Scheduled"))))</f>
        <v/>
      </c>
      <c r="P135" s="92">
        <f>IF(B135="","",IF(E135&lt;&gt;"",E135,IFERROR(INDEX('Contractors'!$D$6:$D$35,MATCH(B135,'Contractors'!$B$6:$B$35,0)),"")))</f>
        <v/>
      </c>
      <c r="Q135" s="63">
        <f>IF(B135="","",IF(D135&lt;&gt;"",D135,IFERROR(INDEX('Contractors'!$E$6:$E$35,MATCH(B135,'Contractors'!$B$6:$B$35,0)),"")))</f>
        <v/>
      </c>
      <c r="R135" s="63">
        <f>IF(O135="","",IF(O135="OVERDUE",2,IF(O135="Paid",0,IF(AND(I135&lt;&gt;"",I135&lt;=AsOf+AlertDays),1,0))))</f>
        <v/>
      </c>
      <c r="S135" s="63">
        <f>IF(AND(B135&lt;&gt;"",M135="",I135&lt;&gt;""),IF(L135&lt;&gt;"",L135,IF(H135="",0,H135)),0)</f>
        <v/>
      </c>
      <c r="T135" s="63">
        <f>IF(AND(B135&lt;&gt;"",M135="",I135&lt;&gt;""),1/I135,0)</f>
        <v/>
      </c>
      <c r="U135" s="85">
        <f>IF(AND(B135&lt;&gt;"",M135="",I135&lt;&gt;""),I135,"")</f>
        <v/>
      </c>
      <c r="V135" s="63">
        <f>IF(U135="","",IF(U135&lt;AsOf,1,IF(U135&lt;=AsOf+AlertDays,2,IF(U135&lt;=AsOf+2*AlertDays,3,""))))</f>
        <v/>
      </c>
      <c r="W135" s="63">
        <f>IF(V135="","",IF(O135="OVERDUE","Overdue payment: ","Payment due: ")&amp;B135&amp;" — "&amp;C135&amp;" ("&amp;CurSym&amp;" "&amp;FIXED(S135,0)&amp;")")</f>
        <v/>
      </c>
    </row>
    <row r="136" ht="20" customHeight="1">
      <c r="B136" s="65" t="n"/>
      <c r="C136" s="65" t="n"/>
      <c r="D136" s="65" t="n"/>
      <c r="E136" s="65" t="n"/>
      <c r="F136" s="83" t="n"/>
      <c r="G136" s="66" t="n"/>
      <c r="H136" s="69">
        <f>IF(B136="","",IF(G136&lt;&gt;"",G136,IF(F136&lt;&gt;"",F136*IFERROR(INDEX('Contractors'!$I$6:$I$35,MATCH(B136,'Contractors'!$B$6:$B$35,0)),0),"")))</f>
        <v/>
      </c>
      <c r="I136" s="81" t="n"/>
      <c r="J136" s="65" t="n"/>
      <c r="K136" s="81" t="n"/>
      <c r="L136" s="66" t="n"/>
      <c r="M136" s="81" t="n"/>
      <c r="N136" s="66" t="n"/>
      <c r="O136" s="91">
        <f>IF(B136="","",IF(M136&lt;&gt;"","Paid",IF(AND(I136&lt;&gt;"",I136&lt;AsOf),"OVERDUE",IF(OR(K136&lt;&gt;"",L136&lt;&gt;""),"Invoiced","Scheduled"))))</f>
        <v/>
      </c>
      <c r="P136" s="92">
        <f>IF(B136="","",IF(E136&lt;&gt;"",E136,IFERROR(INDEX('Contractors'!$D$6:$D$35,MATCH(B136,'Contractors'!$B$6:$B$35,0)),"")))</f>
        <v/>
      </c>
      <c r="Q136" s="63">
        <f>IF(B136="","",IF(D136&lt;&gt;"",D136,IFERROR(INDEX('Contractors'!$E$6:$E$35,MATCH(B136,'Contractors'!$B$6:$B$35,0)),"")))</f>
        <v/>
      </c>
      <c r="R136" s="63">
        <f>IF(O136="","",IF(O136="OVERDUE",2,IF(O136="Paid",0,IF(AND(I136&lt;&gt;"",I136&lt;=AsOf+AlertDays),1,0))))</f>
        <v/>
      </c>
      <c r="S136" s="63">
        <f>IF(AND(B136&lt;&gt;"",M136="",I136&lt;&gt;""),IF(L136&lt;&gt;"",L136,IF(H136="",0,H136)),0)</f>
        <v/>
      </c>
      <c r="T136" s="63">
        <f>IF(AND(B136&lt;&gt;"",M136="",I136&lt;&gt;""),1/I136,0)</f>
        <v/>
      </c>
      <c r="U136" s="85">
        <f>IF(AND(B136&lt;&gt;"",M136="",I136&lt;&gt;""),I136,"")</f>
        <v/>
      </c>
      <c r="V136" s="63">
        <f>IF(U136="","",IF(U136&lt;AsOf,1,IF(U136&lt;=AsOf+AlertDays,2,IF(U136&lt;=AsOf+2*AlertDays,3,""))))</f>
        <v/>
      </c>
      <c r="W136" s="63">
        <f>IF(V136="","",IF(O136="OVERDUE","Overdue payment: ","Payment due: ")&amp;B136&amp;" — "&amp;C136&amp;" ("&amp;CurSym&amp;" "&amp;FIXED(S136,0)&amp;")")</f>
        <v/>
      </c>
    </row>
    <row r="137" ht="20" customHeight="1">
      <c r="B137" s="65" t="n"/>
      <c r="C137" s="65" t="n"/>
      <c r="D137" s="65" t="n"/>
      <c r="E137" s="65" t="n"/>
      <c r="F137" s="83" t="n"/>
      <c r="G137" s="66" t="n"/>
      <c r="H137" s="69">
        <f>IF(B137="","",IF(G137&lt;&gt;"",G137,IF(F137&lt;&gt;"",F137*IFERROR(INDEX('Contractors'!$I$6:$I$35,MATCH(B137,'Contractors'!$B$6:$B$35,0)),0),"")))</f>
        <v/>
      </c>
      <c r="I137" s="81" t="n"/>
      <c r="J137" s="65" t="n"/>
      <c r="K137" s="81" t="n"/>
      <c r="L137" s="66" t="n"/>
      <c r="M137" s="81" t="n"/>
      <c r="N137" s="66" t="n"/>
      <c r="O137" s="91">
        <f>IF(B137="","",IF(M137&lt;&gt;"","Paid",IF(AND(I137&lt;&gt;"",I137&lt;AsOf),"OVERDUE",IF(OR(K137&lt;&gt;"",L137&lt;&gt;""),"Invoiced","Scheduled"))))</f>
        <v/>
      </c>
      <c r="P137" s="92">
        <f>IF(B137="","",IF(E137&lt;&gt;"",E137,IFERROR(INDEX('Contractors'!$D$6:$D$35,MATCH(B137,'Contractors'!$B$6:$B$35,0)),"")))</f>
        <v/>
      </c>
      <c r="Q137" s="63">
        <f>IF(B137="","",IF(D137&lt;&gt;"",D137,IFERROR(INDEX('Contractors'!$E$6:$E$35,MATCH(B137,'Contractors'!$B$6:$B$35,0)),"")))</f>
        <v/>
      </c>
      <c r="R137" s="63">
        <f>IF(O137="","",IF(O137="OVERDUE",2,IF(O137="Paid",0,IF(AND(I137&lt;&gt;"",I137&lt;=AsOf+AlertDays),1,0))))</f>
        <v/>
      </c>
      <c r="S137" s="63">
        <f>IF(AND(B137&lt;&gt;"",M137="",I137&lt;&gt;""),IF(L137&lt;&gt;"",L137,IF(H137="",0,H137)),0)</f>
        <v/>
      </c>
      <c r="T137" s="63">
        <f>IF(AND(B137&lt;&gt;"",M137="",I137&lt;&gt;""),1/I137,0)</f>
        <v/>
      </c>
      <c r="U137" s="85">
        <f>IF(AND(B137&lt;&gt;"",M137="",I137&lt;&gt;""),I137,"")</f>
        <v/>
      </c>
      <c r="V137" s="63">
        <f>IF(U137="","",IF(U137&lt;AsOf,1,IF(U137&lt;=AsOf+AlertDays,2,IF(U137&lt;=AsOf+2*AlertDays,3,""))))</f>
        <v/>
      </c>
      <c r="W137" s="63">
        <f>IF(V137="","",IF(O137="OVERDUE","Overdue payment: ","Payment due: ")&amp;B137&amp;" — "&amp;C137&amp;" ("&amp;CurSym&amp;" "&amp;FIXED(S137,0)&amp;")")</f>
        <v/>
      </c>
    </row>
    <row r="138" ht="20" customHeight="1">
      <c r="B138" s="65" t="n"/>
      <c r="C138" s="65" t="n"/>
      <c r="D138" s="65" t="n"/>
      <c r="E138" s="65" t="n"/>
      <c r="F138" s="83" t="n"/>
      <c r="G138" s="66" t="n"/>
      <c r="H138" s="69">
        <f>IF(B138="","",IF(G138&lt;&gt;"",G138,IF(F138&lt;&gt;"",F138*IFERROR(INDEX('Contractors'!$I$6:$I$35,MATCH(B138,'Contractors'!$B$6:$B$35,0)),0),"")))</f>
        <v/>
      </c>
      <c r="I138" s="81" t="n"/>
      <c r="J138" s="65" t="n"/>
      <c r="K138" s="81" t="n"/>
      <c r="L138" s="66" t="n"/>
      <c r="M138" s="81" t="n"/>
      <c r="N138" s="66" t="n"/>
      <c r="O138" s="91">
        <f>IF(B138="","",IF(M138&lt;&gt;"","Paid",IF(AND(I138&lt;&gt;"",I138&lt;AsOf),"OVERDUE",IF(OR(K138&lt;&gt;"",L138&lt;&gt;""),"Invoiced","Scheduled"))))</f>
        <v/>
      </c>
      <c r="P138" s="92">
        <f>IF(B138="","",IF(E138&lt;&gt;"",E138,IFERROR(INDEX('Contractors'!$D$6:$D$35,MATCH(B138,'Contractors'!$B$6:$B$35,0)),"")))</f>
        <v/>
      </c>
      <c r="Q138" s="63">
        <f>IF(B138="","",IF(D138&lt;&gt;"",D138,IFERROR(INDEX('Contractors'!$E$6:$E$35,MATCH(B138,'Contractors'!$B$6:$B$35,0)),"")))</f>
        <v/>
      </c>
      <c r="R138" s="63">
        <f>IF(O138="","",IF(O138="OVERDUE",2,IF(O138="Paid",0,IF(AND(I138&lt;&gt;"",I138&lt;=AsOf+AlertDays),1,0))))</f>
        <v/>
      </c>
      <c r="S138" s="63">
        <f>IF(AND(B138&lt;&gt;"",M138="",I138&lt;&gt;""),IF(L138&lt;&gt;"",L138,IF(H138="",0,H138)),0)</f>
        <v/>
      </c>
      <c r="T138" s="63">
        <f>IF(AND(B138&lt;&gt;"",M138="",I138&lt;&gt;""),1/I138,0)</f>
        <v/>
      </c>
      <c r="U138" s="85">
        <f>IF(AND(B138&lt;&gt;"",M138="",I138&lt;&gt;""),I138,"")</f>
        <v/>
      </c>
      <c r="V138" s="63">
        <f>IF(U138="","",IF(U138&lt;AsOf,1,IF(U138&lt;=AsOf+AlertDays,2,IF(U138&lt;=AsOf+2*AlertDays,3,""))))</f>
        <v/>
      </c>
      <c r="W138" s="63">
        <f>IF(V138="","",IF(O138="OVERDUE","Overdue payment: ","Payment due: ")&amp;B138&amp;" — "&amp;C138&amp;" ("&amp;CurSym&amp;" "&amp;FIXED(S138,0)&amp;")")</f>
        <v/>
      </c>
    </row>
    <row r="139" ht="20" customHeight="1">
      <c r="B139" s="65" t="n"/>
      <c r="C139" s="65" t="n"/>
      <c r="D139" s="65" t="n"/>
      <c r="E139" s="65" t="n"/>
      <c r="F139" s="83" t="n"/>
      <c r="G139" s="66" t="n"/>
      <c r="H139" s="69">
        <f>IF(B139="","",IF(G139&lt;&gt;"",G139,IF(F139&lt;&gt;"",F139*IFERROR(INDEX('Contractors'!$I$6:$I$35,MATCH(B139,'Contractors'!$B$6:$B$35,0)),0),"")))</f>
        <v/>
      </c>
      <c r="I139" s="81" t="n"/>
      <c r="J139" s="65" t="n"/>
      <c r="K139" s="81" t="n"/>
      <c r="L139" s="66" t="n"/>
      <c r="M139" s="81" t="n"/>
      <c r="N139" s="66" t="n"/>
      <c r="O139" s="91">
        <f>IF(B139="","",IF(M139&lt;&gt;"","Paid",IF(AND(I139&lt;&gt;"",I139&lt;AsOf),"OVERDUE",IF(OR(K139&lt;&gt;"",L139&lt;&gt;""),"Invoiced","Scheduled"))))</f>
        <v/>
      </c>
      <c r="P139" s="92">
        <f>IF(B139="","",IF(E139&lt;&gt;"",E139,IFERROR(INDEX('Contractors'!$D$6:$D$35,MATCH(B139,'Contractors'!$B$6:$B$35,0)),"")))</f>
        <v/>
      </c>
      <c r="Q139" s="63">
        <f>IF(B139="","",IF(D139&lt;&gt;"",D139,IFERROR(INDEX('Contractors'!$E$6:$E$35,MATCH(B139,'Contractors'!$B$6:$B$35,0)),"")))</f>
        <v/>
      </c>
      <c r="R139" s="63">
        <f>IF(O139="","",IF(O139="OVERDUE",2,IF(O139="Paid",0,IF(AND(I139&lt;&gt;"",I139&lt;=AsOf+AlertDays),1,0))))</f>
        <v/>
      </c>
      <c r="S139" s="63">
        <f>IF(AND(B139&lt;&gt;"",M139="",I139&lt;&gt;""),IF(L139&lt;&gt;"",L139,IF(H139="",0,H139)),0)</f>
        <v/>
      </c>
      <c r="T139" s="63">
        <f>IF(AND(B139&lt;&gt;"",M139="",I139&lt;&gt;""),1/I139,0)</f>
        <v/>
      </c>
      <c r="U139" s="85">
        <f>IF(AND(B139&lt;&gt;"",M139="",I139&lt;&gt;""),I139,"")</f>
        <v/>
      </c>
      <c r="V139" s="63">
        <f>IF(U139="","",IF(U139&lt;AsOf,1,IF(U139&lt;=AsOf+AlertDays,2,IF(U139&lt;=AsOf+2*AlertDays,3,""))))</f>
        <v/>
      </c>
      <c r="W139" s="63">
        <f>IF(V139="","",IF(O139="OVERDUE","Overdue payment: ","Payment due: ")&amp;B139&amp;" — "&amp;C139&amp;" ("&amp;CurSym&amp;" "&amp;FIXED(S139,0)&amp;")")</f>
        <v/>
      </c>
    </row>
    <row r="140" ht="20" customHeight="1">
      <c r="B140" s="65" t="n"/>
      <c r="C140" s="65" t="n"/>
      <c r="D140" s="65" t="n"/>
      <c r="E140" s="65" t="n"/>
      <c r="F140" s="83" t="n"/>
      <c r="G140" s="66" t="n"/>
      <c r="H140" s="69">
        <f>IF(B140="","",IF(G140&lt;&gt;"",G140,IF(F140&lt;&gt;"",F140*IFERROR(INDEX('Contractors'!$I$6:$I$35,MATCH(B140,'Contractors'!$B$6:$B$35,0)),0),"")))</f>
        <v/>
      </c>
      <c r="I140" s="81" t="n"/>
      <c r="J140" s="65" t="n"/>
      <c r="K140" s="81" t="n"/>
      <c r="L140" s="66" t="n"/>
      <c r="M140" s="81" t="n"/>
      <c r="N140" s="66" t="n"/>
      <c r="O140" s="91">
        <f>IF(B140="","",IF(M140&lt;&gt;"","Paid",IF(AND(I140&lt;&gt;"",I140&lt;AsOf),"OVERDUE",IF(OR(K140&lt;&gt;"",L140&lt;&gt;""),"Invoiced","Scheduled"))))</f>
        <v/>
      </c>
      <c r="P140" s="92">
        <f>IF(B140="","",IF(E140&lt;&gt;"",E140,IFERROR(INDEX('Contractors'!$D$6:$D$35,MATCH(B140,'Contractors'!$B$6:$B$35,0)),"")))</f>
        <v/>
      </c>
      <c r="Q140" s="63">
        <f>IF(B140="","",IF(D140&lt;&gt;"",D140,IFERROR(INDEX('Contractors'!$E$6:$E$35,MATCH(B140,'Contractors'!$B$6:$B$35,0)),"")))</f>
        <v/>
      </c>
      <c r="R140" s="63">
        <f>IF(O140="","",IF(O140="OVERDUE",2,IF(O140="Paid",0,IF(AND(I140&lt;&gt;"",I140&lt;=AsOf+AlertDays),1,0))))</f>
        <v/>
      </c>
      <c r="S140" s="63">
        <f>IF(AND(B140&lt;&gt;"",M140="",I140&lt;&gt;""),IF(L140&lt;&gt;"",L140,IF(H140="",0,H140)),0)</f>
        <v/>
      </c>
      <c r="T140" s="63">
        <f>IF(AND(B140&lt;&gt;"",M140="",I140&lt;&gt;""),1/I140,0)</f>
        <v/>
      </c>
      <c r="U140" s="85">
        <f>IF(AND(B140&lt;&gt;"",M140="",I140&lt;&gt;""),I140,"")</f>
        <v/>
      </c>
      <c r="V140" s="63">
        <f>IF(U140="","",IF(U140&lt;AsOf,1,IF(U140&lt;=AsOf+AlertDays,2,IF(U140&lt;=AsOf+2*AlertDays,3,""))))</f>
        <v/>
      </c>
      <c r="W140" s="63">
        <f>IF(V140="","",IF(O140="OVERDUE","Overdue payment: ","Payment due: ")&amp;B140&amp;" — "&amp;C140&amp;" ("&amp;CurSym&amp;" "&amp;FIXED(S140,0)&amp;")")</f>
        <v/>
      </c>
    </row>
    <row r="141" ht="20" customHeight="1">
      <c r="B141" s="65" t="n"/>
      <c r="C141" s="65" t="n"/>
      <c r="D141" s="65" t="n"/>
      <c r="E141" s="65" t="n"/>
      <c r="F141" s="83" t="n"/>
      <c r="G141" s="66" t="n"/>
      <c r="H141" s="69">
        <f>IF(B141="","",IF(G141&lt;&gt;"",G141,IF(F141&lt;&gt;"",F141*IFERROR(INDEX('Contractors'!$I$6:$I$35,MATCH(B141,'Contractors'!$B$6:$B$35,0)),0),"")))</f>
        <v/>
      </c>
      <c r="I141" s="81" t="n"/>
      <c r="J141" s="65" t="n"/>
      <c r="K141" s="81" t="n"/>
      <c r="L141" s="66" t="n"/>
      <c r="M141" s="81" t="n"/>
      <c r="N141" s="66" t="n"/>
      <c r="O141" s="91">
        <f>IF(B141="","",IF(M141&lt;&gt;"","Paid",IF(AND(I141&lt;&gt;"",I141&lt;AsOf),"OVERDUE",IF(OR(K141&lt;&gt;"",L141&lt;&gt;""),"Invoiced","Scheduled"))))</f>
        <v/>
      </c>
      <c r="P141" s="92">
        <f>IF(B141="","",IF(E141&lt;&gt;"",E141,IFERROR(INDEX('Contractors'!$D$6:$D$35,MATCH(B141,'Contractors'!$B$6:$B$35,0)),"")))</f>
        <v/>
      </c>
      <c r="Q141" s="63">
        <f>IF(B141="","",IF(D141&lt;&gt;"",D141,IFERROR(INDEX('Contractors'!$E$6:$E$35,MATCH(B141,'Contractors'!$B$6:$B$35,0)),"")))</f>
        <v/>
      </c>
      <c r="R141" s="63">
        <f>IF(O141="","",IF(O141="OVERDUE",2,IF(O141="Paid",0,IF(AND(I141&lt;&gt;"",I141&lt;=AsOf+AlertDays),1,0))))</f>
        <v/>
      </c>
      <c r="S141" s="63">
        <f>IF(AND(B141&lt;&gt;"",M141="",I141&lt;&gt;""),IF(L141&lt;&gt;"",L141,IF(H141="",0,H141)),0)</f>
        <v/>
      </c>
      <c r="T141" s="63">
        <f>IF(AND(B141&lt;&gt;"",M141="",I141&lt;&gt;""),1/I141,0)</f>
        <v/>
      </c>
      <c r="U141" s="85">
        <f>IF(AND(B141&lt;&gt;"",M141="",I141&lt;&gt;""),I141,"")</f>
        <v/>
      </c>
      <c r="V141" s="63">
        <f>IF(U141="","",IF(U141&lt;AsOf,1,IF(U141&lt;=AsOf+AlertDays,2,IF(U141&lt;=AsOf+2*AlertDays,3,""))))</f>
        <v/>
      </c>
      <c r="W141" s="63">
        <f>IF(V141="","",IF(O141="OVERDUE","Overdue payment: ","Payment due: ")&amp;B141&amp;" — "&amp;C141&amp;" ("&amp;CurSym&amp;" "&amp;FIXED(S141,0)&amp;")")</f>
        <v/>
      </c>
    </row>
    <row r="142" ht="20" customHeight="1">
      <c r="B142" s="65" t="n"/>
      <c r="C142" s="65" t="n"/>
      <c r="D142" s="65" t="n"/>
      <c r="E142" s="65" t="n"/>
      <c r="F142" s="83" t="n"/>
      <c r="G142" s="66" t="n"/>
      <c r="H142" s="69">
        <f>IF(B142="","",IF(G142&lt;&gt;"",G142,IF(F142&lt;&gt;"",F142*IFERROR(INDEX('Contractors'!$I$6:$I$35,MATCH(B142,'Contractors'!$B$6:$B$35,0)),0),"")))</f>
        <v/>
      </c>
      <c r="I142" s="81" t="n"/>
      <c r="J142" s="65" t="n"/>
      <c r="K142" s="81" t="n"/>
      <c r="L142" s="66" t="n"/>
      <c r="M142" s="81" t="n"/>
      <c r="N142" s="66" t="n"/>
      <c r="O142" s="91">
        <f>IF(B142="","",IF(M142&lt;&gt;"","Paid",IF(AND(I142&lt;&gt;"",I142&lt;AsOf),"OVERDUE",IF(OR(K142&lt;&gt;"",L142&lt;&gt;""),"Invoiced","Scheduled"))))</f>
        <v/>
      </c>
      <c r="P142" s="92">
        <f>IF(B142="","",IF(E142&lt;&gt;"",E142,IFERROR(INDEX('Contractors'!$D$6:$D$35,MATCH(B142,'Contractors'!$B$6:$B$35,0)),"")))</f>
        <v/>
      </c>
      <c r="Q142" s="63">
        <f>IF(B142="","",IF(D142&lt;&gt;"",D142,IFERROR(INDEX('Contractors'!$E$6:$E$35,MATCH(B142,'Contractors'!$B$6:$B$35,0)),"")))</f>
        <v/>
      </c>
      <c r="R142" s="63">
        <f>IF(O142="","",IF(O142="OVERDUE",2,IF(O142="Paid",0,IF(AND(I142&lt;&gt;"",I142&lt;=AsOf+AlertDays),1,0))))</f>
        <v/>
      </c>
      <c r="S142" s="63">
        <f>IF(AND(B142&lt;&gt;"",M142="",I142&lt;&gt;""),IF(L142&lt;&gt;"",L142,IF(H142="",0,H142)),0)</f>
        <v/>
      </c>
      <c r="T142" s="63">
        <f>IF(AND(B142&lt;&gt;"",M142="",I142&lt;&gt;""),1/I142,0)</f>
        <v/>
      </c>
      <c r="U142" s="85">
        <f>IF(AND(B142&lt;&gt;"",M142="",I142&lt;&gt;""),I142,"")</f>
        <v/>
      </c>
      <c r="V142" s="63">
        <f>IF(U142="","",IF(U142&lt;AsOf,1,IF(U142&lt;=AsOf+AlertDays,2,IF(U142&lt;=AsOf+2*AlertDays,3,""))))</f>
        <v/>
      </c>
      <c r="W142" s="63">
        <f>IF(V142="","",IF(O142="OVERDUE","Overdue payment: ","Payment due: ")&amp;B142&amp;" — "&amp;C142&amp;" ("&amp;CurSym&amp;" "&amp;FIXED(S142,0)&amp;")")</f>
        <v/>
      </c>
    </row>
    <row r="143" ht="20" customHeight="1">
      <c r="B143" s="65" t="n"/>
      <c r="C143" s="65" t="n"/>
      <c r="D143" s="65" t="n"/>
      <c r="E143" s="65" t="n"/>
      <c r="F143" s="83" t="n"/>
      <c r="G143" s="66" t="n"/>
      <c r="H143" s="69">
        <f>IF(B143="","",IF(G143&lt;&gt;"",G143,IF(F143&lt;&gt;"",F143*IFERROR(INDEX('Contractors'!$I$6:$I$35,MATCH(B143,'Contractors'!$B$6:$B$35,0)),0),"")))</f>
        <v/>
      </c>
      <c r="I143" s="81" t="n"/>
      <c r="J143" s="65" t="n"/>
      <c r="K143" s="81" t="n"/>
      <c r="L143" s="66" t="n"/>
      <c r="M143" s="81" t="n"/>
      <c r="N143" s="66" t="n"/>
      <c r="O143" s="91">
        <f>IF(B143="","",IF(M143&lt;&gt;"","Paid",IF(AND(I143&lt;&gt;"",I143&lt;AsOf),"OVERDUE",IF(OR(K143&lt;&gt;"",L143&lt;&gt;""),"Invoiced","Scheduled"))))</f>
        <v/>
      </c>
      <c r="P143" s="92">
        <f>IF(B143="","",IF(E143&lt;&gt;"",E143,IFERROR(INDEX('Contractors'!$D$6:$D$35,MATCH(B143,'Contractors'!$B$6:$B$35,0)),"")))</f>
        <v/>
      </c>
      <c r="Q143" s="63">
        <f>IF(B143="","",IF(D143&lt;&gt;"",D143,IFERROR(INDEX('Contractors'!$E$6:$E$35,MATCH(B143,'Contractors'!$B$6:$B$35,0)),"")))</f>
        <v/>
      </c>
      <c r="R143" s="63">
        <f>IF(O143="","",IF(O143="OVERDUE",2,IF(O143="Paid",0,IF(AND(I143&lt;&gt;"",I143&lt;=AsOf+AlertDays),1,0))))</f>
        <v/>
      </c>
      <c r="S143" s="63">
        <f>IF(AND(B143&lt;&gt;"",M143="",I143&lt;&gt;""),IF(L143&lt;&gt;"",L143,IF(H143="",0,H143)),0)</f>
        <v/>
      </c>
      <c r="T143" s="63">
        <f>IF(AND(B143&lt;&gt;"",M143="",I143&lt;&gt;""),1/I143,0)</f>
        <v/>
      </c>
      <c r="U143" s="85">
        <f>IF(AND(B143&lt;&gt;"",M143="",I143&lt;&gt;""),I143,"")</f>
        <v/>
      </c>
      <c r="V143" s="63">
        <f>IF(U143="","",IF(U143&lt;AsOf,1,IF(U143&lt;=AsOf+AlertDays,2,IF(U143&lt;=AsOf+2*AlertDays,3,""))))</f>
        <v/>
      </c>
      <c r="W143" s="63">
        <f>IF(V143="","",IF(O143="OVERDUE","Overdue payment: ","Payment due: ")&amp;B143&amp;" — "&amp;C143&amp;" ("&amp;CurSym&amp;" "&amp;FIXED(S143,0)&amp;")")</f>
        <v/>
      </c>
    </row>
    <row r="144" ht="20" customHeight="1">
      <c r="B144" s="65" t="n"/>
      <c r="C144" s="65" t="n"/>
      <c r="D144" s="65" t="n"/>
      <c r="E144" s="65" t="n"/>
      <c r="F144" s="83" t="n"/>
      <c r="G144" s="66" t="n"/>
      <c r="H144" s="69">
        <f>IF(B144="","",IF(G144&lt;&gt;"",G144,IF(F144&lt;&gt;"",F144*IFERROR(INDEX('Contractors'!$I$6:$I$35,MATCH(B144,'Contractors'!$B$6:$B$35,0)),0),"")))</f>
        <v/>
      </c>
      <c r="I144" s="81" t="n"/>
      <c r="J144" s="65" t="n"/>
      <c r="K144" s="81" t="n"/>
      <c r="L144" s="66" t="n"/>
      <c r="M144" s="81" t="n"/>
      <c r="N144" s="66" t="n"/>
      <c r="O144" s="91">
        <f>IF(B144="","",IF(M144&lt;&gt;"","Paid",IF(AND(I144&lt;&gt;"",I144&lt;AsOf),"OVERDUE",IF(OR(K144&lt;&gt;"",L144&lt;&gt;""),"Invoiced","Scheduled"))))</f>
        <v/>
      </c>
      <c r="P144" s="92">
        <f>IF(B144="","",IF(E144&lt;&gt;"",E144,IFERROR(INDEX('Contractors'!$D$6:$D$35,MATCH(B144,'Contractors'!$B$6:$B$35,0)),"")))</f>
        <v/>
      </c>
      <c r="Q144" s="63">
        <f>IF(B144="","",IF(D144&lt;&gt;"",D144,IFERROR(INDEX('Contractors'!$E$6:$E$35,MATCH(B144,'Contractors'!$B$6:$B$35,0)),"")))</f>
        <v/>
      </c>
      <c r="R144" s="63">
        <f>IF(O144="","",IF(O144="OVERDUE",2,IF(O144="Paid",0,IF(AND(I144&lt;&gt;"",I144&lt;=AsOf+AlertDays),1,0))))</f>
        <v/>
      </c>
      <c r="S144" s="63">
        <f>IF(AND(B144&lt;&gt;"",M144="",I144&lt;&gt;""),IF(L144&lt;&gt;"",L144,IF(H144="",0,H144)),0)</f>
        <v/>
      </c>
      <c r="T144" s="63">
        <f>IF(AND(B144&lt;&gt;"",M144="",I144&lt;&gt;""),1/I144,0)</f>
        <v/>
      </c>
      <c r="U144" s="85">
        <f>IF(AND(B144&lt;&gt;"",M144="",I144&lt;&gt;""),I144,"")</f>
        <v/>
      </c>
      <c r="V144" s="63">
        <f>IF(U144="","",IF(U144&lt;AsOf,1,IF(U144&lt;=AsOf+AlertDays,2,IF(U144&lt;=AsOf+2*AlertDays,3,""))))</f>
        <v/>
      </c>
      <c r="W144" s="63">
        <f>IF(V144="","",IF(O144="OVERDUE","Overdue payment: ","Payment due: ")&amp;B144&amp;" — "&amp;C144&amp;" ("&amp;CurSym&amp;" "&amp;FIXED(S144,0)&amp;")")</f>
        <v/>
      </c>
    </row>
    <row r="145" ht="20" customHeight="1">
      <c r="B145" s="65" t="n"/>
      <c r="C145" s="65" t="n"/>
      <c r="D145" s="65" t="n"/>
      <c r="E145" s="65" t="n"/>
      <c r="F145" s="83" t="n"/>
      <c r="G145" s="66" t="n"/>
      <c r="H145" s="69">
        <f>IF(B145="","",IF(G145&lt;&gt;"",G145,IF(F145&lt;&gt;"",F145*IFERROR(INDEX('Contractors'!$I$6:$I$35,MATCH(B145,'Contractors'!$B$6:$B$35,0)),0),"")))</f>
        <v/>
      </c>
      <c r="I145" s="81" t="n"/>
      <c r="J145" s="65" t="n"/>
      <c r="K145" s="81" t="n"/>
      <c r="L145" s="66" t="n"/>
      <c r="M145" s="81" t="n"/>
      <c r="N145" s="66" t="n"/>
      <c r="O145" s="91">
        <f>IF(B145="","",IF(M145&lt;&gt;"","Paid",IF(AND(I145&lt;&gt;"",I145&lt;AsOf),"OVERDUE",IF(OR(K145&lt;&gt;"",L145&lt;&gt;""),"Invoiced","Scheduled"))))</f>
        <v/>
      </c>
      <c r="P145" s="92">
        <f>IF(B145="","",IF(E145&lt;&gt;"",E145,IFERROR(INDEX('Contractors'!$D$6:$D$35,MATCH(B145,'Contractors'!$B$6:$B$35,0)),"")))</f>
        <v/>
      </c>
      <c r="Q145" s="63">
        <f>IF(B145="","",IF(D145&lt;&gt;"",D145,IFERROR(INDEX('Contractors'!$E$6:$E$35,MATCH(B145,'Contractors'!$B$6:$B$35,0)),"")))</f>
        <v/>
      </c>
      <c r="R145" s="63">
        <f>IF(O145="","",IF(O145="OVERDUE",2,IF(O145="Paid",0,IF(AND(I145&lt;&gt;"",I145&lt;=AsOf+AlertDays),1,0))))</f>
        <v/>
      </c>
      <c r="S145" s="63">
        <f>IF(AND(B145&lt;&gt;"",M145="",I145&lt;&gt;""),IF(L145&lt;&gt;"",L145,IF(H145="",0,H145)),0)</f>
        <v/>
      </c>
      <c r="T145" s="63">
        <f>IF(AND(B145&lt;&gt;"",M145="",I145&lt;&gt;""),1/I145,0)</f>
        <v/>
      </c>
      <c r="U145" s="85">
        <f>IF(AND(B145&lt;&gt;"",M145="",I145&lt;&gt;""),I145,"")</f>
        <v/>
      </c>
      <c r="V145" s="63">
        <f>IF(U145="","",IF(U145&lt;AsOf,1,IF(U145&lt;=AsOf+AlertDays,2,IF(U145&lt;=AsOf+2*AlertDays,3,""))))</f>
        <v/>
      </c>
      <c r="W145" s="63">
        <f>IF(V145="","",IF(O145="OVERDUE","Overdue payment: ","Payment due: ")&amp;B145&amp;" — "&amp;C145&amp;" ("&amp;CurSym&amp;" "&amp;FIXED(S145,0)&amp;")")</f>
        <v/>
      </c>
    </row>
    <row r="146" ht="20" customHeight="1">
      <c r="B146" s="65" t="n"/>
      <c r="C146" s="65" t="n"/>
      <c r="D146" s="65" t="n"/>
      <c r="E146" s="65" t="n"/>
      <c r="F146" s="83" t="n"/>
      <c r="G146" s="66" t="n"/>
      <c r="H146" s="69">
        <f>IF(B146="","",IF(G146&lt;&gt;"",G146,IF(F146&lt;&gt;"",F146*IFERROR(INDEX('Contractors'!$I$6:$I$35,MATCH(B146,'Contractors'!$B$6:$B$35,0)),0),"")))</f>
        <v/>
      </c>
      <c r="I146" s="81" t="n"/>
      <c r="J146" s="65" t="n"/>
      <c r="K146" s="81" t="n"/>
      <c r="L146" s="66" t="n"/>
      <c r="M146" s="81" t="n"/>
      <c r="N146" s="66" t="n"/>
      <c r="O146" s="91">
        <f>IF(B146="","",IF(M146&lt;&gt;"","Paid",IF(AND(I146&lt;&gt;"",I146&lt;AsOf),"OVERDUE",IF(OR(K146&lt;&gt;"",L146&lt;&gt;""),"Invoiced","Scheduled"))))</f>
        <v/>
      </c>
      <c r="P146" s="92">
        <f>IF(B146="","",IF(E146&lt;&gt;"",E146,IFERROR(INDEX('Contractors'!$D$6:$D$35,MATCH(B146,'Contractors'!$B$6:$B$35,0)),"")))</f>
        <v/>
      </c>
      <c r="Q146" s="63">
        <f>IF(B146="","",IF(D146&lt;&gt;"",D146,IFERROR(INDEX('Contractors'!$E$6:$E$35,MATCH(B146,'Contractors'!$B$6:$B$35,0)),"")))</f>
        <v/>
      </c>
      <c r="R146" s="63">
        <f>IF(O146="","",IF(O146="OVERDUE",2,IF(O146="Paid",0,IF(AND(I146&lt;&gt;"",I146&lt;=AsOf+AlertDays),1,0))))</f>
        <v/>
      </c>
      <c r="S146" s="63">
        <f>IF(AND(B146&lt;&gt;"",M146="",I146&lt;&gt;""),IF(L146&lt;&gt;"",L146,IF(H146="",0,H146)),0)</f>
        <v/>
      </c>
      <c r="T146" s="63">
        <f>IF(AND(B146&lt;&gt;"",M146="",I146&lt;&gt;""),1/I146,0)</f>
        <v/>
      </c>
      <c r="U146" s="85">
        <f>IF(AND(B146&lt;&gt;"",M146="",I146&lt;&gt;""),I146,"")</f>
        <v/>
      </c>
      <c r="V146" s="63">
        <f>IF(U146="","",IF(U146&lt;AsOf,1,IF(U146&lt;=AsOf+AlertDays,2,IF(U146&lt;=AsOf+2*AlertDays,3,""))))</f>
        <v/>
      </c>
      <c r="W146" s="63">
        <f>IF(V146="","",IF(O146="OVERDUE","Overdue payment: ","Payment due: ")&amp;B146&amp;" — "&amp;C146&amp;" ("&amp;CurSym&amp;" "&amp;FIXED(S146,0)&amp;")")</f>
        <v/>
      </c>
    </row>
    <row r="147" ht="20" customHeight="1">
      <c r="B147" s="65" t="n"/>
      <c r="C147" s="65" t="n"/>
      <c r="D147" s="65" t="n"/>
      <c r="E147" s="65" t="n"/>
      <c r="F147" s="83" t="n"/>
      <c r="G147" s="66" t="n"/>
      <c r="H147" s="69">
        <f>IF(B147="","",IF(G147&lt;&gt;"",G147,IF(F147&lt;&gt;"",F147*IFERROR(INDEX('Contractors'!$I$6:$I$35,MATCH(B147,'Contractors'!$B$6:$B$35,0)),0),"")))</f>
        <v/>
      </c>
      <c r="I147" s="81" t="n"/>
      <c r="J147" s="65" t="n"/>
      <c r="K147" s="81" t="n"/>
      <c r="L147" s="66" t="n"/>
      <c r="M147" s="81" t="n"/>
      <c r="N147" s="66" t="n"/>
      <c r="O147" s="91">
        <f>IF(B147="","",IF(M147&lt;&gt;"","Paid",IF(AND(I147&lt;&gt;"",I147&lt;AsOf),"OVERDUE",IF(OR(K147&lt;&gt;"",L147&lt;&gt;""),"Invoiced","Scheduled"))))</f>
        <v/>
      </c>
      <c r="P147" s="92">
        <f>IF(B147="","",IF(E147&lt;&gt;"",E147,IFERROR(INDEX('Contractors'!$D$6:$D$35,MATCH(B147,'Contractors'!$B$6:$B$35,0)),"")))</f>
        <v/>
      </c>
      <c r="Q147" s="63">
        <f>IF(B147="","",IF(D147&lt;&gt;"",D147,IFERROR(INDEX('Contractors'!$E$6:$E$35,MATCH(B147,'Contractors'!$B$6:$B$35,0)),"")))</f>
        <v/>
      </c>
      <c r="R147" s="63">
        <f>IF(O147="","",IF(O147="OVERDUE",2,IF(O147="Paid",0,IF(AND(I147&lt;&gt;"",I147&lt;=AsOf+AlertDays),1,0))))</f>
        <v/>
      </c>
      <c r="S147" s="63">
        <f>IF(AND(B147&lt;&gt;"",M147="",I147&lt;&gt;""),IF(L147&lt;&gt;"",L147,IF(H147="",0,H147)),0)</f>
        <v/>
      </c>
      <c r="T147" s="63">
        <f>IF(AND(B147&lt;&gt;"",M147="",I147&lt;&gt;""),1/I147,0)</f>
        <v/>
      </c>
      <c r="U147" s="85">
        <f>IF(AND(B147&lt;&gt;"",M147="",I147&lt;&gt;""),I147,"")</f>
        <v/>
      </c>
      <c r="V147" s="63">
        <f>IF(U147="","",IF(U147&lt;AsOf,1,IF(U147&lt;=AsOf+AlertDays,2,IF(U147&lt;=AsOf+2*AlertDays,3,""))))</f>
        <v/>
      </c>
      <c r="W147" s="63">
        <f>IF(V147="","",IF(O147="OVERDUE","Overdue payment: ","Payment due: ")&amp;B147&amp;" — "&amp;C147&amp;" ("&amp;CurSym&amp;" "&amp;FIXED(S147,0)&amp;")")</f>
        <v/>
      </c>
    </row>
    <row r="148" ht="20" customHeight="1">
      <c r="B148" s="65" t="n"/>
      <c r="C148" s="65" t="n"/>
      <c r="D148" s="65" t="n"/>
      <c r="E148" s="65" t="n"/>
      <c r="F148" s="83" t="n"/>
      <c r="G148" s="66" t="n"/>
      <c r="H148" s="69">
        <f>IF(B148="","",IF(G148&lt;&gt;"",G148,IF(F148&lt;&gt;"",F148*IFERROR(INDEX('Contractors'!$I$6:$I$35,MATCH(B148,'Contractors'!$B$6:$B$35,0)),0),"")))</f>
        <v/>
      </c>
      <c r="I148" s="81" t="n"/>
      <c r="J148" s="65" t="n"/>
      <c r="K148" s="81" t="n"/>
      <c r="L148" s="66" t="n"/>
      <c r="M148" s="81" t="n"/>
      <c r="N148" s="66" t="n"/>
      <c r="O148" s="91">
        <f>IF(B148="","",IF(M148&lt;&gt;"","Paid",IF(AND(I148&lt;&gt;"",I148&lt;AsOf),"OVERDUE",IF(OR(K148&lt;&gt;"",L148&lt;&gt;""),"Invoiced","Scheduled"))))</f>
        <v/>
      </c>
      <c r="P148" s="92">
        <f>IF(B148="","",IF(E148&lt;&gt;"",E148,IFERROR(INDEX('Contractors'!$D$6:$D$35,MATCH(B148,'Contractors'!$B$6:$B$35,0)),"")))</f>
        <v/>
      </c>
      <c r="Q148" s="63">
        <f>IF(B148="","",IF(D148&lt;&gt;"",D148,IFERROR(INDEX('Contractors'!$E$6:$E$35,MATCH(B148,'Contractors'!$B$6:$B$35,0)),"")))</f>
        <v/>
      </c>
      <c r="R148" s="63">
        <f>IF(O148="","",IF(O148="OVERDUE",2,IF(O148="Paid",0,IF(AND(I148&lt;&gt;"",I148&lt;=AsOf+AlertDays),1,0))))</f>
        <v/>
      </c>
      <c r="S148" s="63">
        <f>IF(AND(B148&lt;&gt;"",M148="",I148&lt;&gt;""),IF(L148&lt;&gt;"",L148,IF(H148="",0,H148)),0)</f>
        <v/>
      </c>
      <c r="T148" s="63">
        <f>IF(AND(B148&lt;&gt;"",M148="",I148&lt;&gt;""),1/I148,0)</f>
        <v/>
      </c>
      <c r="U148" s="85">
        <f>IF(AND(B148&lt;&gt;"",M148="",I148&lt;&gt;""),I148,"")</f>
        <v/>
      </c>
      <c r="V148" s="63">
        <f>IF(U148="","",IF(U148&lt;AsOf,1,IF(U148&lt;=AsOf+AlertDays,2,IF(U148&lt;=AsOf+2*AlertDays,3,""))))</f>
        <v/>
      </c>
      <c r="W148" s="63">
        <f>IF(V148="","",IF(O148="OVERDUE","Overdue payment: ","Payment due: ")&amp;B148&amp;" — "&amp;C148&amp;" ("&amp;CurSym&amp;" "&amp;FIXED(S148,0)&amp;")")</f>
        <v/>
      </c>
    </row>
    <row r="149" ht="20" customHeight="1">
      <c r="B149" s="65" t="n"/>
      <c r="C149" s="65" t="n"/>
      <c r="D149" s="65" t="n"/>
      <c r="E149" s="65" t="n"/>
      <c r="F149" s="83" t="n"/>
      <c r="G149" s="66" t="n"/>
      <c r="H149" s="69">
        <f>IF(B149="","",IF(G149&lt;&gt;"",G149,IF(F149&lt;&gt;"",F149*IFERROR(INDEX('Contractors'!$I$6:$I$35,MATCH(B149,'Contractors'!$B$6:$B$35,0)),0),"")))</f>
        <v/>
      </c>
      <c r="I149" s="81" t="n"/>
      <c r="J149" s="65" t="n"/>
      <c r="K149" s="81" t="n"/>
      <c r="L149" s="66" t="n"/>
      <c r="M149" s="81" t="n"/>
      <c r="N149" s="66" t="n"/>
      <c r="O149" s="91">
        <f>IF(B149="","",IF(M149&lt;&gt;"","Paid",IF(AND(I149&lt;&gt;"",I149&lt;AsOf),"OVERDUE",IF(OR(K149&lt;&gt;"",L149&lt;&gt;""),"Invoiced","Scheduled"))))</f>
        <v/>
      </c>
      <c r="P149" s="92">
        <f>IF(B149="","",IF(E149&lt;&gt;"",E149,IFERROR(INDEX('Contractors'!$D$6:$D$35,MATCH(B149,'Contractors'!$B$6:$B$35,0)),"")))</f>
        <v/>
      </c>
      <c r="Q149" s="63">
        <f>IF(B149="","",IF(D149&lt;&gt;"",D149,IFERROR(INDEX('Contractors'!$E$6:$E$35,MATCH(B149,'Contractors'!$B$6:$B$35,0)),"")))</f>
        <v/>
      </c>
      <c r="R149" s="63">
        <f>IF(O149="","",IF(O149="OVERDUE",2,IF(O149="Paid",0,IF(AND(I149&lt;&gt;"",I149&lt;=AsOf+AlertDays),1,0))))</f>
        <v/>
      </c>
      <c r="S149" s="63">
        <f>IF(AND(B149&lt;&gt;"",M149="",I149&lt;&gt;""),IF(L149&lt;&gt;"",L149,IF(H149="",0,H149)),0)</f>
        <v/>
      </c>
      <c r="T149" s="63">
        <f>IF(AND(B149&lt;&gt;"",M149="",I149&lt;&gt;""),1/I149,0)</f>
        <v/>
      </c>
      <c r="U149" s="85">
        <f>IF(AND(B149&lt;&gt;"",M149="",I149&lt;&gt;""),I149,"")</f>
        <v/>
      </c>
      <c r="V149" s="63">
        <f>IF(U149="","",IF(U149&lt;AsOf,1,IF(U149&lt;=AsOf+AlertDays,2,IF(U149&lt;=AsOf+2*AlertDays,3,""))))</f>
        <v/>
      </c>
      <c r="W149" s="63">
        <f>IF(V149="","",IF(O149="OVERDUE","Overdue payment: ","Payment due: ")&amp;B149&amp;" — "&amp;C149&amp;" ("&amp;CurSym&amp;" "&amp;FIXED(S149,0)&amp;")")</f>
        <v/>
      </c>
    </row>
    <row r="150" ht="20" customHeight="1">
      <c r="B150" s="65" t="n"/>
      <c r="C150" s="65" t="n"/>
      <c r="D150" s="65" t="n"/>
      <c r="E150" s="65" t="n"/>
      <c r="F150" s="83" t="n"/>
      <c r="G150" s="66" t="n"/>
      <c r="H150" s="69">
        <f>IF(B150="","",IF(G150&lt;&gt;"",G150,IF(F150&lt;&gt;"",F150*IFERROR(INDEX('Contractors'!$I$6:$I$35,MATCH(B150,'Contractors'!$B$6:$B$35,0)),0),"")))</f>
        <v/>
      </c>
      <c r="I150" s="81" t="n"/>
      <c r="J150" s="65" t="n"/>
      <c r="K150" s="81" t="n"/>
      <c r="L150" s="66" t="n"/>
      <c r="M150" s="81" t="n"/>
      <c r="N150" s="66" t="n"/>
      <c r="O150" s="91">
        <f>IF(B150="","",IF(M150&lt;&gt;"","Paid",IF(AND(I150&lt;&gt;"",I150&lt;AsOf),"OVERDUE",IF(OR(K150&lt;&gt;"",L150&lt;&gt;""),"Invoiced","Scheduled"))))</f>
        <v/>
      </c>
      <c r="P150" s="92">
        <f>IF(B150="","",IF(E150&lt;&gt;"",E150,IFERROR(INDEX('Contractors'!$D$6:$D$35,MATCH(B150,'Contractors'!$B$6:$B$35,0)),"")))</f>
        <v/>
      </c>
      <c r="Q150" s="63">
        <f>IF(B150="","",IF(D150&lt;&gt;"",D150,IFERROR(INDEX('Contractors'!$E$6:$E$35,MATCH(B150,'Contractors'!$B$6:$B$35,0)),"")))</f>
        <v/>
      </c>
      <c r="R150" s="63">
        <f>IF(O150="","",IF(O150="OVERDUE",2,IF(O150="Paid",0,IF(AND(I150&lt;&gt;"",I150&lt;=AsOf+AlertDays),1,0))))</f>
        <v/>
      </c>
      <c r="S150" s="63">
        <f>IF(AND(B150&lt;&gt;"",M150="",I150&lt;&gt;""),IF(L150&lt;&gt;"",L150,IF(H150="",0,H150)),0)</f>
        <v/>
      </c>
      <c r="T150" s="63">
        <f>IF(AND(B150&lt;&gt;"",M150="",I150&lt;&gt;""),1/I150,0)</f>
        <v/>
      </c>
      <c r="U150" s="85">
        <f>IF(AND(B150&lt;&gt;"",M150="",I150&lt;&gt;""),I150,"")</f>
        <v/>
      </c>
      <c r="V150" s="63">
        <f>IF(U150="","",IF(U150&lt;AsOf,1,IF(U150&lt;=AsOf+AlertDays,2,IF(U150&lt;=AsOf+2*AlertDays,3,""))))</f>
        <v/>
      </c>
      <c r="W150" s="63">
        <f>IF(V150="","",IF(O150="OVERDUE","Overdue payment: ","Payment due: ")&amp;B150&amp;" — "&amp;C150&amp;" ("&amp;CurSym&amp;" "&amp;FIXED(S150,0)&amp;")")</f>
        <v/>
      </c>
    </row>
    <row r="151" ht="20" customHeight="1">
      <c r="B151" s="65" t="n"/>
      <c r="C151" s="65" t="n"/>
      <c r="D151" s="65" t="n"/>
      <c r="E151" s="65" t="n"/>
      <c r="F151" s="83" t="n"/>
      <c r="G151" s="66" t="n"/>
      <c r="H151" s="69">
        <f>IF(B151="","",IF(G151&lt;&gt;"",G151,IF(F151&lt;&gt;"",F151*IFERROR(INDEX('Contractors'!$I$6:$I$35,MATCH(B151,'Contractors'!$B$6:$B$35,0)),0),"")))</f>
        <v/>
      </c>
      <c r="I151" s="81" t="n"/>
      <c r="J151" s="65" t="n"/>
      <c r="K151" s="81" t="n"/>
      <c r="L151" s="66" t="n"/>
      <c r="M151" s="81" t="n"/>
      <c r="N151" s="66" t="n"/>
      <c r="O151" s="91">
        <f>IF(B151="","",IF(M151&lt;&gt;"","Paid",IF(AND(I151&lt;&gt;"",I151&lt;AsOf),"OVERDUE",IF(OR(K151&lt;&gt;"",L151&lt;&gt;""),"Invoiced","Scheduled"))))</f>
        <v/>
      </c>
      <c r="P151" s="92">
        <f>IF(B151="","",IF(E151&lt;&gt;"",E151,IFERROR(INDEX('Contractors'!$D$6:$D$35,MATCH(B151,'Contractors'!$B$6:$B$35,0)),"")))</f>
        <v/>
      </c>
      <c r="Q151" s="63">
        <f>IF(B151="","",IF(D151&lt;&gt;"",D151,IFERROR(INDEX('Contractors'!$E$6:$E$35,MATCH(B151,'Contractors'!$B$6:$B$35,0)),"")))</f>
        <v/>
      </c>
      <c r="R151" s="63">
        <f>IF(O151="","",IF(O151="OVERDUE",2,IF(O151="Paid",0,IF(AND(I151&lt;&gt;"",I151&lt;=AsOf+AlertDays),1,0))))</f>
        <v/>
      </c>
      <c r="S151" s="63">
        <f>IF(AND(B151&lt;&gt;"",M151="",I151&lt;&gt;""),IF(L151&lt;&gt;"",L151,IF(H151="",0,H151)),0)</f>
        <v/>
      </c>
      <c r="T151" s="63">
        <f>IF(AND(B151&lt;&gt;"",M151="",I151&lt;&gt;""),1/I151,0)</f>
        <v/>
      </c>
      <c r="U151" s="85">
        <f>IF(AND(B151&lt;&gt;"",M151="",I151&lt;&gt;""),I151,"")</f>
        <v/>
      </c>
      <c r="V151" s="63">
        <f>IF(U151="","",IF(U151&lt;AsOf,1,IF(U151&lt;=AsOf+AlertDays,2,IF(U151&lt;=AsOf+2*AlertDays,3,""))))</f>
        <v/>
      </c>
      <c r="W151" s="63">
        <f>IF(V151="","",IF(O151="OVERDUE","Overdue payment: ","Payment due: ")&amp;B151&amp;" — "&amp;C151&amp;" ("&amp;CurSym&amp;" "&amp;FIXED(S151,0)&amp;")")</f>
        <v/>
      </c>
    </row>
    <row r="152" ht="20" customHeight="1">
      <c r="B152" s="65" t="n"/>
      <c r="C152" s="65" t="n"/>
      <c r="D152" s="65" t="n"/>
      <c r="E152" s="65" t="n"/>
      <c r="F152" s="83" t="n"/>
      <c r="G152" s="66" t="n"/>
      <c r="H152" s="69">
        <f>IF(B152="","",IF(G152&lt;&gt;"",G152,IF(F152&lt;&gt;"",F152*IFERROR(INDEX('Contractors'!$I$6:$I$35,MATCH(B152,'Contractors'!$B$6:$B$35,0)),0),"")))</f>
        <v/>
      </c>
      <c r="I152" s="81" t="n"/>
      <c r="J152" s="65" t="n"/>
      <c r="K152" s="81" t="n"/>
      <c r="L152" s="66" t="n"/>
      <c r="M152" s="81" t="n"/>
      <c r="N152" s="66" t="n"/>
      <c r="O152" s="91">
        <f>IF(B152="","",IF(M152&lt;&gt;"","Paid",IF(AND(I152&lt;&gt;"",I152&lt;AsOf),"OVERDUE",IF(OR(K152&lt;&gt;"",L152&lt;&gt;""),"Invoiced","Scheduled"))))</f>
        <v/>
      </c>
      <c r="P152" s="92">
        <f>IF(B152="","",IF(E152&lt;&gt;"",E152,IFERROR(INDEX('Contractors'!$D$6:$D$35,MATCH(B152,'Contractors'!$B$6:$B$35,0)),"")))</f>
        <v/>
      </c>
      <c r="Q152" s="63">
        <f>IF(B152="","",IF(D152&lt;&gt;"",D152,IFERROR(INDEX('Contractors'!$E$6:$E$35,MATCH(B152,'Contractors'!$B$6:$B$35,0)),"")))</f>
        <v/>
      </c>
      <c r="R152" s="63">
        <f>IF(O152="","",IF(O152="OVERDUE",2,IF(O152="Paid",0,IF(AND(I152&lt;&gt;"",I152&lt;=AsOf+AlertDays),1,0))))</f>
        <v/>
      </c>
      <c r="S152" s="63">
        <f>IF(AND(B152&lt;&gt;"",M152="",I152&lt;&gt;""),IF(L152&lt;&gt;"",L152,IF(H152="",0,H152)),0)</f>
        <v/>
      </c>
      <c r="T152" s="63">
        <f>IF(AND(B152&lt;&gt;"",M152="",I152&lt;&gt;""),1/I152,0)</f>
        <v/>
      </c>
      <c r="U152" s="85">
        <f>IF(AND(B152&lt;&gt;"",M152="",I152&lt;&gt;""),I152,"")</f>
        <v/>
      </c>
      <c r="V152" s="63">
        <f>IF(U152="","",IF(U152&lt;AsOf,1,IF(U152&lt;=AsOf+AlertDays,2,IF(U152&lt;=AsOf+2*AlertDays,3,""))))</f>
        <v/>
      </c>
      <c r="W152" s="63">
        <f>IF(V152="","",IF(O152="OVERDUE","Overdue payment: ","Payment due: ")&amp;B152&amp;" — "&amp;C152&amp;" ("&amp;CurSym&amp;" "&amp;FIXED(S152,0)&amp;")")</f>
        <v/>
      </c>
    </row>
    <row r="153" ht="20" customHeight="1">
      <c r="B153" s="65" t="n"/>
      <c r="C153" s="65" t="n"/>
      <c r="D153" s="65" t="n"/>
      <c r="E153" s="65" t="n"/>
      <c r="F153" s="83" t="n"/>
      <c r="G153" s="66" t="n"/>
      <c r="H153" s="69">
        <f>IF(B153="","",IF(G153&lt;&gt;"",G153,IF(F153&lt;&gt;"",F153*IFERROR(INDEX('Contractors'!$I$6:$I$35,MATCH(B153,'Contractors'!$B$6:$B$35,0)),0),"")))</f>
        <v/>
      </c>
      <c r="I153" s="81" t="n"/>
      <c r="J153" s="65" t="n"/>
      <c r="K153" s="81" t="n"/>
      <c r="L153" s="66" t="n"/>
      <c r="M153" s="81" t="n"/>
      <c r="N153" s="66" t="n"/>
      <c r="O153" s="91">
        <f>IF(B153="","",IF(M153&lt;&gt;"","Paid",IF(AND(I153&lt;&gt;"",I153&lt;AsOf),"OVERDUE",IF(OR(K153&lt;&gt;"",L153&lt;&gt;""),"Invoiced","Scheduled"))))</f>
        <v/>
      </c>
      <c r="P153" s="92">
        <f>IF(B153="","",IF(E153&lt;&gt;"",E153,IFERROR(INDEX('Contractors'!$D$6:$D$35,MATCH(B153,'Contractors'!$B$6:$B$35,0)),"")))</f>
        <v/>
      </c>
      <c r="Q153" s="63">
        <f>IF(B153="","",IF(D153&lt;&gt;"",D153,IFERROR(INDEX('Contractors'!$E$6:$E$35,MATCH(B153,'Contractors'!$B$6:$B$35,0)),"")))</f>
        <v/>
      </c>
      <c r="R153" s="63">
        <f>IF(O153="","",IF(O153="OVERDUE",2,IF(O153="Paid",0,IF(AND(I153&lt;&gt;"",I153&lt;=AsOf+AlertDays),1,0))))</f>
        <v/>
      </c>
      <c r="S153" s="63">
        <f>IF(AND(B153&lt;&gt;"",M153="",I153&lt;&gt;""),IF(L153&lt;&gt;"",L153,IF(H153="",0,H153)),0)</f>
        <v/>
      </c>
      <c r="T153" s="63">
        <f>IF(AND(B153&lt;&gt;"",M153="",I153&lt;&gt;""),1/I153,0)</f>
        <v/>
      </c>
      <c r="U153" s="85">
        <f>IF(AND(B153&lt;&gt;"",M153="",I153&lt;&gt;""),I153,"")</f>
        <v/>
      </c>
      <c r="V153" s="63">
        <f>IF(U153="","",IF(U153&lt;AsOf,1,IF(U153&lt;=AsOf+AlertDays,2,IF(U153&lt;=AsOf+2*AlertDays,3,""))))</f>
        <v/>
      </c>
      <c r="W153" s="63">
        <f>IF(V153="","",IF(O153="OVERDUE","Overdue payment: ","Payment due: ")&amp;B153&amp;" — "&amp;C153&amp;" ("&amp;CurSym&amp;" "&amp;FIXED(S153,0)&amp;")")</f>
        <v/>
      </c>
    </row>
    <row r="154" ht="20" customHeight="1">
      <c r="B154" s="65" t="n"/>
      <c r="C154" s="65" t="n"/>
      <c r="D154" s="65" t="n"/>
      <c r="E154" s="65" t="n"/>
      <c r="F154" s="83" t="n"/>
      <c r="G154" s="66" t="n"/>
      <c r="H154" s="69">
        <f>IF(B154="","",IF(G154&lt;&gt;"",G154,IF(F154&lt;&gt;"",F154*IFERROR(INDEX('Contractors'!$I$6:$I$35,MATCH(B154,'Contractors'!$B$6:$B$35,0)),0),"")))</f>
        <v/>
      </c>
      <c r="I154" s="81" t="n"/>
      <c r="J154" s="65" t="n"/>
      <c r="K154" s="81" t="n"/>
      <c r="L154" s="66" t="n"/>
      <c r="M154" s="81" t="n"/>
      <c r="N154" s="66" t="n"/>
      <c r="O154" s="91">
        <f>IF(B154="","",IF(M154&lt;&gt;"","Paid",IF(AND(I154&lt;&gt;"",I154&lt;AsOf),"OVERDUE",IF(OR(K154&lt;&gt;"",L154&lt;&gt;""),"Invoiced","Scheduled"))))</f>
        <v/>
      </c>
      <c r="P154" s="92">
        <f>IF(B154="","",IF(E154&lt;&gt;"",E154,IFERROR(INDEX('Contractors'!$D$6:$D$35,MATCH(B154,'Contractors'!$B$6:$B$35,0)),"")))</f>
        <v/>
      </c>
      <c r="Q154" s="63">
        <f>IF(B154="","",IF(D154&lt;&gt;"",D154,IFERROR(INDEX('Contractors'!$E$6:$E$35,MATCH(B154,'Contractors'!$B$6:$B$35,0)),"")))</f>
        <v/>
      </c>
      <c r="R154" s="63">
        <f>IF(O154="","",IF(O154="OVERDUE",2,IF(O154="Paid",0,IF(AND(I154&lt;&gt;"",I154&lt;=AsOf+AlertDays),1,0))))</f>
        <v/>
      </c>
      <c r="S154" s="63">
        <f>IF(AND(B154&lt;&gt;"",M154="",I154&lt;&gt;""),IF(L154&lt;&gt;"",L154,IF(H154="",0,H154)),0)</f>
        <v/>
      </c>
      <c r="T154" s="63">
        <f>IF(AND(B154&lt;&gt;"",M154="",I154&lt;&gt;""),1/I154,0)</f>
        <v/>
      </c>
      <c r="U154" s="85">
        <f>IF(AND(B154&lt;&gt;"",M154="",I154&lt;&gt;""),I154,"")</f>
        <v/>
      </c>
      <c r="V154" s="63">
        <f>IF(U154="","",IF(U154&lt;AsOf,1,IF(U154&lt;=AsOf+AlertDays,2,IF(U154&lt;=AsOf+2*AlertDays,3,""))))</f>
        <v/>
      </c>
      <c r="W154" s="63">
        <f>IF(V154="","",IF(O154="OVERDUE","Overdue payment: ","Payment due: ")&amp;B154&amp;" — "&amp;C154&amp;" ("&amp;CurSym&amp;" "&amp;FIXED(S154,0)&amp;")")</f>
        <v/>
      </c>
    </row>
    <row r="155" ht="20" customHeight="1">
      <c r="B155" s="65" t="n"/>
      <c r="C155" s="65" t="n"/>
      <c r="D155" s="65" t="n"/>
      <c r="E155" s="65" t="n"/>
      <c r="F155" s="83" t="n"/>
      <c r="G155" s="66" t="n"/>
      <c r="H155" s="69">
        <f>IF(B155="","",IF(G155&lt;&gt;"",G155,IF(F155&lt;&gt;"",F155*IFERROR(INDEX('Contractors'!$I$6:$I$35,MATCH(B155,'Contractors'!$B$6:$B$35,0)),0),"")))</f>
        <v/>
      </c>
      <c r="I155" s="81" t="n"/>
      <c r="J155" s="65" t="n"/>
      <c r="K155" s="81" t="n"/>
      <c r="L155" s="66" t="n"/>
      <c r="M155" s="81" t="n"/>
      <c r="N155" s="66" t="n"/>
      <c r="O155" s="91">
        <f>IF(B155="","",IF(M155&lt;&gt;"","Paid",IF(AND(I155&lt;&gt;"",I155&lt;AsOf),"OVERDUE",IF(OR(K155&lt;&gt;"",L155&lt;&gt;""),"Invoiced","Scheduled"))))</f>
        <v/>
      </c>
      <c r="P155" s="92">
        <f>IF(B155="","",IF(E155&lt;&gt;"",E155,IFERROR(INDEX('Contractors'!$D$6:$D$35,MATCH(B155,'Contractors'!$B$6:$B$35,0)),"")))</f>
        <v/>
      </c>
      <c r="Q155" s="63">
        <f>IF(B155="","",IF(D155&lt;&gt;"",D155,IFERROR(INDEX('Contractors'!$E$6:$E$35,MATCH(B155,'Contractors'!$B$6:$B$35,0)),"")))</f>
        <v/>
      </c>
      <c r="R155" s="63">
        <f>IF(O155="","",IF(O155="OVERDUE",2,IF(O155="Paid",0,IF(AND(I155&lt;&gt;"",I155&lt;=AsOf+AlertDays),1,0))))</f>
        <v/>
      </c>
      <c r="S155" s="63">
        <f>IF(AND(B155&lt;&gt;"",M155="",I155&lt;&gt;""),IF(L155&lt;&gt;"",L155,IF(H155="",0,H155)),0)</f>
        <v/>
      </c>
      <c r="T155" s="63">
        <f>IF(AND(B155&lt;&gt;"",M155="",I155&lt;&gt;""),1/I155,0)</f>
        <v/>
      </c>
      <c r="U155" s="85">
        <f>IF(AND(B155&lt;&gt;"",M155="",I155&lt;&gt;""),I155,"")</f>
        <v/>
      </c>
      <c r="V155" s="63">
        <f>IF(U155="","",IF(U155&lt;AsOf,1,IF(U155&lt;=AsOf+AlertDays,2,IF(U155&lt;=AsOf+2*AlertDays,3,""))))</f>
        <v/>
      </c>
      <c r="W155" s="63">
        <f>IF(V155="","",IF(O155="OVERDUE","Overdue payment: ","Payment due: ")&amp;B155&amp;" — "&amp;C155&amp;" ("&amp;CurSym&amp;" "&amp;FIXED(S155,0)&amp;")")</f>
        <v/>
      </c>
    </row>
    <row r="156" ht="20" customHeight="1">
      <c r="B156" s="65" t="n"/>
      <c r="C156" s="65" t="n"/>
      <c r="D156" s="65" t="n"/>
      <c r="E156" s="65" t="n"/>
      <c r="F156" s="83" t="n"/>
      <c r="G156" s="66" t="n"/>
      <c r="H156" s="69">
        <f>IF(B156="","",IF(G156&lt;&gt;"",G156,IF(F156&lt;&gt;"",F156*IFERROR(INDEX('Contractors'!$I$6:$I$35,MATCH(B156,'Contractors'!$B$6:$B$35,0)),0),"")))</f>
        <v/>
      </c>
      <c r="I156" s="81" t="n"/>
      <c r="J156" s="65" t="n"/>
      <c r="K156" s="81" t="n"/>
      <c r="L156" s="66" t="n"/>
      <c r="M156" s="81" t="n"/>
      <c r="N156" s="66" t="n"/>
      <c r="O156" s="91">
        <f>IF(B156="","",IF(M156&lt;&gt;"","Paid",IF(AND(I156&lt;&gt;"",I156&lt;AsOf),"OVERDUE",IF(OR(K156&lt;&gt;"",L156&lt;&gt;""),"Invoiced","Scheduled"))))</f>
        <v/>
      </c>
      <c r="P156" s="92">
        <f>IF(B156="","",IF(E156&lt;&gt;"",E156,IFERROR(INDEX('Contractors'!$D$6:$D$35,MATCH(B156,'Contractors'!$B$6:$B$35,0)),"")))</f>
        <v/>
      </c>
      <c r="Q156" s="63">
        <f>IF(B156="","",IF(D156&lt;&gt;"",D156,IFERROR(INDEX('Contractors'!$E$6:$E$35,MATCH(B156,'Contractors'!$B$6:$B$35,0)),"")))</f>
        <v/>
      </c>
      <c r="R156" s="63">
        <f>IF(O156="","",IF(O156="OVERDUE",2,IF(O156="Paid",0,IF(AND(I156&lt;&gt;"",I156&lt;=AsOf+AlertDays),1,0))))</f>
        <v/>
      </c>
      <c r="S156" s="63">
        <f>IF(AND(B156&lt;&gt;"",M156="",I156&lt;&gt;""),IF(L156&lt;&gt;"",L156,IF(H156="",0,H156)),0)</f>
        <v/>
      </c>
      <c r="T156" s="63">
        <f>IF(AND(B156&lt;&gt;"",M156="",I156&lt;&gt;""),1/I156,0)</f>
        <v/>
      </c>
      <c r="U156" s="85">
        <f>IF(AND(B156&lt;&gt;"",M156="",I156&lt;&gt;""),I156,"")</f>
        <v/>
      </c>
      <c r="V156" s="63">
        <f>IF(U156="","",IF(U156&lt;AsOf,1,IF(U156&lt;=AsOf+AlertDays,2,IF(U156&lt;=AsOf+2*AlertDays,3,""))))</f>
        <v/>
      </c>
      <c r="W156" s="63">
        <f>IF(V156="","",IF(O156="OVERDUE","Overdue payment: ","Payment due: ")&amp;B156&amp;" — "&amp;C156&amp;" ("&amp;CurSym&amp;" "&amp;FIXED(S156,0)&amp;")")</f>
        <v/>
      </c>
    </row>
    <row r="157" ht="20" customHeight="1">
      <c r="B157" s="65" t="n"/>
      <c r="C157" s="65" t="n"/>
      <c r="D157" s="65" t="n"/>
      <c r="E157" s="65" t="n"/>
      <c r="F157" s="83" t="n"/>
      <c r="G157" s="66" t="n"/>
      <c r="H157" s="69">
        <f>IF(B157="","",IF(G157&lt;&gt;"",G157,IF(F157&lt;&gt;"",F157*IFERROR(INDEX('Contractors'!$I$6:$I$35,MATCH(B157,'Contractors'!$B$6:$B$35,0)),0),"")))</f>
        <v/>
      </c>
      <c r="I157" s="81" t="n"/>
      <c r="J157" s="65" t="n"/>
      <c r="K157" s="81" t="n"/>
      <c r="L157" s="66" t="n"/>
      <c r="M157" s="81" t="n"/>
      <c r="N157" s="66" t="n"/>
      <c r="O157" s="91">
        <f>IF(B157="","",IF(M157&lt;&gt;"","Paid",IF(AND(I157&lt;&gt;"",I157&lt;AsOf),"OVERDUE",IF(OR(K157&lt;&gt;"",L157&lt;&gt;""),"Invoiced","Scheduled"))))</f>
        <v/>
      </c>
      <c r="P157" s="92">
        <f>IF(B157="","",IF(E157&lt;&gt;"",E157,IFERROR(INDEX('Contractors'!$D$6:$D$35,MATCH(B157,'Contractors'!$B$6:$B$35,0)),"")))</f>
        <v/>
      </c>
      <c r="Q157" s="63">
        <f>IF(B157="","",IF(D157&lt;&gt;"",D157,IFERROR(INDEX('Contractors'!$E$6:$E$35,MATCH(B157,'Contractors'!$B$6:$B$35,0)),"")))</f>
        <v/>
      </c>
      <c r="R157" s="63">
        <f>IF(O157="","",IF(O157="OVERDUE",2,IF(O157="Paid",0,IF(AND(I157&lt;&gt;"",I157&lt;=AsOf+AlertDays),1,0))))</f>
        <v/>
      </c>
      <c r="S157" s="63">
        <f>IF(AND(B157&lt;&gt;"",M157="",I157&lt;&gt;""),IF(L157&lt;&gt;"",L157,IF(H157="",0,H157)),0)</f>
        <v/>
      </c>
      <c r="T157" s="63">
        <f>IF(AND(B157&lt;&gt;"",M157="",I157&lt;&gt;""),1/I157,0)</f>
        <v/>
      </c>
      <c r="U157" s="85">
        <f>IF(AND(B157&lt;&gt;"",M157="",I157&lt;&gt;""),I157,"")</f>
        <v/>
      </c>
      <c r="V157" s="63">
        <f>IF(U157="","",IF(U157&lt;AsOf,1,IF(U157&lt;=AsOf+AlertDays,2,IF(U157&lt;=AsOf+2*AlertDays,3,""))))</f>
        <v/>
      </c>
      <c r="W157" s="63">
        <f>IF(V157="","",IF(O157="OVERDUE","Overdue payment: ","Payment due: ")&amp;B157&amp;" — "&amp;C157&amp;" ("&amp;CurSym&amp;" "&amp;FIXED(S157,0)&amp;")")</f>
        <v/>
      </c>
    </row>
    <row r="158" ht="20" customHeight="1">
      <c r="B158" s="65" t="n"/>
      <c r="C158" s="65" t="n"/>
      <c r="D158" s="65" t="n"/>
      <c r="E158" s="65" t="n"/>
      <c r="F158" s="83" t="n"/>
      <c r="G158" s="66" t="n"/>
      <c r="H158" s="69">
        <f>IF(B158="","",IF(G158&lt;&gt;"",G158,IF(F158&lt;&gt;"",F158*IFERROR(INDEX('Contractors'!$I$6:$I$35,MATCH(B158,'Contractors'!$B$6:$B$35,0)),0),"")))</f>
        <v/>
      </c>
      <c r="I158" s="81" t="n"/>
      <c r="J158" s="65" t="n"/>
      <c r="K158" s="81" t="n"/>
      <c r="L158" s="66" t="n"/>
      <c r="M158" s="81" t="n"/>
      <c r="N158" s="66" t="n"/>
      <c r="O158" s="91">
        <f>IF(B158="","",IF(M158&lt;&gt;"","Paid",IF(AND(I158&lt;&gt;"",I158&lt;AsOf),"OVERDUE",IF(OR(K158&lt;&gt;"",L158&lt;&gt;""),"Invoiced","Scheduled"))))</f>
        <v/>
      </c>
      <c r="P158" s="92">
        <f>IF(B158="","",IF(E158&lt;&gt;"",E158,IFERROR(INDEX('Contractors'!$D$6:$D$35,MATCH(B158,'Contractors'!$B$6:$B$35,0)),"")))</f>
        <v/>
      </c>
      <c r="Q158" s="63">
        <f>IF(B158="","",IF(D158&lt;&gt;"",D158,IFERROR(INDEX('Contractors'!$E$6:$E$35,MATCH(B158,'Contractors'!$B$6:$B$35,0)),"")))</f>
        <v/>
      </c>
      <c r="R158" s="63">
        <f>IF(O158="","",IF(O158="OVERDUE",2,IF(O158="Paid",0,IF(AND(I158&lt;&gt;"",I158&lt;=AsOf+AlertDays),1,0))))</f>
        <v/>
      </c>
      <c r="S158" s="63">
        <f>IF(AND(B158&lt;&gt;"",M158="",I158&lt;&gt;""),IF(L158&lt;&gt;"",L158,IF(H158="",0,H158)),0)</f>
        <v/>
      </c>
      <c r="T158" s="63">
        <f>IF(AND(B158&lt;&gt;"",M158="",I158&lt;&gt;""),1/I158,0)</f>
        <v/>
      </c>
      <c r="U158" s="85">
        <f>IF(AND(B158&lt;&gt;"",M158="",I158&lt;&gt;""),I158,"")</f>
        <v/>
      </c>
      <c r="V158" s="63">
        <f>IF(U158="","",IF(U158&lt;AsOf,1,IF(U158&lt;=AsOf+AlertDays,2,IF(U158&lt;=AsOf+2*AlertDays,3,""))))</f>
        <v/>
      </c>
      <c r="W158" s="63">
        <f>IF(V158="","",IF(O158="OVERDUE","Overdue payment: ","Payment due: ")&amp;B158&amp;" — "&amp;C158&amp;" ("&amp;CurSym&amp;" "&amp;FIXED(S158,0)&amp;")")</f>
        <v/>
      </c>
    </row>
    <row r="159" ht="20" customHeight="1">
      <c r="B159" s="65" t="n"/>
      <c r="C159" s="65" t="n"/>
      <c r="D159" s="65" t="n"/>
      <c r="E159" s="65" t="n"/>
      <c r="F159" s="83" t="n"/>
      <c r="G159" s="66" t="n"/>
      <c r="H159" s="69">
        <f>IF(B159="","",IF(G159&lt;&gt;"",G159,IF(F159&lt;&gt;"",F159*IFERROR(INDEX('Contractors'!$I$6:$I$35,MATCH(B159,'Contractors'!$B$6:$B$35,0)),0),"")))</f>
        <v/>
      </c>
      <c r="I159" s="81" t="n"/>
      <c r="J159" s="65" t="n"/>
      <c r="K159" s="81" t="n"/>
      <c r="L159" s="66" t="n"/>
      <c r="M159" s="81" t="n"/>
      <c r="N159" s="66" t="n"/>
      <c r="O159" s="91">
        <f>IF(B159="","",IF(M159&lt;&gt;"","Paid",IF(AND(I159&lt;&gt;"",I159&lt;AsOf),"OVERDUE",IF(OR(K159&lt;&gt;"",L159&lt;&gt;""),"Invoiced","Scheduled"))))</f>
        <v/>
      </c>
      <c r="P159" s="92">
        <f>IF(B159="","",IF(E159&lt;&gt;"",E159,IFERROR(INDEX('Contractors'!$D$6:$D$35,MATCH(B159,'Contractors'!$B$6:$B$35,0)),"")))</f>
        <v/>
      </c>
      <c r="Q159" s="63">
        <f>IF(B159="","",IF(D159&lt;&gt;"",D159,IFERROR(INDEX('Contractors'!$E$6:$E$35,MATCH(B159,'Contractors'!$B$6:$B$35,0)),"")))</f>
        <v/>
      </c>
      <c r="R159" s="63">
        <f>IF(O159="","",IF(O159="OVERDUE",2,IF(O159="Paid",0,IF(AND(I159&lt;&gt;"",I159&lt;=AsOf+AlertDays),1,0))))</f>
        <v/>
      </c>
      <c r="S159" s="63">
        <f>IF(AND(B159&lt;&gt;"",M159="",I159&lt;&gt;""),IF(L159&lt;&gt;"",L159,IF(H159="",0,H159)),0)</f>
        <v/>
      </c>
      <c r="T159" s="63">
        <f>IF(AND(B159&lt;&gt;"",M159="",I159&lt;&gt;""),1/I159,0)</f>
        <v/>
      </c>
      <c r="U159" s="85">
        <f>IF(AND(B159&lt;&gt;"",M159="",I159&lt;&gt;""),I159,"")</f>
        <v/>
      </c>
      <c r="V159" s="63">
        <f>IF(U159="","",IF(U159&lt;AsOf,1,IF(U159&lt;=AsOf+AlertDays,2,IF(U159&lt;=AsOf+2*AlertDays,3,""))))</f>
        <v/>
      </c>
      <c r="W159" s="63">
        <f>IF(V159="","",IF(O159="OVERDUE","Overdue payment: ","Payment due: ")&amp;B159&amp;" — "&amp;C159&amp;" ("&amp;CurSym&amp;" "&amp;FIXED(S159,0)&amp;")")</f>
        <v/>
      </c>
    </row>
    <row r="160" ht="20" customHeight="1">
      <c r="B160" s="65" t="n"/>
      <c r="C160" s="65" t="n"/>
      <c r="D160" s="65" t="n"/>
      <c r="E160" s="65" t="n"/>
      <c r="F160" s="83" t="n"/>
      <c r="G160" s="66" t="n"/>
      <c r="H160" s="69">
        <f>IF(B160="","",IF(G160&lt;&gt;"",G160,IF(F160&lt;&gt;"",F160*IFERROR(INDEX('Contractors'!$I$6:$I$35,MATCH(B160,'Contractors'!$B$6:$B$35,0)),0),"")))</f>
        <v/>
      </c>
      <c r="I160" s="81" t="n"/>
      <c r="J160" s="65" t="n"/>
      <c r="K160" s="81" t="n"/>
      <c r="L160" s="66" t="n"/>
      <c r="M160" s="81" t="n"/>
      <c r="N160" s="66" t="n"/>
      <c r="O160" s="91">
        <f>IF(B160="","",IF(M160&lt;&gt;"","Paid",IF(AND(I160&lt;&gt;"",I160&lt;AsOf),"OVERDUE",IF(OR(K160&lt;&gt;"",L160&lt;&gt;""),"Invoiced","Scheduled"))))</f>
        <v/>
      </c>
      <c r="P160" s="92">
        <f>IF(B160="","",IF(E160&lt;&gt;"",E160,IFERROR(INDEX('Contractors'!$D$6:$D$35,MATCH(B160,'Contractors'!$B$6:$B$35,0)),"")))</f>
        <v/>
      </c>
      <c r="Q160" s="63">
        <f>IF(B160="","",IF(D160&lt;&gt;"",D160,IFERROR(INDEX('Contractors'!$E$6:$E$35,MATCH(B160,'Contractors'!$B$6:$B$35,0)),"")))</f>
        <v/>
      </c>
      <c r="R160" s="63">
        <f>IF(O160="","",IF(O160="OVERDUE",2,IF(O160="Paid",0,IF(AND(I160&lt;&gt;"",I160&lt;=AsOf+AlertDays),1,0))))</f>
        <v/>
      </c>
      <c r="S160" s="63">
        <f>IF(AND(B160&lt;&gt;"",M160="",I160&lt;&gt;""),IF(L160&lt;&gt;"",L160,IF(H160="",0,H160)),0)</f>
        <v/>
      </c>
      <c r="T160" s="63">
        <f>IF(AND(B160&lt;&gt;"",M160="",I160&lt;&gt;""),1/I160,0)</f>
        <v/>
      </c>
      <c r="U160" s="85">
        <f>IF(AND(B160&lt;&gt;"",M160="",I160&lt;&gt;""),I160,"")</f>
        <v/>
      </c>
      <c r="V160" s="63">
        <f>IF(U160="","",IF(U160&lt;AsOf,1,IF(U160&lt;=AsOf+AlertDays,2,IF(U160&lt;=AsOf+2*AlertDays,3,""))))</f>
        <v/>
      </c>
      <c r="W160" s="63">
        <f>IF(V160="","",IF(O160="OVERDUE","Overdue payment: ","Payment due: ")&amp;B160&amp;" — "&amp;C160&amp;" ("&amp;CurSym&amp;" "&amp;FIXED(S160,0)&amp;")")</f>
        <v/>
      </c>
    </row>
    <row r="161" ht="20" customHeight="1">
      <c r="B161" s="65" t="n"/>
      <c r="C161" s="65" t="n"/>
      <c r="D161" s="65" t="n"/>
      <c r="E161" s="65" t="n"/>
      <c r="F161" s="83" t="n"/>
      <c r="G161" s="66" t="n"/>
      <c r="H161" s="69">
        <f>IF(B161="","",IF(G161&lt;&gt;"",G161,IF(F161&lt;&gt;"",F161*IFERROR(INDEX('Contractors'!$I$6:$I$35,MATCH(B161,'Contractors'!$B$6:$B$35,0)),0),"")))</f>
        <v/>
      </c>
      <c r="I161" s="81" t="n"/>
      <c r="J161" s="65" t="n"/>
      <c r="K161" s="81" t="n"/>
      <c r="L161" s="66" t="n"/>
      <c r="M161" s="81" t="n"/>
      <c r="N161" s="66" t="n"/>
      <c r="O161" s="91">
        <f>IF(B161="","",IF(M161&lt;&gt;"","Paid",IF(AND(I161&lt;&gt;"",I161&lt;AsOf),"OVERDUE",IF(OR(K161&lt;&gt;"",L161&lt;&gt;""),"Invoiced","Scheduled"))))</f>
        <v/>
      </c>
      <c r="P161" s="92">
        <f>IF(B161="","",IF(E161&lt;&gt;"",E161,IFERROR(INDEX('Contractors'!$D$6:$D$35,MATCH(B161,'Contractors'!$B$6:$B$35,0)),"")))</f>
        <v/>
      </c>
      <c r="Q161" s="63">
        <f>IF(B161="","",IF(D161&lt;&gt;"",D161,IFERROR(INDEX('Contractors'!$E$6:$E$35,MATCH(B161,'Contractors'!$B$6:$B$35,0)),"")))</f>
        <v/>
      </c>
      <c r="R161" s="63">
        <f>IF(O161="","",IF(O161="OVERDUE",2,IF(O161="Paid",0,IF(AND(I161&lt;&gt;"",I161&lt;=AsOf+AlertDays),1,0))))</f>
        <v/>
      </c>
      <c r="S161" s="63">
        <f>IF(AND(B161&lt;&gt;"",M161="",I161&lt;&gt;""),IF(L161&lt;&gt;"",L161,IF(H161="",0,H161)),0)</f>
        <v/>
      </c>
      <c r="T161" s="63">
        <f>IF(AND(B161&lt;&gt;"",M161="",I161&lt;&gt;""),1/I161,0)</f>
        <v/>
      </c>
      <c r="U161" s="85">
        <f>IF(AND(B161&lt;&gt;"",M161="",I161&lt;&gt;""),I161,"")</f>
        <v/>
      </c>
      <c r="V161" s="63">
        <f>IF(U161="","",IF(U161&lt;AsOf,1,IF(U161&lt;=AsOf+AlertDays,2,IF(U161&lt;=AsOf+2*AlertDays,3,""))))</f>
        <v/>
      </c>
      <c r="W161" s="63">
        <f>IF(V161="","",IF(O161="OVERDUE","Overdue payment: ","Payment due: ")&amp;B161&amp;" — "&amp;C161&amp;" ("&amp;CurSym&amp;" "&amp;FIXED(S161,0)&amp;")")</f>
        <v/>
      </c>
    </row>
    <row r="162" ht="20" customHeight="1">
      <c r="B162" s="65" t="n"/>
      <c r="C162" s="65" t="n"/>
      <c r="D162" s="65" t="n"/>
      <c r="E162" s="65" t="n"/>
      <c r="F162" s="83" t="n"/>
      <c r="G162" s="66" t="n"/>
      <c r="H162" s="69">
        <f>IF(B162="","",IF(G162&lt;&gt;"",G162,IF(F162&lt;&gt;"",F162*IFERROR(INDEX('Contractors'!$I$6:$I$35,MATCH(B162,'Contractors'!$B$6:$B$35,0)),0),"")))</f>
        <v/>
      </c>
      <c r="I162" s="81" t="n"/>
      <c r="J162" s="65" t="n"/>
      <c r="K162" s="81" t="n"/>
      <c r="L162" s="66" t="n"/>
      <c r="M162" s="81" t="n"/>
      <c r="N162" s="66" t="n"/>
      <c r="O162" s="91">
        <f>IF(B162="","",IF(M162&lt;&gt;"","Paid",IF(AND(I162&lt;&gt;"",I162&lt;AsOf),"OVERDUE",IF(OR(K162&lt;&gt;"",L162&lt;&gt;""),"Invoiced","Scheduled"))))</f>
        <v/>
      </c>
      <c r="P162" s="92">
        <f>IF(B162="","",IF(E162&lt;&gt;"",E162,IFERROR(INDEX('Contractors'!$D$6:$D$35,MATCH(B162,'Contractors'!$B$6:$B$35,0)),"")))</f>
        <v/>
      </c>
      <c r="Q162" s="63">
        <f>IF(B162="","",IF(D162&lt;&gt;"",D162,IFERROR(INDEX('Contractors'!$E$6:$E$35,MATCH(B162,'Contractors'!$B$6:$B$35,0)),"")))</f>
        <v/>
      </c>
      <c r="R162" s="63">
        <f>IF(O162="","",IF(O162="OVERDUE",2,IF(O162="Paid",0,IF(AND(I162&lt;&gt;"",I162&lt;=AsOf+AlertDays),1,0))))</f>
        <v/>
      </c>
      <c r="S162" s="63">
        <f>IF(AND(B162&lt;&gt;"",M162="",I162&lt;&gt;""),IF(L162&lt;&gt;"",L162,IF(H162="",0,H162)),0)</f>
        <v/>
      </c>
      <c r="T162" s="63">
        <f>IF(AND(B162&lt;&gt;"",M162="",I162&lt;&gt;""),1/I162,0)</f>
        <v/>
      </c>
      <c r="U162" s="85">
        <f>IF(AND(B162&lt;&gt;"",M162="",I162&lt;&gt;""),I162,"")</f>
        <v/>
      </c>
      <c r="V162" s="63">
        <f>IF(U162="","",IF(U162&lt;AsOf,1,IF(U162&lt;=AsOf+AlertDays,2,IF(U162&lt;=AsOf+2*AlertDays,3,""))))</f>
        <v/>
      </c>
      <c r="W162" s="63">
        <f>IF(V162="","",IF(O162="OVERDUE","Overdue payment: ","Payment due: ")&amp;B162&amp;" — "&amp;C162&amp;" ("&amp;CurSym&amp;" "&amp;FIXED(S162,0)&amp;")")</f>
        <v/>
      </c>
    </row>
    <row r="163" ht="20" customHeight="1">
      <c r="B163" s="65" t="n"/>
      <c r="C163" s="65" t="n"/>
      <c r="D163" s="65" t="n"/>
      <c r="E163" s="65" t="n"/>
      <c r="F163" s="83" t="n"/>
      <c r="G163" s="66" t="n"/>
      <c r="H163" s="69">
        <f>IF(B163="","",IF(G163&lt;&gt;"",G163,IF(F163&lt;&gt;"",F163*IFERROR(INDEX('Contractors'!$I$6:$I$35,MATCH(B163,'Contractors'!$B$6:$B$35,0)),0),"")))</f>
        <v/>
      </c>
      <c r="I163" s="81" t="n"/>
      <c r="J163" s="65" t="n"/>
      <c r="K163" s="81" t="n"/>
      <c r="L163" s="66" t="n"/>
      <c r="M163" s="81" t="n"/>
      <c r="N163" s="66" t="n"/>
      <c r="O163" s="91">
        <f>IF(B163="","",IF(M163&lt;&gt;"","Paid",IF(AND(I163&lt;&gt;"",I163&lt;AsOf),"OVERDUE",IF(OR(K163&lt;&gt;"",L163&lt;&gt;""),"Invoiced","Scheduled"))))</f>
        <v/>
      </c>
      <c r="P163" s="92">
        <f>IF(B163="","",IF(E163&lt;&gt;"",E163,IFERROR(INDEX('Contractors'!$D$6:$D$35,MATCH(B163,'Contractors'!$B$6:$B$35,0)),"")))</f>
        <v/>
      </c>
      <c r="Q163" s="63">
        <f>IF(B163="","",IF(D163&lt;&gt;"",D163,IFERROR(INDEX('Contractors'!$E$6:$E$35,MATCH(B163,'Contractors'!$B$6:$B$35,0)),"")))</f>
        <v/>
      </c>
      <c r="R163" s="63">
        <f>IF(O163="","",IF(O163="OVERDUE",2,IF(O163="Paid",0,IF(AND(I163&lt;&gt;"",I163&lt;=AsOf+AlertDays),1,0))))</f>
        <v/>
      </c>
      <c r="S163" s="63">
        <f>IF(AND(B163&lt;&gt;"",M163="",I163&lt;&gt;""),IF(L163&lt;&gt;"",L163,IF(H163="",0,H163)),0)</f>
        <v/>
      </c>
      <c r="T163" s="63">
        <f>IF(AND(B163&lt;&gt;"",M163="",I163&lt;&gt;""),1/I163,0)</f>
        <v/>
      </c>
      <c r="U163" s="85">
        <f>IF(AND(B163&lt;&gt;"",M163="",I163&lt;&gt;""),I163,"")</f>
        <v/>
      </c>
      <c r="V163" s="63">
        <f>IF(U163="","",IF(U163&lt;AsOf,1,IF(U163&lt;=AsOf+AlertDays,2,IF(U163&lt;=AsOf+2*AlertDays,3,""))))</f>
        <v/>
      </c>
      <c r="W163" s="63">
        <f>IF(V163="","",IF(O163="OVERDUE","Overdue payment: ","Payment due: ")&amp;B163&amp;" — "&amp;C163&amp;" ("&amp;CurSym&amp;" "&amp;FIXED(S163,0)&amp;")")</f>
        <v/>
      </c>
    </row>
    <row r="164" ht="20" customHeight="1">
      <c r="B164" s="65" t="n"/>
      <c r="C164" s="65" t="n"/>
      <c r="D164" s="65" t="n"/>
      <c r="E164" s="65" t="n"/>
      <c r="F164" s="83" t="n"/>
      <c r="G164" s="66" t="n"/>
      <c r="H164" s="69">
        <f>IF(B164="","",IF(G164&lt;&gt;"",G164,IF(F164&lt;&gt;"",F164*IFERROR(INDEX('Contractors'!$I$6:$I$35,MATCH(B164,'Contractors'!$B$6:$B$35,0)),0),"")))</f>
        <v/>
      </c>
      <c r="I164" s="81" t="n"/>
      <c r="J164" s="65" t="n"/>
      <c r="K164" s="81" t="n"/>
      <c r="L164" s="66" t="n"/>
      <c r="M164" s="81" t="n"/>
      <c r="N164" s="66" t="n"/>
      <c r="O164" s="91">
        <f>IF(B164="","",IF(M164&lt;&gt;"","Paid",IF(AND(I164&lt;&gt;"",I164&lt;AsOf),"OVERDUE",IF(OR(K164&lt;&gt;"",L164&lt;&gt;""),"Invoiced","Scheduled"))))</f>
        <v/>
      </c>
      <c r="P164" s="92">
        <f>IF(B164="","",IF(E164&lt;&gt;"",E164,IFERROR(INDEX('Contractors'!$D$6:$D$35,MATCH(B164,'Contractors'!$B$6:$B$35,0)),"")))</f>
        <v/>
      </c>
      <c r="Q164" s="63">
        <f>IF(B164="","",IF(D164&lt;&gt;"",D164,IFERROR(INDEX('Contractors'!$E$6:$E$35,MATCH(B164,'Contractors'!$B$6:$B$35,0)),"")))</f>
        <v/>
      </c>
      <c r="R164" s="63">
        <f>IF(O164="","",IF(O164="OVERDUE",2,IF(O164="Paid",0,IF(AND(I164&lt;&gt;"",I164&lt;=AsOf+AlertDays),1,0))))</f>
        <v/>
      </c>
      <c r="S164" s="63">
        <f>IF(AND(B164&lt;&gt;"",M164="",I164&lt;&gt;""),IF(L164&lt;&gt;"",L164,IF(H164="",0,H164)),0)</f>
        <v/>
      </c>
      <c r="T164" s="63">
        <f>IF(AND(B164&lt;&gt;"",M164="",I164&lt;&gt;""),1/I164,0)</f>
        <v/>
      </c>
      <c r="U164" s="85">
        <f>IF(AND(B164&lt;&gt;"",M164="",I164&lt;&gt;""),I164,"")</f>
        <v/>
      </c>
      <c r="V164" s="63">
        <f>IF(U164="","",IF(U164&lt;AsOf,1,IF(U164&lt;=AsOf+AlertDays,2,IF(U164&lt;=AsOf+2*AlertDays,3,""))))</f>
        <v/>
      </c>
      <c r="W164" s="63">
        <f>IF(V164="","",IF(O164="OVERDUE","Overdue payment: ","Payment due: ")&amp;B164&amp;" — "&amp;C164&amp;" ("&amp;CurSym&amp;" "&amp;FIXED(S164,0)&amp;")")</f>
        <v/>
      </c>
    </row>
    <row r="165" ht="20" customHeight="1">
      <c r="B165" s="65" t="n"/>
      <c r="C165" s="65" t="n"/>
      <c r="D165" s="65" t="n"/>
      <c r="E165" s="65" t="n"/>
      <c r="F165" s="83" t="n"/>
      <c r="G165" s="66" t="n"/>
      <c r="H165" s="69">
        <f>IF(B165="","",IF(G165&lt;&gt;"",G165,IF(F165&lt;&gt;"",F165*IFERROR(INDEX('Contractors'!$I$6:$I$35,MATCH(B165,'Contractors'!$B$6:$B$35,0)),0),"")))</f>
        <v/>
      </c>
      <c r="I165" s="81" t="n"/>
      <c r="J165" s="65" t="n"/>
      <c r="K165" s="81" t="n"/>
      <c r="L165" s="66" t="n"/>
      <c r="M165" s="81" t="n"/>
      <c r="N165" s="66" t="n"/>
      <c r="O165" s="91">
        <f>IF(B165="","",IF(M165&lt;&gt;"","Paid",IF(AND(I165&lt;&gt;"",I165&lt;AsOf),"OVERDUE",IF(OR(K165&lt;&gt;"",L165&lt;&gt;""),"Invoiced","Scheduled"))))</f>
        <v/>
      </c>
      <c r="P165" s="92">
        <f>IF(B165="","",IF(E165&lt;&gt;"",E165,IFERROR(INDEX('Contractors'!$D$6:$D$35,MATCH(B165,'Contractors'!$B$6:$B$35,0)),"")))</f>
        <v/>
      </c>
      <c r="Q165" s="63">
        <f>IF(B165="","",IF(D165&lt;&gt;"",D165,IFERROR(INDEX('Contractors'!$E$6:$E$35,MATCH(B165,'Contractors'!$B$6:$B$35,0)),"")))</f>
        <v/>
      </c>
      <c r="R165" s="63">
        <f>IF(O165="","",IF(O165="OVERDUE",2,IF(O165="Paid",0,IF(AND(I165&lt;&gt;"",I165&lt;=AsOf+AlertDays),1,0))))</f>
        <v/>
      </c>
      <c r="S165" s="63">
        <f>IF(AND(B165&lt;&gt;"",M165="",I165&lt;&gt;""),IF(L165&lt;&gt;"",L165,IF(H165="",0,H165)),0)</f>
        <v/>
      </c>
      <c r="T165" s="63">
        <f>IF(AND(B165&lt;&gt;"",M165="",I165&lt;&gt;""),1/I165,0)</f>
        <v/>
      </c>
      <c r="U165" s="85">
        <f>IF(AND(B165&lt;&gt;"",M165="",I165&lt;&gt;""),I165,"")</f>
        <v/>
      </c>
      <c r="V165" s="63">
        <f>IF(U165="","",IF(U165&lt;AsOf,1,IF(U165&lt;=AsOf+AlertDays,2,IF(U165&lt;=AsOf+2*AlertDays,3,""))))</f>
        <v/>
      </c>
      <c r="W165" s="63">
        <f>IF(V165="","",IF(O165="OVERDUE","Overdue payment: ","Payment due: ")&amp;B165&amp;" — "&amp;C165&amp;" ("&amp;CurSym&amp;" "&amp;FIXED(S165,0)&amp;")")</f>
        <v/>
      </c>
    </row>
    <row r="166" ht="20" customHeight="1">
      <c r="B166" s="65" t="n"/>
      <c r="C166" s="65" t="n"/>
      <c r="D166" s="65" t="n"/>
      <c r="E166" s="65" t="n"/>
      <c r="F166" s="83" t="n"/>
      <c r="G166" s="66" t="n"/>
      <c r="H166" s="69">
        <f>IF(B166="","",IF(G166&lt;&gt;"",G166,IF(F166&lt;&gt;"",F166*IFERROR(INDEX('Contractors'!$I$6:$I$35,MATCH(B166,'Contractors'!$B$6:$B$35,0)),0),"")))</f>
        <v/>
      </c>
      <c r="I166" s="81" t="n"/>
      <c r="J166" s="65" t="n"/>
      <c r="K166" s="81" t="n"/>
      <c r="L166" s="66" t="n"/>
      <c r="M166" s="81" t="n"/>
      <c r="N166" s="66" t="n"/>
      <c r="O166" s="91">
        <f>IF(B166="","",IF(M166&lt;&gt;"","Paid",IF(AND(I166&lt;&gt;"",I166&lt;AsOf),"OVERDUE",IF(OR(K166&lt;&gt;"",L166&lt;&gt;""),"Invoiced","Scheduled"))))</f>
        <v/>
      </c>
      <c r="P166" s="92">
        <f>IF(B166="","",IF(E166&lt;&gt;"",E166,IFERROR(INDEX('Contractors'!$D$6:$D$35,MATCH(B166,'Contractors'!$B$6:$B$35,0)),"")))</f>
        <v/>
      </c>
      <c r="Q166" s="63">
        <f>IF(B166="","",IF(D166&lt;&gt;"",D166,IFERROR(INDEX('Contractors'!$E$6:$E$35,MATCH(B166,'Contractors'!$B$6:$B$35,0)),"")))</f>
        <v/>
      </c>
      <c r="R166" s="63">
        <f>IF(O166="","",IF(O166="OVERDUE",2,IF(O166="Paid",0,IF(AND(I166&lt;&gt;"",I166&lt;=AsOf+AlertDays),1,0))))</f>
        <v/>
      </c>
      <c r="S166" s="63">
        <f>IF(AND(B166&lt;&gt;"",M166="",I166&lt;&gt;""),IF(L166&lt;&gt;"",L166,IF(H166="",0,H166)),0)</f>
        <v/>
      </c>
      <c r="T166" s="63">
        <f>IF(AND(B166&lt;&gt;"",M166="",I166&lt;&gt;""),1/I166,0)</f>
        <v/>
      </c>
      <c r="U166" s="85">
        <f>IF(AND(B166&lt;&gt;"",M166="",I166&lt;&gt;""),I166,"")</f>
        <v/>
      </c>
      <c r="V166" s="63">
        <f>IF(U166="","",IF(U166&lt;AsOf,1,IF(U166&lt;=AsOf+AlertDays,2,IF(U166&lt;=AsOf+2*AlertDays,3,""))))</f>
        <v/>
      </c>
      <c r="W166" s="63">
        <f>IF(V166="","",IF(O166="OVERDUE","Overdue payment: ","Payment due: ")&amp;B166&amp;" — "&amp;C166&amp;" ("&amp;CurSym&amp;" "&amp;FIXED(S166,0)&amp;")")</f>
        <v/>
      </c>
    </row>
    <row r="167" ht="20" customHeight="1">
      <c r="B167" s="65" t="n"/>
      <c r="C167" s="65" t="n"/>
      <c r="D167" s="65" t="n"/>
      <c r="E167" s="65" t="n"/>
      <c r="F167" s="83" t="n"/>
      <c r="G167" s="66" t="n"/>
      <c r="H167" s="69">
        <f>IF(B167="","",IF(G167&lt;&gt;"",G167,IF(F167&lt;&gt;"",F167*IFERROR(INDEX('Contractors'!$I$6:$I$35,MATCH(B167,'Contractors'!$B$6:$B$35,0)),0),"")))</f>
        <v/>
      </c>
      <c r="I167" s="81" t="n"/>
      <c r="J167" s="65" t="n"/>
      <c r="K167" s="81" t="n"/>
      <c r="L167" s="66" t="n"/>
      <c r="M167" s="81" t="n"/>
      <c r="N167" s="66" t="n"/>
      <c r="O167" s="91">
        <f>IF(B167="","",IF(M167&lt;&gt;"","Paid",IF(AND(I167&lt;&gt;"",I167&lt;AsOf),"OVERDUE",IF(OR(K167&lt;&gt;"",L167&lt;&gt;""),"Invoiced","Scheduled"))))</f>
        <v/>
      </c>
      <c r="P167" s="92">
        <f>IF(B167="","",IF(E167&lt;&gt;"",E167,IFERROR(INDEX('Contractors'!$D$6:$D$35,MATCH(B167,'Contractors'!$B$6:$B$35,0)),"")))</f>
        <v/>
      </c>
      <c r="Q167" s="63">
        <f>IF(B167="","",IF(D167&lt;&gt;"",D167,IFERROR(INDEX('Contractors'!$E$6:$E$35,MATCH(B167,'Contractors'!$B$6:$B$35,0)),"")))</f>
        <v/>
      </c>
      <c r="R167" s="63">
        <f>IF(O167="","",IF(O167="OVERDUE",2,IF(O167="Paid",0,IF(AND(I167&lt;&gt;"",I167&lt;=AsOf+AlertDays),1,0))))</f>
        <v/>
      </c>
      <c r="S167" s="63">
        <f>IF(AND(B167&lt;&gt;"",M167="",I167&lt;&gt;""),IF(L167&lt;&gt;"",L167,IF(H167="",0,H167)),0)</f>
        <v/>
      </c>
      <c r="T167" s="63">
        <f>IF(AND(B167&lt;&gt;"",M167="",I167&lt;&gt;""),1/I167,0)</f>
        <v/>
      </c>
      <c r="U167" s="85">
        <f>IF(AND(B167&lt;&gt;"",M167="",I167&lt;&gt;""),I167,"")</f>
        <v/>
      </c>
      <c r="V167" s="63">
        <f>IF(U167="","",IF(U167&lt;AsOf,1,IF(U167&lt;=AsOf+AlertDays,2,IF(U167&lt;=AsOf+2*AlertDays,3,""))))</f>
        <v/>
      </c>
      <c r="W167" s="63">
        <f>IF(V167="","",IF(O167="OVERDUE","Overdue payment: ","Payment due: ")&amp;B167&amp;" — "&amp;C167&amp;" ("&amp;CurSym&amp;" "&amp;FIXED(S167,0)&amp;")")</f>
        <v/>
      </c>
    </row>
    <row r="168" ht="20" customHeight="1">
      <c r="B168" s="65" t="n"/>
      <c r="C168" s="65" t="n"/>
      <c r="D168" s="65" t="n"/>
      <c r="E168" s="65" t="n"/>
      <c r="F168" s="83" t="n"/>
      <c r="G168" s="66" t="n"/>
      <c r="H168" s="69">
        <f>IF(B168="","",IF(G168&lt;&gt;"",G168,IF(F168&lt;&gt;"",F168*IFERROR(INDEX('Contractors'!$I$6:$I$35,MATCH(B168,'Contractors'!$B$6:$B$35,0)),0),"")))</f>
        <v/>
      </c>
      <c r="I168" s="81" t="n"/>
      <c r="J168" s="65" t="n"/>
      <c r="K168" s="81" t="n"/>
      <c r="L168" s="66" t="n"/>
      <c r="M168" s="81" t="n"/>
      <c r="N168" s="66" t="n"/>
      <c r="O168" s="91">
        <f>IF(B168="","",IF(M168&lt;&gt;"","Paid",IF(AND(I168&lt;&gt;"",I168&lt;AsOf),"OVERDUE",IF(OR(K168&lt;&gt;"",L168&lt;&gt;""),"Invoiced","Scheduled"))))</f>
        <v/>
      </c>
      <c r="P168" s="92">
        <f>IF(B168="","",IF(E168&lt;&gt;"",E168,IFERROR(INDEX('Contractors'!$D$6:$D$35,MATCH(B168,'Contractors'!$B$6:$B$35,0)),"")))</f>
        <v/>
      </c>
      <c r="Q168" s="63">
        <f>IF(B168="","",IF(D168&lt;&gt;"",D168,IFERROR(INDEX('Contractors'!$E$6:$E$35,MATCH(B168,'Contractors'!$B$6:$B$35,0)),"")))</f>
        <v/>
      </c>
      <c r="R168" s="63">
        <f>IF(O168="","",IF(O168="OVERDUE",2,IF(O168="Paid",0,IF(AND(I168&lt;&gt;"",I168&lt;=AsOf+AlertDays),1,0))))</f>
        <v/>
      </c>
      <c r="S168" s="63">
        <f>IF(AND(B168&lt;&gt;"",M168="",I168&lt;&gt;""),IF(L168&lt;&gt;"",L168,IF(H168="",0,H168)),0)</f>
        <v/>
      </c>
      <c r="T168" s="63">
        <f>IF(AND(B168&lt;&gt;"",M168="",I168&lt;&gt;""),1/I168,0)</f>
        <v/>
      </c>
      <c r="U168" s="85">
        <f>IF(AND(B168&lt;&gt;"",M168="",I168&lt;&gt;""),I168,"")</f>
        <v/>
      </c>
      <c r="V168" s="63">
        <f>IF(U168="","",IF(U168&lt;AsOf,1,IF(U168&lt;=AsOf+AlertDays,2,IF(U168&lt;=AsOf+2*AlertDays,3,""))))</f>
        <v/>
      </c>
      <c r="W168" s="63">
        <f>IF(V168="","",IF(O168="OVERDUE","Overdue payment: ","Payment due: ")&amp;B168&amp;" — "&amp;C168&amp;" ("&amp;CurSym&amp;" "&amp;FIXED(S168,0)&amp;")")</f>
        <v/>
      </c>
    </row>
    <row r="169" ht="20" customHeight="1">
      <c r="B169" s="65" t="n"/>
      <c r="C169" s="65" t="n"/>
      <c r="D169" s="65" t="n"/>
      <c r="E169" s="65" t="n"/>
      <c r="F169" s="83" t="n"/>
      <c r="G169" s="66" t="n"/>
      <c r="H169" s="69">
        <f>IF(B169="","",IF(G169&lt;&gt;"",G169,IF(F169&lt;&gt;"",F169*IFERROR(INDEX('Contractors'!$I$6:$I$35,MATCH(B169,'Contractors'!$B$6:$B$35,0)),0),"")))</f>
        <v/>
      </c>
      <c r="I169" s="81" t="n"/>
      <c r="J169" s="65" t="n"/>
      <c r="K169" s="81" t="n"/>
      <c r="L169" s="66" t="n"/>
      <c r="M169" s="81" t="n"/>
      <c r="N169" s="66" t="n"/>
      <c r="O169" s="91">
        <f>IF(B169="","",IF(M169&lt;&gt;"","Paid",IF(AND(I169&lt;&gt;"",I169&lt;AsOf),"OVERDUE",IF(OR(K169&lt;&gt;"",L169&lt;&gt;""),"Invoiced","Scheduled"))))</f>
        <v/>
      </c>
      <c r="P169" s="92">
        <f>IF(B169="","",IF(E169&lt;&gt;"",E169,IFERROR(INDEX('Contractors'!$D$6:$D$35,MATCH(B169,'Contractors'!$B$6:$B$35,0)),"")))</f>
        <v/>
      </c>
      <c r="Q169" s="63">
        <f>IF(B169="","",IF(D169&lt;&gt;"",D169,IFERROR(INDEX('Contractors'!$E$6:$E$35,MATCH(B169,'Contractors'!$B$6:$B$35,0)),"")))</f>
        <v/>
      </c>
      <c r="R169" s="63">
        <f>IF(O169="","",IF(O169="OVERDUE",2,IF(O169="Paid",0,IF(AND(I169&lt;&gt;"",I169&lt;=AsOf+AlertDays),1,0))))</f>
        <v/>
      </c>
      <c r="S169" s="63">
        <f>IF(AND(B169&lt;&gt;"",M169="",I169&lt;&gt;""),IF(L169&lt;&gt;"",L169,IF(H169="",0,H169)),0)</f>
        <v/>
      </c>
      <c r="T169" s="63">
        <f>IF(AND(B169&lt;&gt;"",M169="",I169&lt;&gt;""),1/I169,0)</f>
        <v/>
      </c>
      <c r="U169" s="85">
        <f>IF(AND(B169&lt;&gt;"",M169="",I169&lt;&gt;""),I169,"")</f>
        <v/>
      </c>
      <c r="V169" s="63">
        <f>IF(U169="","",IF(U169&lt;AsOf,1,IF(U169&lt;=AsOf+AlertDays,2,IF(U169&lt;=AsOf+2*AlertDays,3,""))))</f>
        <v/>
      </c>
      <c r="W169" s="63">
        <f>IF(V169="","",IF(O169="OVERDUE","Overdue payment: ","Payment due: ")&amp;B169&amp;" — "&amp;C169&amp;" ("&amp;CurSym&amp;" "&amp;FIXED(S169,0)&amp;")")</f>
        <v/>
      </c>
    </row>
    <row r="170" ht="20" customHeight="1">
      <c r="B170" s="65" t="n"/>
      <c r="C170" s="65" t="n"/>
      <c r="D170" s="65" t="n"/>
      <c r="E170" s="65" t="n"/>
      <c r="F170" s="83" t="n"/>
      <c r="G170" s="66" t="n"/>
      <c r="H170" s="69">
        <f>IF(B170="","",IF(G170&lt;&gt;"",G170,IF(F170&lt;&gt;"",F170*IFERROR(INDEX('Contractors'!$I$6:$I$35,MATCH(B170,'Contractors'!$B$6:$B$35,0)),0),"")))</f>
        <v/>
      </c>
      <c r="I170" s="81" t="n"/>
      <c r="J170" s="65" t="n"/>
      <c r="K170" s="81" t="n"/>
      <c r="L170" s="66" t="n"/>
      <c r="M170" s="81" t="n"/>
      <c r="N170" s="66" t="n"/>
      <c r="O170" s="91">
        <f>IF(B170="","",IF(M170&lt;&gt;"","Paid",IF(AND(I170&lt;&gt;"",I170&lt;AsOf),"OVERDUE",IF(OR(K170&lt;&gt;"",L170&lt;&gt;""),"Invoiced","Scheduled"))))</f>
        <v/>
      </c>
      <c r="P170" s="92">
        <f>IF(B170="","",IF(E170&lt;&gt;"",E170,IFERROR(INDEX('Contractors'!$D$6:$D$35,MATCH(B170,'Contractors'!$B$6:$B$35,0)),"")))</f>
        <v/>
      </c>
      <c r="Q170" s="63">
        <f>IF(B170="","",IF(D170&lt;&gt;"",D170,IFERROR(INDEX('Contractors'!$E$6:$E$35,MATCH(B170,'Contractors'!$B$6:$B$35,0)),"")))</f>
        <v/>
      </c>
      <c r="R170" s="63">
        <f>IF(O170="","",IF(O170="OVERDUE",2,IF(O170="Paid",0,IF(AND(I170&lt;&gt;"",I170&lt;=AsOf+AlertDays),1,0))))</f>
        <v/>
      </c>
      <c r="S170" s="63">
        <f>IF(AND(B170&lt;&gt;"",M170="",I170&lt;&gt;""),IF(L170&lt;&gt;"",L170,IF(H170="",0,H170)),0)</f>
        <v/>
      </c>
      <c r="T170" s="63">
        <f>IF(AND(B170&lt;&gt;"",M170="",I170&lt;&gt;""),1/I170,0)</f>
        <v/>
      </c>
      <c r="U170" s="85">
        <f>IF(AND(B170&lt;&gt;"",M170="",I170&lt;&gt;""),I170,"")</f>
        <v/>
      </c>
      <c r="V170" s="63">
        <f>IF(U170="","",IF(U170&lt;AsOf,1,IF(U170&lt;=AsOf+AlertDays,2,IF(U170&lt;=AsOf+2*AlertDays,3,""))))</f>
        <v/>
      </c>
      <c r="W170" s="63">
        <f>IF(V170="","",IF(O170="OVERDUE","Overdue payment: ","Payment due: ")&amp;B170&amp;" — "&amp;C170&amp;" ("&amp;CurSym&amp;" "&amp;FIXED(S170,0)&amp;")")</f>
        <v/>
      </c>
    </row>
    <row r="171" ht="20" customHeight="1">
      <c r="B171" s="65" t="n"/>
      <c r="C171" s="65" t="n"/>
      <c r="D171" s="65" t="n"/>
      <c r="E171" s="65" t="n"/>
      <c r="F171" s="83" t="n"/>
      <c r="G171" s="66" t="n"/>
      <c r="H171" s="69">
        <f>IF(B171="","",IF(G171&lt;&gt;"",G171,IF(F171&lt;&gt;"",F171*IFERROR(INDEX('Contractors'!$I$6:$I$35,MATCH(B171,'Contractors'!$B$6:$B$35,0)),0),"")))</f>
        <v/>
      </c>
      <c r="I171" s="81" t="n"/>
      <c r="J171" s="65" t="n"/>
      <c r="K171" s="81" t="n"/>
      <c r="L171" s="66" t="n"/>
      <c r="M171" s="81" t="n"/>
      <c r="N171" s="66" t="n"/>
      <c r="O171" s="91">
        <f>IF(B171="","",IF(M171&lt;&gt;"","Paid",IF(AND(I171&lt;&gt;"",I171&lt;AsOf),"OVERDUE",IF(OR(K171&lt;&gt;"",L171&lt;&gt;""),"Invoiced","Scheduled"))))</f>
        <v/>
      </c>
      <c r="P171" s="92">
        <f>IF(B171="","",IF(E171&lt;&gt;"",E171,IFERROR(INDEX('Contractors'!$D$6:$D$35,MATCH(B171,'Contractors'!$B$6:$B$35,0)),"")))</f>
        <v/>
      </c>
      <c r="Q171" s="63">
        <f>IF(B171="","",IF(D171&lt;&gt;"",D171,IFERROR(INDEX('Contractors'!$E$6:$E$35,MATCH(B171,'Contractors'!$B$6:$B$35,0)),"")))</f>
        <v/>
      </c>
      <c r="R171" s="63">
        <f>IF(O171="","",IF(O171="OVERDUE",2,IF(O171="Paid",0,IF(AND(I171&lt;&gt;"",I171&lt;=AsOf+AlertDays),1,0))))</f>
        <v/>
      </c>
      <c r="S171" s="63">
        <f>IF(AND(B171&lt;&gt;"",M171="",I171&lt;&gt;""),IF(L171&lt;&gt;"",L171,IF(H171="",0,H171)),0)</f>
        <v/>
      </c>
      <c r="T171" s="63">
        <f>IF(AND(B171&lt;&gt;"",M171="",I171&lt;&gt;""),1/I171,0)</f>
        <v/>
      </c>
      <c r="U171" s="85">
        <f>IF(AND(B171&lt;&gt;"",M171="",I171&lt;&gt;""),I171,"")</f>
        <v/>
      </c>
      <c r="V171" s="63">
        <f>IF(U171="","",IF(U171&lt;AsOf,1,IF(U171&lt;=AsOf+AlertDays,2,IF(U171&lt;=AsOf+2*AlertDays,3,""))))</f>
        <v/>
      </c>
      <c r="W171" s="63">
        <f>IF(V171="","",IF(O171="OVERDUE","Overdue payment: ","Payment due: ")&amp;B171&amp;" — "&amp;C171&amp;" ("&amp;CurSym&amp;" "&amp;FIXED(S171,0)&amp;")")</f>
        <v/>
      </c>
    </row>
    <row r="172" ht="20" customHeight="1">
      <c r="B172" s="65" t="n"/>
      <c r="C172" s="65" t="n"/>
      <c r="D172" s="65" t="n"/>
      <c r="E172" s="65" t="n"/>
      <c r="F172" s="83" t="n"/>
      <c r="G172" s="66" t="n"/>
      <c r="H172" s="69">
        <f>IF(B172="","",IF(G172&lt;&gt;"",G172,IF(F172&lt;&gt;"",F172*IFERROR(INDEX('Contractors'!$I$6:$I$35,MATCH(B172,'Contractors'!$B$6:$B$35,0)),0),"")))</f>
        <v/>
      </c>
      <c r="I172" s="81" t="n"/>
      <c r="J172" s="65" t="n"/>
      <c r="K172" s="81" t="n"/>
      <c r="L172" s="66" t="n"/>
      <c r="M172" s="81" t="n"/>
      <c r="N172" s="66" t="n"/>
      <c r="O172" s="91">
        <f>IF(B172="","",IF(M172&lt;&gt;"","Paid",IF(AND(I172&lt;&gt;"",I172&lt;AsOf),"OVERDUE",IF(OR(K172&lt;&gt;"",L172&lt;&gt;""),"Invoiced","Scheduled"))))</f>
        <v/>
      </c>
      <c r="P172" s="92">
        <f>IF(B172="","",IF(E172&lt;&gt;"",E172,IFERROR(INDEX('Contractors'!$D$6:$D$35,MATCH(B172,'Contractors'!$B$6:$B$35,0)),"")))</f>
        <v/>
      </c>
      <c r="Q172" s="63">
        <f>IF(B172="","",IF(D172&lt;&gt;"",D172,IFERROR(INDEX('Contractors'!$E$6:$E$35,MATCH(B172,'Contractors'!$B$6:$B$35,0)),"")))</f>
        <v/>
      </c>
      <c r="R172" s="63">
        <f>IF(O172="","",IF(O172="OVERDUE",2,IF(O172="Paid",0,IF(AND(I172&lt;&gt;"",I172&lt;=AsOf+AlertDays),1,0))))</f>
        <v/>
      </c>
      <c r="S172" s="63">
        <f>IF(AND(B172&lt;&gt;"",M172="",I172&lt;&gt;""),IF(L172&lt;&gt;"",L172,IF(H172="",0,H172)),0)</f>
        <v/>
      </c>
      <c r="T172" s="63">
        <f>IF(AND(B172&lt;&gt;"",M172="",I172&lt;&gt;""),1/I172,0)</f>
        <v/>
      </c>
      <c r="U172" s="85">
        <f>IF(AND(B172&lt;&gt;"",M172="",I172&lt;&gt;""),I172,"")</f>
        <v/>
      </c>
      <c r="V172" s="63">
        <f>IF(U172="","",IF(U172&lt;AsOf,1,IF(U172&lt;=AsOf+AlertDays,2,IF(U172&lt;=AsOf+2*AlertDays,3,""))))</f>
        <v/>
      </c>
      <c r="W172" s="63">
        <f>IF(V172="","",IF(O172="OVERDUE","Overdue payment: ","Payment due: ")&amp;B172&amp;" — "&amp;C172&amp;" ("&amp;CurSym&amp;" "&amp;FIXED(S172,0)&amp;")")</f>
        <v/>
      </c>
    </row>
    <row r="173" ht="20" customHeight="1">
      <c r="B173" s="65" t="n"/>
      <c r="C173" s="65" t="n"/>
      <c r="D173" s="65" t="n"/>
      <c r="E173" s="65" t="n"/>
      <c r="F173" s="83" t="n"/>
      <c r="G173" s="66" t="n"/>
      <c r="H173" s="69">
        <f>IF(B173="","",IF(G173&lt;&gt;"",G173,IF(F173&lt;&gt;"",F173*IFERROR(INDEX('Contractors'!$I$6:$I$35,MATCH(B173,'Contractors'!$B$6:$B$35,0)),0),"")))</f>
        <v/>
      </c>
      <c r="I173" s="81" t="n"/>
      <c r="J173" s="65" t="n"/>
      <c r="K173" s="81" t="n"/>
      <c r="L173" s="66" t="n"/>
      <c r="M173" s="81" t="n"/>
      <c r="N173" s="66" t="n"/>
      <c r="O173" s="91">
        <f>IF(B173="","",IF(M173&lt;&gt;"","Paid",IF(AND(I173&lt;&gt;"",I173&lt;AsOf),"OVERDUE",IF(OR(K173&lt;&gt;"",L173&lt;&gt;""),"Invoiced","Scheduled"))))</f>
        <v/>
      </c>
      <c r="P173" s="92">
        <f>IF(B173="","",IF(E173&lt;&gt;"",E173,IFERROR(INDEX('Contractors'!$D$6:$D$35,MATCH(B173,'Contractors'!$B$6:$B$35,0)),"")))</f>
        <v/>
      </c>
      <c r="Q173" s="63">
        <f>IF(B173="","",IF(D173&lt;&gt;"",D173,IFERROR(INDEX('Contractors'!$E$6:$E$35,MATCH(B173,'Contractors'!$B$6:$B$35,0)),"")))</f>
        <v/>
      </c>
      <c r="R173" s="63">
        <f>IF(O173="","",IF(O173="OVERDUE",2,IF(O173="Paid",0,IF(AND(I173&lt;&gt;"",I173&lt;=AsOf+AlertDays),1,0))))</f>
        <v/>
      </c>
      <c r="S173" s="63">
        <f>IF(AND(B173&lt;&gt;"",M173="",I173&lt;&gt;""),IF(L173&lt;&gt;"",L173,IF(H173="",0,H173)),0)</f>
        <v/>
      </c>
      <c r="T173" s="63">
        <f>IF(AND(B173&lt;&gt;"",M173="",I173&lt;&gt;""),1/I173,0)</f>
        <v/>
      </c>
      <c r="U173" s="85">
        <f>IF(AND(B173&lt;&gt;"",M173="",I173&lt;&gt;""),I173,"")</f>
        <v/>
      </c>
      <c r="V173" s="63">
        <f>IF(U173="","",IF(U173&lt;AsOf,1,IF(U173&lt;=AsOf+AlertDays,2,IF(U173&lt;=AsOf+2*AlertDays,3,""))))</f>
        <v/>
      </c>
      <c r="W173" s="63">
        <f>IF(V173="","",IF(O173="OVERDUE","Overdue payment: ","Payment due: ")&amp;B173&amp;" — "&amp;C173&amp;" ("&amp;CurSym&amp;" "&amp;FIXED(S173,0)&amp;")")</f>
        <v/>
      </c>
    </row>
    <row r="174" ht="20" customHeight="1">
      <c r="B174" s="65" t="n"/>
      <c r="C174" s="65" t="n"/>
      <c r="D174" s="65" t="n"/>
      <c r="E174" s="65" t="n"/>
      <c r="F174" s="83" t="n"/>
      <c r="G174" s="66" t="n"/>
      <c r="H174" s="69">
        <f>IF(B174="","",IF(G174&lt;&gt;"",G174,IF(F174&lt;&gt;"",F174*IFERROR(INDEX('Contractors'!$I$6:$I$35,MATCH(B174,'Contractors'!$B$6:$B$35,0)),0),"")))</f>
        <v/>
      </c>
      <c r="I174" s="81" t="n"/>
      <c r="J174" s="65" t="n"/>
      <c r="K174" s="81" t="n"/>
      <c r="L174" s="66" t="n"/>
      <c r="M174" s="81" t="n"/>
      <c r="N174" s="66" t="n"/>
      <c r="O174" s="91">
        <f>IF(B174="","",IF(M174&lt;&gt;"","Paid",IF(AND(I174&lt;&gt;"",I174&lt;AsOf),"OVERDUE",IF(OR(K174&lt;&gt;"",L174&lt;&gt;""),"Invoiced","Scheduled"))))</f>
        <v/>
      </c>
      <c r="P174" s="92">
        <f>IF(B174="","",IF(E174&lt;&gt;"",E174,IFERROR(INDEX('Contractors'!$D$6:$D$35,MATCH(B174,'Contractors'!$B$6:$B$35,0)),"")))</f>
        <v/>
      </c>
      <c r="Q174" s="63">
        <f>IF(B174="","",IF(D174&lt;&gt;"",D174,IFERROR(INDEX('Contractors'!$E$6:$E$35,MATCH(B174,'Contractors'!$B$6:$B$35,0)),"")))</f>
        <v/>
      </c>
      <c r="R174" s="63">
        <f>IF(O174="","",IF(O174="OVERDUE",2,IF(O174="Paid",0,IF(AND(I174&lt;&gt;"",I174&lt;=AsOf+AlertDays),1,0))))</f>
        <v/>
      </c>
      <c r="S174" s="63">
        <f>IF(AND(B174&lt;&gt;"",M174="",I174&lt;&gt;""),IF(L174&lt;&gt;"",L174,IF(H174="",0,H174)),0)</f>
        <v/>
      </c>
      <c r="T174" s="63">
        <f>IF(AND(B174&lt;&gt;"",M174="",I174&lt;&gt;""),1/I174,0)</f>
        <v/>
      </c>
      <c r="U174" s="85">
        <f>IF(AND(B174&lt;&gt;"",M174="",I174&lt;&gt;""),I174,"")</f>
        <v/>
      </c>
      <c r="V174" s="63">
        <f>IF(U174="","",IF(U174&lt;AsOf,1,IF(U174&lt;=AsOf+AlertDays,2,IF(U174&lt;=AsOf+2*AlertDays,3,""))))</f>
        <v/>
      </c>
      <c r="W174" s="63">
        <f>IF(V174="","",IF(O174="OVERDUE","Overdue payment: ","Payment due: ")&amp;B174&amp;" — "&amp;C174&amp;" ("&amp;CurSym&amp;" "&amp;FIXED(S174,0)&amp;")")</f>
        <v/>
      </c>
    </row>
    <row r="175" ht="20" customHeight="1">
      <c r="B175" s="65" t="n"/>
      <c r="C175" s="65" t="n"/>
      <c r="D175" s="65" t="n"/>
      <c r="E175" s="65" t="n"/>
      <c r="F175" s="83" t="n"/>
      <c r="G175" s="66" t="n"/>
      <c r="H175" s="69">
        <f>IF(B175="","",IF(G175&lt;&gt;"",G175,IF(F175&lt;&gt;"",F175*IFERROR(INDEX('Contractors'!$I$6:$I$35,MATCH(B175,'Contractors'!$B$6:$B$35,0)),0),"")))</f>
        <v/>
      </c>
      <c r="I175" s="81" t="n"/>
      <c r="J175" s="65" t="n"/>
      <c r="K175" s="81" t="n"/>
      <c r="L175" s="66" t="n"/>
      <c r="M175" s="81" t="n"/>
      <c r="N175" s="66" t="n"/>
      <c r="O175" s="91">
        <f>IF(B175="","",IF(M175&lt;&gt;"","Paid",IF(AND(I175&lt;&gt;"",I175&lt;AsOf),"OVERDUE",IF(OR(K175&lt;&gt;"",L175&lt;&gt;""),"Invoiced","Scheduled"))))</f>
        <v/>
      </c>
      <c r="P175" s="92">
        <f>IF(B175="","",IF(E175&lt;&gt;"",E175,IFERROR(INDEX('Contractors'!$D$6:$D$35,MATCH(B175,'Contractors'!$B$6:$B$35,0)),"")))</f>
        <v/>
      </c>
      <c r="Q175" s="63">
        <f>IF(B175="","",IF(D175&lt;&gt;"",D175,IFERROR(INDEX('Contractors'!$E$6:$E$35,MATCH(B175,'Contractors'!$B$6:$B$35,0)),"")))</f>
        <v/>
      </c>
      <c r="R175" s="63">
        <f>IF(O175="","",IF(O175="OVERDUE",2,IF(O175="Paid",0,IF(AND(I175&lt;&gt;"",I175&lt;=AsOf+AlertDays),1,0))))</f>
        <v/>
      </c>
      <c r="S175" s="63">
        <f>IF(AND(B175&lt;&gt;"",M175="",I175&lt;&gt;""),IF(L175&lt;&gt;"",L175,IF(H175="",0,H175)),0)</f>
        <v/>
      </c>
      <c r="T175" s="63">
        <f>IF(AND(B175&lt;&gt;"",M175="",I175&lt;&gt;""),1/I175,0)</f>
        <v/>
      </c>
      <c r="U175" s="85">
        <f>IF(AND(B175&lt;&gt;"",M175="",I175&lt;&gt;""),I175,"")</f>
        <v/>
      </c>
      <c r="V175" s="63">
        <f>IF(U175="","",IF(U175&lt;AsOf,1,IF(U175&lt;=AsOf+AlertDays,2,IF(U175&lt;=AsOf+2*AlertDays,3,""))))</f>
        <v/>
      </c>
      <c r="W175" s="63">
        <f>IF(V175="","",IF(O175="OVERDUE","Overdue payment: ","Payment due: ")&amp;B175&amp;" — "&amp;C175&amp;" ("&amp;CurSym&amp;" "&amp;FIXED(S175,0)&amp;")")</f>
        <v/>
      </c>
    </row>
    <row r="176" ht="20" customHeight="1">
      <c r="B176" s="65" t="n"/>
      <c r="C176" s="65" t="n"/>
      <c r="D176" s="65" t="n"/>
      <c r="E176" s="65" t="n"/>
      <c r="F176" s="83" t="n"/>
      <c r="G176" s="66" t="n"/>
      <c r="H176" s="69">
        <f>IF(B176="","",IF(G176&lt;&gt;"",G176,IF(F176&lt;&gt;"",F176*IFERROR(INDEX('Contractors'!$I$6:$I$35,MATCH(B176,'Contractors'!$B$6:$B$35,0)),0),"")))</f>
        <v/>
      </c>
      <c r="I176" s="81" t="n"/>
      <c r="J176" s="65" t="n"/>
      <c r="K176" s="81" t="n"/>
      <c r="L176" s="66" t="n"/>
      <c r="M176" s="81" t="n"/>
      <c r="N176" s="66" t="n"/>
      <c r="O176" s="91">
        <f>IF(B176="","",IF(M176&lt;&gt;"","Paid",IF(AND(I176&lt;&gt;"",I176&lt;AsOf),"OVERDUE",IF(OR(K176&lt;&gt;"",L176&lt;&gt;""),"Invoiced","Scheduled"))))</f>
        <v/>
      </c>
      <c r="P176" s="92">
        <f>IF(B176="","",IF(E176&lt;&gt;"",E176,IFERROR(INDEX('Contractors'!$D$6:$D$35,MATCH(B176,'Contractors'!$B$6:$B$35,0)),"")))</f>
        <v/>
      </c>
      <c r="Q176" s="63">
        <f>IF(B176="","",IF(D176&lt;&gt;"",D176,IFERROR(INDEX('Contractors'!$E$6:$E$35,MATCH(B176,'Contractors'!$B$6:$B$35,0)),"")))</f>
        <v/>
      </c>
      <c r="R176" s="63">
        <f>IF(O176="","",IF(O176="OVERDUE",2,IF(O176="Paid",0,IF(AND(I176&lt;&gt;"",I176&lt;=AsOf+AlertDays),1,0))))</f>
        <v/>
      </c>
      <c r="S176" s="63">
        <f>IF(AND(B176&lt;&gt;"",M176="",I176&lt;&gt;""),IF(L176&lt;&gt;"",L176,IF(H176="",0,H176)),0)</f>
        <v/>
      </c>
      <c r="T176" s="63">
        <f>IF(AND(B176&lt;&gt;"",M176="",I176&lt;&gt;""),1/I176,0)</f>
        <v/>
      </c>
      <c r="U176" s="85">
        <f>IF(AND(B176&lt;&gt;"",M176="",I176&lt;&gt;""),I176,"")</f>
        <v/>
      </c>
      <c r="V176" s="63">
        <f>IF(U176="","",IF(U176&lt;AsOf,1,IF(U176&lt;=AsOf+AlertDays,2,IF(U176&lt;=AsOf+2*AlertDays,3,""))))</f>
        <v/>
      </c>
      <c r="W176" s="63">
        <f>IF(V176="","",IF(O176="OVERDUE","Overdue payment: ","Payment due: ")&amp;B176&amp;" — "&amp;C176&amp;" ("&amp;CurSym&amp;" "&amp;FIXED(S176,0)&amp;")")</f>
        <v/>
      </c>
    </row>
    <row r="177" ht="20" customHeight="1">
      <c r="B177" s="65" t="n"/>
      <c r="C177" s="65" t="n"/>
      <c r="D177" s="65" t="n"/>
      <c r="E177" s="65" t="n"/>
      <c r="F177" s="83" t="n"/>
      <c r="G177" s="66" t="n"/>
      <c r="H177" s="69">
        <f>IF(B177="","",IF(G177&lt;&gt;"",G177,IF(F177&lt;&gt;"",F177*IFERROR(INDEX('Contractors'!$I$6:$I$35,MATCH(B177,'Contractors'!$B$6:$B$35,0)),0),"")))</f>
        <v/>
      </c>
      <c r="I177" s="81" t="n"/>
      <c r="J177" s="65" t="n"/>
      <c r="K177" s="81" t="n"/>
      <c r="L177" s="66" t="n"/>
      <c r="M177" s="81" t="n"/>
      <c r="N177" s="66" t="n"/>
      <c r="O177" s="91">
        <f>IF(B177="","",IF(M177&lt;&gt;"","Paid",IF(AND(I177&lt;&gt;"",I177&lt;AsOf),"OVERDUE",IF(OR(K177&lt;&gt;"",L177&lt;&gt;""),"Invoiced","Scheduled"))))</f>
        <v/>
      </c>
      <c r="P177" s="92">
        <f>IF(B177="","",IF(E177&lt;&gt;"",E177,IFERROR(INDEX('Contractors'!$D$6:$D$35,MATCH(B177,'Contractors'!$B$6:$B$35,0)),"")))</f>
        <v/>
      </c>
      <c r="Q177" s="63">
        <f>IF(B177="","",IF(D177&lt;&gt;"",D177,IFERROR(INDEX('Contractors'!$E$6:$E$35,MATCH(B177,'Contractors'!$B$6:$B$35,0)),"")))</f>
        <v/>
      </c>
      <c r="R177" s="63">
        <f>IF(O177="","",IF(O177="OVERDUE",2,IF(O177="Paid",0,IF(AND(I177&lt;&gt;"",I177&lt;=AsOf+AlertDays),1,0))))</f>
        <v/>
      </c>
      <c r="S177" s="63">
        <f>IF(AND(B177&lt;&gt;"",M177="",I177&lt;&gt;""),IF(L177&lt;&gt;"",L177,IF(H177="",0,H177)),0)</f>
        <v/>
      </c>
      <c r="T177" s="63">
        <f>IF(AND(B177&lt;&gt;"",M177="",I177&lt;&gt;""),1/I177,0)</f>
        <v/>
      </c>
      <c r="U177" s="85">
        <f>IF(AND(B177&lt;&gt;"",M177="",I177&lt;&gt;""),I177,"")</f>
        <v/>
      </c>
      <c r="V177" s="63">
        <f>IF(U177="","",IF(U177&lt;AsOf,1,IF(U177&lt;=AsOf+AlertDays,2,IF(U177&lt;=AsOf+2*AlertDays,3,""))))</f>
        <v/>
      </c>
      <c r="W177" s="63">
        <f>IF(V177="","",IF(O177="OVERDUE","Overdue payment: ","Payment due: ")&amp;B177&amp;" — "&amp;C177&amp;" ("&amp;CurSym&amp;" "&amp;FIXED(S177,0)&amp;")")</f>
        <v/>
      </c>
    </row>
    <row r="178" ht="20" customHeight="1">
      <c r="B178" s="65" t="n"/>
      <c r="C178" s="65" t="n"/>
      <c r="D178" s="65" t="n"/>
      <c r="E178" s="65" t="n"/>
      <c r="F178" s="83" t="n"/>
      <c r="G178" s="66" t="n"/>
      <c r="H178" s="69">
        <f>IF(B178="","",IF(G178&lt;&gt;"",G178,IF(F178&lt;&gt;"",F178*IFERROR(INDEX('Contractors'!$I$6:$I$35,MATCH(B178,'Contractors'!$B$6:$B$35,0)),0),"")))</f>
        <v/>
      </c>
      <c r="I178" s="81" t="n"/>
      <c r="J178" s="65" t="n"/>
      <c r="K178" s="81" t="n"/>
      <c r="L178" s="66" t="n"/>
      <c r="M178" s="81" t="n"/>
      <c r="N178" s="66" t="n"/>
      <c r="O178" s="91">
        <f>IF(B178="","",IF(M178&lt;&gt;"","Paid",IF(AND(I178&lt;&gt;"",I178&lt;AsOf),"OVERDUE",IF(OR(K178&lt;&gt;"",L178&lt;&gt;""),"Invoiced","Scheduled"))))</f>
        <v/>
      </c>
      <c r="P178" s="92">
        <f>IF(B178="","",IF(E178&lt;&gt;"",E178,IFERROR(INDEX('Contractors'!$D$6:$D$35,MATCH(B178,'Contractors'!$B$6:$B$35,0)),"")))</f>
        <v/>
      </c>
      <c r="Q178" s="63">
        <f>IF(B178="","",IF(D178&lt;&gt;"",D178,IFERROR(INDEX('Contractors'!$E$6:$E$35,MATCH(B178,'Contractors'!$B$6:$B$35,0)),"")))</f>
        <v/>
      </c>
      <c r="R178" s="63">
        <f>IF(O178="","",IF(O178="OVERDUE",2,IF(O178="Paid",0,IF(AND(I178&lt;&gt;"",I178&lt;=AsOf+AlertDays),1,0))))</f>
        <v/>
      </c>
      <c r="S178" s="63">
        <f>IF(AND(B178&lt;&gt;"",M178="",I178&lt;&gt;""),IF(L178&lt;&gt;"",L178,IF(H178="",0,H178)),0)</f>
        <v/>
      </c>
      <c r="T178" s="63">
        <f>IF(AND(B178&lt;&gt;"",M178="",I178&lt;&gt;""),1/I178,0)</f>
        <v/>
      </c>
      <c r="U178" s="85">
        <f>IF(AND(B178&lt;&gt;"",M178="",I178&lt;&gt;""),I178,"")</f>
        <v/>
      </c>
      <c r="V178" s="63">
        <f>IF(U178="","",IF(U178&lt;AsOf,1,IF(U178&lt;=AsOf+AlertDays,2,IF(U178&lt;=AsOf+2*AlertDays,3,""))))</f>
        <v/>
      </c>
      <c r="W178" s="63">
        <f>IF(V178="","",IF(O178="OVERDUE","Overdue payment: ","Payment due: ")&amp;B178&amp;" — "&amp;C178&amp;" ("&amp;CurSym&amp;" "&amp;FIXED(S178,0)&amp;")")</f>
        <v/>
      </c>
    </row>
    <row r="179" ht="20" customHeight="1">
      <c r="B179" s="65" t="n"/>
      <c r="C179" s="65" t="n"/>
      <c r="D179" s="65" t="n"/>
      <c r="E179" s="65" t="n"/>
      <c r="F179" s="83" t="n"/>
      <c r="G179" s="66" t="n"/>
      <c r="H179" s="69">
        <f>IF(B179="","",IF(G179&lt;&gt;"",G179,IF(F179&lt;&gt;"",F179*IFERROR(INDEX('Contractors'!$I$6:$I$35,MATCH(B179,'Contractors'!$B$6:$B$35,0)),0),"")))</f>
        <v/>
      </c>
      <c r="I179" s="81" t="n"/>
      <c r="J179" s="65" t="n"/>
      <c r="K179" s="81" t="n"/>
      <c r="L179" s="66" t="n"/>
      <c r="M179" s="81" t="n"/>
      <c r="N179" s="66" t="n"/>
      <c r="O179" s="91">
        <f>IF(B179="","",IF(M179&lt;&gt;"","Paid",IF(AND(I179&lt;&gt;"",I179&lt;AsOf),"OVERDUE",IF(OR(K179&lt;&gt;"",L179&lt;&gt;""),"Invoiced","Scheduled"))))</f>
        <v/>
      </c>
      <c r="P179" s="92">
        <f>IF(B179="","",IF(E179&lt;&gt;"",E179,IFERROR(INDEX('Contractors'!$D$6:$D$35,MATCH(B179,'Contractors'!$B$6:$B$35,0)),"")))</f>
        <v/>
      </c>
      <c r="Q179" s="63">
        <f>IF(B179="","",IF(D179&lt;&gt;"",D179,IFERROR(INDEX('Contractors'!$E$6:$E$35,MATCH(B179,'Contractors'!$B$6:$B$35,0)),"")))</f>
        <v/>
      </c>
      <c r="R179" s="63">
        <f>IF(O179="","",IF(O179="OVERDUE",2,IF(O179="Paid",0,IF(AND(I179&lt;&gt;"",I179&lt;=AsOf+AlertDays),1,0))))</f>
        <v/>
      </c>
      <c r="S179" s="63">
        <f>IF(AND(B179&lt;&gt;"",M179="",I179&lt;&gt;""),IF(L179&lt;&gt;"",L179,IF(H179="",0,H179)),0)</f>
        <v/>
      </c>
      <c r="T179" s="63">
        <f>IF(AND(B179&lt;&gt;"",M179="",I179&lt;&gt;""),1/I179,0)</f>
        <v/>
      </c>
      <c r="U179" s="85">
        <f>IF(AND(B179&lt;&gt;"",M179="",I179&lt;&gt;""),I179,"")</f>
        <v/>
      </c>
      <c r="V179" s="63">
        <f>IF(U179="","",IF(U179&lt;AsOf,1,IF(U179&lt;=AsOf+AlertDays,2,IF(U179&lt;=AsOf+2*AlertDays,3,""))))</f>
        <v/>
      </c>
      <c r="W179" s="63">
        <f>IF(V179="","",IF(O179="OVERDUE","Overdue payment: ","Payment due: ")&amp;B179&amp;" — "&amp;C179&amp;" ("&amp;CurSym&amp;" "&amp;FIXED(S179,0)&amp;")")</f>
        <v/>
      </c>
    </row>
    <row r="180" ht="20" customHeight="1">
      <c r="B180" s="65" t="n"/>
      <c r="C180" s="65" t="n"/>
      <c r="D180" s="65" t="n"/>
      <c r="E180" s="65" t="n"/>
      <c r="F180" s="83" t="n"/>
      <c r="G180" s="66" t="n"/>
      <c r="H180" s="69">
        <f>IF(B180="","",IF(G180&lt;&gt;"",G180,IF(F180&lt;&gt;"",F180*IFERROR(INDEX('Contractors'!$I$6:$I$35,MATCH(B180,'Contractors'!$B$6:$B$35,0)),0),"")))</f>
        <v/>
      </c>
      <c r="I180" s="81" t="n"/>
      <c r="J180" s="65" t="n"/>
      <c r="K180" s="81" t="n"/>
      <c r="L180" s="66" t="n"/>
      <c r="M180" s="81" t="n"/>
      <c r="N180" s="66" t="n"/>
      <c r="O180" s="91">
        <f>IF(B180="","",IF(M180&lt;&gt;"","Paid",IF(AND(I180&lt;&gt;"",I180&lt;AsOf),"OVERDUE",IF(OR(K180&lt;&gt;"",L180&lt;&gt;""),"Invoiced","Scheduled"))))</f>
        <v/>
      </c>
      <c r="P180" s="92">
        <f>IF(B180="","",IF(E180&lt;&gt;"",E180,IFERROR(INDEX('Contractors'!$D$6:$D$35,MATCH(B180,'Contractors'!$B$6:$B$35,0)),"")))</f>
        <v/>
      </c>
      <c r="Q180" s="63">
        <f>IF(B180="","",IF(D180&lt;&gt;"",D180,IFERROR(INDEX('Contractors'!$E$6:$E$35,MATCH(B180,'Contractors'!$B$6:$B$35,0)),"")))</f>
        <v/>
      </c>
      <c r="R180" s="63">
        <f>IF(O180="","",IF(O180="OVERDUE",2,IF(O180="Paid",0,IF(AND(I180&lt;&gt;"",I180&lt;=AsOf+AlertDays),1,0))))</f>
        <v/>
      </c>
      <c r="S180" s="63">
        <f>IF(AND(B180&lt;&gt;"",M180="",I180&lt;&gt;""),IF(L180&lt;&gt;"",L180,IF(H180="",0,H180)),0)</f>
        <v/>
      </c>
      <c r="T180" s="63">
        <f>IF(AND(B180&lt;&gt;"",M180="",I180&lt;&gt;""),1/I180,0)</f>
        <v/>
      </c>
      <c r="U180" s="85">
        <f>IF(AND(B180&lt;&gt;"",M180="",I180&lt;&gt;""),I180,"")</f>
        <v/>
      </c>
      <c r="V180" s="63">
        <f>IF(U180="","",IF(U180&lt;AsOf,1,IF(U180&lt;=AsOf+AlertDays,2,IF(U180&lt;=AsOf+2*AlertDays,3,""))))</f>
        <v/>
      </c>
      <c r="W180" s="63">
        <f>IF(V180="","",IF(O180="OVERDUE","Overdue payment: ","Payment due: ")&amp;B180&amp;" — "&amp;C180&amp;" ("&amp;CurSym&amp;" "&amp;FIXED(S180,0)&amp;")")</f>
        <v/>
      </c>
    </row>
    <row r="181" ht="20" customHeight="1">
      <c r="B181" s="65" t="n"/>
      <c r="C181" s="65" t="n"/>
      <c r="D181" s="65" t="n"/>
      <c r="E181" s="65" t="n"/>
      <c r="F181" s="83" t="n"/>
      <c r="G181" s="66" t="n"/>
      <c r="H181" s="69">
        <f>IF(B181="","",IF(G181&lt;&gt;"",G181,IF(F181&lt;&gt;"",F181*IFERROR(INDEX('Contractors'!$I$6:$I$35,MATCH(B181,'Contractors'!$B$6:$B$35,0)),0),"")))</f>
        <v/>
      </c>
      <c r="I181" s="81" t="n"/>
      <c r="J181" s="65" t="n"/>
      <c r="K181" s="81" t="n"/>
      <c r="L181" s="66" t="n"/>
      <c r="M181" s="81" t="n"/>
      <c r="N181" s="66" t="n"/>
      <c r="O181" s="91">
        <f>IF(B181="","",IF(M181&lt;&gt;"","Paid",IF(AND(I181&lt;&gt;"",I181&lt;AsOf),"OVERDUE",IF(OR(K181&lt;&gt;"",L181&lt;&gt;""),"Invoiced","Scheduled"))))</f>
        <v/>
      </c>
      <c r="P181" s="92">
        <f>IF(B181="","",IF(E181&lt;&gt;"",E181,IFERROR(INDEX('Contractors'!$D$6:$D$35,MATCH(B181,'Contractors'!$B$6:$B$35,0)),"")))</f>
        <v/>
      </c>
      <c r="Q181" s="63">
        <f>IF(B181="","",IF(D181&lt;&gt;"",D181,IFERROR(INDEX('Contractors'!$E$6:$E$35,MATCH(B181,'Contractors'!$B$6:$B$35,0)),"")))</f>
        <v/>
      </c>
      <c r="R181" s="63">
        <f>IF(O181="","",IF(O181="OVERDUE",2,IF(O181="Paid",0,IF(AND(I181&lt;&gt;"",I181&lt;=AsOf+AlertDays),1,0))))</f>
        <v/>
      </c>
      <c r="S181" s="63">
        <f>IF(AND(B181&lt;&gt;"",M181="",I181&lt;&gt;""),IF(L181&lt;&gt;"",L181,IF(H181="",0,H181)),0)</f>
        <v/>
      </c>
      <c r="T181" s="63">
        <f>IF(AND(B181&lt;&gt;"",M181="",I181&lt;&gt;""),1/I181,0)</f>
        <v/>
      </c>
      <c r="U181" s="85">
        <f>IF(AND(B181&lt;&gt;"",M181="",I181&lt;&gt;""),I181,"")</f>
        <v/>
      </c>
      <c r="V181" s="63">
        <f>IF(U181="","",IF(U181&lt;AsOf,1,IF(U181&lt;=AsOf+AlertDays,2,IF(U181&lt;=AsOf+2*AlertDays,3,""))))</f>
        <v/>
      </c>
      <c r="W181" s="63">
        <f>IF(V181="","",IF(O181="OVERDUE","Overdue payment: ","Payment due: ")&amp;B181&amp;" — "&amp;C181&amp;" ("&amp;CurSym&amp;" "&amp;FIXED(S181,0)&amp;")")</f>
        <v/>
      </c>
    </row>
    <row r="182" ht="20" customHeight="1">
      <c r="B182" s="65" t="n"/>
      <c r="C182" s="65" t="n"/>
      <c r="D182" s="65" t="n"/>
      <c r="E182" s="65" t="n"/>
      <c r="F182" s="83" t="n"/>
      <c r="G182" s="66" t="n"/>
      <c r="H182" s="69">
        <f>IF(B182="","",IF(G182&lt;&gt;"",G182,IF(F182&lt;&gt;"",F182*IFERROR(INDEX('Contractors'!$I$6:$I$35,MATCH(B182,'Contractors'!$B$6:$B$35,0)),0),"")))</f>
        <v/>
      </c>
      <c r="I182" s="81" t="n"/>
      <c r="J182" s="65" t="n"/>
      <c r="K182" s="81" t="n"/>
      <c r="L182" s="66" t="n"/>
      <c r="M182" s="81" t="n"/>
      <c r="N182" s="66" t="n"/>
      <c r="O182" s="91">
        <f>IF(B182="","",IF(M182&lt;&gt;"","Paid",IF(AND(I182&lt;&gt;"",I182&lt;AsOf),"OVERDUE",IF(OR(K182&lt;&gt;"",L182&lt;&gt;""),"Invoiced","Scheduled"))))</f>
        <v/>
      </c>
      <c r="P182" s="92">
        <f>IF(B182="","",IF(E182&lt;&gt;"",E182,IFERROR(INDEX('Contractors'!$D$6:$D$35,MATCH(B182,'Contractors'!$B$6:$B$35,0)),"")))</f>
        <v/>
      </c>
      <c r="Q182" s="63">
        <f>IF(B182="","",IF(D182&lt;&gt;"",D182,IFERROR(INDEX('Contractors'!$E$6:$E$35,MATCH(B182,'Contractors'!$B$6:$B$35,0)),"")))</f>
        <v/>
      </c>
      <c r="R182" s="63">
        <f>IF(O182="","",IF(O182="OVERDUE",2,IF(O182="Paid",0,IF(AND(I182&lt;&gt;"",I182&lt;=AsOf+AlertDays),1,0))))</f>
        <v/>
      </c>
      <c r="S182" s="63">
        <f>IF(AND(B182&lt;&gt;"",M182="",I182&lt;&gt;""),IF(L182&lt;&gt;"",L182,IF(H182="",0,H182)),0)</f>
        <v/>
      </c>
      <c r="T182" s="63">
        <f>IF(AND(B182&lt;&gt;"",M182="",I182&lt;&gt;""),1/I182,0)</f>
        <v/>
      </c>
      <c r="U182" s="85">
        <f>IF(AND(B182&lt;&gt;"",M182="",I182&lt;&gt;""),I182,"")</f>
        <v/>
      </c>
      <c r="V182" s="63">
        <f>IF(U182="","",IF(U182&lt;AsOf,1,IF(U182&lt;=AsOf+AlertDays,2,IF(U182&lt;=AsOf+2*AlertDays,3,""))))</f>
        <v/>
      </c>
      <c r="W182" s="63">
        <f>IF(V182="","",IF(O182="OVERDUE","Overdue payment: ","Payment due: ")&amp;B182&amp;" — "&amp;C182&amp;" ("&amp;CurSym&amp;" "&amp;FIXED(S182,0)&amp;")")</f>
        <v/>
      </c>
    </row>
    <row r="183" ht="20" customHeight="1">
      <c r="B183" s="65" t="n"/>
      <c r="C183" s="65" t="n"/>
      <c r="D183" s="65" t="n"/>
      <c r="E183" s="65" t="n"/>
      <c r="F183" s="83" t="n"/>
      <c r="G183" s="66" t="n"/>
      <c r="H183" s="69">
        <f>IF(B183="","",IF(G183&lt;&gt;"",G183,IF(F183&lt;&gt;"",F183*IFERROR(INDEX('Contractors'!$I$6:$I$35,MATCH(B183,'Contractors'!$B$6:$B$35,0)),0),"")))</f>
        <v/>
      </c>
      <c r="I183" s="81" t="n"/>
      <c r="J183" s="65" t="n"/>
      <c r="K183" s="81" t="n"/>
      <c r="L183" s="66" t="n"/>
      <c r="M183" s="81" t="n"/>
      <c r="N183" s="66" t="n"/>
      <c r="O183" s="91">
        <f>IF(B183="","",IF(M183&lt;&gt;"","Paid",IF(AND(I183&lt;&gt;"",I183&lt;AsOf),"OVERDUE",IF(OR(K183&lt;&gt;"",L183&lt;&gt;""),"Invoiced","Scheduled"))))</f>
        <v/>
      </c>
      <c r="P183" s="92">
        <f>IF(B183="","",IF(E183&lt;&gt;"",E183,IFERROR(INDEX('Contractors'!$D$6:$D$35,MATCH(B183,'Contractors'!$B$6:$B$35,0)),"")))</f>
        <v/>
      </c>
      <c r="Q183" s="63">
        <f>IF(B183="","",IF(D183&lt;&gt;"",D183,IFERROR(INDEX('Contractors'!$E$6:$E$35,MATCH(B183,'Contractors'!$B$6:$B$35,0)),"")))</f>
        <v/>
      </c>
      <c r="R183" s="63">
        <f>IF(O183="","",IF(O183="OVERDUE",2,IF(O183="Paid",0,IF(AND(I183&lt;&gt;"",I183&lt;=AsOf+AlertDays),1,0))))</f>
        <v/>
      </c>
      <c r="S183" s="63">
        <f>IF(AND(B183&lt;&gt;"",M183="",I183&lt;&gt;""),IF(L183&lt;&gt;"",L183,IF(H183="",0,H183)),0)</f>
        <v/>
      </c>
      <c r="T183" s="63">
        <f>IF(AND(B183&lt;&gt;"",M183="",I183&lt;&gt;""),1/I183,0)</f>
        <v/>
      </c>
      <c r="U183" s="85">
        <f>IF(AND(B183&lt;&gt;"",M183="",I183&lt;&gt;""),I183,"")</f>
        <v/>
      </c>
      <c r="V183" s="63">
        <f>IF(U183="","",IF(U183&lt;AsOf,1,IF(U183&lt;=AsOf+AlertDays,2,IF(U183&lt;=AsOf+2*AlertDays,3,""))))</f>
        <v/>
      </c>
      <c r="W183" s="63">
        <f>IF(V183="","",IF(O183="OVERDUE","Overdue payment: ","Payment due: ")&amp;B183&amp;" — "&amp;C183&amp;" ("&amp;CurSym&amp;" "&amp;FIXED(S183,0)&amp;")")</f>
        <v/>
      </c>
    </row>
    <row r="184" ht="20" customHeight="1">
      <c r="B184" s="65" t="n"/>
      <c r="C184" s="65" t="n"/>
      <c r="D184" s="65" t="n"/>
      <c r="E184" s="65" t="n"/>
      <c r="F184" s="83" t="n"/>
      <c r="G184" s="66" t="n"/>
      <c r="H184" s="69">
        <f>IF(B184="","",IF(G184&lt;&gt;"",G184,IF(F184&lt;&gt;"",F184*IFERROR(INDEX('Contractors'!$I$6:$I$35,MATCH(B184,'Contractors'!$B$6:$B$35,0)),0),"")))</f>
        <v/>
      </c>
      <c r="I184" s="81" t="n"/>
      <c r="J184" s="65" t="n"/>
      <c r="K184" s="81" t="n"/>
      <c r="L184" s="66" t="n"/>
      <c r="M184" s="81" t="n"/>
      <c r="N184" s="66" t="n"/>
      <c r="O184" s="91">
        <f>IF(B184="","",IF(M184&lt;&gt;"","Paid",IF(AND(I184&lt;&gt;"",I184&lt;AsOf),"OVERDUE",IF(OR(K184&lt;&gt;"",L184&lt;&gt;""),"Invoiced","Scheduled"))))</f>
        <v/>
      </c>
      <c r="P184" s="92">
        <f>IF(B184="","",IF(E184&lt;&gt;"",E184,IFERROR(INDEX('Contractors'!$D$6:$D$35,MATCH(B184,'Contractors'!$B$6:$B$35,0)),"")))</f>
        <v/>
      </c>
      <c r="Q184" s="63">
        <f>IF(B184="","",IF(D184&lt;&gt;"",D184,IFERROR(INDEX('Contractors'!$E$6:$E$35,MATCH(B184,'Contractors'!$B$6:$B$35,0)),"")))</f>
        <v/>
      </c>
      <c r="R184" s="63">
        <f>IF(O184="","",IF(O184="OVERDUE",2,IF(O184="Paid",0,IF(AND(I184&lt;&gt;"",I184&lt;=AsOf+AlertDays),1,0))))</f>
        <v/>
      </c>
      <c r="S184" s="63">
        <f>IF(AND(B184&lt;&gt;"",M184="",I184&lt;&gt;""),IF(L184&lt;&gt;"",L184,IF(H184="",0,H184)),0)</f>
        <v/>
      </c>
      <c r="T184" s="63">
        <f>IF(AND(B184&lt;&gt;"",M184="",I184&lt;&gt;""),1/I184,0)</f>
        <v/>
      </c>
      <c r="U184" s="85">
        <f>IF(AND(B184&lt;&gt;"",M184="",I184&lt;&gt;""),I184,"")</f>
        <v/>
      </c>
      <c r="V184" s="63">
        <f>IF(U184="","",IF(U184&lt;AsOf,1,IF(U184&lt;=AsOf+AlertDays,2,IF(U184&lt;=AsOf+2*AlertDays,3,""))))</f>
        <v/>
      </c>
      <c r="W184" s="63">
        <f>IF(V184="","",IF(O184="OVERDUE","Overdue payment: ","Payment due: ")&amp;B184&amp;" — "&amp;C184&amp;" ("&amp;CurSym&amp;" "&amp;FIXED(S184,0)&amp;")")</f>
        <v/>
      </c>
    </row>
    <row r="185" ht="20" customHeight="1">
      <c r="B185" s="65" t="n"/>
      <c r="C185" s="65" t="n"/>
      <c r="D185" s="65" t="n"/>
      <c r="E185" s="65" t="n"/>
      <c r="F185" s="83" t="n"/>
      <c r="G185" s="66" t="n"/>
      <c r="H185" s="69">
        <f>IF(B185="","",IF(G185&lt;&gt;"",G185,IF(F185&lt;&gt;"",F185*IFERROR(INDEX('Contractors'!$I$6:$I$35,MATCH(B185,'Contractors'!$B$6:$B$35,0)),0),"")))</f>
        <v/>
      </c>
      <c r="I185" s="81" t="n"/>
      <c r="J185" s="65" t="n"/>
      <c r="K185" s="81" t="n"/>
      <c r="L185" s="66" t="n"/>
      <c r="M185" s="81" t="n"/>
      <c r="N185" s="66" t="n"/>
      <c r="O185" s="91">
        <f>IF(B185="","",IF(M185&lt;&gt;"","Paid",IF(AND(I185&lt;&gt;"",I185&lt;AsOf),"OVERDUE",IF(OR(K185&lt;&gt;"",L185&lt;&gt;""),"Invoiced","Scheduled"))))</f>
        <v/>
      </c>
      <c r="P185" s="92">
        <f>IF(B185="","",IF(E185&lt;&gt;"",E185,IFERROR(INDEX('Contractors'!$D$6:$D$35,MATCH(B185,'Contractors'!$B$6:$B$35,0)),"")))</f>
        <v/>
      </c>
      <c r="Q185" s="63">
        <f>IF(B185="","",IF(D185&lt;&gt;"",D185,IFERROR(INDEX('Contractors'!$E$6:$E$35,MATCH(B185,'Contractors'!$B$6:$B$35,0)),"")))</f>
        <v/>
      </c>
      <c r="R185" s="63">
        <f>IF(O185="","",IF(O185="OVERDUE",2,IF(O185="Paid",0,IF(AND(I185&lt;&gt;"",I185&lt;=AsOf+AlertDays),1,0))))</f>
        <v/>
      </c>
      <c r="S185" s="63">
        <f>IF(AND(B185&lt;&gt;"",M185="",I185&lt;&gt;""),IF(L185&lt;&gt;"",L185,IF(H185="",0,H185)),0)</f>
        <v/>
      </c>
      <c r="T185" s="63">
        <f>IF(AND(B185&lt;&gt;"",M185="",I185&lt;&gt;""),1/I185,0)</f>
        <v/>
      </c>
      <c r="U185" s="85">
        <f>IF(AND(B185&lt;&gt;"",M185="",I185&lt;&gt;""),I185,"")</f>
        <v/>
      </c>
      <c r="V185" s="63">
        <f>IF(U185="","",IF(U185&lt;AsOf,1,IF(U185&lt;=AsOf+AlertDays,2,IF(U185&lt;=AsOf+2*AlertDays,3,""))))</f>
        <v/>
      </c>
      <c r="W185" s="63">
        <f>IF(V185="","",IF(O185="OVERDUE","Overdue payment: ","Payment due: ")&amp;B185&amp;" — "&amp;C185&amp;" ("&amp;CurSym&amp;" "&amp;FIXED(S185,0)&amp;")")</f>
        <v/>
      </c>
    </row>
    <row r="186" ht="20" customHeight="1">
      <c r="B186" s="65" t="n"/>
      <c r="C186" s="65" t="n"/>
      <c r="D186" s="65" t="n"/>
      <c r="E186" s="65" t="n"/>
      <c r="F186" s="83" t="n"/>
      <c r="G186" s="66" t="n"/>
      <c r="H186" s="69">
        <f>IF(B186="","",IF(G186&lt;&gt;"",G186,IF(F186&lt;&gt;"",F186*IFERROR(INDEX('Contractors'!$I$6:$I$35,MATCH(B186,'Contractors'!$B$6:$B$35,0)),0),"")))</f>
        <v/>
      </c>
      <c r="I186" s="81" t="n"/>
      <c r="J186" s="65" t="n"/>
      <c r="K186" s="81" t="n"/>
      <c r="L186" s="66" t="n"/>
      <c r="M186" s="81" t="n"/>
      <c r="N186" s="66" t="n"/>
      <c r="O186" s="91">
        <f>IF(B186="","",IF(M186&lt;&gt;"","Paid",IF(AND(I186&lt;&gt;"",I186&lt;AsOf),"OVERDUE",IF(OR(K186&lt;&gt;"",L186&lt;&gt;""),"Invoiced","Scheduled"))))</f>
        <v/>
      </c>
      <c r="P186" s="92">
        <f>IF(B186="","",IF(E186&lt;&gt;"",E186,IFERROR(INDEX('Contractors'!$D$6:$D$35,MATCH(B186,'Contractors'!$B$6:$B$35,0)),"")))</f>
        <v/>
      </c>
      <c r="Q186" s="63">
        <f>IF(B186="","",IF(D186&lt;&gt;"",D186,IFERROR(INDEX('Contractors'!$E$6:$E$35,MATCH(B186,'Contractors'!$B$6:$B$35,0)),"")))</f>
        <v/>
      </c>
      <c r="R186" s="63">
        <f>IF(O186="","",IF(O186="OVERDUE",2,IF(O186="Paid",0,IF(AND(I186&lt;&gt;"",I186&lt;=AsOf+AlertDays),1,0))))</f>
        <v/>
      </c>
      <c r="S186" s="63">
        <f>IF(AND(B186&lt;&gt;"",M186="",I186&lt;&gt;""),IF(L186&lt;&gt;"",L186,IF(H186="",0,H186)),0)</f>
        <v/>
      </c>
      <c r="T186" s="63">
        <f>IF(AND(B186&lt;&gt;"",M186="",I186&lt;&gt;""),1/I186,0)</f>
        <v/>
      </c>
      <c r="U186" s="85">
        <f>IF(AND(B186&lt;&gt;"",M186="",I186&lt;&gt;""),I186,"")</f>
        <v/>
      </c>
      <c r="V186" s="63">
        <f>IF(U186="","",IF(U186&lt;AsOf,1,IF(U186&lt;=AsOf+AlertDays,2,IF(U186&lt;=AsOf+2*AlertDays,3,""))))</f>
        <v/>
      </c>
      <c r="W186" s="63">
        <f>IF(V186="","",IF(O186="OVERDUE","Overdue payment: ","Payment due: ")&amp;B186&amp;" — "&amp;C186&amp;" ("&amp;CurSym&amp;" "&amp;FIXED(S186,0)&amp;")")</f>
        <v/>
      </c>
    </row>
    <row r="187" ht="20" customHeight="1">
      <c r="B187" s="65" t="n"/>
      <c r="C187" s="65" t="n"/>
      <c r="D187" s="65" t="n"/>
      <c r="E187" s="65" t="n"/>
      <c r="F187" s="83" t="n"/>
      <c r="G187" s="66" t="n"/>
      <c r="H187" s="69">
        <f>IF(B187="","",IF(G187&lt;&gt;"",G187,IF(F187&lt;&gt;"",F187*IFERROR(INDEX('Contractors'!$I$6:$I$35,MATCH(B187,'Contractors'!$B$6:$B$35,0)),0),"")))</f>
        <v/>
      </c>
      <c r="I187" s="81" t="n"/>
      <c r="J187" s="65" t="n"/>
      <c r="K187" s="81" t="n"/>
      <c r="L187" s="66" t="n"/>
      <c r="M187" s="81" t="n"/>
      <c r="N187" s="66" t="n"/>
      <c r="O187" s="91">
        <f>IF(B187="","",IF(M187&lt;&gt;"","Paid",IF(AND(I187&lt;&gt;"",I187&lt;AsOf),"OVERDUE",IF(OR(K187&lt;&gt;"",L187&lt;&gt;""),"Invoiced","Scheduled"))))</f>
        <v/>
      </c>
      <c r="P187" s="92">
        <f>IF(B187="","",IF(E187&lt;&gt;"",E187,IFERROR(INDEX('Contractors'!$D$6:$D$35,MATCH(B187,'Contractors'!$B$6:$B$35,0)),"")))</f>
        <v/>
      </c>
      <c r="Q187" s="63">
        <f>IF(B187="","",IF(D187&lt;&gt;"",D187,IFERROR(INDEX('Contractors'!$E$6:$E$35,MATCH(B187,'Contractors'!$B$6:$B$35,0)),"")))</f>
        <v/>
      </c>
      <c r="R187" s="63">
        <f>IF(O187="","",IF(O187="OVERDUE",2,IF(O187="Paid",0,IF(AND(I187&lt;&gt;"",I187&lt;=AsOf+AlertDays),1,0))))</f>
        <v/>
      </c>
      <c r="S187" s="63">
        <f>IF(AND(B187&lt;&gt;"",M187="",I187&lt;&gt;""),IF(L187&lt;&gt;"",L187,IF(H187="",0,H187)),0)</f>
        <v/>
      </c>
      <c r="T187" s="63">
        <f>IF(AND(B187&lt;&gt;"",M187="",I187&lt;&gt;""),1/I187,0)</f>
        <v/>
      </c>
      <c r="U187" s="85">
        <f>IF(AND(B187&lt;&gt;"",M187="",I187&lt;&gt;""),I187,"")</f>
        <v/>
      </c>
      <c r="V187" s="63">
        <f>IF(U187="","",IF(U187&lt;AsOf,1,IF(U187&lt;=AsOf+AlertDays,2,IF(U187&lt;=AsOf+2*AlertDays,3,""))))</f>
        <v/>
      </c>
      <c r="W187" s="63">
        <f>IF(V187="","",IF(O187="OVERDUE","Overdue payment: ","Payment due: ")&amp;B187&amp;" — "&amp;C187&amp;" ("&amp;CurSym&amp;" "&amp;FIXED(S187,0)&amp;")")</f>
        <v/>
      </c>
    </row>
    <row r="188" ht="20" customHeight="1">
      <c r="B188" s="65" t="n"/>
      <c r="C188" s="65" t="n"/>
      <c r="D188" s="65" t="n"/>
      <c r="E188" s="65" t="n"/>
      <c r="F188" s="83" t="n"/>
      <c r="G188" s="66" t="n"/>
      <c r="H188" s="69">
        <f>IF(B188="","",IF(G188&lt;&gt;"",G188,IF(F188&lt;&gt;"",F188*IFERROR(INDEX('Contractors'!$I$6:$I$35,MATCH(B188,'Contractors'!$B$6:$B$35,0)),0),"")))</f>
        <v/>
      </c>
      <c r="I188" s="81" t="n"/>
      <c r="J188" s="65" t="n"/>
      <c r="K188" s="81" t="n"/>
      <c r="L188" s="66" t="n"/>
      <c r="M188" s="81" t="n"/>
      <c r="N188" s="66" t="n"/>
      <c r="O188" s="91">
        <f>IF(B188="","",IF(M188&lt;&gt;"","Paid",IF(AND(I188&lt;&gt;"",I188&lt;AsOf),"OVERDUE",IF(OR(K188&lt;&gt;"",L188&lt;&gt;""),"Invoiced","Scheduled"))))</f>
        <v/>
      </c>
      <c r="P188" s="92">
        <f>IF(B188="","",IF(E188&lt;&gt;"",E188,IFERROR(INDEX('Contractors'!$D$6:$D$35,MATCH(B188,'Contractors'!$B$6:$B$35,0)),"")))</f>
        <v/>
      </c>
      <c r="Q188" s="63">
        <f>IF(B188="","",IF(D188&lt;&gt;"",D188,IFERROR(INDEX('Contractors'!$E$6:$E$35,MATCH(B188,'Contractors'!$B$6:$B$35,0)),"")))</f>
        <v/>
      </c>
      <c r="R188" s="63">
        <f>IF(O188="","",IF(O188="OVERDUE",2,IF(O188="Paid",0,IF(AND(I188&lt;&gt;"",I188&lt;=AsOf+AlertDays),1,0))))</f>
        <v/>
      </c>
      <c r="S188" s="63">
        <f>IF(AND(B188&lt;&gt;"",M188="",I188&lt;&gt;""),IF(L188&lt;&gt;"",L188,IF(H188="",0,H188)),0)</f>
        <v/>
      </c>
      <c r="T188" s="63">
        <f>IF(AND(B188&lt;&gt;"",M188="",I188&lt;&gt;""),1/I188,0)</f>
        <v/>
      </c>
      <c r="U188" s="85">
        <f>IF(AND(B188&lt;&gt;"",M188="",I188&lt;&gt;""),I188,"")</f>
        <v/>
      </c>
      <c r="V188" s="63">
        <f>IF(U188="","",IF(U188&lt;AsOf,1,IF(U188&lt;=AsOf+AlertDays,2,IF(U188&lt;=AsOf+2*AlertDays,3,""))))</f>
        <v/>
      </c>
      <c r="W188" s="63">
        <f>IF(V188="","",IF(O188="OVERDUE","Overdue payment: ","Payment due: ")&amp;B188&amp;" — "&amp;C188&amp;" ("&amp;CurSym&amp;" "&amp;FIXED(S188,0)&amp;")")</f>
        <v/>
      </c>
    </row>
    <row r="189" ht="20" customHeight="1">
      <c r="B189" s="65" t="n"/>
      <c r="C189" s="65" t="n"/>
      <c r="D189" s="65" t="n"/>
      <c r="E189" s="65" t="n"/>
      <c r="F189" s="83" t="n"/>
      <c r="G189" s="66" t="n"/>
      <c r="H189" s="69">
        <f>IF(B189="","",IF(G189&lt;&gt;"",G189,IF(F189&lt;&gt;"",F189*IFERROR(INDEX('Contractors'!$I$6:$I$35,MATCH(B189,'Contractors'!$B$6:$B$35,0)),0),"")))</f>
        <v/>
      </c>
      <c r="I189" s="81" t="n"/>
      <c r="J189" s="65" t="n"/>
      <c r="K189" s="81" t="n"/>
      <c r="L189" s="66" t="n"/>
      <c r="M189" s="81" t="n"/>
      <c r="N189" s="66" t="n"/>
      <c r="O189" s="91">
        <f>IF(B189="","",IF(M189&lt;&gt;"","Paid",IF(AND(I189&lt;&gt;"",I189&lt;AsOf),"OVERDUE",IF(OR(K189&lt;&gt;"",L189&lt;&gt;""),"Invoiced","Scheduled"))))</f>
        <v/>
      </c>
      <c r="P189" s="92">
        <f>IF(B189="","",IF(E189&lt;&gt;"",E189,IFERROR(INDEX('Contractors'!$D$6:$D$35,MATCH(B189,'Contractors'!$B$6:$B$35,0)),"")))</f>
        <v/>
      </c>
      <c r="Q189" s="63">
        <f>IF(B189="","",IF(D189&lt;&gt;"",D189,IFERROR(INDEX('Contractors'!$E$6:$E$35,MATCH(B189,'Contractors'!$B$6:$B$35,0)),"")))</f>
        <v/>
      </c>
      <c r="R189" s="63">
        <f>IF(O189="","",IF(O189="OVERDUE",2,IF(O189="Paid",0,IF(AND(I189&lt;&gt;"",I189&lt;=AsOf+AlertDays),1,0))))</f>
        <v/>
      </c>
      <c r="S189" s="63">
        <f>IF(AND(B189&lt;&gt;"",M189="",I189&lt;&gt;""),IF(L189&lt;&gt;"",L189,IF(H189="",0,H189)),0)</f>
        <v/>
      </c>
      <c r="T189" s="63">
        <f>IF(AND(B189&lt;&gt;"",M189="",I189&lt;&gt;""),1/I189,0)</f>
        <v/>
      </c>
      <c r="U189" s="85">
        <f>IF(AND(B189&lt;&gt;"",M189="",I189&lt;&gt;""),I189,"")</f>
        <v/>
      </c>
      <c r="V189" s="63">
        <f>IF(U189="","",IF(U189&lt;AsOf,1,IF(U189&lt;=AsOf+AlertDays,2,IF(U189&lt;=AsOf+2*AlertDays,3,""))))</f>
        <v/>
      </c>
      <c r="W189" s="63">
        <f>IF(V189="","",IF(O189="OVERDUE","Overdue payment: ","Payment due: ")&amp;B189&amp;" — "&amp;C189&amp;" ("&amp;CurSym&amp;" "&amp;FIXED(S189,0)&amp;")")</f>
        <v/>
      </c>
    </row>
    <row r="190" ht="20" customHeight="1">
      <c r="B190" s="65" t="n"/>
      <c r="C190" s="65" t="n"/>
      <c r="D190" s="65" t="n"/>
      <c r="E190" s="65" t="n"/>
      <c r="F190" s="83" t="n"/>
      <c r="G190" s="66" t="n"/>
      <c r="H190" s="69">
        <f>IF(B190="","",IF(G190&lt;&gt;"",G190,IF(F190&lt;&gt;"",F190*IFERROR(INDEX('Contractors'!$I$6:$I$35,MATCH(B190,'Contractors'!$B$6:$B$35,0)),0),"")))</f>
        <v/>
      </c>
      <c r="I190" s="81" t="n"/>
      <c r="J190" s="65" t="n"/>
      <c r="K190" s="81" t="n"/>
      <c r="L190" s="66" t="n"/>
      <c r="M190" s="81" t="n"/>
      <c r="N190" s="66" t="n"/>
      <c r="O190" s="91">
        <f>IF(B190="","",IF(M190&lt;&gt;"","Paid",IF(AND(I190&lt;&gt;"",I190&lt;AsOf),"OVERDUE",IF(OR(K190&lt;&gt;"",L190&lt;&gt;""),"Invoiced","Scheduled"))))</f>
        <v/>
      </c>
      <c r="P190" s="92">
        <f>IF(B190="","",IF(E190&lt;&gt;"",E190,IFERROR(INDEX('Contractors'!$D$6:$D$35,MATCH(B190,'Contractors'!$B$6:$B$35,0)),"")))</f>
        <v/>
      </c>
      <c r="Q190" s="63">
        <f>IF(B190="","",IF(D190&lt;&gt;"",D190,IFERROR(INDEX('Contractors'!$E$6:$E$35,MATCH(B190,'Contractors'!$B$6:$B$35,0)),"")))</f>
        <v/>
      </c>
      <c r="R190" s="63">
        <f>IF(O190="","",IF(O190="OVERDUE",2,IF(O190="Paid",0,IF(AND(I190&lt;&gt;"",I190&lt;=AsOf+AlertDays),1,0))))</f>
        <v/>
      </c>
      <c r="S190" s="63">
        <f>IF(AND(B190&lt;&gt;"",M190="",I190&lt;&gt;""),IF(L190&lt;&gt;"",L190,IF(H190="",0,H190)),0)</f>
        <v/>
      </c>
      <c r="T190" s="63">
        <f>IF(AND(B190&lt;&gt;"",M190="",I190&lt;&gt;""),1/I190,0)</f>
        <v/>
      </c>
      <c r="U190" s="85">
        <f>IF(AND(B190&lt;&gt;"",M190="",I190&lt;&gt;""),I190,"")</f>
        <v/>
      </c>
      <c r="V190" s="63">
        <f>IF(U190="","",IF(U190&lt;AsOf,1,IF(U190&lt;=AsOf+AlertDays,2,IF(U190&lt;=AsOf+2*AlertDays,3,""))))</f>
        <v/>
      </c>
      <c r="W190" s="63">
        <f>IF(V190="","",IF(O190="OVERDUE","Overdue payment: ","Payment due: ")&amp;B190&amp;" — "&amp;C190&amp;" ("&amp;CurSym&amp;" "&amp;FIXED(S190,0)&amp;")")</f>
        <v/>
      </c>
    </row>
    <row r="191" ht="20" customHeight="1">
      <c r="B191" s="65" t="n"/>
      <c r="C191" s="65" t="n"/>
      <c r="D191" s="65" t="n"/>
      <c r="E191" s="65" t="n"/>
      <c r="F191" s="83" t="n"/>
      <c r="G191" s="66" t="n"/>
      <c r="H191" s="69">
        <f>IF(B191="","",IF(G191&lt;&gt;"",G191,IF(F191&lt;&gt;"",F191*IFERROR(INDEX('Contractors'!$I$6:$I$35,MATCH(B191,'Contractors'!$B$6:$B$35,0)),0),"")))</f>
        <v/>
      </c>
      <c r="I191" s="81" t="n"/>
      <c r="J191" s="65" t="n"/>
      <c r="K191" s="81" t="n"/>
      <c r="L191" s="66" t="n"/>
      <c r="M191" s="81" t="n"/>
      <c r="N191" s="66" t="n"/>
      <c r="O191" s="91">
        <f>IF(B191="","",IF(M191&lt;&gt;"","Paid",IF(AND(I191&lt;&gt;"",I191&lt;AsOf),"OVERDUE",IF(OR(K191&lt;&gt;"",L191&lt;&gt;""),"Invoiced","Scheduled"))))</f>
        <v/>
      </c>
      <c r="P191" s="92">
        <f>IF(B191="","",IF(E191&lt;&gt;"",E191,IFERROR(INDEX('Contractors'!$D$6:$D$35,MATCH(B191,'Contractors'!$B$6:$B$35,0)),"")))</f>
        <v/>
      </c>
      <c r="Q191" s="63">
        <f>IF(B191="","",IF(D191&lt;&gt;"",D191,IFERROR(INDEX('Contractors'!$E$6:$E$35,MATCH(B191,'Contractors'!$B$6:$B$35,0)),"")))</f>
        <v/>
      </c>
      <c r="R191" s="63">
        <f>IF(O191="","",IF(O191="OVERDUE",2,IF(O191="Paid",0,IF(AND(I191&lt;&gt;"",I191&lt;=AsOf+AlertDays),1,0))))</f>
        <v/>
      </c>
      <c r="S191" s="63">
        <f>IF(AND(B191&lt;&gt;"",M191="",I191&lt;&gt;""),IF(L191&lt;&gt;"",L191,IF(H191="",0,H191)),0)</f>
        <v/>
      </c>
      <c r="T191" s="63">
        <f>IF(AND(B191&lt;&gt;"",M191="",I191&lt;&gt;""),1/I191,0)</f>
        <v/>
      </c>
      <c r="U191" s="85">
        <f>IF(AND(B191&lt;&gt;"",M191="",I191&lt;&gt;""),I191,"")</f>
        <v/>
      </c>
      <c r="V191" s="63">
        <f>IF(U191="","",IF(U191&lt;AsOf,1,IF(U191&lt;=AsOf+AlertDays,2,IF(U191&lt;=AsOf+2*AlertDays,3,""))))</f>
        <v/>
      </c>
      <c r="W191" s="63">
        <f>IF(V191="","",IF(O191="OVERDUE","Overdue payment: ","Payment due: ")&amp;B191&amp;" — "&amp;C191&amp;" ("&amp;CurSym&amp;" "&amp;FIXED(S191,0)&amp;")")</f>
        <v/>
      </c>
    </row>
    <row r="192" ht="20" customHeight="1">
      <c r="B192" s="65" t="n"/>
      <c r="C192" s="65" t="n"/>
      <c r="D192" s="65" t="n"/>
      <c r="E192" s="65" t="n"/>
      <c r="F192" s="83" t="n"/>
      <c r="G192" s="66" t="n"/>
      <c r="H192" s="69">
        <f>IF(B192="","",IF(G192&lt;&gt;"",G192,IF(F192&lt;&gt;"",F192*IFERROR(INDEX('Contractors'!$I$6:$I$35,MATCH(B192,'Contractors'!$B$6:$B$35,0)),0),"")))</f>
        <v/>
      </c>
      <c r="I192" s="81" t="n"/>
      <c r="J192" s="65" t="n"/>
      <c r="K192" s="81" t="n"/>
      <c r="L192" s="66" t="n"/>
      <c r="M192" s="81" t="n"/>
      <c r="N192" s="66" t="n"/>
      <c r="O192" s="91">
        <f>IF(B192="","",IF(M192&lt;&gt;"","Paid",IF(AND(I192&lt;&gt;"",I192&lt;AsOf),"OVERDUE",IF(OR(K192&lt;&gt;"",L192&lt;&gt;""),"Invoiced","Scheduled"))))</f>
        <v/>
      </c>
      <c r="P192" s="92">
        <f>IF(B192="","",IF(E192&lt;&gt;"",E192,IFERROR(INDEX('Contractors'!$D$6:$D$35,MATCH(B192,'Contractors'!$B$6:$B$35,0)),"")))</f>
        <v/>
      </c>
      <c r="Q192" s="63">
        <f>IF(B192="","",IF(D192&lt;&gt;"",D192,IFERROR(INDEX('Contractors'!$E$6:$E$35,MATCH(B192,'Contractors'!$B$6:$B$35,0)),"")))</f>
        <v/>
      </c>
      <c r="R192" s="63">
        <f>IF(O192="","",IF(O192="OVERDUE",2,IF(O192="Paid",0,IF(AND(I192&lt;&gt;"",I192&lt;=AsOf+AlertDays),1,0))))</f>
        <v/>
      </c>
      <c r="S192" s="63">
        <f>IF(AND(B192&lt;&gt;"",M192="",I192&lt;&gt;""),IF(L192&lt;&gt;"",L192,IF(H192="",0,H192)),0)</f>
        <v/>
      </c>
      <c r="T192" s="63">
        <f>IF(AND(B192&lt;&gt;"",M192="",I192&lt;&gt;""),1/I192,0)</f>
        <v/>
      </c>
      <c r="U192" s="85">
        <f>IF(AND(B192&lt;&gt;"",M192="",I192&lt;&gt;""),I192,"")</f>
        <v/>
      </c>
      <c r="V192" s="63">
        <f>IF(U192="","",IF(U192&lt;AsOf,1,IF(U192&lt;=AsOf+AlertDays,2,IF(U192&lt;=AsOf+2*AlertDays,3,""))))</f>
        <v/>
      </c>
      <c r="W192" s="63">
        <f>IF(V192="","",IF(O192="OVERDUE","Overdue payment: ","Payment due: ")&amp;B192&amp;" — "&amp;C192&amp;" ("&amp;CurSym&amp;" "&amp;FIXED(S192,0)&amp;")")</f>
        <v/>
      </c>
    </row>
    <row r="193" ht="20" customHeight="1">
      <c r="B193" s="65" t="n"/>
      <c r="C193" s="65" t="n"/>
      <c r="D193" s="65" t="n"/>
      <c r="E193" s="65" t="n"/>
      <c r="F193" s="83" t="n"/>
      <c r="G193" s="66" t="n"/>
      <c r="H193" s="69">
        <f>IF(B193="","",IF(G193&lt;&gt;"",G193,IF(F193&lt;&gt;"",F193*IFERROR(INDEX('Contractors'!$I$6:$I$35,MATCH(B193,'Contractors'!$B$6:$B$35,0)),0),"")))</f>
        <v/>
      </c>
      <c r="I193" s="81" t="n"/>
      <c r="J193" s="65" t="n"/>
      <c r="K193" s="81" t="n"/>
      <c r="L193" s="66" t="n"/>
      <c r="M193" s="81" t="n"/>
      <c r="N193" s="66" t="n"/>
      <c r="O193" s="91">
        <f>IF(B193="","",IF(M193&lt;&gt;"","Paid",IF(AND(I193&lt;&gt;"",I193&lt;AsOf),"OVERDUE",IF(OR(K193&lt;&gt;"",L193&lt;&gt;""),"Invoiced","Scheduled"))))</f>
        <v/>
      </c>
      <c r="P193" s="92">
        <f>IF(B193="","",IF(E193&lt;&gt;"",E193,IFERROR(INDEX('Contractors'!$D$6:$D$35,MATCH(B193,'Contractors'!$B$6:$B$35,0)),"")))</f>
        <v/>
      </c>
      <c r="Q193" s="63">
        <f>IF(B193="","",IF(D193&lt;&gt;"",D193,IFERROR(INDEX('Contractors'!$E$6:$E$35,MATCH(B193,'Contractors'!$B$6:$B$35,0)),"")))</f>
        <v/>
      </c>
      <c r="R193" s="63">
        <f>IF(O193="","",IF(O193="OVERDUE",2,IF(O193="Paid",0,IF(AND(I193&lt;&gt;"",I193&lt;=AsOf+AlertDays),1,0))))</f>
        <v/>
      </c>
      <c r="S193" s="63">
        <f>IF(AND(B193&lt;&gt;"",M193="",I193&lt;&gt;""),IF(L193&lt;&gt;"",L193,IF(H193="",0,H193)),0)</f>
        <v/>
      </c>
      <c r="T193" s="63">
        <f>IF(AND(B193&lt;&gt;"",M193="",I193&lt;&gt;""),1/I193,0)</f>
        <v/>
      </c>
      <c r="U193" s="85">
        <f>IF(AND(B193&lt;&gt;"",M193="",I193&lt;&gt;""),I193,"")</f>
        <v/>
      </c>
      <c r="V193" s="63">
        <f>IF(U193="","",IF(U193&lt;AsOf,1,IF(U193&lt;=AsOf+AlertDays,2,IF(U193&lt;=AsOf+2*AlertDays,3,""))))</f>
        <v/>
      </c>
      <c r="W193" s="63">
        <f>IF(V193="","",IF(O193="OVERDUE","Overdue payment: ","Payment due: ")&amp;B193&amp;" — "&amp;C193&amp;" ("&amp;CurSym&amp;" "&amp;FIXED(S193,0)&amp;")")</f>
        <v/>
      </c>
    </row>
    <row r="194" ht="20" customHeight="1">
      <c r="B194" s="65" t="n"/>
      <c r="C194" s="65" t="n"/>
      <c r="D194" s="65" t="n"/>
      <c r="E194" s="65" t="n"/>
      <c r="F194" s="83" t="n"/>
      <c r="G194" s="66" t="n"/>
      <c r="H194" s="69">
        <f>IF(B194="","",IF(G194&lt;&gt;"",G194,IF(F194&lt;&gt;"",F194*IFERROR(INDEX('Contractors'!$I$6:$I$35,MATCH(B194,'Contractors'!$B$6:$B$35,0)),0),"")))</f>
        <v/>
      </c>
      <c r="I194" s="81" t="n"/>
      <c r="J194" s="65" t="n"/>
      <c r="K194" s="81" t="n"/>
      <c r="L194" s="66" t="n"/>
      <c r="M194" s="81" t="n"/>
      <c r="N194" s="66" t="n"/>
      <c r="O194" s="91">
        <f>IF(B194="","",IF(M194&lt;&gt;"","Paid",IF(AND(I194&lt;&gt;"",I194&lt;AsOf),"OVERDUE",IF(OR(K194&lt;&gt;"",L194&lt;&gt;""),"Invoiced","Scheduled"))))</f>
        <v/>
      </c>
      <c r="P194" s="92">
        <f>IF(B194="","",IF(E194&lt;&gt;"",E194,IFERROR(INDEX('Contractors'!$D$6:$D$35,MATCH(B194,'Contractors'!$B$6:$B$35,0)),"")))</f>
        <v/>
      </c>
      <c r="Q194" s="63">
        <f>IF(B194="","",IF(D194&lt;&gt;"",D194,IFERROR(INDEX('Contractors'!$E$6:$E$35,MATCH(B194,'Contractors'!$B$6:$B$35,0)),"")))</f>
        <v/>
      </c>
      <c r="R194" s="63">
        <f>IF(O194="","",IF(O194="OVERDUE",2,IF(O194="Paid",0,IF(AND(I194&lt;&gt;"",I194&lt;=AsOf+AlertDays),1,0))))</f>
        <v/>
      </c>
      <c r="S194" s="63">
        <f>IF(AND(B194&lt;&gt;"",M194="",I194&lt;&gt;""),IF(L194&lt;&gt;"",L194,IF(H194="",0,H194)),0)</f>
        <v/>
      </c>
      <c r="T194" s="63">
        <f>IF(AND(B194&lt;&gt;"",M194="",I194&lt;&gt;""),1/I194,0)</f>
        <v/>
      </c>
      <c r="U194" s="85">
        <f>IF(AND(B194&lt;&gt;"",M194="",I194&lt;&gt;""),I194,"")</f>
        <v/>
      </c>
      <c r="V194" s="63">
        <f>IF(U194="","",IF(U194&lt;AsOf,1,IF(U194&lt;=AsOf+AlertDays,2,IF(U194&lt;=AsOf+2*AlertDays,3,""))))</f>
        <v/>
      </c>
      <c r="W194" s="63">
        <f>IF(V194="","",IF(O194="OVERDUE","Overdue payment: ","Payment due: ")&amp;B194&amp;" — "&amp;C194&amp;" ("&amp;CurSym&amp;" "&amp;FIXED(S194,0)&amp;")")</f>
        <v/>
      </c>
    </row>
    <row r="195" ht="20" customHeight="1">
      <c r="B195" s="65" t="n"/>
      <c r="C195" s="65" t="n"/>
      <c r="D195" s="65" t="n"/>
      <c r="E195" s="65" t="n"/>
      <c r="F195" s="83" t="n"/>
      <c r="G195" s="66" t="n"/>
      <c r="H195" s="69">
        <f>IF(B195="","",IF(G195&lt;&gt;"",G195,IF(F195&lt;&gt;"",F195*IFERROR(INDEX('Contractors'!$I$6:$I$35,MATCH(B195,'Contractors'!$B$6:$B$35,0)),0),"")))</f>
        <v/>
      </c>
      <c r="I195" s="81" t="n"/>
      <c r="J195" s="65" t="n"/>
      <c r="K195" s="81" t="n"/>
      <c r="L195" s="66" t="n"/>
      <c r="M195" s="81" t="n"/>
      <c r="N195" s="66" t="n"/>
      <c r="O195" s="91">
        <f>IF(B195="","",IF(M195&lt;&gt;"","Paid",IF(AND(I195&lt;&gt;"",I195&lt;AsOf),"OVERDUE",IF(OR(K195&lt;&gt;"",L195&lt;&gt;""),"Invoiced","Scheduled"))))</f>
        <v/>
      </c>
      <c r="P195" s="92">
        <f>IF(B195="","",IF(E195&lt;&gt;"",E195,IFERROR(INDEX('Contractors'!$D$6:$D$35,MATCH(B195,'Contractors'!$B$6:$B$35,0)),"")))</f>
        <v/>
      </c>
      <c r="Q195" s="63">
        <f>IF(B195="","",IF(D195&lt;&gt;"",D195,IFERROR(INDEX('Contractors'!$E$6:$E$35,MATCH(B195,'Contractors'!$B$6:$B$35,0)),"")))</f>
        <v/>
      </c>
      <c r="R195" s="63">
        <f>IF(O195="","",IF(O195="OVERDUE",2,IF(O195="Paid",0,IF(AND(I195&lt;&gt;"",I195&lt;=AsOf+AlertDays),1,0))))</f>
        <v/>
      </c>
      <c r="S195" s="63">
        <f>IF(AND(B195&lt;&gt;"",M195="",I195&lt;&gt;""),IF(L195&lt;&gt;"",L195,IF(H195="",0,H195)),0)</f>
        <v/>
      </c>
      <c r="T195" s="63">
        <f>IF(AND(B195&lt;&gt;"",M195="",I195&lt;&gt;""),1/I195,0)</f>
        <v/>
      </c>
      <c r="U195" s="85">
        <f>IF(AND(B195&lt;&gt;"",M195="",I195&lt;&gt;""),I195,"")</f>
        <v/>
      </c>
      <c r="V195" s="63">
        <f>IF(U195="","",IF(U195&lt;AsOf,1,IF(U195&lt;=AsOf+AlertDays,2,IF(U195&lt;=AsOf+2*AlertDays,3,""))))</f>
        <v/>
      </c>
      <c r="W195" s="63">
        <f>IF(V195="","",IF(O195="OVERDUE","Overdue payment: ","Payment due: ")&amp;B195&amp;" — "&amp;C195&amp;" ("&amp;CurSym&amp;" "&amp;FIXED(S195,0)&amp;")")</f>
        <v/>
      </c>
    </row>
    <row r="196" ht="20" customHeight="1">
      <c r="B196" s="65" t="n"/>
      <c r="C196" s="65" t="n"/>
      <c r="D196" s="65" t="n"/>
      <c r="E196" s="65" t="n"/>
      <c r="F196" s="83" t="n"/>
      <c r="G196" s="66" t="n"/>
      <c r="H196" s="69">
        <f>IF(B196="","",IF(G196&lt;&gt;"",G196,IF(F196&lt;&gt;"",F196*IFERROR(INDEX('Contractors'!$I$6:$I$35,MATCH(B196,'Contractors'!$B$6:$B$35,0)),0),"")))</f>
        <v/>
      </c>
      <c r="I196" s="81" t="n"/>
      <c r="J196" s="65" t="n"/>
      <c r="K196" s="81" t="n"/>
      <c r="L196" s="66" t="n"/>
      <c r="M196" s="81" t="n"/>
      <c r="N196" s="66" t="n"/>
      <c r="O196" s="91">
        <f>IF(B196="","",IF(M196&lt;&gt;"","Paid",IF(AND(I196&lt;&gt;"",I196&lt;AsOf),"OVERDUE",IF(OR(K196&lt;&gt;"",L196&lt;&gt;""),"Invoiced","Scheduled"))))</f>
        <v/>
      </c>
      <c r="P196" s="92">
        <f>IF(B196="","",IF(E196&lt;&gt;"",E196,IFERROR(INDEX('Contractors'!$D$6:$D$35,MATCH(B196,'Contractors'!$B$6:$B$35,0)),"")))</f>
        <v/>
      </c>
      <c r="Q196" s="63">
        <f>IF(B196="","",IF(D196&lt;&gt;"",D196,IFERROR(INDEX('Contractors'!$E$6:$E$35,MATCH(B196,'Contractors'!$B$6:$B$35,0)),"")))</f>
        <v/>
      </c>
      <c r="R196" s="63">
        <f>IF(O196="","",IF(O196="OVERDUE",2,IF(O196="Paid",0,IF(AND(I196&lt;&gt;"",I196&lt;=AsOf+AlertDays),1,0))))</f>
        <v/>
      </c>
      <c r="S196" s="63">
        <f>IF(AND(B196&lt;&gt;"",M196="",I196&lt;&gt;""),IF(L196&lt;&gt;"",L196,IF(H196="",0,H196)),0)</f>
        <v/>
      </c>
      <c r="T196" s="63">
        <f>IF(AND(B196&lt;&gt;"",M196="",I196&lt;&gt;""),1/I196,0)</f>
        <v/>
      </c>
      <c r="U196" s="85">
        <f>IF(AND(B196&lt;&gt;"",M196="",I196&lt;&gt;""),I196,"")</f>
        <v/>
      </c>
      <c r="V196" s="63">
        <f>IF(U196="","",IF(U196&lt;AsOf,1,IF(U196&lt;=AsOf+AlertDays,2,IF(U196&lt;=AsOf+2*AlertDays,3,""))))</f>
        <v/>
      </c>
      <c r="W196" s="63">
        <f>IF(V196="","",IF(O196="OVERDUE","Overdue payment: ","Payment due: ")&amp;B196&amp;" — "&amp;C196&amp;" ("&amp;CurSym&amp;" "&amp;FIXED(S196,0)&amp;")")</f>
        <v/>
      </c>
    </row>
    <row r="197" ht="20" customHeight="1">
      <c r="B197" s="65" t="n"/>
      <c r="C197" s="65" t="n"/>
      <c r="D197" s="65" t="n"/>
      <c r="E197" s="65" t="n"/>
      <c r="F197" s="83" t="n"/>
      <c r="G197" s="66" t="n"/>
      <c r="H197" s="69">
        <f>IF(B197="","",IF(G197&lt;&gt;"",G197,IF(F197&lt;&gt;"",F197*IFERROR(INDEX('Contractors'!$I$6:$I$35,MATCH(B197,'Contractors'!$B$6:$B$35,0)),0),"")))</f>
        <v/>
      </c>
      <c r="I197" s="81" t="n"/>
      <c r="J197" s="65" t="n"/>
      <c r="K197" s="81" t="n"/>
      <c r="L197" s="66" t="n"/>
      <c r="M197" s="81" t="n"/>
      <c r="N197" s="66" t="n"/>
      <c r="O197" s="91">
        <f>IF(B197="","",IF(M197&lt;&gt;"","Paid",IF(AND(I197&lt;&gt;"",I197&lt;AsOf),"OVERDUE",IF(OR(K197&lt;&gt;"",L197&lt;&gt;""),"Invoiced","Scheduled"))))</f>
        <v/>
      </c>
      <c r="P197" s="92">
        <f>IF(B197="","",IF(E197&lt;&gt;"",E197,IFERROR(INDEX('Contractors'!$D$6:$D$35,MATCH(B197,'Contractors'!$B$6:$B$35,0)),"")))</f>
        <v/>
      </c>
      <c r="Q197" s="63">
        <f>IF(B197="","",IF(D197&lt;&gt;"",D197,IFERROR(INDEX('Contractors'!$E$6:$E$35,MATCH(B197,'Contractors'!$B$6:$B$35,0)),"")))</f>
        <v/>
      </c>
      <c r="R197" s="63">
        <f>IF(O197="","",IF(O197="OVERDUE",2,IF(O197="Paid",0,IF(AND(I197&lt;&gt;"",I197&lt;=AsOf+AlertDays),1,0))))</f>
        <v/>
      </c>
      <c r="S197" s="63">
        <f>IF(AND(B197&lt;&gt;"",M197="",I197&lt;&gt;""),IF(L197&lt;&gt;"",L197,IF(H197="",0,H197)),0)</f>
        <v/>
      </c>
      <c r="T197" s="63">
        <f>IF(AND(B197&lt;&gt;"",M197="",I197&lt;&gt;""),1/I197,0)</f>
        <v/>
      </c>
      <c r="U197" s="85">
        <f>IF(AND(B197&lt;&gt;"",M197="",I197&lt;&gt;""),I197,"")</f>
        <v/>
      </c>
      <c r="V197" s="63">
        <f>IF(U197="","",IF(U197&lt;AsOf,1,IF(U197&lt;=AsOf+AlertDays,2,IF(U197&lt;=AsOf+2*AlertDays,3,""))))</f>
        <v/>
      </c>
      <c r="W197" s="63">
        <f>IF(V197="","",IF(O197="OVERDUE","Overdue payment: ","Payment due: ")&amp;B197&amp;" — "&amp;C197&amp;" ("&amp;CurSym&amp;" "&amp;FIXED(S197,0)&amp;")")</f>
        <v/>
      </c>
    </row>
    <row r="198" ht="20" customHeight="1">
      <c r="B198" s="65" t="n"/>
      <c r="C198" s="65" t="n"/>
      <c r="D198" s="65" t="n"/>
      <c r="E198" s="65" t="n"/>
      <c r="F198" s="83" t="n"/>
      <c r="G198" s="66" t="n"/>
      <c r="H198" s="69">
        <f>IF(B198="","",IF(G198&lt;&gt;"",G198,IF(F198&lt;&gt;"",F198*IFERROR(INDEX('Contractors'!$I$6:$I$35,MATCH(B198,'Contractors'!$B$6:$B$35,0)),0),"")))</f>
        <v/>
      </c>
      <c r="I198" s="81" t="n"/>
      <c r="J198" s="65" t="n"/>
      <c r="K198" s="81" t="n"/>
      <c r="L198" s="66" t="n"/>
      <c r="M198" s="81" t="n"/>
      <c r="N198" s="66" t="n"/>
      <c r="O198" s="91">
        <f>IF(B198="","",IF(M198&lt;&gt;"","Paid",IF(AND(I198&lt;&gt;"",I198&lt;AsOf),"OVERDUE",IF(OR(K198&lt;&gt;"",L198&lt;&gt;""),"Invoiced","Scheduled"))))</f>
        <v/>
      </c>
      <c r="P198" s="92">
        <f>IF(B198="","",IF(E198&lt;&gt;"",E198,IFERROR(INDEX('Contractors'!$D$6:$D$35,MATCH(B198,'Contractors'!$B$6:$B$35,0)),"")))</f>
        <v/>
      </c>
      <c r="Q198" s="63">
        <f>IF(B198="","",IF(D198&lt;&gt;"",D198,IFERROR(INDEX('Contractors'!$E$6:$E$35,MATCH(B198,'Contractors'!$B$6:$B$35,0)),"")))</f>
        <v/>
      </c>
      <c r="R198" s="63">
        <f>IF(O198="","",IF(O198="OVERDUE",2,IF(O198="Paid",0,IF(AND(I198&lt;&gt;"",I198&lt;=AsOf+AlertDays),1,0))))</f>
        <v/>
      </c>
      <c r="S198" s="63">
        <f>IF(AND(B198&lt;&gt;"",M198="",I198&lt;&gt;""),IF(L198&lt;&gt;"",L198,IF(H198="",0,H198)),0)</f>
        <v/>
      </c>
      <c r="T198" s="63">
        <f>IF(AND(B198&lt;&gt;"",M198="",I198&lt;&gt;""),1/I198,0)</f>
        <v/>
      </c>
      <c r="U198" s="85">
        <f>IF(AND(B198&lt;&gt;"",M198="",I198&lt;&gt;""),I198,"")</f>
        <v/>
      </c>
      <c r="V198" s="63">
        <f>IF(U198="","",IF(U198&lt;AsOf,1,IF(U198&lt;=AsOf+AlertDays,2,IF(U198&lt;=AsOf+2*AlertDays,3,""))))</f>
        <v/>
      </c>
      <c r="W198" s="63">
        <f>IF(V198="","",IF(O198="OVERDUE","Overdue payment: ","Payment due: ")&amp;B198&amp;" — "&amp;C198&amp;" ("&amp;CurSym&amp;" "&amp;FIXED(S198,0)&amp;")")</f>
        <v/>
      </c>
    </row>
    <row r="199" ht="20" customHeight="1">
      <c r="B199" s="65" t="n"/>
      <c r="C199" s="65" t="n"/>
      <c r="D199" s="65" t="n"/>
      <c r="E199" s="65" t="n"/>
      <c r="F199" s="83" t="n"/>
      <c r="G199" s="66" t="n"/>
      <c r="H199" s="69">
        <f>IF(B199="","",IF(G199&lt;&gt;"",G199,IF(F199&lt;&gt;"",F199*IFERROR(INDEX('Contractors'!$I$6:$I$35,MATCH(B199,'Contractors'!$B$6:$B$35,0)),0),"")))</f>
        <v/>
      </c>
      <c r="I199" s="81" t="n"/>
      <c r="J199" s="65" t="n"/>
      <c r="K199" s="81" t="n"/>
      <c r="L199" s="66" t="n"/>
      <c r="M199" s="81" t="n"/>
      <c r="N199" s="66" t="n"/>
      <c r="O199" s="91">
        <f>IF(B199="","",IF(M199&lt;&gt;"","Paid",IF(AND(I199&lt;&gt;"",I199&lt;AsOf),"OVERDUE",IF(OR(K199&lt;&gt;"",L199&lt;&gt;""),"Invoiced","Scheduled"))))</f>
        <v/>
      </c>
      <c r="P199" s="92">
        <f>IF(B199="","",IF(E199&lt;&gt;"",E199,IFERROR(INDEX('Contractors'!$D$6:$D$35,MATCH(B199,'Contractors'!$B$6:$B$35,0)),"")))</f>
        <v/>
      </c>
      <c r="Q199" s="63">
        <f>IF(B199="","",IF(D199&lt;&gt;"",D199,IFERROR(INDEX('Contractors'!$E$6:$E$35,MATCH(B199,'Contractors'!$B$6:$B$35,0)),"")))</f>
        <v/>
      </c>
      <c r="R199" s="63">
        <f>IF(O199="","",IF(O199="OVERDUE",2,IF(O199="Paid",0,IF(AND(I199&lt;&gt;"",I199&lt;=AsOf+AlertDays),1,0))))</f>
        <v/>
      </c>
      <c r="S199" s="63">
        <f>IF(AND(B199&lt;&gt;"",M199="",I199&lt;&gt;""),IF(L199&lt;&gt;"",L199,IF(H199="",0,H199)),0)</f>
        <v/>
      </c>
      <c r="T199" s="63">
        <f>IF(AND(B199&lt;&gt;"",M199="",I199&lt;&gt;""),1/I199,0)</f>
        <v/>
      </c>
      <c r="U199" s="85">
        <f>IF(AND(B199&lt;&gt;"",M199="",I199&lt;&gt;""),I199,"")</f>
        <v/>
      </c>
      <c r="V199" s="63">
        <f>IF(U199="","",IF(U199&lt;AsOf,1,IF(U199&lt;=AsOf+AlertDays,2,IF(U199&lt;=AsOf+2*AlertDays,3,""))))</f>
        <v/>
      </c>
      <c r="W199" s="63">
        <f>IF(V199="","",IF(O199="OVERDUE","Overdue payment: ","Payment due: ")&amp;B199&amp;" — "&amp;C199&amp;" ("&amp;CurSym&amp;" "&amp;FIXED(S199,0)&amp;")")</f>
        <v/>
      </c>
    </row>
    <row r="200" ht="20" customHeight="1">
      <c r="B200" s="65" t="n"/>
      <c r="C200" s="65" t="n"/>
      <c r="D200" s="65" t="n"/>
      <c r="E200" s="65" t="n"/>
      <c r="F200" s="83" t="n"/>
      <c r="G200" s="66" t="n"/>
      <c r="H200" s="69">
        <f>IF(B200="","",IF(G200&lt;&gt;"",G200,IF(F200&lt;&gt;"",F200*IFERROR(INDEX('Contractors'!$I$6:$I$35,MATCH(B200,'Contractors'!$B$6:$B$35,0)),0),"")))</f>
        <v/>
      </c>
      <c r="I200" s="81" t="n"/>
      <c r="J200" s="65" t="n"/>
      <c r="K200" s="81" t="n"/>
      <c r="L200" s="66" t="n"/>
      <c r="M200" s="81" t="n"/>
      <c r="N200" s="66" t="n"/>
      <c r="O200" s="91">
        <f>IF(B200="","",IF(M200&lt;&gt;"","Paid",IF(AND(I200&lt;&gt;"",I200&lt;AsOf),"OVERDUE",IF(OR(K200&lt;&gt;"",L200&lt;&gt;""),"Invoiced","Scheduled"))))</f>
        <v/>
      </c>
      <c r="P200" s="92">
        <f>IF(B200="","",IF(E200&lt;&gt;"",E200,IFERROR(INDEX('Contractors'!$D$6:$D$35,MATCH(B200,'Contractors'!$B$6:$B$35,0)),"")))</f>
        <v/>
      </c>
      <c r="Q200" s="63">
        <f>IF(B200="","",IF(D200&lt;&gt;"",D200,IFERROR(INDEX('Contractors'!$E$6:$E$35,MATCH(B200,'Contractors'!$B$6:$B$35,0)),"")))</f>
        <v/>
      </c>
      <c r="R200" s="63">
        <f>IF(O200="","",IF(O200="OVERDUE",2,IF(O200="Paid",0,IF(AND(I200&lt;&gt;"",I200&lt;=AsOf+AlertDays),1,0))))</f>
        <v/>
      </c>
      <c r="S200" s="63">
        <f>IF(AND(B200&lt;&gt;"",M200="",I200&lt;&gt;""),IF(L200&lt;&gt;"",L200,IF(H200="",0,H200)),0)</f>
        <v/>
      </c>
      <c r="T200" s="63">
        <f>IF(AND(B200&lt;&gt;"",M200="",I200&lt;&gt;""),1/I200,0)</f>
        <v/>
      </c>
      <c r="U200" s="85">
        <f>IF(AND(B200&lt;&gt;"",M200="",I200&lt;&gt;""),I200,"")</f>
        <v/>
      </c>
      <c r="V200" s="63">
        <f>IF(U200="","",IF(U200&lt;AsOf,1,IF(U200&lt;=AsOf+AlertDays,2,IF(U200&lt;=AsOf+2*AlertDays,3,""))))</f>
        <v/>
      </c>
      <c r="W200" s="63">
        <f>IF(V200="","",IF(O200="OVERDUE","Overdue payment: ","Payment due: ")&amp;B200&amp;" — "&amp;C200&amp;" ("&amp;CurSym&amp;" "&amp;FIXED(S200,0)&amp;")")</f>
        <v/>
      </c>
    </row>
    <row r="201" ht="20" customHeight="1">
      <c r="B201" s="65" t="n"/>
      <c r="C201" s="65" t="n"/>
      <c r="D201" s="65" t="n"/>
      <c r="E201" s="65" t="n"/>
      <c r="F201" s="83" t="n"/>
      <c r="G201" s="66" t="n"/>
      <c r="H201" s="69">
        <f>IF(B201="","",IF(G201&lt;&gt;"",G201,IF(F201&lt;&gt;"",F201*IFERROR(INDEX('Contractors'!$I$6:$I$35,MATCH(B201,'Contractors'!$B$6:$B$35,0)),0),"")))</f>
        <v/>
      </c>
      <c r="I201" s="81" t="n"/>
      <c r="J201" s="65" t="n"/>
      <c r="K201" s="81" t="n"/>
      <c r="L201" s="66" t="n"/>
      <c r="M201" s="81" t="n"/>
      <c r="N201" s="66" t="n"/>
      <c r="O201" s="91">
        <f>IF(B201="","",IF(M201&lt;&gt;"","Paid",IF(AND(I201&lt;&gt;"",I201&lt;AsOf),"OVERDUE",IF(OR(K201&lt;&gt;"",L201&lt;&gt;""),"Invoiced","Scheduled"))))</f>
        <v/>
      </c>
      <c r="P201" s="92">
        <f>IF(B201="","",IF(E201&lt;&gt;"",E201,IFERROR(INDEX('Contractors'!$D$6:$D$35,MATCH(B201,'Contractors'!$B$6:$B$35,0)),"")))</f>
        <v/>
      </c>
      <c r="Q201" s="63">
        <f>IF(B201="","",IF(D201&lt;&gt;"",D201,IFERROR(INDEX('Contractors'!$E$6:$E$35,MATCH(B201,'Contractors'!$B$6:$B$35,0)),"")))</f>
        <v/>
      </c>
      <c r="R201" s="63">
        <f>IF(O201="","",IF(O201="OVERDUE",2,IF(O201="Paid",0,IF(AND(I201&lt;&gt;"",I201&lt;=AsOf+AlertDays),1,0))))</f>
        <v/>
      </c>
      <c r="S201" s="63">
        <f>IF(AND(B201&lt;&gt;"",M201="",I201&lt;&gt;""),IF(L201&lt;&gt;"",L201,IF(H201="",0,H201)),0)</f>
        <v/>
      </c>
      <c r="T201" s="63">
        <f>IF(AND(B201&lt;&gt;"",M201="",I201&lt;&gt;""),1/I201,0)</f>
        <v/>
      </c>
      <c r="U201" s="85">
        <f>IF(AND(B201&lt;&gt;"",M201="",I201&lt;&gt;""),I201,"")</f>
        <v/>
      </c>
      <c r="V201" s="63">
        <f>IF(U201="","",IF(U201&lt;AsOf,1,IF(U201&lt;=AsOf+AlertDays,2,IF(U201&lt;=AsOf+2*AlertDays,3,""))))</f>
        <v/>
      </c>
      <c r="W201" s="63">
        <f>IF(V201="","",IF(O201="OVERDUE","Overdue payment: ","Payment due: ")&amp;B201&amp;" — "&amp;C201&amp;" ("&amp;CurSym&amp;" "&amp;FIXED(S201,0)&amp;")")</f>
        <v/>
      </c>
    </row>
    <row r="202" ht="20" customHeight="1">
      <c r="B202" s="65" t="n"/>
      <c r="C202" s="65" t="n"/>
      <c r="D202" s="65" t="n"/>
      <c r="E202" s="65" t="n"/>
      <c r="F202" s="83" t="n"/>
      <c r="G202" s="66" t="n"/>
      <c r="H202" s="69">
        <f>IF(B202="","",IF(G202&lt;&gt;"",G202,IF(F202&lt;&gt;"",F202*IFERROR(INDEX('Contractors'!$I$6:$I$35,MATCH(B202,'Contractors'!$B$6:$B$35,0)),0),"")))</f>
        <v/>
      </c>
      <c r="I202" s="81" t="n"/>
      <c r="J202" s="65" t="n"/>
      <c r="K202" s="81" t="n"/>
      <c r="L202" s="66" t="n"/>
      <c r="M202" s="81" t="n"/>
      <c r="N202" s="66" t="n"/>
      <c r="O202" s="91">
        <f>IF(B202="","",IF(M202&lt;&gt;"","Paid",IF(AND(I202&lt;&gt;"",I202&lt;AsOf),"OVERDUE",IF(OR(K202&lt;&gt;"",L202&lt;&gt;""),"Invoiced","Scheduled"))))</f>
        <v/>
      </c>
      <c r="P202" s="92">
        <f>IF(B202="","",IF(E202&lt;&gt;"",E202,IFERROR(INDEX('Contractors'!$D$6:$D$35,MATCH(B202,'Contractors'!$B$6:$B$35,0)),"")))</f>
        <v/>
      </c>
      <c r="Q202" s="63">
        <f>IF(B202="","",IF(D202&lt;&gt;"",D202,IFERROR(INDEX('Contractors'!$E$6:$E$35,MATCH(B202,'Contractors'!$B$6:$B$35,0)),"")))</f>
        <v/>
      </c>
      <c r="R202" s="63">
        <f>IF(O202="","",IF(O202="OVERDUE",2,IF(O202="Paid",0,IF(AND(I202&lt;&gt;"",I202&lt;=AsOf+AlertDays),1,0))))</f>
        <v/>
      </c>
      <c r="S202" s="63">
        <f>IF(AND(B202&lt;&gt;"",M202="",I202&lt;&gt;""),IF(L202&lt;&gt;"",L202,IF(H202="",0,H202)),0)</f>
        <v/>
      </c>
      <c r="T202" s="63">
        <f>IF(AND(B202&lt;&gt;"",M202="",I202&lt;&gt;""),1/I202,0)</f>
        <v/>
      </c>
      <c r="U202" s="85">
        <f>IF(AND(B202&lt;&gt;"",M202="",I202&lt;&gt;""),I202,"")</f>
        <v/>
      </c>
      <c r="V202" s="63">
        <f>IF(U202="","",IF(U202&lt;AsOf,1,IF(U202&lt;=AsOf+AlertDays,2,IF(U202&lt;=AsOf+2*AlertDays,3,""))))</f>
        <v/>
      </c>
      <c r="W202" s="63">
        <f>IF(V202="","",IF(O202="OVERDUE","Overdue payment: ","Payment due: ")&amp;B202&amp;" — "&amp;C202&amp;" ("&amp;CurSym&amp;" "&amp;FIXED(S202,0)&amp;")")</f>
        <v/>
      </c>
    </row>
    <row r="203" ht="20" customHeight="1">
      <c r="B203" s="65" t="n"/>
      <c r="C203" s="65" t="n"/>
      <c r="D203" s="65" t="n"/>
      <c r="E203" s="65" t="n"/>
      <c r="F203" s="83" t="n"/>
      <c r="G203" s="66" t="n"/>
      <c r="H203" s="69">
        <f>IF(B203="","",IF(G203&lt;&gt;"",G203,IF(F203&lt;&gt;"",F203*IFERROR(INDEX('Contractors'!$I$6:$I$35,MATCH(B203,'Contractors'!$B$6:$B$35,0)),0),"")))</f>
        <v/>
      </c>
      <c r="I203" s="81" t="n"/>
      <c r="J203" s="65" t="n"/>
      <c r="K203" s="81" t="n"/>
      <c r="L203" s="66" t="n"/>
      <c r="M203" s="81" t="n"/>
      <c r="N203" s="66" t="n"/>
      <c r="O203" s="91">
        <f>IF(B203="","",IF(M203&lt;&gt;"","Paid",IF(AND(I203&lt;&gt;"",I203&lt;AsOf),"OVERDUE",IF(OR(K203&lt;&gt;"",L203&lt;&gt;""),"Invoiced","Scheduled"))))</f>
        <v/>
      </c>
      <c r="P203" s="92">
        <f>IF(B203="","",IF(E203&lt;&gt;"",E203,IFERROR(INDEX('Contractors'!$D$6:$D$35,MATCH(B203,'Contractors'!$B$6:$B$35,0)),"")))</f>
        <v/>
      </c>
      <c r="Q203" s="63">
        <f>IF(B203="","",IF(D203&lt;&gt;"",D203,IFERROR(INDEX('Contractors'!$E$6:$E$35,MATCH(B203,'Contractors'!$B$6:$B$35,0)),"")))</f>
        <v/>
      </c>
      <c r="R203" s="63">
        <f>IF(O203="","",IF(O203="OVERDUE",2,IF(O203="Paid",0,IF(AND(I203&lt;&gt;"",I203&lt;=AsOf+AlertDays),1,0))))</f>
        <v/>
      </c>
      <c r="S203" s="63">
        <f>IF(AND(B203&lt;&gt;"",M203="",I203&lt;&gt;""),IF(L203&lt;&gt;"",L203,IF(H203="",0,H203)),0)</f>
        <v/>
      </c>
      <c r="T203" s="63">
        <f>IF(AND(B203&lt;&gt;"",M203="",I203&lt;&gt;""),1/I203,0)</f>
        <v/>
      </c>
      <c r="U203" s="85">
        <f>IF(AND(B203&lt;&gt;"",M203="",I203&lt;&gt;""),I203,"")</f>
        <v/>
      </c>
      <c r="V203" s="63">
        <f>IF(U203="","",IF(U203&lt;AsOf,1,IF(U203&lt;=AsOf+AlertDays,2,IF(U203&lt;=AsOf+2*AlertDays,3,""))))</f>
        <v/>
      </c>
      <c r="W203" s="63">
        <f>IF(V203="","",IF(O203="OVERDUE","Overdue payment: ","Payment due: ")&amp;B203&amp;" — "&amp;C203&amp;" ("&amp;CurSym&amp;" "&amp;FIXED(S203,0)&amp;")")</f>
        <v/>
      </c>
    </row>
    <row r="204" ht="20" customHeight="1">
      <c r="B204" s="65" t="n"/>
      <c r="C204" s="65" t="n"/>
      <c r="D204" s="65" t="n"/>
      <c r="E204" s="65" t="n"/>
      <c r="F204" s="83" t="n"/>
      <c r="G204" s="66" t="n"/>
      <c r="H204" s="69">
        <f>IF(B204="","",IF(G204&lt;&gt;"",G204,IF(F204&lt;&gt;"",F204*IFERROR(INDEX('Contractors'!$I$6:$I$35,MATCH(B204,'Contractors'!$B$6:$B$35,0)),0),"")))</f>
        <v/>
      </c>
      <c r="I204" s="81" t="n"/>
      <c r="J204" s="65" t="n"/>
      <c r="K204" s="81" t="n"/>
      <c r="L204" s="66" t="n"/>
      <c r="M204" s="81" t="n"/>
      <c r="N204" s="66" t="n"/>
      <c r="O204" s="91">
        <f>IF(B204="","",IF(M204&lt;&gt;"","Paid",IF(AND(I204&lt;&gt;"",I204&lt;AsOf),"OVERDUE",IF(OR(K204&lt;&gt;"",L204&lt;&gt;""),"Invoiced","Scheduled"))))</f>
        <v/>
      </c>
      <c r="P204" s="92">
        <f>IF(B204="","",IF(E204&lt;&gt;"",E204,IFERROR(INDEX('Contractors'!$D$6:$D$35,MATCH(B204,'Contractors'!$B$6:$B$35,0)),"")))</f>
        <v/>
      </c>
      <c r="Q204" s="63">
        <f>IF(B204="","",IF(D204&lt;&gt;"",D204,IFERROR(INDEX('Contractors'!$E$6:$E$35,MATCH(B204,'Contractors'!$B$6:$B$35,0)),"")))</f>
        <v/>
      </c>
      <c r="R204" s="63">
        <f>IF(O204="","",IF(O204="OVERDUE",2,IF(O204="Paid",0,IF(AND(I204&lt;&gt;"",I204&lt;=AsOf+AlertDays),1,0))))</f>
        <v/>
      </c>
      <c r="S204" s="63">
        <f>IF(AND(B204&lt;&gt;"",M204="",I204&lt;&gt;""),IF(L204&lt;&gt;"",L204,IF(H204="",0,H204)),0)</f>
        <v/>
      </c>
      <c r="T204" s="63">
        <f>IF(AND(B204&lt;&gt;"",M204="",I204&lt;&gt;""),1/I204,0)</f>
        <v/>
      </c>
      <c r="U204" s="85">
        <f>IF(AND(B204&lt;&gt;"",M204="",I204&lt;&gt;""),I204,"")</f>
        <v/>
      </c>
      <c r="V204" s="63">
        <f>IF(U204="","",IF(U204&lt;AsOf,1,IF(U204&lt;=AsOf+AlertDays,2,IF(U204&lt;=AsOf+2*AlertDays,3,""))))</f>
        <v/>
      </c>
      <c r="W204" s="63">
        <f>IF(V204="","",IF(O204="OVERDUE","Overdue payment: ","Payment due: ")&amp;B204&amp;" — "&amp;C204&amp;" ("&amp;CurSym&amp;" "&amp;FIXED(S204,0)&amp;")")</f>
        <v/>
      </c>
    </row>
    <row r="205" ht="20" customHeight="1">
      <c r="B205" s="65" t="n"/>
      <c r="C205" s="65" t="n"/>
      <c r="D205" s="65" t="n"/>
      <c r="E205" s="65" t="n"/>
      <c r="F205" s="83" t="n"/>
      <c r="G205" s="66" t="n"/>
      <c r="H205" s="69">
        <f>IF(B205="","",IF(G205&lt;&gt;"",G205,IF(F205&lt;&gt;"",F205*IFERROR(INDEX('Contractors'!$I$6:$I$35,MATCH(B205,'Contractors'!$B$6:$B$35,0)),0),"")))</f>
        <v/>
      </c>
      <c r="I205" s="81" t="n"/>
      <c r="J205" s="65" t="n"/>
      <c r="K205" s="81" t="n"/>
      <c r="L205" s="66" t="n"/>
      <c r="M205" s="81" t="n"/>
      <c r="N205" s="66" t="n"/>
      <c r="O205" s="91">
        <f>IF(B205="","",IF(M205&lt;&gt;"","Paid",IF(AND(I205&lt;&gt;"",I205&lt;AsOf),"OVERDUE",IF(OR(K205&lt;&gt;"",L205&lt;&gt;""),"Invoiced","Scheduled"))))</f>
        <v/>
      </c>
      <c r="P205" s="92">
        <f>IF(B205="","",IF(E205&lt;&gt;"",E205,IFERROR(INDEX('Contractors'!$D$6:$D$35,MATCH(B205,'Contractors'!$B$6:$B$35,0)),"")))</f>
        <v/>
      </c>
      <c r="Q205" s="63">
        <f>IF(B205="","",IF(D205&lt;&gt;"",D205,IFERROR(INDEX('Contractors'!$E$6:$E$35,MATCH(B205,'Contractors'!$B$6:$B$35,0)),"")))</f>
        <v/>
      </c>
      <c r="R205" s="63">
        <f>IF(O205="","",IF(O205="OVERDUE",2,IF(O205="Paid",0,IF(AND(I205&lt;&gt;"",I205&lt;=AsOf+AlertDays),1,0))))</f>
        <v/>
      </c>
      <c r="S205" s="63">
        <f>IF(AND(B205&lt;&gt;"",M205="",I205&lt;&gt;""),IF(L205&lt;&gt;"",L205,IF(H205="",0,H205)),0)</f>
        <v/>
      </c>
      <c r="T205" s="63">
        <f>IF(AND(B205&lt;&gt;"",M205="",I205&lt;&gt;""),1/I205,0)</f>
        <v/>
      </c>
      <c r="U205" s="85">
        <f>IF(AND(B205&lt;&gt;"",M205="",I205&lt;&gt;""),I205,"")</f>
        <v/>
      </c>
      <c r="V205" s="63">
        <f>IF(U205="","",IF(U205&lt;AsOf,1,IF(U205&lt;=AsOf+AlertDays,2,IF(U205&lt;=AsOf+2*AlertDays,3,""))))</f>
        <v/>
      </c>
      <c r="W205" s="63">
        <f>IF(V205="","",IF(O205="OVERDUE","Overdue payment: ","Payment due: ")&amp;B205&amp;" — "&amp;C205&amp;" ("&amp;CurSym&amp;" "&amp;FIXED(S205,0)&amp;")")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1">
    <mergeCell ref="Z38:AB38"/>
  </mergeCells>
  <conditionalFormatting sqref="O6:O205">
    <cfRule type="expression" priority="1" dxfId="0" stopIfTrue="0">
      <formula>O6="OVERDUE"</formula>
    </cfRule>
    <cfRule type="expression" priority="2" dxfId="3" stopIfTrue="0">
      <formula>O6="Paid"</formula>
    </cfRule>
    <cfRule type="expression" priority="3" dxfId="5" stopIfTrue="0">
      <formula>AND(O6&lt;&gt;"",$R6=1)</formula>
    </cfRule>
  </conditionalFormatting>
  <dataValidations count="3">
    <dataValidation sqref="B6:B205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D6:D205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E6:E205" showDropDown="0" showInputMessage="0" showErrorMessage="1" allowBlank="1" errorTitle="Renovation OS" error="Please pick a value from the dropdown list." type="list">
      <formula1>='Lists'!$V$2:$V$31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7B00"/>
    <outlinePr summaryBelow="1" summaryRight="1"/>
    <pageSetUpPr/>
  </sheetPr>
  <dimension ref="A1:BW156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5" customWidth="1" min="3" max="3"/>
    <col width="30" customWidth="1" min="4" max="4"/>
    <col width="14" customWidth="1" min="5" max="5"/>
    <col width="20" customWidth="1" min="6" max="6"/>
    <col width="9" customWidth="1" min="7" max="7"/>
    <col width="10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9" customWidth="1" min="15" max="15"/>
    <col width="16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width="2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</cols>
  <sheetData>
    <row r="1" ht="36" customHeight="1">
      <c r="B1" s="1" t="inlineStr">
        <is>
          <t>📅 Timeline</t>
        </is>
      </c>
    </row>
    <row r="2" ht="20" customHeight="1">
      <c r="B2" s="2" t="inlineStr">
        <is>
          <t>What this tab does: tasks with durations and dependencies → start/end dates, late warnings and a 52-week Gantt chart. Forecast finish feeds the Dashboard.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 ht="26" customHeight="1">
      <c r="C4" s="78" t="inlineStr">
        <is>
          <t>Forecast finish</t>
        </is>
      </c>
      <c r="D4" s="97">
        <f>IF(COUNT(L7:L156)=0,"",MAX(L7:L156))</f>
        <v/>
      </c>
      <c r="E4" s="78" t="inlineStr">
        <is>
          <t>Target move-in</t>
        </is>
      </c>
      <c r="G4" s="98">
        <f>IF(TargetEnd="","",TargetEnd)</f>
        <v/>
      </c>
      <c r="H4" s="87" t="n"/>
      <c r="I4" s="13">
        <f>IF(OR(ForecastEnd="",TargetEnd=""),"",IF(ForecastEnd&gt;TargetEnd,"🔴 "&amp;(ForecastEnd-TargetEnd)&amp;" days late",IF(ForecastEnd=TargetEnd,"🟢 on target","🟢 "&amp;(TargetEnd-ForecastEnd)&amp;" days early")))</f>
        <v/>
      </c>
      <c r="R4" s="77">
        <f>AsOf</f>
        <v/>
      </c>
      <c r="X4" s="8" t="inlineStr">
        <is>
          <t>Gantt: teal = planned · grey = done · red = late · yellow column = this week</t>
        </is>
      </c>
    </row>
    <row r="5"/>
    <row r="6" ht="48" customHeight="1">
      <c r="B6" s="53" t="inlineStr">
        <is>
          <t>ID</t>
        </is>
      </c>
      <c r="C6" s="53" t="inlineStr">
        <is>
          <t>Phase</t>
        </is>
      </c>
      <c r="D6" s="53" t="inlineStr">
        <is>
          <t>Task</t>
        </is>
      </c>
      <c r="E6" s="53" t="inlineStr">
        <is>
          <t>Room</t>
        </is>
      </c>
      <c r="F6" s="53" t="inlineStr">
        <is>
          <t>Contractor</t>
        </is>
      </c>
      <c r="G6" s="53" t="inlineStr">
        <is>
          <t>Duration (days)</t>
        </is>
      </c>
      <c r="H6" s="53" t="inlineStr">
        <is>
          <t>Predecessor ID</t>
        </is>
      </c>
      <c r="I6" s="53" t="inlineStr">
        <is>
          <t>Earliest start (optional)</t>
        </is>
      </c>
      <c r="J6" s="53" t="inlineStr">
        <is>
          <t>Start</t>
        </is>
      </c>
      <c r="K6" s="53" t="inlineStr">
        <is>
          <t>Delay (days)</t>
        </is>
      </c>
      <c r="L6" s="53" t="inlineStr">
        <is>
          <t>End</t>
        </is>
      </c>
      <c r="M6" s="53" t="inlineStr">
        <is>
          <t>Status</t>
        </is>
      </c>
      <c r="N6" s="53" t="inlineStr">
        <is>
          <t>Done date</t>
        </is>
      </c>
      <c r="O6" s="53" t="inlineStr">
        <is>
          <t>Affects N tasks</t>
        </is>
      </c>
      <c r="P6" s="53" t="inlineStr">
        <is>
          <t>Flag</t>
        </is>
      </c>
      <c r="Q6" s="64" t="inlineStr">
        <is>
          <t>code</t>
        </is>
      </c>
      <c r="R6" s="64" t="inlineStr">
        <is>
          <t>first</t>
        </is>
      </c>
      <c r="S6" s="64" t="inlineStr">
        <is>
          <t>okey</t>
        </is>
      </c>
      <c r="T6" s="64" t="inlineStr">
        <is>
          <t>due</t>
        </is>
      </c>
      <c r="U6" s="64" t="inlineStr">
        <is>
          <t>pri</t>
        </is>
      </c>
      <c r="V6" s="64" t="inlineStr">
        <is>
          <t>text</t>
        </is>
      </c>
      <c r="X6" s="99">
        <f>IF(ProjStart="","",ProjStart-IF(WeekStart="Sunday",WEEKDAY(ProjStart,1)-1,WEEKDAY(ProjStart,3)))</f>
        <v/>
      </c>
      <c r="Y6" s="99">
        <f>IF(X6="","",X6+7)</f>
        <v/>
      </c>
      <c r="Z6" s="99">
        <f>IF(Y6="","",Y6+7)</f>
        <v/>
      </c>
      <c r="AA6" s="99">
        <f>IF(Z6="","",Z6+7)</f>
        <v/>
      </c>
      <c r="AB6" s="99">
        <f>IF(AA6="","",AA6+7)</f>
        <v/>
      </c>
      <c r="AC6" s="99">
        <f>IF(AB6="","",AB6+7)</f>
        <v/>
      </c>
      <c r="AD6" s="99">
        <f>IF(AC6="","",AC6+7)</f>
        <v/>
      </c>
      <c r="AE6" s="99">
        <f>IF(AD6="","",AD6+7)</f>
        <v/>
      </c>
      <c r="AF6" s="99">
        <f>IF(AE6="","",AE6+7)</f>
        <v/>
      </c>
      <c r="AG6" s="99">
        <f>IF(AF6="","",AF6+7)</f>
        <v/>
      </c>
      <c r="AH6" s="99">
        <f>IF(AG6="","",AG6+7)</f>
        <v/>
      </c>
      <c r="AI6" s="99">
        <f>IF(AH6="","",AH6+7)</f>
        <v/>
      </c>
      <c r="AJ6" s="99">
        <f>IF(AI6="","",AI6+7)</f>
        <v/>
      </c>
      <c r="AK6" s="99">
        <f>IF(AJ6="","",AJ6+7)</f>
        <v/>
      </c>
      <c r="AL6" s="99">
        <f>IF(AK6="","",AK6+7)</f>
        <v/>
      </c>
      <c r="AM6" s="99">
        <f>IF(AL6="","",AL6+7)</f>
        <v/>
      </c>
      <c r="AN6" s="99">
        <f>IF(AM6="","",AM6+7)</f>
        <v/>
      </c>
      <c r="AO6" s="99">
        <f>IF(AN6="","",AN6+7)</f>
        <v/>
      </c>
      <c r="AP6" s="99">
        <f>IF(AO6="","",AO6+7)</f>
        <v/>
      </c>
      <c r="AQ6" s="99">
        <f>IF(AP6="","",AP6+7)</f>
        <v/>
      </c>
      <c r="AR6" s="99">
        <f>IF(AQ6="","",AQ6+7)</f>
        <v/>
      </c>
      <c r="AS6" s="99">
        <f>IF(AR6="","",AR6+7)</f>
        <v/>
      </c>
      <c r="AT6" s="99">
        <f>IF(AS6="","",AS6+7)</f>
        <v/>
      </c>
      <c r="AU6" s="99">
        <f>IF(AT6="","",AT6+7)</f>
        <v/>
      </c>
      <c r="AV6" s="99">
        <f>IF(AU6="","",AU6+7)</f>
        <v/>
      </c>
      <c r="AW6" s="99">
        <f>IF(AV6="","",AV6+7)</f>
        <v/>
      </c>
      <c r="AX6" s="99">
        <f>IF(AW6="","",AW6+7)</f>
        <v/>
      </c>
      <c r="AY6" s="99">
        <f>IF(AX6="","",AX6+7)</f>
        <v/>
      </c>
      <c r="AZ6" s="99">
        <f>IF(AY6="","",AY6+7)</f>
        <v/>
      </c>
      <c r="BA6" s="99">
        <f>IF(AZ6="","",AZ6+7)</f>
        <v/>
      </c>
      <c r="BB6" s="99">
        <f>IF(BA6="","",BA6+7)</f>
        <v/>
      </c>
      <c r="BC6" s="99">
        <f>IF(BB6="","",BB6+7)</f>
        <v/>
      </c>
      <c r="BD6" s="99">
        <f>IF(BC6="","",BC6+7)</f>
        <v/>
      </c>
      <c r="BE6" s="99">
        <f>IF(BD6="","",BD6+7)</f>
        <v/>
      </c>
      <c r="BF6" s="99">
        <f>IF(BE6="","",BE6+7)</f>
        <v/>
      </c>
      <c r="BG6" s="99">
        <f>IF(BF6="","",BF6+7)</f>
        <v/>
      </c>
      <c r="BH6" s="99">
        <f>IF(BG6="","",BG6+7)</f>
        <v/>
      </c>
      <c r="BI6" s="99">
        <f>IF(BH6="","",BH6+7)</f>
        <v/>
      </c>
      <c r="BJ6" s="99">
        <f>IF(BI6="","",BI6+7)</f>
        <v/>
      </c>
      <c r="BK6" s="99">
        <f>IF(BJ6="","",BJ6+7)</f>
        <v/>
      </c>
      <c r="BL6" s="99">
        <f>IF(BK6="","",BK6+7)</f>
        <v/>
      </c>
      <c r="BM6" s="99">
        <f>IF(BL6="","",BL6+7)</f>
        <v/>
      </c>
      <c r="BN6" s="99">
        <f>IF(BM6="","",BM6+7)</f>
        <v/>
      </c>
      <c r="BO6" s="99">
        <f>IF(BN6="","",BN6+7)</f>
        <v/>
      </c>
      <c r="BP6" s="99">
        <f>IF(BO6="","",BO6+7)</f>
        <v/>
      </c>
      <c r="BQ6" s="99">
        <f>IF(BP6="","",BP6+7)</f>
        <v/>
      </c>
      <c r="BR6" s="99">
        <f>IF(BQ6="","",BQ6+7)</f>
        <v/>
      </c>
      <c r="BS6" s="99">
        <f>IF(BR6="","",BR6+7)</f>
        <v/>
      </c>
      <c r="BT6" s="99">
        <f>IF(BS6="","",BS6+7)</f>
        <v/>
      </c>
      <c r="BU6" s="99">
        <f>IF(BT6="","",BT6+7)</f>
        <v/>
      </c>
      <c r="BV6" s="99">
        <f>IF(BU6="","",BU6+7)</f>
        <v/>
      </c>
      <c r="BW6" s="99">
        <f>IF(BV6="","",BV6+7)</f>
        <v/>
      </c>
    </row>
    <row r="7" ht="20" customHeight="1">
      <c r="B7" s="100" t="n">
        <v>1</v>
      </c>
      <c r="C7" s="65" t="inlineStr">
        <is>
          <t>Pre-construction</t>
        </is>
      </c>
      <c r="D7" s="65" t="inlineStr">
        <is>
          <t>Design &amp; plans</t>
        </is>
      </c>
      <c r="E7" s="65" t="inlineStr">
        <is>
          <t>Whole house</t>
        </is>
      </c>
      <c r="F7" s="65" t="inlineStr">
        <is>
          <t>GreenPlan Architects</t>
        </is>
      </c>
      <c r="G7" s="101" t="n">
        <v>21</v>
      </c>
      <c r="H7" s="101" t="n"/>
      <c r="I7" s="81" t="n"/>
      <c r="J7" s="102">
        <f>IF(OR(D7="",ProjStart=""),"",MAX(ProjStart,IF(I7&lt;&gt;"",I7,0),IF(H7="",0,IFERROR(INDEX($L$6:L6,MATCH(H7,$B$6:B6,0))+1,0))))</f>
        <v/>
      </c>
      <c r="K7" s="101" t="n"/>
      <c r="L7" s="102">
        <f>IF(J7="","",J7+MAX(1,G7)+IF(K7="",0,K7)-1)</f>
        <v/>
      </c>
      <c r="M7" s="65" t="inlineStr">
        <is>
          <t>Done</t>
        </is>
      </c>
      <c r="N7" s="81" t="n">
        <v>46101</v>
      </c>
      <c r="O7" s="103">
        <f>IF(D7="","",COUNTIF($H$7:$H$156,B7))</f>
        <v/>
      </c>
      <c r="P7" s="72">
        <f>IF(D7="","",IF(AND(H7&lt;&gt;"",H7&gt;=B7),"⚠️ Predecessor must be above",IF(M7="Done","✓ Done",IF(Q7=3,"🔴 Late",IF(M7="In progress","In progress","")))))</f>
        <v/>
      </c>
      <c r="Q7" s="63">
        <f>IF(OR(D7="",L7=""),"",IF(M7="Done",2,IF(AsOf&gt;L7,3,1)))</f>
        <v/>
      </c>
      <c r="R7" s="63">
        <f>IF(OR(E7="",F7=""),0,IF(COUNTIFS($E$7:E7,E7,$F$7:F7,F7)=1,1,0))</f>
        <v/>
      </c>
      <c r="S7" s="63">
        <f>IF(R7=1,E7&amp;"|"&amp;SUMIFS($R$7:R7,$E$7:E7,E7),"")</f>
        <v/>
      </c>
      <c r="T7" s="85">
        <f>IF(Q7="","",IF(Q7=3,L7,IF(OR(M7="Not started",M7=""),J7,"")))</f>
        <v/>
      </c>
      <c r="U7" s="63">
        <f>IF(T7="","",IF(Q7=3,1,IF(T7="","",IF(T7&lt;AsOf,1,IF(T7&lt;=AsOf+AlertDays,2,IF(T7&lt;=AsOf+2*AlertDays,3,""))))))</f>
        <v/>
      </c>
      <c r="V7" s="63">
        <f>IF(U7="","",IF(Q7=3,"Late task: "&amp;D7,IF(T7&lt;AsOf,"Should have started: ","Starts soon: ")&amp;D7)&amp;IF(F7="",""," — "&amp;F7))</f>
        <v/>
      </c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4" t="n"/>
      <c r="AH7" s="104" t="n"/>
      <c r="AI7" s="104" t="n"/>
      <c r="AJ7" s="104" t="n"/>
      <c r="AK7" s="104" t="n"/>
      <c r="AL7" s="104" t="n"/>
      <c r="AM7" s="104" t="n"/>
      <c r="AN7" s="104" t="n"/>
      <c r="AO7" s="104" t="n"/>
      <c r="AP7" s="104" t="n"/>
      <c r="AQ7" s="104" t="n"/>
      <c r="AR7" s="104" t="n"/>
      <c r="AS7" s="104" t="n"/>
      <c r="AT7" s="104" t="n"/>
      <c r="AU7" s="104" t="n"/>
      <c r="AV7" s="104" t="n"/>
      <c r="AW7" s="104" t="n"/>
      <c r="AX7" s="104" t="n"/>
      <c r="AY7" s="104" t="n"/>
      <c r="AZ7" s="104" t="n"/>
      <c r="BA7" s="104" t="n"/>
      <c r="BB7" s="104" t="n"/>
      <c r="BC7" s="104" t="n"/>
      <c r="BD7" s="104" t="n"/>
      <c r="BE7" s="104" t="n"/>
      <c r="BF7" s="104" t="n"/>
      <c r="BG7" s="104" t="n"/>
      <c r="BH7" s="104" t="n"/>
      <c r="BI7" s="104" t="n"/>
      <c r="BJ7" s="104" t="n"/>
      <c r="BK7" s="104" t="n"/>
      <c r="BL7" s="104" t="n"/>
      <c r="BM7" s="104" t="n"/>
      <c r="BN7" s="104" t="n"/>
      <c r="BO7" s="104" t="n"/>
      <c r="BP7" s="104" t="n"/>
      <c r="BQ7" s="104" t="n"/>
      <c r="BR7" s="104" t="n"/>
      <c r="BS7" s="104" t="n"/>
      <c r="BT7" s="104" t="n"/>
      <c r="BU7" s="104" t="n"/>
      <c r="BV7" s="104" t="n"/>
      <c r="BW7" s="104" t="n"/>
    </row>
    <row r="8" ht="20" customHeight="1">
      <c r="B8" s="100" t="n">
        <v>2</v>
      </c>
      <c r="C8" s="65" t="inlineStr">
        <is>
          <t>Pre-construction</t>
        </is>
      </c>
      <c r="D8" s="65" t="inlineStr">
        <is>
          <t>Building permit</t>
        </is>
      </c>
      <c r="E8" s="65" t="inlineStr">
        <is>
          <t>Whole house</t>
        </is>
      </c>
      <c r="F8" s="65" t="inlineStr">
        <is>
          <t>GreenPlan Architects</t>
        </is>
      </c>
      <c r="G8" s="101" t="n">
        <v>28</v>
      </c>
      <c r="H8" s="101" t="n">
        <v>1</v>
      </c>
      <c r="I8" s="81" t="n"/>
      <c r="J8" s="102">
        <f>IF(OR(D8="",ProjStart=""),"",MAX(ProjStart,IF(I8&lt;&gt;"",I8,0),IF(H8="",0,IFERROR(INDEX($L$6:L7,MATCH(H8,$B$6:B7,0))+1,0))))</f>
        <v/>
      </c>
      <c r="K8" s="101" t="n"/>
      <c r="L8" s="102">
        <f>IF(J8="","",J8+MAX(1,G8)+IF(K8="",0,K8)-1)</f>
        <v/>
      </c>
      <c r="M8" s="65" t="inlineStr">
        <is>
          <t>Done</t>
        </is>
      </c>
      <c r="N8" s="81" t="n">
        <v>46129</v>
      </c>
      <c r="O8" s="103">
        <f>IF(D8="","",COUNTIF($H$7:$H$156,B8))</f>
        <v/>
      </c>
      <c r="P8" s="72">
        <f>IF(D8="","",IF(AND(H8&lt;&gt;"",H8&gt;=B8),"⚠️ Predecessor must be above",IF(M8="Done","✓ Done",IF(Q8=3,"🔴 Late",IF(M8="In progress","In progress","")))))</f>
        <v/>
      </c>
      <c r="Q8" s="63">
        <f>IF(OR(D8="",L8=""),"",IF(M8="Done",2,IF(AsOf&gt;L8,3,1)))</f>
        <v/>
      </c>
      <c r="R8" s="63">
        <f>IF(OR(E8="",F8=""),0,IF(COUNTIFS($E$7:E8,E8,$F$7:F8,F8)=1,1,0))</f>
        <v/>
      </c>
      <c r="S8" s="63">
        <f>IF(R8=1,E8&amp;"|"&amp;SUMIFS($R$7:R8,$E$7:E8,E8),"")</f>
        <v/>
      </c>
      <c r="T8" s="85">
        <f>IF(Q8="","",IF(Q8=3,L8,IF(OR(M8="Not started",M8=""),J8,"")))</f>
        <v/>
      </c>
      <c r="U8" s="63">
        <f>IF(T8="","",IF(Q8=3,1,IF(T8="","",IF(T8&lt;AsOf,1,IF(T8&lt;=AsOf+AlertDays,2,IF(T8&lt;=AsOf+2*AlertDays,3,""))))))</f>
        <v/>
      </c>
      <c r="V8" s="63">
        <f>IF(U8="","",IF(Q8=3,"Late task: "&amp;D8,IF(T8&lt;AsOf,"Should have started: ","Starts soon: ")&amp;D8)&amp;IF(F8="",""," — "&amp;F8))</f>
        <v/>
      </c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  <c r="AI8" s="104" t="n"/>
      <c r="AJ8" s="104" t="n"/>
      <c r="AK8" s="104" t="n"/>
      <c r="AL8" s="104" t="n"/>
      <c r="AM8" s="104" t="n"/>
      <c r="AN8" s="104" t="n"/>
      <c r="AO8" s="104" t="n"/>
      <c r="AP8" s="104" t="n"/>
      <c r="AQ8" s="104" t="n"/>
      <c r="AR8" s="104" t="n"/>
      <c r="AS8" s="104" t="n"/>
      <c r="AT8" s="104" t="n"/>
      <c r="AU8" s="104" t="n"/>
      <c r="AV8" s="104" t="n"/>
      <c r="AW8" s="104" t="n"/>
      <c r="AX8" s="104" t="n"/>
      <c r="AY8" s="104" t="n"/>
      <c r="AZ8" s="104" t="n"/>
      <c r="BA8" s="104" t="n"/>
      <c r="BB8" s="104" t="n"/>
      <c r="BC8" s="104" t="n"/>
      <c r="BD8" s="104" t="n"/>
      <c r="BE8" s="104" t="n"/>
      <c r="BF8" s="104" t="n"/>
      <c r="BG8" s="104" t="n"/>
      <c r="BH8" s="104" t="n"/>
      <c r="BI8" s="104" t="n"/>
      <c r="BJ8" s="104" t="n"/>
      <c r="BK8" s="104" t="n"/>
      <c r="BL8" s="104" t="n"/>
      <c r="BM8" s="104" t="n"/>
      <c r="BN8" s="104" t="n"/>
      <c r="BO8" s="104" t="n"/>
      <c r="BP8" s="104" t="n"/>
      <c r="BQ8" s="104" t="n"/>
      <c r="BR8" s="104" t="n"/>
      <c r="BS8" s="104" t="n"/>
      <c r="BT8" s="104" t="n"/>
      <c r="BU8" s="104" t="n"/>
      <c r="BV8" s="104" t="n"/>
      <c r="BW8" s="104" t="n"/>
    </row>
    <row r="9" ht="20" customHeight="1">
      <c r="B9" s="100" t="n">
        <v>3</v>
      </c>
      <c r="C9" s="65" t="inlineStr">
        <is>
          <t>Pre-construction</t>
        </is>
      </c>
      <c r="D9" s="65" t="inlineStr">
        <is>
          <t>Contractor selection</t>
        </is>
      </c>
      <c r="E9" s="65" t="inlineStr">
        <is>
          <t>Whole house</t>
        </is>
      </c>
      <c r="F9" s="65" t="n"/>
      <c r="G9" s="101" t="n">
        <v>14</v>
      </c>
      <c r="H9" s="101" t="n">
        <v>1</v>
      </c>
      <c r="I9" s="81" t="n"/>
      <c r="J9" s="102">
        <f>IF(OR(D9="",ProjStart=""),"",MAX(ProjStart,IF(I9&lt;&gt;"",I9,0),IF(H9="",0,IFERROR(INDEX($L$6:L8,MATCH(H9,$B$6:B8,0))+1,0))))</f>
        <v/>
      </c>
      <c r="K9" s="101" t="n"/>
      <c r="L9" s="102">
        <f>IF(J9="","",J9+MAX(1,G9)+IF(K9="",0,K9)-1)</f>
        <v/>
      </c>
      <c r="M9" s="65" t="inlineStr">
        <is>
          <t>Done</t>
        </is>
      </c>
      <c r="N9" s="81" t="n">
        <v>46115</v>
      </c>
      <c r="O9" s="103">
        <f>IF(D9="","",COUNTIF($H$7:$H$156,B9))</f>
        <v/>
      </c>
      <c r="P9" s="72">
        <f>IF(D9="","",IF(AND(H9&lt;&gt;"",H9&gt;=B9),"⚠️ Predecessor must be above",IF(M9="Done","✓ Done",IF(Q9=3,"🔴 Late",IF(M9="In progress","In progress","")))))</f>
        <v/>
      </c>
      <c r="Q9" s="63">
        <f>IF(OR(D9="",L9=""),"",IF(M9="Done",2,IF(AsOf&gt;L9,3,1)))</f>
        <v/>
      </c>
      <c r="R9" s="63">
        <f>IF(OR(E9="",F9=""),0,IF(COUNTIFS($E$7:E9,E9,$F$7:F9,F9)=1,1,0))</f>
        <v/>
      </c>
      <c r="S9" s="63">
        <f>IF(R9=1,E9&amp;"|"&amp;SUMIFS($R$7:R9,$E$7:E9,E9),"")</f>
        <v/>
      </c>
      <c r="T9" s="85">
        <f>IF(Q9="","",IF(Q9=3,L9,IF(OR(M9="Not started",M9=""),J9,"")))</f>
        <v/>
      </c>
      <c r="U9" s="63">
        <f>IF(T9="","",IF(Q9=3,1,IF(T9="","",IF(T9&lt;AsOf,1,IF(T9&lt;=AsOf+AlertDays,2,IF(T9&lt;=AsOf+2*AlertDays,3,""))))))</f>
        <v/>
      </c>
      <c r="V9" s="63">
        <f>IF(U9="","",IF(Q9=3,"Late task: "&amp;D9,IF(T9&lt;AsOf,"Should have started: ","Starts soon: ")&amp;D9)&amp;IF(F9="",""," — "&amp;F9))</f>
        <v/>
      </c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4" t="n"/>
      <c r="AH9" s="104" t="n"/>
      <c r="AI9" s="104" t="n"/>
      <c r="AJ9" s="104" t="n"/>
      <c r="AK9" s="104" t="n"/>
      <c r="AL9" s="104" t="n"/>
      <c r="AM9" s="104" t="n"/>
      <c r="AN9" s="104" t="n"/>
      <c r="AO9" s="104" t="n"/>
      <c r="AP9" s="104" t="n"/>
      <c r="AQ9" s="104" t="n"/>
      <c r="AR9" s="104" t="n"/>
      <c r="AS9" s="104" t="n"/>
      <c r="AT9" s="104" t="n"/>
      <c r="AU9" s="104" t="n"/>
      <c r="AV9" s="104" t="n"/>
      <c r="AW9" s="104" t="n"/>
      <c r="AX9" s="104" t="n"/>
      <c r="AY9" s="104" t="n"/>
      <c r="AZ9" s="104" t="n"/>
      <c r="BA9" s="104" t="n"/>
      <c r="BB9" s="104" t="n"/>
      <c r="BC9" s="104" t="n"/>
      <c r="BD9" s="104" t="n"/>
      <c r="BE9" s="104" t="n"/>
      <c r="BF9" s="104" t="n"/>
      <c r="BG9" s="104" t="n"/>
      <c r="BH9" s="104" t="n"/>
      <c r="BI9" s="104" t="n"/>
      <c r="BJ9" s="104" t="n"/>
      <c r="BK9" s="104" t="n"/>
      <c r="BL9" s="104" t="n"/>
      <c r="BM9" s="104" t="n"/>
      <c r="BN9" s="104" t="n"/>
      <c r="BO9" s="104" t="n"/>
      <c r="BP9" s="104" t="n"/>
      <c r="BQ9" s="104" t="n"/>
      <c r="BR9" s="104" t="n"/>
      <c r="BS9" s="104" t="n"/>
      <c r="BT9" s="104" t="n"/>
      <c r="BU9" s="104" t="n"/>
      <c r="BV9" s="104" t="n"/>
      <c r="BW9" s="104" t="n"/>
    </row>
    <row r="10" ht="20" customHeight="1">
      <c r="B10" s="100" t="n">
        <v>4</v>
      </c>
      <c r="C10" s="65" t="inlineStr">
        <is>
          <t>Pre-construction</t>
        </is>
      </c>
      <c r="D10" s="65" t="inlineStr">
        <is>
          <t>Order long-lead items</t>
        </is>
      </c>
      <c r="E10" s="65" t="inlineStr">
        <is>
          <t>Whole house</t>
        </is>
      </c>
      <c r="F10" s="65" t="n"/>
      <c r="G10" s="101" t="n">
        <v>7</v>
      </c>
      <c r="H10" s="101" t="n">
        <v>3</v>
      </c>
      <c r="I10" s="81" t="n"/>
      <c r="J10" s="102">
        <f>IF(OR(D10="",ProjStart=""),"",MAX(ProjStart,IF(I10&lt;&gt;"",I10,0),IF(H10="",0,IFERROR(INDEX($L$6:L9,MATCH(H10,$B$6:B9,0))+1,0))))</f>
        <v/>
      </c>
      <c r="K10" s="101" t="n"/>
      <c r="L10" s="102">
        <f>IF(J10="","",J10+MAX(1,G10)+IF(K10="",0,K10)-1)</f>
        <v/>
      </c>
      <c r="M10" s="65" t="inlineStr">
        <is>
          <t>Done</t>
        </is>
      </c>
      <c r="N10" s="81" t="n">
        <v>46122</v>
      </c>
      <c r="O10" s="103">
        <f>IF(D10="","",COUNTIF($H$7:$H$156,B10))</f>
        <v/>
      </c>
      <c r="P10" s="72">
        <f>IF(D10="","",IF(AND(H10&lt;&gt;"",H10&gt;=B10),"⚠️ Predecessor must be above",IF(M10="Done","✓ Done",IF(Q10=3,"🔴 Late",IF(M10="In progress","In progress","")))))</f>
        <v/>
      </c>
      <c r="Q10" s="63">
        <f>IF(OR(D10="",L10=""),"",IF(M10="Done",2,IF(AsOf&gt;L10,3,1)))</f>
        <v/>
      </c>
      <c r="R10" s="63">
        <f>IF(OR(E10="",F10=""),0,IF(COUNTIFS($E$7:E10,E10,$F$7:F10,F10)=1,1,0))</f>
        <v/>
      </c>
      <c r="S10" s="63">
        <f>IF(R10=1,E10&amp;"|"&amp;SUMIFS($R$7:R10,$E$7:E10,E10),"")</f>
        <v/>
      </c>
      <c r="T10" s="85">
        <f>IF(Q10="","",IF(Q10=3,L10,IF(OR(M10="Not started",M10=""),J10,"")))</f>
        <v/>
      </c>
      <c r="U10" s="63">
        <f>IF(T10="","",IF(Q10=3,1,IF(T10="","",IF(T10&lt;AsOf,1,IF(T10&lt;=AsOf+AlertDays,2,IF(T10&lt;=AsOf+2*AlertDays,3,""))))))</f>
        <v/>
      </c>
      <c r="V10" s="63">
        <f>IF(U10="","",IF(Q10=3,"Late task: "&amp;D10,IF(T10&lt;AsOf,"Should have started: ","Starts soon: ")&amp;D10)&amp;IF(F10="",""," — "&amp;F10))</f>
        <v/>
      </c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  <c r="AI10" s="104" t="n"/>
      <c r="AJ10" s="104" t="n"/>
      <c r="AK10" s="104" t="n"/>
      <c r="AL10" s="104" t="n"/>
      <c r="AM10" s="104" t="n"/>
      <c r="AN10" s="104" t="n"/>
      <c r="AO10" s="104" t="n"/>
      <c r="AP10" s="104" t="n"/>
      <c r="AQ10" s="104" t="n"/>
      <c r="AR10" s="104" t="n"/>
      <c r="AS10" s="104" t="n"/>
      <c r="AT10" s="104" t="n"/>
      <c r="AU10" s="104" t="n"/>
      <c r="AV10" s="104" t="n"/>
      <c r="AW10" s="104" t="n"/>
      <c r="AX10" s="104" t="n"/>
      <c r="AY10" s="104" t="n"/>
      <c r="AZ10" s="104" t="n"/>
      <c r="BA10" s="104" t="n"/>
      <c r="BB10" s="104" t="n"/>
      <c r="BC10" s="104" t="n"/>
      <c r="BD10" s="104" t="n"/>
      <c r="BE10" s="104" t="n"/>
      <c r="BF10" s="104" t="n"/>
      <c r="BG10" s="104" t="n"/>
      <c r="BH10" s="104" t="n"/>
      <c r="BI10" s="104" t="n"/>
      <c r="BJ10" s="104" t="n"/>
      <c r="BK10" s="104" t="n"/>
      <c r="BL10" s="104" t="n"/>
      <c r="BM10" s="104" t="n"/>
      <c r="BN10" s="104" t="n"/>
      <c r="BO10" s="104" t="n"/>
      <c r="BP10" s="104" t="n"/>
      <c r="BQ10" s="104" t="n"/>
      <c r="BR10" s="104" t="n"/>
      <c r="BS10" s="104" t="n"/>
      <c r="BT10" s="104" t="n"/>
      <c r="BU10" s="104" t="n"/>
      <c r="BV10" s="104" t="n"/>
      <c r="BW10" s="104" t="n"/>
    </row>
    <row r="11" ht="20" customHeight="1">
      <c r="B11" s="100" t="n">
        <v>5</v>
      </c>
      <c r="C11" s="65" t="inlineStr">
        <is>
          <t>Construction</t>
        </is>
      </c>
      <c r="D11" s="65" t="inlineStr">
        <is>
          <t>Demolition &amp; strip-out</t>
        </is>
      </c>
      <c r="E11" s="65" t="inlineStr">
        <is>
          <t>Whole house</t>
        </is>
      </c>
      <c r="F11" s="65" t="inlineStr">
        <is>
          <t>Hansen Demolition</t>
        </is>
      </c>
      <c r="G11" s="101" t="n">
        <v>10</v>
      </c>
      <c r="H11" s="101" t="n">
        <v>2</v>
      </c>
      <c r="I11" s="81" t="n"/>
      <c r="J11" s="102">
        <f>IF(OR(D11="",ProjStart=""),"",MAX(ProjStart,IF(I11&lt;&gt;"",I11,0),IF(H11="",0,IFERROR(INDEX($L$6:L10,MATCH(H11,$B$6:B10,0))+1,0))))</f>
        <v/>
      </c>
      <c r="K11" s="101" t="n"/>
      <c r="L11" s="102">
        <f>IF(J11="","",J11+MAX(1,G11)+IF(K11="",0,K11)-1)</f>
        <v/>
      </c>
      <c r="M11" s="65" t="inlineStr">
        <is>
          <t>Done</t>
        </is>
      </c>
      <c r="N11" s="81" t="n">
        <v>46141</v>
      </c>
      <c r="O11" s="103">
        <f>IF(D11="","",COUNTIF($H$7:$H$156,B11))</f>
        <v/>
      </c>
      <c r="P11" s="72">
        <f>IF(D11="","",IF(AND(H11&lt;&gt;"",H11&gt;=B11),"⚠️ Predecessor must be above",IF(M11="Done","✓ Done",IF(Q11=3,"🔴 Late",IF(M11="In progress","In progress","")))))</f>
        <v/>
      </c>
      <c r="Q11" s="63">
        <f>IF(OR(D11="",L11=""),"",IF(M11="Done",2,IF(AsOf&gt;L11,3,1)))</f>
        <v/>
      </c>
      <c r="R11" s="63">
        <f>IF(OR(E11="",F11=""),0,IF(COUNTIFS($E$7:E11,E11,$F$7:F11,F11)=1,1,0))</f>
        <v/>
      </c>
      <c r="S11" s="63">
        <f>IF(R11=1,E11&amp;"|"&amp;SUMIFS($R$7:R11,$E$7:E11,E11),"")</f>
        <v/>
      </c>
      <c r="T11" s="85">
        <f>IF(Q11="","",IF(Q11=3,L11,IF(OR(M11="Not started",M11=""),J11,"")))</f>
        <v/>
      </c>
      <c r="U11" s="63">
        <f>IF(T11="","",IF(Q11=3,1,IF(T11="","",IF(T11&lt;AsOf,1,IF(T11&lt;=AsOf+AlertDays,2,IF(T11&lt;=AsOf+2*AlertDays,3,""))))))</f>
        <v/>
      </c>
      <c r="V11" s="63">
        <f>IF(U11="","",IF(Q11=3,"Late task: "&amp;D11,IF(T11&lt;AsOf,"Should have started: ","Starts soon: ")&amp;D11)&amp;IF(F11="",""," — "&amp;F11))</f>
        <v/>
      </c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  <c r="AI11" s="104" t="n"/>
      <c r="AJ11" s="104" t="n"/>
      <c r="AK11" s="104" t="n"/>
      <c r="AL11" s="104" t="n"/>
      <c r="AM11" s="104" t="n"/>
      <c r="AN11" s="104" t="n"/>
      <c r="AO11" s="104" t="n"/>
      <c r="AP11" s="104" t="n"/>
      <c r="AQ11" s="104" t="n"/>
      <c r="AR11" s="104" t="n"/>
      <c r="AS11" s="104" t="n"/>
      <c r="AT11" s="104" t="n"/>
      <c r="AU11" s="104" t="n"/>
      <c r="AV11" s="104" t="n"/>
      <c r="AW11" s="104" t="n"/>
      <c r="AX11" s="104" t="n"/>
      <c r="AY11" s="104" t="n"/>
      <c r="AZ11" s="104" t="n"/>
      <c r="BA11" s="104" t="n"/>
      <c r="BB11" s="104" t="n"/>
      <c r="BC11" s="104" t="n"/>
      <c r="BD11" s="104" t="n"/>
      <c r="BE11" s="104" t="n"/>
      <c r="BF11" s="104" t="n"/>
      <c r="BG11" s="104" t="n"/>
      <c r="BH11" s="104" t="n"/>
      <c r="BI11" s="104" t="n"/>
      <c r="BJ11" s="104" t="n"/>
      <c r="BK11" s="104" t="n"/>
      <c r="BL11" s="104" t="n"/>
      <c r="BM11" s="104" t="n"/>
      <c r="BN11" s="104" t="n"/>
      <c r="BO11" s="104" t="n"/>
      <c r="BP11" s="104" t="n"/>
      <c r="BQ11" s="104" t="n"/>
      <c r="BR11" s="104" t="n"/>
      <c r="BS11" s="104" t="n"/>
      <c r="BT11" s="104" t="n"/>
      <c r="BU11" s="104" t="n"/>
      <c r="BV11" s="104" t="n"/>
      <c r="BW11" s="104" t="n"/>
    </row>
    <row r="12" ht="20" customHeight="1">
      <c r="B12" s="100" t="n">
        <v>6</v>
      </c>
      <c r="C12" s="65" t="inlineStr">
        <is>
          <t>Construction</t>
        </is>
      </c>
      <c r="D12" s="65" t="inlineStr">
        <is>
          <t>Structural beam &amp; walls</t>
        </is>
      </c>
      <c r="E12" s="65" t="inlineStr">
        <is>
          <t>Living room</t>
        </is>
      </c>
      <c r="F12" s="65" t="inlineStr">
        <is>
          <t>Solid Structures Ltd</t>
        </is>
      </c>
      <c r="G12" s="101" t="n">
        <v>12</v>
      </c>
      <c r="H12" s="101" t="n">
        <v>5</v>
      </c>
      <c r="I12" s="81" t="n"/>
      <c r="J12" s="102">
        <f>IF(OR(D12="",ProjStart=""),"",MAX(ProjStart,IF(I12&lt;&gt;"",I12,0),IF(H12="",0,IFERROR(INDEX($L$6:L11,MATCH(H12,$B$6:B11,0))+1,0))))</f>
        <v/>
      </c>
      <c r="K12" s="101" t="n"/>
      <c r="L12" s="102">
        <f>IF(J12="","",J12+MAX(1,G12)+IF(K12="",0,K12)-1)</f>
        <v/>
      </c>
      <c r="M12" s="65" t="inlineStr">
        <is>
          <t>Done</t>
        </is>
      </c>
      <c r="N12" s="81" t="n">
        <v>46153</v>
      </c>
      <c r="O12" s="103">
        <f>IF(D12="","",COUNTIF($H$7:$H$156,B12))</f>
        <v/>
      </c>
      <c r="P12" s="72">
        <f>IF(D12="","",IF(AND(H12&lt;&gt;"",H12&gt;=B12),"⚠️ Predecessor must be above",IF(M12="Done","✓ Done",IF(Q12=3,"🔴 Late",IF(M12="In progress","In progress","")))))</f>
        <v/>
      </c>
      <c r="Q12" s="63">
        <f>IF(OR(D12="",L12=""),"",IF(M12="Done",2,IF(AsOf&gt;L12,3,1)))</f>
        <v/>
      </c>
      <c r="R12" s="63">
        <f>IF(OR(E12="",F12=""),0,IF(COUNTIFS($E$7:E12,E12,$F$7:F12,F12)=1,1,0))</f>
        <v/>
      </c>
      <c r="S12" s="63">
        <f>IF(R12=1,E12&amp;"|"&amp;SUMIFS($R$7:R12,$E$7:E12,E12),"")</f>
        <v/>
      </c>
      <c r="T12" s="85">
        <f>IF(Q12="","",IF(Q12=3,L12,IF(OR(M12="Not started",M12=""),J12,"")))</f>
        <v/>
      </c>
      <c r="U12" s="63">
        <f>IF(T12="","",IF(Q12=3,1,IF(T12="","",IF(T12&lt;AsOf,1,IF(T12&lt;=AsOf+AlertDays,2,IF(T12&lt;=AsOf+2*AlertDays,3,""))))))</f>
        <v/>
      </c>
      <c r="V12" s="63">
        <f>IF(U12="","",IF(Q12=3,"Late task: "&amp;D12,IF(T12&lt;AsOf,"Should have started: ","Starts soon: ")&amp;D12)&amp;IF(F12="",""," — "&amp;F12))</f>
        <v/>
      </c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  <c r="AI12" s="104" t="n"/>
      <c r="AJ12" s="104" t="n"/>
      <c r="AK12" s="104" t="n"/>
      <c r="AL12" s="104" t="n"/>
      <c r="AM12" s="104" t="n"/>
      <c r="AN12" s="104" t="n"/>
      <c r="AO12" s="104" t="n"/>
      <c r="AP12" s="104" t="n"/>
      <c r="AQ12" s="104" t="n"/>
      <c r="AR12" s="104" t="n"/>
      <c r="AS12" s="104" t="n"/>
      <c r="AT12" s="104" t="n"/>
      <c r="AU12" s="104" t="n"/>
      <c r="AV12" s="104" t="n"/>
      <c r="AW12" s="104" t="n"/>
      <c r="AX12" s="104" t="n"/>
      <c r="AY12" s="104" t="n"/>
      <c r="AZ12" s="104" t="n"/>
      <c r="BA12" s="104" t="n"/>
      <c r="BB12" s="104" t="n"/>
      <c r="BC12" s="104" t="n"/>
      <c r="BD12" s="104" t="n"/>
      <c r="BE12" s="104" t="n"/>
      <c r="BF12" s="104" t="n"/>
      <c r="BG12" s="104" t="n"/>
      <c r="BH12" s="104" t="n"/>
      <c r="BI12" s="104" t="n"/>
      <c r="BJ12" s="104" t="n"/>
      <c r="BK12" s="104" t="n"/>
      <c r="BL12" s="104" t="n"/>
      <c r="BM12" s="104" t="n"/>
      <c r="BN12" s="104" t="n"/>
      <c r="BO12" s="104" t="n"/>
      <c r="BP12" s="104" t="n"/>
      <c r="BQ12" s="104" t="n"/>
      <c r="BR12" s="104" t="n"/>
      <c r="BS12" s="104" t="n"/>
      <c r="BT12" s="104" t="n"/>
      <c r="BU12" s="104" t="n"/>
      <c r="BV12" s="104" t="n"/>
      <c r="BW12" s="104" t="n"/>
    </row>
    <row r="13" ht="20" customHeight="1">
      <c r="B13" s="100" t="n">
        <v>7</v>
      </c>
      <c r="C13" s="65" t="inlineStr">
        <is>
          <t>Construction</t>
        </is>
      </c>
      <c r="D13" s="65" t="inlineStr">
        <is>
          <t>Windows &amp; doors</t>
        </is>
      </c>
      <c r="E13" s="65" t="inlineStr">
        <is>
          <t>Whole house</t>
        </is>
      </c>
      <c r="F13" s="65" t="inlineStr">
        <is>
          <t>ClearView Windows</t>
        </is>
      </c>
      <c r="G13" s="101" t="n">
        <v>8</v>
      </c>
      <c r="H13" s="101" t="n">
        <v>5</v>
      </c>
      <c r="I13" s="81" t="n"/>
      <c r="J13" s="102">
        <f>IF(OR(D13="",ProjStart=""),"",MAX(ProjStart,IF(I13&lt;&gt;"",I13,0),IF(H13="",0,IFERROR(INDEX($L$6:L12,MATCH(H13,$B$6:B12,0))+1,0))))</f>
        <v/>
      </c>
      <c r="K13" s="101" t="n"/>
      <c r="L13" s="102">
        <f>IF(J13="","",J13+MAX(1,G13)+IF(K13="",0,K13)-1)</f>
        <v/>
      </c>
      <c r="M13" s="65" t="inlineStr">
        <is>
          <t>Done</t>
        </is>
      </c>
      <c r="N13" s="81" t="n">
        <v>46150</v>
      </c>
      <c r="O13" s="103">
        <f>IF(D13="","",COUNTIF($H$7:$H$156,B13))</f>
        <v/>
      </c>
      <c r="P13" s="72">
        <f>IF(D13="","",IF(AND(H13&lt;&gt;"",H13&gt;=B13),"⚠️ Predecessor must be above",IF(M13="Done","✓ Done",IF(Q13=3,"🔴 Late",IF(M13="In progress","In progress","")))))</f>
        <v/>
      </c>
      <c r="Q13" s="63">
        <f>IF(OR(D13="",L13=""),"",IF(M13="Done",2,IF(AsOf&gt;L13,3,1)))</f>
        <v/>
      </c>
      <c r="R13" s="63">
        <f>IF(OR(E13="",F13=""),0,IF(COUNTIFS($E$7:E13,E13,$F$7:F13,F13)=1,1,0))</f>
        <v/>
      </c>
      <c r="S13" s="63">
        <f>IF(R13=1,E13&amp;"|"&amp;SUMIFS($R$7:R13,$E$7:E13,E13),"")</f>
        <v/>
      </c>
      <c r="T13" s="85">
        <f>IF(Q13="","",IF(Q13=3,L13,IF(OR(M13="Not started",M13=""),J13,"")))</f>
        <v/>
      </c>
      <c r="U13" s="63">
        <f>IF(T13="","",IF(Q13=3,1,IF(T13="","",IF(T13&lt;AsOf,1,IF(T13&lt;=AsOf+AlertDays,2,IF(T13&lt;=AsOf+2*AlertDays,3,""))))))</f>
        <v/>
      </c>
      <c r="V13" s="63">
        <f>IF(U13="","",IF(Q13=3,"Late task: "&amp;D13,IF(T13&lt;AsOf,"Should have started: ","Starts soon: ")&amp;D13)&amp;IF(F13="",""," — "&amp;F13))</f>
        <v/>
      </c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  <c r="AI13" s="104" t="n"/>
      <c r="AJ13" s="104" t="n"/>
      <c r="AK13" s="104" t="n"/>
      <c r="AL13" s="104" t="n"/>
      <c r="AM13" s="104" t="n"/>
      <c r="AN13" s="104" t="n"/>
      <c r="AO13" s="104" t="n"/>
      <c r="AP13" s="104" t="n"/>
      <c r="AQ13" s="104" t="n"/>
      <c r="AR13" s="104" t="n"/>
      <c r="AS13" s="104" t="n"/>
      <c r="AT13" s="104" t="n"/>
      <c r="AU13" s="104" t="n"/>
      <c r="AV13" s="104" t="n"/>
      <c r="AW13" s="104" t="n"/>
      <c r="AX13" s="104" t="n"/>
      <c r="AY13" s="104" t="n"/>
      <c r="AZ13" s="104" t="n"/>
      <c r="BA13" s="104" t="n"/>
      <c r="BB13" s="104" t="n"/>
      <c r="BC13" s="104" t="n"/>
      <c r="BD13" s="104" t="n"/>
      <c r="BE13" s="104" t="n"/>
      <c r="BF13" s="104" t="n"/>
      <c r="BG13" s="104" t="n"/>
      <c r="BH13" s="104" t="n"/>
      <c r="BI13" s="104" t="n"/>
      <c r="BJ13" s="104" t="n"/>
      <c r="BK13" s="104" t="n"/>
      <c r="BL13" s="104" t="n"/>
      <c r="BM13" s="104" t="n"/>
      <c r="BN13" s="104" t="n"/>
      <c r="BO13" s="104" t="n"/>
      <c r="BP13" s="104" t="n"/>
      <c r="BQ13" s="104" t="n"/>
      <c r="BR13" s="104" t="n"/>
      <c r="BS13" s="104" t="n"/>
      <c r="BT13" s="104" t="n"/>
      <c r="BU13" s="104" t="n"/>
      <c r="BV13" s="104" t="n"/>
      <c r="BW13" s="104" t="n"/>
    </row>
    <row r="14" ht="20" customHeight="1">
      <c r="B14" s="100" t="n">
        <v>8</v>
      </c>
      <c r="C14" s="65" t="inlineStr">
        <is>
          <t>Construction</t>
        </is>
      </c>
      <c r="D14" s="65" t="inlineStr">
        <is>
          <t>Plumbing rough-in</t>
        </is>
      </c>
      <c r="E14" s="65" t="inlineStr">
        <is>
          <t>Bathroom 1</t>
        </is>
      </c>
      <c r="F14" s="65" t="inlineStr">
        <is>
          <t>FlowRight Plumbing</t>
        </is>
      </c>
      <c r="G14" s="101" t="n">
        <v>14</v>
      </c>
      <c r="H14" s="101" t="n">
        <v>6</v>
      </c>
      <c r="I14" s="81" t="n"/>
      <c r="J14" s="102">
        <f>IF(OR(D14="",ProjStart=""),"",MAX(ProjStart,IF(I14&lt;&gt;"",I14,0),IF(H14="",0,IFERROR(INDEX($L$6:L13,MATCH(H14,$B$6:B13,0))+1,0))))</f>
        <v/>
      </c>
      <c r="K14" s="101" t="n">
        <v>11</v>
      </c>
      <c r="L14" s="102">
        <f>IF(J14="","",J14+MAX(1,G14)+IF(K14="",0,K14)-1)</f>
        <v/>
      </c>
      <c r="M14" s="65" t="inlineStr">
        <is>
          <t>In progress</t>
        </is>
      </c>
      <c r="N14" s="81" t="n"/>
      <c r="O14" s="103">
        <f>IF(D14="","",COUNTIF($H$7:$H$156,B14))</f>
        <v/>
      </c>
      <c r="P14" s="72">
        <f>IF(D14="","",IF(AND(H14&lt;&gt;"",H14&gt;=B14),"⚠️ Predecessor must be above",IF(M14="Done","✓ Done",IF(Q14=3,"🔴 Late",IF(M14="In progress","In progress","")))))</f>
        <v/>
      </c>
      <c r="Q14" s="63">
        <f>IF(OR(D14="",L14=""),"",IF(M14="Done",2,IF(AsOf&gt;L14,3,1)))</f>
        <v/>
      </c>
      <c r="R14" s="63">
        <f>IF(OR(E14="",F14=""),0,IF(COUNTIFS($E$7:E14,E14,$F$7:F14,F14)=1,1,0))</f>
        <v/>
      </c>
      <c r="S14" s="63">
        <f>IF(R14=1,E14&amp;"|"&amp;SUMIFS($R$7:R14,$E$7:E14,E14),"")</f>
        <v/>
      </c>
      <c r="T14" s="85">
        <f>IF(Q14="","",IF(Q14=3,L14,IF(OR(M14="Not started",M14=""),J14,"")))</f>
        <v/>
      </c>
      <c r="U14" s="63">
        <f>IF(T14="","",IF(Q14=3,1,IF(T14="","",IF(T14&lt;AsOf,1,IF(T14&lt;=AsOf+AlertDays,2,IF(T14&lt;=AsOf+2*AlertDays,3,""))))))</f>
        <v/>
      </c>
      <c r="V14" s="63">
        <f>IF(U14="","",IF(Q14=3,"Late task: "&amp;D14,IF(T14&lt;AsOf,"Should have started: ","Starts soon: ")&amp;D14)&amp;IF(F14="",""," — "&amp;F14))</f>
        <v/>
      </c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4" t="n"/>
      <c r="AH14" s="104" t="n"/>
      <c r="AI14" s="104" t="n"/>
      <c r="AJ14" s="104" t="n"/>
      <c r="AK14" s="104" t="n"/>
      <c r="AL14" s="104" t="n"/>
      <c r="AM14" s="104" t="n"/>
      <c r="AN14" s="104" t="n"/>
      <c r="AO14" s="104" t="n"/>
      <c r="AP14" s="104" t="n"/>
      <c r="AQ14" s="104" t="n"/>
      <c r="AR14" s="104" t="n"/>
      <c r="AS14" s="104" t="n"/>
      <c r="AT14" s="104" t="n"/>
      <c r="AU14" s="104" t="n"/>
      <c r="AV14" s="104" t="n"/>
      <c r="AW14" s="104" t="n"/>
      <c r="AX14" s="104" t="n"/>
      <c r="AY14" s="104" t="n"/>
      <c r="AZ14" s="104" t="n"/>
      <c r="BA14" s="104" t="n"/>
      <c r="BB14" s="104" t="n"/>
      <c r="BC14" s="104" t="n"/>
      <c r="BD14" s="104" t="n"/>
      <c r="BE14" s="104" t="n"/>
      <c r="BF14" s="104" t="n"/>
      <c r="BG14" s="104" t="n"/>
      <c r="BH14" s="104" t="n"/>
      <c r="BI14" s="104" t="n"/>
      <c r="BJ14" s="104" t="n"/>
      <c r="BK14" s="104" t="n"/>
      <c r="BL14" s="104" t="n"/>
      <c r="BM14" s="104" t="n"/>
      <c r="BN14" s="104" t="n"/>
      <c r="BO14" s="104" t="n"/>
      <c r="BP14" s="104" t="n"/>
      <c r="BQ14" s="104" t="n"/>
      <c r="BR14" s="104" t="n"/>
      <c r="BS14" s="104" t="n"/>
      <c r="BT14" s="104" t="n"/>
      <c r="BU14" s="104" t="n"/>
      <c r="BV14" s="104" t="n"/>
      <c r="BW14" s="104" t="n"/>
    </row>
    <row r="15" ht="20" customHeight="1">
      <c r="B15" s="100" t="n">
        <v>9</v>
      </c>
      <c r="C15" s="65" t="inlineStr">
        <is>
          <t>Construction</t>
        </is>
      </c>
      <c r="D15" s="65" t="inlineStr">
        <is>
          <t>Electrical rough-in</t>
        </is>
      </c>
      <c r="E15" s="65" t="inlineStr">
        <is>
          <t>Whole house</t>
        </is>
      </c>
      <c r="F15" s="65" t="inlineStr">
        <is>
          <t>Bright Spark Electric</t>
        </is>
      </c>
      <c r="G15" s="101" t="n">
        <v>28</v>
      </c>
      <c r="H15" s="101" t="n">
        <v>6</v>
      </c>
      <c r="I15" s="81" t="n"/>
      <c r="J15" s="102">
        <f>IF(OR(D15="",ProjStart=""),"",MAX(ProjStart,IF(I15&lt;&gt;"",I15,0),IF(H15="",0,IFERROR(INDEX($L$6:L14,MATCH(H15,$B$6:B14,0))+1,0))))</f>
        <v/>
      </c>
      <c r="K15" s="101" t="n">
        <v>7</v>
      </c>
      <c r="L15" s="102">
        <f>IF(J15="","",J15+MAX(1,G15)+IF(K15="",0,K15)-1)</f>
        <v/>
      </c>
      <c r="M15" s="65" t="inlineStr">
        <is>
          <t>In progress</t>
        </is>
      </c>
      <c r="N15" s="81" t="n"/>
      <c r="O15" s="103">
        <f>IF(D15="","",COUNTIF($H$7:$H$156,B15))</f>
        <v/>
      </c>
      <c r="P15" s="72">
        <f>IF(D15="","",IF(AND(H15&lt;&gt;"",H15&gt;=B15),"⚠️ Predecessor must be above",IF(M15="Done","✓ Done",IF(Q15=3,"🔴 Late",IF(M15="In progress","In progress","")))))</f>
        <v/>
      </c>
      <c r="Q15" s="63">
        <f>IF(OR(D15="",L15=""),"",IF(M15="Done",2,IF(AsOf&gt;L15,3,1)))</f>
        <v/>
      </c>
      <c r="R15" s="63">
        <f>IF(OR(E15="",F15=""),0,IF(COUNTIFS($E$7:E15,E15,$F$7:F15,F15)=1,1,0))</f>
        <v/>
      </c>
      <c r="S15" s="63">
        <f>IF(R15=1,E15&amp;"|"&amp;SUMIFS($R$7:R15,$E$7:E15,E15),"")</f>
        <v/>
      </c>
      <c r="T15" s="85">
        <f>IF(Q15="","",IF(Q15=3,L15,IF(OR(M15="Not started",M15=""),J15,"")))</f>
        <v/>
      </c>
      <c r="U15" s="63">
        <f>IF(T15="","",IF(Q15=3,1,IF(T15="","",IF(T15&lt;AsOf,1,IF(T15&lt;=AsOf+AlertDays,2,IF(T15&lt;=AsOf+2*AlertDays,3,""))))))</f>
        <v/>
      </c>
      <c r="V15" s="63">
        <f>IF(U15="","",IF(Q15=3,"Late task: "&amp;D15,IF(T15&lt;AsOf,"Should have started: ","Starts soon: ")&amp;D15)&amp;IF(F15="",""," — "&amp;F15))</f>
        <v/>
      </c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  <c r="AI15" s="104" t="n"/>
      <c r="AJ15" s="104" t="n"/>
      <c r="AK15" s="104" t="n"/>
      <c r="AL15" s="104" t="n"/>
      <c r="AM15" s="104" t="n"/>
      <c r="AN15" s="104" t="n"/>
      <c r="AO15" s="104" t="n"/>
      <c r="AP15" s="104" t="n"/>
      <c r="AQ15" s="104" t="n"/>
      <c r="AR15" s="104" t="n"/>
      <c r="AS15" s="104" t="n"/>
      <c r="AT15" s="104" t="n"/>
      <c r="AU15" s="104" t="n"/>
      <c r="AV15" s="104" t="n"/>
      <c r="AW15" s="104" t="n"/>
      <c r="AX15" s="104" t="n"/>
      <c r="AY15" s="104" t="n"/>
      <c r="AZ15" s="104" t="n"/>
      <c r="BA15" s="104" t="n"/>
      <c r="BB15" s="104" t="n"/>
      <c r="BC15" s="104" t="n"/>
      <c r="BD15" s="104" t="n"/>
      <c r="BE15" s="104" t="n"/>
      <c r="BF15" s="104" t="n"/>
      <c r="BG15" s="104" t="n"/>
      <c r="BH15" s="104" t="n"/>
      <c r="BI15" s="104" t="n"/>
      <c r="BJ15" s="104" t="n"/>
      <c r="BK15" s="104" t="n"/>
      <c r="BL15" s="104" t="n"/>
      <c r="BM15" s="104" t="n"/>
      <c r="BN15" s="104" t="n"/>
      <c r="BO15" s="104" t="n"/>
      <c r="BP15" s="104" t="n"/>
      <c r="BQ15" s="104" t="n"/>
      <c r="BR15" s="104" t="n"/>
      <c r="BS15" s="104" t="n"/>
      <c r="BT15" s="104" t="n"/>
      <c r="BU15" s="104" t="n"/>
      <c r="BV15" s="104" t="n"/>
      <c r="BW15" s="104" t="n"/>
    </row>
    <row r="16" ht="20" customHeight="1">
      <c r="B16" s="100" t="n">
        <v>10</v>
      </c>
      <c r="C16" s="65" t="inlineStr">
        <is>
          <t>Construction</t>
        </is>
      </c>
      <c r="D16" s="65" t="inlineStr">
        <is>
          <t>Heat pump &amp; ventilation</t>
        </is>
      </c>
      <c r="E16" s="65" t="inlineStr">
        <is>
          <t>Whole house</t>
        </is>
      </c>
      <c r="F16" s="65" t="inlineStr">
        <is>
          <t>ClimaHeat HVAC</t>
        </is>
      </c>
      <c r="G16" s="101" t="n">
        <v>10</v>
      </c>
      <c r="H16" s="101" t="n">
        <v>8</v>
      </c>
      <c r="I16" s="81" t="n"/>
      <c r="J16" s="102">
        <f>IF(OR(D16="",ProjStart=""),"",MAX(ProjStart,IF(I16&lt;&gt;"",I16,0),IF(H16="",0,IFERROR(INDEX($L$6:L15,MATCH(H16,$B$6:B15,0))+1,0))))</f>
        <v/>
      </c>
      <c r="K16" s="101" t="n"/>
      <c r="L16" s="102">
        <f>IF(J16="","",J16+MAX(1,G16)+IF(K16="",0,K16)-1)</f>
        <v/>
      </c>
      <c r="M16" s="65" t="inlineStr">
        <is>
          <t>Not started</t>
        </is>
      </c>
      <c r="N16" s="81" t="n"/>
      <c r="O16" s="103">
        <f>IF(D16="","",COUNTIF($H$7:$H$156,B16))</f>
        <v/>
      </c>
      <c r="P16" s="72">
        <f>IF(D16="","",IF(AND(H16&lt;&gt;"",H16&gt;=B16),"⚠️ Predecessor must be above",IF(M16="Done","✓ Done",IF(Q16=3,"🔴 Late",IF(M16="In progress","In progress","")))))</f>
        <v/>
      </c>
      <c r="Q16" s="63">
        <f>IF(OR(D16="",L16=""),"",IF(M16="Done",2,IF(AsOf&gt;L16,3,1)))</f>
        <v/>
      </c>
      <c r="R16" s="63">
        <f>IF(OR(E16="",F16=""),0,IF(COUNTIFS($E$7:E16,E16,$F$7:F16,F16)=1,1,0))</f>
        <v/>
      </c>
      <c r="S16" s="63">
        <f>IF(R16=1,E16&amp;"|"&amp;SUMIFS($R$7:R16,$E$7:E16,E16),"")</f>
        <v/>
      </c>
      <c r="T16" s="85">
        <f>IF(Q16="","",IF(Q16=3,L16,IF(OR(M16="Not started",M16=""),J16,"")))</f>
        <v/>
      </c>
      <c r="U16" s="63">
        <f>IF(T16="","",IF(Q16=3,1,IF(T16="","",IF(T16&lt;AsOf,1,IF(T16&lt;=AsOf+AlertDays,2,IF(T16&lt;=AsOf+2*AlertDays,3,""))))))</f>
        <v/>
      </c>
      <c r="V16" s="63">
        <f>IF(U16="","",IF(Q16=3,"Late task: "&amp;D16,IF(T16&lt;AsOf,"Should have started: ","Starts soon: ")&amp;D16)&amp;IF(F16="",""," — "&amp;F16))</f>
        <v/>
      </c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  <c r="AI16" s="104" t="n"/>
      <c r="AJ16" s="104" t="n"/>
      <c r="AK16" s="104" t="n"/>
      <c r="AL16" s="104" t="n"/>
      <c r="AM16" s="104" t="n"/>
      <c r="AN16" s="104" t="n"/>
      <c r="AO16" s="104" t="n"/>
      <c r="AP16" s="104" t="n"/>
      <c r="AQ16" s="104" t="n"/>
      <c r="AR16" s="104" t="n"/>
      <c r="AS16" s="104" t="n"/>
      <c r="AT16" s="104" t="n"/>
      <c r="AU16" s="104" t="n"/>
      <c r="AV16" s="104" t="n"/>
      <c r="AW16" s="104" t="n"/>
      <c r="AX16" s="104" t="n"/>
      <c r="AY16" s="104" t="n"/>
      <c r="AZ16" s="104" t="n"/>
      <c r="BA16" s="104" t="n"/>
      <c r="BB16" s="104" t="n"/>
      <c r="BC16" s="104" t="n"/>
      <c r="BD16" s="104" t="n"/>
      <c r="BE16" s="104" t="n"/>
      <c r="BF16" s="104" t="n"/>
      <c r="BG16" s="104" t="n"/>
      <c r="BH16" s="104" t="n"/>
      <c r="BI16" s="104" t="n"/>
      <c r="BJ16" s="104" t="n"/>
      <c r="BK16" s="104" t="n"/>
      <c r="BL16" s="104" t="n"/>
      <c r="BM16" s="104" t="n"/>
      <c r="BN16" s="104" t="n"/>
      <c r="BO16" s="104" t="n"/>
      <c r="BP16" s="104" t="n"/>
      <c r="BQ16" s="104" t="n"/>
      <c r="BR16" s="104" t="n"/>
      <c r="BS16" s="104" t="n"/>
      <c r="BT16" s="104" t="n"/>
      <c r="BU16" s="104" t="n"/>
      <c r="BV16" s="104" t="n"/>
      <c r="BW16" s="104" t="n"/>
    </row>
    <row r="17" ht="20" customHeight="1">
      <c r="B17" s="100" t="n">
        <v>11</v>
      </c>
      <c r="C17" s="65" t="inlineStr">
        <is>
          <t>Construction</t>
        </is>
      </c>
      <c r="D17" s="65" t="inlineStr">
        <is>
          <t>Rough-in inspection</t>
        </is>
      </c>
      <c r="E17" s="65" t="inlineStr">
        <is>
          <t>Whole house</t>
        </is>
      </c>
      <c r="F17" s="65" t="n"/>
      <c r="G17" s="101" t="n">
        <v>2</v>
      </c>
      <c r="H17" s="101" t="n">
        <v>9</v>
      </c>
      <c r="I17" s="81" t="n"/>
      <c r="J17" s="102">
        <f>IF(OR(D17="",ProjStart=""),"",MAX(ProjStart,IF(I17&lt;&gt;"",I17,0),IF(H17="",0,IFERROR(INDEX($L$6:L16,MATCH(H17,$B$6:B16,0))+1,0))))</f>
        <v/>
      </c>
      <c r="K17" s="101" t="n"/>
      <c r="L17" s="102">
        <f>IF(J17="","",J17+MAX(1,G17)+IF(K17="",0,K17)-1)</f>
        <v/>
      </c>
      <c r="M17" s="65" t="inlineStr">
        <is>
          <t>Not started</t>
        </is>
      </c>
      <c r="N17" s="81" t="n"/>
      <c r="O17" s="103">
        <f>IF(D17="","",COUNTIF($H$7:$H$156,B17))</f>
        <v/>
      </c>
      <c r="P17" s="72">
        <f>IF(D17="","",IF(AND(H17&lt;&gt;"",H17&gt;=B17),"⚠️ Predecessor must be above",IF(M17="Done","✓ Done",IF(Q17=3,"🔴 Late",IF(M17="In progress","In progress","")))))</f>
        <v/>
      </c>
      <c r="Q17" s="63">
        <f>IF(OR(D17="",L17=""),"",IF(M17="Done",2,IF(AsOf&gt;L17,3,1)))</f>
        <v/>
      </c>
      <c r="R17" s="63">
        <f>IF(OR(E17="",F17=""),0,IF(COUNTIFS($E$7:E17,E17,$F$7:F17,F17)=1,1,0))</f>
        <v/>
      </c>
      <c r="S17" s="63">
        <f>IF(R17=1,E17&amp;"|"&amp;SUMIFS($R$7:R17,$E$7:E17,E17),"")</f>
        <v/>
      </c>
      <c r="T17" s="85">
        <f>IF(Q17="","",IF(Q17=3,L17,IF(OR(M17="Not started",M17=""),J17,"")))</f>
        <v/>
      </c>
      <c r="U17" s="63">
        <f>IF(T17="","",IF(Q17=3,1,IF(T17="","",IF(T17&lt;AsOf,1,IF(T17&lt;=AsOf+AlertDays,2,IF(T17&lt;=AsOf+2*AlertDays,3,""))))))</f>
        <v/>
      </c>
      <c r="V17" s="63">
        <f>IF(U17="","",IF(Q17=3,"Late task: "&amp;D17,IF(T17&lt;AsOf,"Should have started: ","Starts soon: ")&amp;D17)&amp;IF(F17="",""," — "&amp;F17))</f>
        <v/>
      </c>
      <c r="X17" s="104" t="n"/>
      <c r="Y17" s="104" t="n"/>
      <c r="Z17" s="104" t="n"/>
      <c r="AA17" s="104" t="n"/>
      <c r="AB17" s="104" t="n"/>
      <c r="AC17" s="104" t="n"/>
      <c r="AD17" s="104" t="n"/>
      <c r="AE17" s="104" t="n"/>
      <c r="AF17" s="104" t="n"/>
      <c r="AG17" s="104" t="n"/>
      <c r="AH17" s="104" t="n"/>
      <c r="AI17" s="104" t="n"/>
      <c r="AJ17" s="104" t="n"/>
      <c r="AK17" s="104" t="n"/>
      <c r="AL17" s="104" t="n"/>
      <c r="AM17" s="104" t="n"/>
      <c r="AN17" s="104" t="n"/>
      <c r="AO17" s="104" t="n"/>
      <c r="AP17" s="104" t="n"/>
      <c r="AQ17" s="104" t="n"/>
      <c r="AR17" s="104" t="n"/>
      <c r="AS17" s="104" t="n"/>
      <c r="AT17" s="104" t="n"/>
      <c r="AU17" s="104" t="n"/>
      <c r="AV17" s="104" t="n"/>
      <c r="AW17" s="104" t="n"/>
      <c r="AX17" s="104" t="n"/>
      <c r="AY17" s="104" t="n"/>
      <c r="AZ17" s="104" t="n"/>
      <c r="BA17" s="104" t="n"/>
      <c r="BB17" s="104" t="n"/>
      <c r="BC17" s="104" t="n"/>
      <c r="BD17" s="104" t="n"/>
      <c r="BE17" s="104" t="n"/>
      <c r="BF17" s="104" t="n"/>
      <c r="BG17" s="104" t="n"/>
      <c r="BH17" s="104" t="n"/>
      <c r="BI17" s="104" t="n"/>
      <c r="BJ17" s="104" t="n"/>
      <c r="BK17" s="104" t="n"/>
      <c r="BL17" s="104" t="n"/>
      <c r="BM17" s="104" t="n"/>
      <c r="BN17" s="104" t="n"/>
      <c r="BO17" s="104" t="n"/>
      <c r="BP17" s="104" t="n"/>
      <c r="BQ17" s="104" t="n"/>
      <c r="BR17" s="104" t="n"/>
      <c r="BS17" s="104" t="n"/>
      <c r="BT17" s="104" t="n"/>
      <c r="BU17" s="104" t="n"/>
      <c r="BV17" s="104" t="n"/>
      <c r="BW17" s="104" t="n"/>
    </row>
    <row r="18" ht="20" customHeight="1">
      <c r="B18" s="100" t="n">
        <v>12</v>
      </c>
      <c r="C18" s="65" t="inlineStr">
        <is>
          <t>Construction</t>
        </is>
      </c>
      <c r="D18" s="65" t="inlineStr">
        <is>
          <t>Insulation &amp; drywall</t>
        </is>
      </c>
      <c r="E18" s="65" t="inlineStr">
        <is>
          <t>Whole house</t>
        </is>
      </c>
      <c r="F18" s="65" t="inlineStr">
        <is>
          <t>Solid Structures Ltd</t>
        </is>
      </c>
      <c r="G18" s="101" t="n">
        <v>14</v>
      </c>
      <c r="H18" s="101" t="n">
        <v>11</v>
      </c>
      <c r="I18" s="81" t="n"/>
      <c r="J18" s="102">
        <f>IF(OR(D18="",ProjStart=""),"",MAX(ProjStart,IF(I18&lt;&gt;"",I18,0),IF(H18="",0,IFERROR(INDEX($L$6:L17,MATCH(H18,$B$6:B17,0))+1,0))))</f>
        <v/>
      </c>
      <c r="K18" s="101" t="n"/>
      <c r="L18" s="102">
        <f>IF(J18="","",J18+MAX(1,G18)+IF(K18="",0,K18)-1)</f>
        <v/>
      </c>
      <c r="M18" s="65" t="inlineStr">
        <is>
          <t>Not started</t>
        </is>
      </c>
      <c r="N18" s="81" t="n"/>
      <c r="O18" s="103">
        <f>IF(D18="","",COUNTIF($H$7:$H$156,B18))</f>
        <v/>
      </c>
      <c r="P18" s="72">
        <f>IF(D18="","",IF(AND(H18&lt;&gt;"",H18&gt;=B18),"⚠️ Predecessor must be above",IF(M18="Done","✓ Done",IF(Q18=3,"🔴 Late",IF(M18="In progress","In progress","")))))</f>
        <v/>
      </c>
      <c r="Q18" s="63">
        <f>IF(OR(D18="",L18=""),"",IF(M18="Done",2,IF(AsOf&gt;L18,3,1)))</f>
        <v/>
      </c>
      <c r="R18" s="63">
        <f>IF(OR(E18="",F18=""),0,IF(COUNTIFS($E$7:E18,E18,$F$7:F18,F18)=1,1,0))</f>
        <v/>
      </c>
      <c r="S18" s="63">
        <f>IF(R18=1,E18&amp;"|"&amp;SUMIFS($R$7:R18,$E$7:E18,E18),"")</f>
        <v/>
      </c>
      <c r="T18" s="85">
        <f>IF(Q18="","",IF(Q18=3,L18,IF(OR(M18="Not started",M18=""),J18,"")))</f>
        <v/>
      </c>
      <c r="U18" s="63">
        <f>IF(T18="","",IF(Q18=3,1,IF(T18="","",IF(T18&lt;AsOf,1,IF(T18&lt;=AsOf+AlertDays,2,IF(T18&lt;=AsOf+2*AlertDays,3,""))))))</f>
        <v/>
      </c>
      <c r="V18" s="63">
        <f>IF(U18="","",IF(Q18=3,"Late task: "&amp;D18,IF(T18&lt;AsOf,"Should have started: ","Starts soon: ")&amp;D18)&amp;IF(F18="",""," — "&amp;F18))</f>
        <v/>
      </c>
      <c r="X18" s="104" t="n"/>
      <c r="Y18" s="104" t="n"/>
      <c r="Z18" s="104" t="n"/>
      <c r="AA18" s="104" t="n"/>
      <c r="AB18" s="104" t="n"/>
      <c r="AC18" s="104" t="n"/>
      <c r="AD18" s="104" t="n"/>
      <c r="AE18" s="104" t="n"/>
      <c r="AF18" s="104" t="n"/>
      <c r="AG18" s="104" t="n"/>
      <c r="AH18" s="104" t="n"/>
      <c r="AI18" s="104" t="n"/>
      <c r="AJ18" s="104" t="n"/>
      <c r="AK18" s="104" t="n"/>
      <c r="AL18" s="104" t="n"/>
      <c r="AM18" s="104" t="n"/>
      <c r="AN18" s="104" t="n"/>
      <c r="AO18" s="104" t="n"/>
      <c r="AP18" s="104" t="n"/>
      <c r="AQ18" s="104" t="n"/>
      <c r="AR18" s="104" t="n"/>
      <c r="AS18" s="104" t="n"/>
      <c r="AT18" s="104" t="n"/>
      <c r="AU18" s="104" t="n"/>
      <c r="AV18" s="104" t="n"/>
      <c r="AW18" s="104" t="n"/>
      <c r="AX18" s="104" t="n"/>
      <c r="AY18" s="104" t="n"/>
      <c r="AZ18" s="104" t="n"/>
      <c r="BA18" s="104" t="n"/>
      <c r="BB18" s="104" t="n"/>
      <c r="BC18" s="104" t="n"/>
      <c r="BD18" s="104" t="n"/>
      <c r="BE18" s="104" t="n"/>
      <c r="BF18" s="104" t="n"/>
      <c r="BG18" s="104" t="n"/>
      <c r="BH18" s="104" t="n"/>
      <c r="BI18" s="104" t="n"/>
      <c r="BJ18" s="104" t="n"/>
      <c r="BK18" s="104" t="n"/>
      <c r="BL18" s="104" t="n"/>
      <c r="BM18" s="104" t="n"/>
      <c r="BN18" s="104" t="n"/>
      <c r="BO18" s="104" t="n"/>
      <c r="BP18" s="104" t="n"/>
      <c r="BQ18" s="104" t="n"/>
      <c r="BR18" s="104" t="n"/>
      <c r="BS18" s="104" t="n"/>
      <c r="BT18" s="104" t="n"/>
      <c r="BU18" s="104" t="n"/>
      <c r="BV18" s="104" t="n"/>
      <c r="BW18" s="104" t="n"/>
    </row>
    <row r="19" ht="20" customHeight="1">
      <c r="B19" s="100" t="n">
        <v>13</v>
      </c>
      <c r="C19" s="65" t="inlineStr">
        <is>
          <t>Construction</t>
        </is>
      </c>
      <c r="D19" s="65" t="inlineStr">
        <is>
          <t>Flooring</t>
        </is>
      </c>
      <c r="E19" s="65" t="inlineStr">
        <is>
          <t>Living room</t>
        </is>
      </c>
      <c r="F19" s="65" t="inlineStr">
        <is>
          <t>Oak &amp; Plank Flooring</t>
        </is>
      </c>
      <c r="G19" s="101" t="n">
        <v>10</v>
      </c>
      <c r="H19" s="101" t="n">
        <v>12</v>
      </c>
      <c r="I19" s="81" t="n"/>
      <c r="J19" s="102">
        <f>IF(OR(D19="",ProjStart=""),"",MAX(ProjStart,IF(I19&lt;&gt;"",I19,0),IF(H19="",0,IFERROR(INDEX($L$6:L18,MATCH(H19,$B$6:B18,0))+1,0))))</f>
        <v/>
      </c>
      <c r="K19" s="101" t="n"/>
      <c r="L19" s="102">
        <f>IF(J19="","",J19+MAX(1,G19)+IF(K19="",0,K19)-1)</f>
        <v/>
      </c>
      <c r="M19" s="65" t="inlineStr">
        <is>
          <t>Not started</t>
        </is>
      </c>
      <c r="N19" s="81" t="n"/>
      <c r="O19" s="103">
        <f>IF(D19="","",COUNTIF($H$7:$H$156,B19))</f>
        <v/>
      </c>
      <c r="P19" s="72">
        <f>IF(D19="","",IF(AND(H19&lt;&gt;"",H19&gt;=B19),"⚠️ Predecessor must be above",IF(M19="Done","✓ Done",IF(Q19=3,"🔴 Late",IF(M19="In progress","In progress","")))))</f>
        <v/>
      </c>
      <c r="Q19" s="63">
        <f>IF(OR(D19="",L19=""),"",IF(M19="Done",2,IF(AsOf&gt;L19,3,1)))</f>
        <v/>
      </c>
      <c r="R19" s="63">
        <f>IF(OR(E19="",F19=""),0,IF(COUNTIFS($E$7:E19,E19,$F$7:F19,F19)=1,1,0))</f>
        <v/>
      </c>
      <c r="S19" s="63">
        <f>IF(R19=1,E19&amp;"|"&amp;SUMIFS($R$7:R19,$E$7:E19,E19),"")</f>
        <v/>
      </c>
      <c r="T19" s="85">
        <f>IF(Q19="","",IF(Q19=3,L19,IF(OR(M19="Not started",M19=""),J19,"")))</f>
        <v/>
      </c>
      <c r="U19" s="63">
        <f>IF(T19="","",IF(Q19=3,1,IF(T19="","",IF(T19&lt;AsOf,1,IF(T19&lt;=AsOf+AlertDays,2,IF(T19&lt;=AsOf+2*AlertDays,3,""))))))</f>
        <v/>
      </c>
      <c r="V19" s="63">
        <f>IF(U19="","",IF(Q19=3,"Late task: "&amp;D19,IF(T19&lt;AsOf,"Should have started: ","Starts soon: ")&amp;D19)&amp;IF(F19="",""," — "&amp;F19))</f>
        <v/>
      </c>
      <c r="X19" s="104" t="n"/>
      <c r="Y19" s="104" t="n"/>
      <c r="Z19" s="104" t="n"/>
      <c r="AA19" s="104" t="n"/>
      <c r="AB19" s="104" t="n"/>
      <c r="AC19" s="104" t="n"/>
      <c r="AD19" s="104" t="n"/>
      <c r="AE19" s="104" t="n"/>
      <c r="AF19" s="104" t="n"/>
      <c r="AG19" s="104" t="n"/>
      <c r="AH19" s="104" t="n"/>
      <c r="AI19" s="104" t="n"/>
      <c r="AJ19" s="104" t="n"/>
      <c r="AK19" s="104" t="n"/>
      <c r="AL19" s="104" t="n"/>
      <c r="AM19" s="104" t="n"/>
      <c r="AN19" s="104" t="n"/>
      <c r="AO19" s="104" t="n"/>
      <c r="AP19" s="104" t="n"/>
      <c r="AQ19" s="104" t="n"/>
      <c r="AR19" s="104" t="n"/>
      <c r="AS19" s="104" t="n"/>
      <c r="AT19" s="104" t="n"/>
      <c r="AU19" s="104" t="n"/>
      <c r="AV19" s="104" t="n"/>
      <c r="AW19" s="104" t="n"/>
      <c r="AX19" s="104" t="n"/>
      <c r="AY19" s="104" t="n"/>
      <c r="AZ19" s="104" t="n"/>
      <c r="BA19" s="104" t="n"/>
      <c r="BB19" s="104" t="n"/>
      <c r="BC19" s="104" t="n"/>
      <c r="BD19" s="104" t="n"/>
      <c r="BE19" s="104" t="n"/>
      <c r="BF19" s="104" t="n"/>
      <c r="BG19" s="104" t="n"/>
      <c r="BH19" s="104" t="n"/>
      <c r="BI19" s="104" t="n"/>
      <c r="BJ19" s="104" t="n"/>
      <c r="BK19" s="104" t="n"/>
      <c r="BL19" s="104" t="n"/>
      <c r="BM19" s="104" t="n"/>
      <c r="BN19" s="104" t="n"/>
      <c r="BO19" s="104" t="n"/>
      <c r="BP19" s="104" t="n"/>
      <c r="BQ19" s="104" t="n"/>
      <c r="BR19" s="104" t="n"/>
      <c r="BS19" s="104" t="n"/>
      <c r="BT19" s="104" t="n"/>
      <c r="BU19" s="104" t="n"/>
      <c r="BV19" s="104" t="n"/>
      <c r="BW19" s="104" t="n"/>
    </row>
    <row r="20" ht="20" customHeight="1">
      <c r="B20" s="100" t="n">
        <v>14</v>
      </c>
      <c r="C20" s="65" t="inlineStr">
        <is>
          <t>Construction</t>
        </is>
      </c>
      <c r="D20" s="65" t="inlineStr">
        <is>
          <t>Kitchen installation</t>
        </is>
      </c>
      <c r="E20" s="65" t="inlineStr">
        <is>
          <t>Kitchen</t>
        </is>
      </c>
      <c r="F20" s="65" t="inlineStr">
        <is>
          <t>Nordic Kitchens</t>
        </is>
      </c>
      <c r="G20" s="101" t="n">
        <v>12</v>
      </c>
      <c r="H20" s="101" t="n">
        <v>12</v>
      </c>
      <c r="I20" s="81" t="n"/>
      <c r="J20" s="102">
        <f>IF(OR(D20="",ProjStart=""),"",MAX(ProjStart,IF(I20&lt;&gt;"",I20,0),IF(H20="",0,IFERROR(INDEX($L$6:L19,MATCH(H20,$B$6:B19,0))+1,0))))</f>
        <v/>
      </c>
      <c r="K20" s="101" t="n"/>
      <c r="L20" s="102">
        <f>IF(J20="","",J20+MAX(1,G20)+IF(K20="",0,K20)-1)</f>
        <v/>
      </c>
      <c r="M20" s="65" t="inlineStr">
        <is>
          <t>Not started</t>
        </is>
      </c>
      <c r="N20" s="81" t="n"/>
      <c r="O20" s="103">
        <f>IF(D20="","",COUNTIF($H$7:$H$156,B20))</f>
        <v/>
      </c>
      <c r="P20" s="72">
        <f>IF(D20="","",IF(AND(H20&lt;&gt;"",H20&gt;=B20),"⚠️ Predecessor must be above",IF(M20="Done","✓ Done",IF(Q20=3,"🔴 Late",IF(M20="In progress","In progress","")))))</f>
        <v/>
      </c>
      <c r="Q20" s="63">
        <f>IF(OR(D20="",L20=""),"",IF(M20="Done",2,IF(AsOf&gt;L20,3,1)))</f>
        <v/>
      </c>
      <c r="R20" s="63">
        <f>IF(OR(E20="",F20=""),0,IF(COUNTIFS($E$7:E20,E20,$F$7:F20,F20)=1,1,0))</f>
        <v/>
      </c>
      <c r="S20" s="63">
        <f>IF(R20=1,E20&amp;"|"&amp;SUMIFS($R$7:R20,$E$7:E20,E20),"")</f>
        <v/>
      </c>
      <c r="T20" s="85">
        <f>IF(Q20="","",IF(Q20=3,L20,IF(OR(M20="Not started",M20=""),J20,"")))</f>
        <v/>
      </c>
      <c r="U20" s="63">
        <f>IF(T20="","",IF(Q20=3,1,IF(T20="","",IF(T20&lt;AsOf,1,IF(T20&lt;=AsOf+AlertDays,2,IF(T20&lt;=AsOf+2*AlertDays,3,""))))))</f>
        <v/>
      </c>
      <c r="V20" s="63">
        <f>IF(U20="","",IF(Q20=3,"Late task: "&amp;D20,IF(T20&lt;AsOf,"Should have started: ","Starts soon: ")&amp;D20)&amp;IF(F20="",""," — "&amp;F20))</f>
        <v/>
      </c>
      <c r="X20" s="104" t="n"/>
      <c r="Y20" s="104" t="n"/>
      <c r="Z20" s="104" t="n"/>
      <c r="AA20" s="104" t="n"/>
      <c r="AB20" s="104" t="n"/>
      <c r="AC20" s="104" t="n"/>
      <c r="AD20" s="104" t="n"/>
      <c r="AE20" s="104" t="n"/>
      <c r="AF20" s="104" t="n"/>
      <c r="AG20" s="104" t="n"/>
      <c r="AH20" s="104" t="n"/>
      <c r="AI20" s="104" t="n"/>
      <c r="AJ20" s="104" t="n"/>
      <c r="AK20" s="104" t="n"/>
      <c r="AL20" s="104" t="n"/>
      <c r="AM20" s="104" t="n"/>
      <c r="AN20" s="104" t="n"/>
      <c r="AO20" s="104" t="n"/>
      <c r="AP20" s="104" t="n"/>
      <c r="AQ20" s="104" t="n"/>
      <c r="AR20" s="104" t="n"/>
      <c r="AS20" s="104" t="n"/>
      <c r="AT20" s="104" t="n"/>
      <c r="AU20" s="104" t="n"/>
      <c r="AV20" s="104" t="n"/>
      <c r="AW20" s="104" t="n"/>
      <c r="AX20" s="104" t="n"/>
      <c r="AY20" s="104" t="n"/>
      <c r="AZ20" s="104" t="n"/>
      <c r="BA20" s="104" t="n"/>
      <c r="BB20" s="104" t="n"/>
      <c r="BC20" s="104" t="n"/>
      <c r="BD20" s="104" t="n"/>
      <c r="BE20" s="104" t="n"/>
      <c r="BF20" s="104" t="n"/>
      <c r="BG20" s="104" t="n"/>
      <c r="BH20" s="104" t="n"/>
      <c r="BI20" s="104" t="n"/>
      <c r="BJ20" s="104" t="n"/>
      <c r="BK20" s="104" t="n"/>
      <c r="BL20" s="104" t="n"/>
      <c r="BM20" s="104" t="n"/>
      <c r="BN20" s="104" t="n"/>
      <c r="BO20" s="104" t="n"/>
      <c r="BP20" s="104" t="n"/>
      <c r="BQ20" s="104" t="n"/>
      <c r="BR20" s="104" t="n"/>
      <c r="BS20" s="104" t="n"/>
      <c r="BT20" s="104" t="n"/>
      <c r="BU20" s="104" t="n"/>
      <c r="BV20" s="104" t="n"/>
      <c r="BW20" s="104" t="n"/>
    </row>
    <row r="21" ht="20" customHeight="1">
      <c r="B21" s="100" t="n">
        <v>15</v>
      </c>
      <c r="C21" s="65" t="inlineStr">
        <is>
          <t>Construction</t>
        </is>
      </c>
      <c r="D21" s="65" t="inlineStr">
        <is>
          <t>Bathroom 1 fit-out</t>
        </is>
      </c>
      <c r="E21" s="65" t="inlineStr">
        <is>
          <t>Bathroom 1</t>
        </is>
      </c>
      <c r="F21" s="65" t="inlineStr">
        <is>
          <t>Aqua Bath Studio</t>
        </is>
      </c>
      <c r="G21" s="101" t="n">
        <v>15</v>
      </c>
      <c r="H21" s="101" t="n">
        <v>12</v>
      </c>
      <c r="I21" s="81" t="n"/>
      <c r="J21" s="102">
        <f>IF(OR(D21="",ProjStart=""),"",MAX(ProjStart,IF(I21&lt;&gt;"",I21,0),IF(H21="",0,IFERROR(INDEX($L$6:L20,MATCH(H21,$B$6:B20,0))+1,0))))</f>
        <v/>
      </c>
      <c r="K21" s="101" t="n"/>
      <c r="L21" s="102">
        <f>IF(J21="","",J21+MAX(1,G21)+IF(K21="",0,K21)-1)</f>
        <v/>
      </c>
      <c r="M21" s="65" t="inlineStr">
        <is>
          <t>Not started</t>
        </is>
      </c>
      <c r="N21" s="81" t="n"/>
      <c r="O21" s="103">
        <f>IF(D21="","",COUNTIF($H$7:$H$156,B21))</f>
        <v/>
      </c>
      <c r="P21" s="72">
        <f>IF(D21="","",IF(AND(H21&lt;&gt;"",H21&gt;=B21),"⚠️ Predecessor must be above",IF(M21="Done","✓ Done",IF(Q21=3,"🔴 Late",IF(M21="In progress","In progress","")))))</f>
        <v/>
      </c>
      <c r="Q21" s="63">
        <f>IF(OR(D21="",L21=""),"",IF(M21="Done",2,IF(AsOf&gt;L21,3,1)))</f>
        <v/>
      </c>
      <c r="R21" s="63">
        <f>IF(OR(E21="",F21=""),0,IF(COUNTIFS($E$7:E21,E21,$F$7:F21,F21)=1,1,0))</f>
        <v/>
      </c>
      <c r="S21" s="63">
        <f>IF(R21=1,E21&amp;"|"&amp;SUMIFS($R$7:R21,$E$7:E21,E21),"")</f>
        <v/>
      </c>
      <c r="T21" s="85">
        <f>IF(Q21="","",IF(Q21=3,L21,IF(OR(M21="Not started",M21=""),J21,"")))</f>
        <v/>
      </c>
      <c r="U21" s="63">
        <f>IF(T21="","",IF(Q21=3,1,IF(T21="","",IF(T21&lt;AsOf,1,IF(T21&lt;=AsOf+AlertDays,2,IF(T21&lt;=AsOf+2*AlertDays,3,""))))))</f>
        <v/>
      </c>
      <c r="V21" s="63">
        <f>IF(U21="","",IF(Q21=3,"Late task: "&amp;D21,IF(T21&lt;AsOf,"Should have started: ","Starts soon: ")&amp;D21)&amp;IF(F21="",""," — "&amp;F21))</f>
        <v/>
      </c>
      <c r="X21" s="104" t="n"/>
      <c r="Y21" s="104" t="n"/>
      <c r="Z21" s="104" t="n"/>
      <c r="AA21" s="104" t="n"/>
      <c r="AB21" s="104" t="n"/>
      <c r="AC21" s="104" t="n"/>
      <c r="AD21" s="104" t="n"/>
      <c r="AE21" s="104" t="n"/>
      <c r="AF21" s="104" t="n"/>
      <c r="AG21" s="104" t="n"/>
      <c r="AH21" s="104" t="n"/>
      <c r="AI21" s="104" t="n"/>
      <c r="AJ21" s="104" t="n"/>
      <c r="AK21" s="104" t="n"/>
      <c r="AL21" s="104" t="n"/>
      <c r="AM21" s="104" t="n"/>
      <c r="AN21" s="104" t="n"/>
      <c r="AO21" s="104" t="n"/>
      <c r="AP21" s="104" t="n"/>
      <c r="AQ21" s="104" t="n"/>
      <c r="AR21" s="104" t="n"/>
      <c r="AS21" s="104" t="n"/>
      <c r="AT21" s="104" t="n"/>
      <c r="AU21" s="104" t="n"/>
      <c r="AV21" s="104" t="n"/>
      <c r="AW21" s="104" t="n"/>
      <c r="AX21" s="104" t="n"/>
      <c r="AY21" s="104" t="n"/>
      <c r="AZ21" s="104" t="n"/>
      <c r="BA21" s="104" t="n"/>
      <c r="BB21" s="104" t="n"/>
      <c r="BC21" s="104" t="n"/>
      <c r="BD21" s="104" t="n"/>
      <c r="BE21" s="104" t="n"/>
      <c r="BF21" s="104" t="n"/>
      <c r="BG21" s="104" t="n"/>
      <c r="BH21" s="104" t="n"/>
      <c r="BI21" s="104" t="n"/>
      <c r="BJ21" s="104" t="n"/>
      <c r="BK21" s="104" t="n"/>
      <c r="BL21" s="104" t="n"/>
      <c r="BM21" s="104" t="n"/>
      <c r="BN21" s="104" t="n"/>
      <c r="BO21" s="104" t="n"/>
      <c r="BP21" s="104" t="n"/>
      <c r="BQ21" s="104" t="n"/>
      <c r="BR21" s="104" t="n"/>
      <c r="BS21" s="104" t="n"/>
      <c r="BT21" s="104" t="n"/>
      <c r="BU21" s="104" t="n"/>
      <c r="BV21" s="104" t="n"/>
      <c r="BW21" s="104" t="n"/>
    </row>
    <row r="22" ht="20" customHeight="1">
      <c r="B22" s="100" t="n">
        <v>16</v>
      </c>
      <c r="C22" s="65" t="inlineStr">
        <is>
          <t>Construction</t>
        </is>
      </c>
      <c r="D22" s="65" t="inlineStr">
        <is>
          <t>Bathroom 2 fit-out</t>
        </is>
      </c>
      <c r="E22" s="65" t="inlineStr">
        <is>
          <t>Bathroom 2</t>
        </is>
      </c>
      <c r="F22" s="65" t="inlineStr">
        <is>
          <t>Aqua Bath Studio</t>
        </is>
      </c>
      <c r="G22" s="101" t="n">
        <v>10</v>
      </c>
      <c r="H22" s="101" t="n">
        <v>15</v>
      </c>
      <c r="I22" s="81" t="n"/>
      <c r="J22" s="102">
        <f>IF(OR(D22="",ProjStart=""),"",MAX(ProjStart,IF(I22&lt;&gt;"",I22,0),IF(H22="",0,IFERROR(INDEX($L$6:L21,MATCH(H22,$B$6:B21,0))+1,0))))</f>
        <v/>
      </c>
      <c r="K22" s="101" t="n"/>
      <c r="L22" s="102">
        <f>IF(J22="","",J22+MAX(1,G22)+IF(K22="",0,K22)-1)</f>
        <v/>
      </c>
      <c r="M22" s="65" t="inlineStr">
        <is>
          <t>Not started</t>
        </is>
      </c>
      <c r="N22" s="81" t="n"/>
      <c r="O22" s="103">
        <f>IF(D22="","",COUNTIF($H$7:$H$156,B22))</f>
        <v/>
      </c>
      <c r="P22" s="72">
        <f>IF(D22="","",IF(AND(H22&lt;&gt;"",H22&gt;=B22),"⚠️ Predecessor must be above",IF(M22="Done","✓ Done",IF(Q22=3,"🔴 Late",IF(M22="In progress","In progress","")))))</f>
        <v/>
      </c>
      <c r="Q22" s="63">
        <f>IF(OR(D22="",L22=""),"",IF(M22="Done",2,IF(AsOf&gt;L22,3,1)))</f>
        <v/>
      </c>
      <c r="R22" s="63">
        <f>IF(OR(E22="",F22=""),0,IF(COUNTIFS($E$7:E22,E22,$F$7:F22,F22)=1,1,0))</f>
        <v/>
      </c>
      <c r="S22" s="63">
        <f>IF(R22=1,E22&amp;"|"&amp;SUMIFS($R$7:R22,$E$7:E22,E22),"")</f>
        <v/>
      </c>
      <c r="T22" s="85">
        <f>IF(Q22="","",IF(Q22=3,L22,IF(OR(M22="Not started",M22=""),J22,"")))</f>
        <v/>
      </c>
      <c r="U22" s="63">
        <f>IF(T22="","",IF(Q22=3,1,IF(T22="","",IF(T22&lt;AsOf,1,IF(T22&lt;=AsOf+AlertDays,2,IF(T22&lt;=AsOf+2*AlertDays,3,""))))))</f>
        <v/>
      </c>
      <c r="V22" s="63">
        <f>IF(U22="","",IF(Q22=3,"Late task: "&amp;D22,IF(T22&lt;AsOf,"Should have started: ","Starts soon: ")&amp;D22)&amp;IF(F22="",""," — "&amp;F22))</f>
        <v/>
      </c>
      <c r="X22" s="104" t="n"/>
      <c r="Y22" s="104" t="n"/>
      <c r="Z22" s="104" t="n"/>
      <c r="AA22" s="104" t="n"/>
      <c r="AB22" s="104" t="n"/>
      <c r="AC22" s="104" t="n"/>
      <c r="AD22" s="104" t="n"/>
      <c r="AE22" s="104" t="n"/>
      <c r="AF22" s="104" t="n"/>
      <c r="AG22" s="104" t="n"/>
      <c r="AH22" s="104" t="n"/>
      <c r="AI22" s="104" t="n"/>
      <c r="AJ22" s="104" t="n"/>
      <c r="AK22" s="104" t="n"/>
      <c r="AL22" s="104" t="n"/>
      <c r="AM22" s="104" t="n"/>
      <c r="AN22" s="104" t="n"/>
      <c r="AO22" s="104" t="n"/>
      <c r="AP22" s="104" t="n"/>
      <c r="AQ22" s="104" t="n"/>
      <c r="AR22" s="104" t="n"/>
      <c r="AS22" s="104" t="n"/>
      <c r="AT22" s="104" t="n"/>
      <c r="AU22" s="104" t="n"/>
      <c r="AV22" s="104" t="n"/>
      <c r="AW22" s="104" t="n"/>
      <c r="AX22" s="104" t="n"/>
      <c r="AY22" s="104" t="n"/>
      <c r="AZ22" s="104" t="n"/>
      <c r="BA22" s="104" t="n"/>
      <c r="BB22" s="104" t="n"/>
      <c r="BC22" s="104" t="n"/>
      <c r="BD22" s="104" t="n"/>
      <c r="BE22" s="104" t="n"/>
      <c r="BF22" s="104" t="n"/>
      <c r="BG22" s="104" t="n"/>
      <c r="BH22" s="104" t="n"/>
      <c r="BI22" s="104" t="n"/>
      <c r="BJ22" s="104" t="n"/>
      <c r="BK22" s="104" t="n"/>
      <c r="BL22" s="104" t="n"/>
      <c r="BM22" s="104" t="n"/>
      <c r="BN22" s="104" t="n"/>
      <c r="BO22" s="104" t="n"/>
      <c r="BP22" s="104" t="n"/>
      <c r="BQ22" s="104" t="n"/>
      <c r="BR22" s="104" t="n"/>
      <c r="BS22" s="104" t="n"/>
      <c r="BT22" s="104" t="n"/>
      <c r="BU22" s="104" t="n"/>
      <c r="BV22" s="104" t="n"/>
      <c r="BW22" s="104" t="n"/>
    </row>
    <row r="23" ht="20" customHeight="1">
      <c r="B23" s="100" t="n">
        <v>17</v>
      </c>
      <c r="C23" s="65" t="inlineStr">
        <is>
          <t>Construction</t>
        </is>
      </c>
      <c r="D23" s="65" t="inlineStr">
        <is>
          <t>Painting &amp; decorating</t>
        </is>
      </c>
      <c r="E23" s="65" t="inlineStr">
        <is>
          <t>Whole house</t>
        </is>
      </c>
      <c r="F23" s="65" t="inlineStr">
        <is>
          <t>Finish Line Painters</t>
        </is>
      </c>
      <c r="G23" s="101" t="n">
        <v>12</v>
      </c>
      <c r="H23" s="101" t="n">
        <v>16</v>
      </c>
      <c r="I23" s="81" t="n"/>
      <c r="J23" s="102">
        <f>IF(OR(D23="",ProjStart=""),"",MAX(ProjStart,IF(I23&lt;&gt;"",I23,0),IF(H23="",0,IFERROR(INDEX($L$6:L22,MATCH(H23,$B$6:B22,0))+1,0))))</f>
        <v/>
      </c>
      <c r="K23" s="101" t="n"/>
      <c r="L23" s="102">
        <f>IF(J23="","",J23+MAX(1,G23)+IF(K23="",0,K23)-1)</f>
        <v/>
      </c>
      <c r="M23" s="65" t="inlineStr">
        <is>
          <t>Not started</t>
        </is>
      </c>
      <c r="N23" s="81" t="n"/>
      <c r="O23" s="103">
        <f>IF(D23="","",COUNTIF($H$7:$H$156,B23))</f>
        <v/>
      </c>
      <c r="P23" s="72">
        <f>IF(D23="","",IF(AND(H23&lt;&gt;"",H23&gt;=B23),"⚠️ Predecessor must be above",IF(M23="Done","✓ Done",IF(Q23=3,"🔴 Late",IF(M23="In progress","In progress","")))))</f>
        <v/>
      </c>
      <c r="Q23" s="63">
        <f>IF(OR(D23="",L23=""),"",IF(M23="Done",2,IF(AsOf&gt;L23,3,1)))</f>
        <v/>
      </c>
      <c r="R23" s="63">
        <f>IF(OR(E23="",F23=""),0,IF(COUNTIFS($E$7:E23,E23,$F$7:F23,F23)=1,1,0))</f>
        <v/>
      </c>
      <c r="S23" s="63">
        <f>IF(R23=1,E23&amp;"|"&amp;SUMIFS($R$7:R23,$E$7:E23,E23),"")</f>
        <v/>
      </c>
      <c r="T23" s="85">
        <f>IF(Q23="","",IF(Q23=3,L23,IF(OR(M23="Not started",M23=""),J23,"")))</f>
        <v/>
      </c>
      <c r="U23" s="63">
        <f>IF(T23="","",IF(Q23=3,1,IF(T23="","",IF(T23&lt;AsOf,1,IF(T23&lt;=AsOf+AlertDays,2,IF(T23&lt;=AsOf+2*AlertDays,3,""))))))</f>
        <v/>
      </c>
      <c r="V23" s="63">
        <f>IF(U23="","",IF(Q23=3,"Late task: "&amp;D23,IF(T23&lt;AsOf,"Should have started: ","Starts soon: ")&amp;D23)&amp;IF(F23="",""," — "&amp;F23))</f>
        <v/>
      </c>
      <c r="X23" s="104" t="n"/>
      <c r="Y23" s="104" t="n"/>
      <c r="Z23" s="104" t="n"/>
      <c r="AA23" s="104" t="n"/>
      <c r="AB23" s="104" t="n"/>
      <c r="AC23" s="104" t="n"/>
      <c r="AD23" s="104" t="n"/>
      <c r="AE23" s="104" t="n"/>
      <c r="AF23" s="104" t="n"/>
      <c r="AG23" s="104" t="n"/>
      <c r="AH23" s="104" t="n"/>
      <c r="AI23" s="104" t="n"/>
      <c r="AJ23" s="104" t="n"/>
      <c r="AK23" s="104" t="n"/>
      <c r="AL23" s="104" t="n"/>
      <c r="AM23" s="104" t="n"/>
      <c r="AN23" s="104" t="n"/>
      <c r="AO23" s="104" t="n"/>
      <c r="AP23" s="104" t="n"/>
      <c r="AQ23" s="104" t="n"/>
      <c r="AR23" s="104" t="n"/>
      <c r="AS23" s="104" t="n"/>
      <c r="AT23" s="104" t="n"/>
      <c r="AU23" s="104" t="n"/>
      <c r="AV23" s="104" t="n"/>
      <c r="AW23" s="104" t="n"/>
      <c r="AX23" s="104" t="n"/>
      <c r="AY23" s="104" t="n"/>
      <c r="AZ23" s="104" t="n"/>
      <c r="BA23" s="104" t="n"/>
      <c r="BB23" s="104" t="n"/>
      <c r="BC23" s="104" t="n"/>
      <c r="BD23" s="104" t="n"/>
      <c r="BE23" s="104" t="n"/>
      <c r="BF23" s="104" t="n"/>
      <c r="BG23" s="104" t="n"/>
      <c r="BH23" s="104" t="n"/>
      <c r="BI23" s="104" t="n"/>
      <c r="BJ23" s="104" t="n"/>
      <c r="BK23" s="104" t="n"/>
      <c r="BL23" s="104" t="n"/>
      <c r="BM23" s="104" t="n"/>
      <c r="BN23" s="104" t="n"/>
      <c r="BO23" s="104" t="n"/>
      <c r="BP23" s="104" t="n"/>
      <c r="BQ23" s="104" t="n"/>
      <c r="BR23" s="104" t="n"/>
      <c r="BS23" s="104" t="n"/>
      <c r="BT23" s="104" t="n"/>
      <c r="BU23" s="104" t="n"/>
      <c r="BV23" s="104" t="n"/>
      <c r="BW23" s="104" t="n"/>
    </row>
    <row r="24" ht="20" customHeight="1">
      <c r="B24" s="100" t="n">
        <v>18</v>
      </c>
      <c r="C24" s="65" t="inlineStr">
        <is>
          <t>Construction</t>
        </is>
      </c>
      <c r="D24" s="65" t="inlineStr">
        <is>
          <t>Landscaping</t>
        </is>
      </c>
      <c r="E24" s="65" t="inlineStr">
        <is>
          <t>Exterior</t>
        </is>
      </c>
      <c r="F24" s="65" t="n"/>
      <c r="G24" s="101" t="n">
        <v>10</v>
      </c>
      <c r="H24" s="101" t="n">
        <v>7</v>
      </c>
      <c r="I24" s="81" t="n">
        <v>46223</v>
      </c>
      <c r="J24" s="102">
        <f>IF(OR(D24="",ProjStart=""),"",MAX(ProjStart,IF(I24&lt;&gt;"",I24,0),IF(H24="",0,IFERROR(INDEX($L$6:L23,MATCH(H24,$B$6:B23,0))+1,0))))</f>
        <v/>
      </c>
      <c r="K24" s="101" t="n"/>
      <c r="L24" s="102">
        <f>IF(J24="","",J24+MAX(1,G24)+IF(K24="",0,K24)-1)</f>
        <v/>
      </c>
      <c r="M24" s="65" t="inlineStr">
        <is>
          <t>Not started</t>
        </is>
      </c>
      <c r="N24" s="81" t="n"/>
      <c r="O24" s="103">
        <f>IF(D24="","",COUNTIF($H$7:$H$156,B24))</f>
        <v/>
      </c>
      <c r="P24" s="72">
        <f>IF(D24="","",IF(AND(H24&lt;&gt;"",H24&gt;=B24),"⚠️ Predecessor must be above",IF(M24="Done","✓ Done",IF(Q24=3,"🔴 Late",IF(M24="In progress","In progress","")))))</f>
        <v/>
      </c>
      <c r="Q24" s="63">
        <f>IF(OR(D24="",L24=""),"",IF(M24="Done",2,IF(AsOf&gt;L24,3,1)))</f>
        <v/>
      </c>
      <c r="R24" s="63">
        <f>IF(OR(E24="",F24=""),0,IF(COUNTIFS($E$7:E24,E24,$F$7:F24,F24)=1,1,0))</f>
        <v/>
      </c>
      <c r="S24" s="63">
        <f>IF(R24=1,E24&amp;"|"&amp;SUMIFS($R$7:R24,$E$7:E24,E24),"")</f>
        <v/>
      </c>
      <c r="T24" s="85">
        <f>IF(Q24="","",IF(Q24=3,L24,IF(OR(M24="Not started",M24=""),J24,"")))</f>
        <v/>
      </c>
      <c r="U24" s="63">
        <f>IF(T24="","",IF(Q24=3,1,IF(T24="","",IF(T24&lt;AsOf,1,IF(T24&lt;=AsOf+AlertDays,2,IF(T24&lt;=AsOf+2*AlertDays,3,""))))))</f>
        <v/>
      </c>
      <c r="V24" s="63">
        <f>IF(U24="","",IF(Q24=3,"Late task: "&amp;D24,IF(T24&lt;AsOf,"Should have started: ","Starts soon: ")&amp;D24)&amp;IF(F24="",""," — "&amp;F24))</f>
        <v/>
      </c>
      <c r="X24" s="104" t="n"/>
      <c r="Y24" s="104" t="n"/>
      <c r="Z24" s="104" t="n"/>
      <c r="AA24" s="104" t="n"/>
      <c r="AB24" s="104" t="n"/>
      <c r="AC24" s="104" t="n"/>
      <c r="AD24" s="104" t="n"/>
      <c r="AE24" s="104" t="n"/>
      <c r="AF24" s="104" t="n"/>
      <c r="AG24" s="104" t="n"/>
      <c r="AH24" s="104" t="n"/>
      <c r="AI24" s="104" t="n"/>
      <c r="AJ24" s="104" t="n"/>
      <c r="AK24" s="104" t="n"/>
      <c r="AL24" s="104" t="n"/>
      <c r="AM24" s="104" t="n"/>
      <c r="AN24" s="104" t="n"/>
      <c r="AO24" s="104" t="n"/>
      <c r="AP24" s="104" t="n"/>
      <c r="AQ24" s="104" t="n"/>
      <c r="AR24" s="104" t="n"/>
      <c r="AS24" s="104" t="n"/>
      <c r="AT24" s="104" t="n"/>
      <c r="AU24" s="104" t="n"/>
      <c r="AV24" s="104" t="n"/>
      <c r="AW24" s="104" t="n"/>
      <c r="AX24" s="104" t="n"/>
      <c r="AY24" s="104" t="n"/>
      <c r="AZ24" s="104" t="n"/>
      <c r="BA24" s="104" t="n"/>
      <c r="BB24" s="104" t="n"/>
      <c r="BC24" s="104" t="n"/>
      <c r="BD24" s="104" t="n"/>
      <c r="BE24" s="104" t="n"/>
      <c r="BF24" s="104" t="n"/>
      <c r="BG24" s="104" t="n"/>
      <c r="BH24" s="104" t="n"/>
      <c r="BI24" s="104" t="n"/>
      <c r="BJ24" s="104" t="n"/>
      <c r="BK24" s="104" t="n"/>
      <c r="BL24" s="104" t="n"/>
      <c r="BM24" s="104" t="n"/>
      <c r="BN24" s="104" t="n"/>
      <c r="BO24" s="104" t="n"/>
      <c r="BP24" s="104" t="n"/>
      <c r="BQ24" s="104" t="n"/>
      <c r="BR24" s="104" t="n"/>
      <c r="BS24" s="104" t="n"/>
      <c r="BT24" s="104" t="n"/>
      <c r="BU24" s="104" t="n"/>
      <c r="BV24" s="104" t="n"/>
      <c r="BW24" s="104" t="n"/>
    </row>
    <row r="25" ht="20" customHeight="1">
      <c r="B25" s="100" t="n">
        <v>19</v>
      </c>
      <c r="C25" s="65" t="inlineStr">
        <is>
          <t>Final</t>
        </is>
      </c>
      <c r="D25" s="65" t="inlineStr">
        <is>
          <t>Final electrical &amp; plumbing fixes</t>
        </is>
      </c>
      <c r="E25" s="65" t="inlineStr">
        <is>
          <t>Whole house</t>
        </is>
      </c>
      <c r="F25" s="65" t="inlineStr">
        <is>
          <t>Bright Spark Electric</t>
        </is>
      </c>
      <c r="G25" s="101" t="n">
        <v>5</v>
      </c>
      <c r="H25" s="101" t="n">
        <v>17</v>
      </c>
      <c r="I25" s="81" t="n"/>
      <c r="J25" s="102">
        <f>IF(OR(D25="",ProjStart=""),"",MAX(ProjStart,IF(I25&lt;&gt;"",I25,0),IF(H25="",0,IFERROR(INDEX($L$6:L24,MATCH(H25,$B$6:B24,0))+1,0))))</f>
        <v/>
      </c>
      <c r="K25" s="101" t="n"/>
      <c r="L25" s="102">
        <f>IF(J25="","",J25+MAX(1,G25)+IF(K25="",0,K25)-1)</f>
        <v/>
      </c>
      <c r="M25" s="65" t="inlineStr">
        <is>
          <t>Not started</t>
        </is>
      </c>
      <c r="N25" s="81" t="n"/>
      <c r="O25" s="103">
        <f>IF(D25="","",COUNTIF($H$7:$H$156,B25))</f>
        <v/>
      </c>
      <c r="P25" s="72">
        <f>IF(D25="","",IF(AND(H25&lt;&gt;"",H25&gt;=B25),"⚠️ Predecessor must be above",IF(M25="Done","✓ Done",IF(Q25=3,"🔴 Late",IF(M25="In progress","In progress","")))))</f>
        <v/>
      </c>
      <c r="Q25" s="63">
        <f>IF(OR(D25="",L25=""),"",IF(M25="Done",2,IF(AsOf&gt;L25,3,1)))</f>
        <v/>
      </c>
      <c r="R25" s="63">
        <f>IF(OR(E25="",F25=""),0,IF(COUNTIFS($E$7:E25,E25,$F$7:F25,F25)=1,1,0))</f>
        <v/>
      </c>
      <c r="S25" s="63">
        <f>IF(R25=1,E25&amp;"|"&amp;SUMIFS($R$7:R25,$E$7:E25,E25),"")</f>
        <v/>
      </c>
      <c r="T25" s="85">
        <f>IF(Q25="","",IF(Q25=3,L25,IF(OR(M25="Not started",M25=""),J25,"")))</f>
        <v/>
      </c>
      <c r="U25" s="63">
        <f>IF(T25="","",IF(Q25=3,1,IF(T25="","",IF(T25&lt;AsOf,1,IF(T25&lt;=AsOf+AlertDays,2,IF(T25&lt;=AsOf+2*AlertDays,3,""))))))</f>
        <v/>
      </c>
      <c r="V25" s="63">
        <f>IF(U25="","",IF(Q25=3,"Late task: "&amp;D25,IF(T25&lt;AsOf,"Should have started: ","Starts soon: ")&amp;D25)&amp;IF(F25="",""," — "&amp;F25))</f>
        <v/>
      </c>
      <c r="X25" s="104" t="n"/>
      <c r="Y25" s="104" t="n"/>
      <c r="Z25" s="104" t="n"/>
      <c r="AA25" s="104" t="n"/>
      <c r="AB25" s="104" t="n"/>
      <c r="AC25" s="104" t="n"/>
      <c r="AD25" s="104" t="n"/>
      <c r="AE25" s="104" t="n"/>
      <c r="AF25" s="104" t="n"/>
      <c r="AG25" s="104" t="n"/>
      <c r="AH25" s="104" t="n"/>
      <c r="AI25" s="104" t="n"/>
      <c r="AJ25" s="104" t="n"/>
      <c r="AK25" s="104" t="n"/>
      <c r="AL25" s="104" t="n"/>
      <c r="AM25" s="104" t="n"/>
      <c r="AN25" s="104" t="n"/>
      <c r="AO25" s="104" t="n"/>
      <c r="AP25" s="104" t="n"/>
      <c r="AQ25" s="104" t="n"/>
      <c r="AR25" s="104" t="n"/>
      <c r="AS25" s="104" t="n"/>
      <c r="AT25" s="104" t="n"/>
      <c r="AU25" s="104" t="n"/>
      <c r="AV25" s="104" t="n"/>
      <c r="AW25" s="104" t="n"/>
      <c r="AX25" s="104" t="n"/>
      <c r="AY25" s="104" t="n"/>
      <c r="AZ25" s="104" t="n"/>
      <c r="BA25" s="104" t="n"/>
      <c r="BB25" s="104" t="n"/>
      <c r="BC25" s="104" t="n"/>
      <c r="BD25" s="104" t="n"/>
      <c r="BE25" s="104" t="n"/>
      <c r="BF25" s="104" t="n"/>
      <c r="BG25" s="104" t="n"/>
      <c r="BH25" s="104" t="n"/>
      <c r="BI25" s="104" t="n"/>
      <c r="BJ25" s="104" t="n"/>
      <c r="BK25" s="104" t="n"/>
      <c r="BL25" s="104" t="n"/>
      <c r="BM25" s="104" t="n"/>
      <c r="BN25" s="104" t="n"/>
      <c r="BO25" s="104" t="n"/>
      <c r="BP25" s="104" t="n"/>
      <c r="BQ25" s="104" t="n"/>
      <c r="BR25" s="104" t="n"/>
      <c r="BS25" s="104" t="n"/>
      <c r="BT25" s="104" t="n"/>
      <c r="BU25" s="104" t="n"/>
      <c r="BV25" s="104" t="n"/>
      <c r="BW25" s="104" t="n"/>
    </row>
    <row r="26" ht="20" customHeight="1">
      <c r="B26" s="100" t="n">
        <v>20</v>
      </c>
      <c r="C26" s="65" t="inlineStr">
        <is>
          <t>Final</t>
        </is>
      </c>
      <c r="D26" s="65" t="inlineStr">
        <is>
          <t>Final inspection</t>
        </is>
      </c>
      <c r="E26" s="65" t="inlineStr">
        <is>
          <t>Whole house</t>
        </is>
      </c>
      <c r="F26" s="65" t="n"/>
      <c r="G26" s="101" t="n">
        <v>2</v>
      </c>
      <c r="H26" s="101" t="n">
        <v>19</v>
      </c>
      <c r="I26" s="81" t="n"/>
      <c r="J26" s="102">
        <f>IF(OR(D26="",ProjStart=""),"",MAX(ProjStart,IF(I26&lt;&gt;"",I26,0),IF(H26="",0,IFERROR(INDEX($L$6:L25,MATCH(H26,$B$6:B25,0))+1,0))))</f>
        <v/>
      </c>
      <c r="K26" s="101" t="n"/>
      <c r="L26" s="102">
        <f>IF(J26="","",J26+MAX(1,G26)+IF(K26="",0,K26)-1)</f>
        <v/>
      </c>
      <c r="M26" s="65" t="inlineStr">
        <is>
          <t>Not started</t>
        </is>
      </c>
      <c r="N26" s="81" t="n"/>
      <c r="O26" s="103">
        <f>IF(D26="","",COUNTIF($H$7:$H$156,B26))</f>
        <v/>
      </c>
      <c r="P26" s="72">
        <f>IF(D26="","",IF(AND(H26&lt;&gt;"",H26&gt;=B26),"⚠️ Predecessor must be above",IF(M26="Done","✓ Done",IF(Q26=3,"🔴 Late",IF(M26="In progress","In progress","")))))</f>
        <v/>
      </c>
      <c r="Q26" s="63">
        <f>IF(OR(D26="",L26=""),"",IF(M26="Done",2,IF(AsOf&gt;L26,3,1)))</f>
        <v/>
      </c>
      <c r="R26" s="63">
        <f>IF(OR(E26="",F26=""),0,IF(COUNTIFS($E$7:E26,E26,$F$7:F26,F26)=1,1,0))</f>
        <v/>
      </c>
      <c r="S26" s="63">
        <f>IF(R26=1,E26&amp;"|"&amp;SUMIFS($R$7:R26,$E$7:E26,E26),"")</f>
        <v/>
      </c>
      <c r="T26" s="85">
        <f>IF(Q26="","",IF(Q26=3,L26,IF(OR(M26="Not started",M26=""),J26,"")))</f>
        <v/>
      </c>
      <c r="U26" s="63">
        <f>IF(T26="","",IF(Q26=3,1,IF(T26="","",IF(T26&lt;AsOf,1,IF(T26&lt;=AsOf+AlertDays,2,IF(T26&lt;=AsOf+2*AlertDays,3,""))))))</f>
        <v/>
      </c>
      <c r="V26" s="63">
        <f>IF(U26="","",IF(Q26=3,"Late task: "&amp;D26,IF(T26&lt;AsOf,"Should have started: ","Starts soon: ")&amp;D26)&amp;IF(F26="",""," — "&amp;F26))</f>
        <v/>
      </c>
      <c r="X26" s="104" t="n"/>
      <c r="Y26" s="104" t="n"/>
      <c r="Z26" s="104" t="n"/>
      <c r="AA26" s="104" t="n"/>
      <c r="AB26" s="104" t="n"/>
      <c r="AC26" s="104" t="n"/>
      <c r="AD26" s="104" t="n"/>
      <c r="AE26" s="104" t="n"/>
      <c r="AF26" s="104" t="n"/>
      <c r="AG26" s="104" t="n"/>
      <c r="AH26" s="104" t="n"/>
      <c r="AI26" s="104" t="n"/>
      <c r="AJ26" s="104" t="n"/>
      <c r="AK26" s="104" t="n"/>
      <c r="AL26" s="104" t="n"/>
      <c r="AM26" s="104" t="n"/>
      <c r="AN26" s="104" t="n"/>
      <c r="AO26" s="104" t="n"/>
      <c r="AP26" s="104" t="n"/>
      <c r="AQ26" s="104" t="n"/>
      <c r="AR26" s="104" t="n"/>
      <c r="AS26" s="104" t="n"/>
      <c r="AT26" s="104" t="n"/>
      <c r="AU26" s="104" t="n"/>
      <c r="AV26" s="104" t="n"/>
      <c r="AW26" s="104" t="n"/>
      <c r="AX26" s="104" t="n"/>
      <c r="AY26" s="104" t="n"/>
      <c r="AZ26" s="104" t="n"/>
      <c r="BA26" s="104" t="n"/>
      <c r="BB26" s="104" t="n"/>
      <c r="BC26" s="104" t="n"/>
      <c r="BD26" s="104" t="n"/>
      <c r="BE26" s="104" t="n"/>
      <c r="BF26" s="104" t="n"/>
      <c r="BG26" s="104" t="n"/>
      <c r="BH26" s="104" t="n"/>
      <c r="BI26" s="104" t="n"/>
      <c r="BJ26" s="104" t="n"/>
      <c r="BK26" s="104" t="n"/>
      <c r="BL26" s="104" t="n"/>
      <c r="BM26" s="104" t="n"/>
      <c r="BN26" s="104" t="n"/>
      <c r="BO26" s="104" t="n"/>
      <c r="BP26" s="104" t="n"/>
      <c r="BQ26" s="104" t="n"/>
      <c r="BR26" s="104" t="n"/>
      <c r="BS26" s="104" t="n"/>
      <c r="BT26" s="104" t="n"/>
      <c r="BU26" s="104" t="n"/>
      <c r="BV26" s="104" t="n"/>
      <c r="BW26" s="104" t="n"/>
    </row>
    <row r="27" ht="20" customHeight="1">
      <c r="B27" s="100" t="n">
        <v>21</v>
      </c>
      <c r="C27" s="65" t="inlineStr">
        <is>
          <t>Final</t>
        </is>
      </c>
      <c r="D27" s="65" t="inlineStr">
        <is>
          <t>Punch list</t>
        </is>
      </c>
      <c r="E27" s="65" t="inlineStr">
        <is>
          <t>Whole house</t>
        </is>
      </c>
      <c r="F27" s="65" t="n"/>
      <c r="G27" s="101" t="n">
        <v>10</v>
      </c>
      <c r="H27" s="101" t="n">
        <v>20</v>
      </c>
      <c r="I27" s="81" t="n"/>
      <c r="J27" s="102">
        <f>IF(OR(D27="",ProjStart=""),"",MAX(ProjStart,IF(I27&lt;&gt;"",I27,0),IF(H27="",0,IFERROR(INDEX($L$6:L26,MATCH(H27,$B$6:B26,0))+1,0))))</f>
        <v/>
      </c>
      <c r="K27" s="101" t="n"/>
      <c r="L27" s="102">
        <f>IF(J27="","",J27+MAX(1,G27)+IF(K27="",0,K27)-1)</f>
        <v/>
      </c>
      <c r="M27" s="65" t="inlineStr">
        <is>
          <t>Not started</t>
        </is>
      </c>
      <c r="N27" s="81" t="n"/>
      <c r="O27" s="103">
        <f>IF(D27="","",COUNTIF($H$7:$H$156,B27))</f>
        <v/>
      </c>
      <c r="P27" s="72">
        <f>IF(D27="","",IF(AND(H27&lt;&gt;"",H27&gt;=B27),"⚠️ Predecessor must be above",IF(M27="Done","✓ Done",IF(Q27=3,"🔴 Late",IF(M27="In progress","In progress","")))))</f>
        <v/>
      </c>
      <c r="Q27" s="63">
        <f>IF(OR(D27="",L27=""),"",IF(M27="Done",2,IF(AsOf&gt;L27,3,1)))</f>
        <v/>
      </c>
      <c r="R27" s="63">
        <f>IF(OR(E27="",F27=""),0,IF(COUNTIFS($E$7:E27,E27,$F$7:F27,F27)=1,1,0))</f>
        <v/>
      </c>
      <c r="S27" s="63">
        <f>IF(R27=1,E27&amp;"|"&amp;SUMIFS($R$7:R27,$E$7:E27,E27),"")</f>
        <v/>
      </c>
      <c r="T27" s="85">
        <f>IF(Q27="","",IF(Q27=3,L27,IF(OR(M27="Not started",M27=""),J27,"")))</f>
        <v/>
      </c>
      <c r="U27" s="63">
        <f>IF(T27="","",IF(Q27=3,1,IF(T27="","",IF(T27&lt;AsOf,1,IF(T27&lt;=AsOf+AlertDays,2,IF(T27&lt;=AsOf+2*AlertDays,3,""))))))</f>
        <v/>
      </c>
      <c r="V27" s="63">
        <f>IF(U27="","",IF(Q27=3,"Late task: "&amp;D27,IF(T27&lt;AsOf,"Should have started: ","Starts soon: ")&amp;D27)&amp;IF(F27="",""," — "&amp;F27))</f>
        <v/>
      </c>
      <c r="X27" s="104" t="n"/>
      <c r="Y27" s="104" t="n"/>
      <c r="Z27" s="104" t="n"/>
      <c r="AA27" s="104" t="n"/>
      <c r="AB27" s="104" t="n"/>
      <c r="AC27" s="104" t="n"/>
      <c r="AD27" s="104" t="n"/>
      <c r="AE27" s="104" t="n"/>
      <c r="AF27" s="104" t="n"/>
      <c r="AG27" s="104" t="n"/>
      <c r="AH27" s="104" t="n"/>
      <c r="AI27" s="104" t="n"/>
      <c r="AJ27" s="104" t="n"/>
      <c r="AK27" s="104" t="n"/>
      <c r="AL27" s="104" t="n"/>
      <c r="AM27" s="104" t="n"/>
      <c r="AN27" s="104" t="n"/>
      <c r="AO27" s="104" t="n"/>
      <c r="AP27" s="104" t="n"/>
      <c r="AQ27" s="104" t="n"/>
      <c r="AR27" s="104" t="n"/>
      <c r="AS27" s="104" t="n"/>
      <c r="AT27" s="104" t="n"/>
      <c r="AU27" s="104" t="n"/>
      <c r="AV27" s="104" t="n"/>
      <c r="AW27" s="104" t="n"/>
      <c r="AX27" s="104" t="n"/>
      <c r="AY27" s="104" t="n"/>
      <c r="AZ27" s="104" t="n"/>
      <c r="BA27" s="104" t="n"/>
      <c r="BB27" s="104" t="n"/>
      <c r="BC27" s="104" t="n"/>
      <c r="BD27" s="104" t="n"/>
      <c r="BE27" s="104" t="n"/>
      <c r="BF27" s="104" t="n"/>
      <c r="BG27" s="104" t="n"/>
      <c r="BH27" s="104" t="n"/>
      <c r="BI27" s="104" t="n"/>
      <c r="BJ27" s="104" t="n"/>
      <c r="BK27" s="104" t="n"/>
      <c r="BL27" s="104" t="n"/>
      <c r="BM27" s="104" t="n"/>
      <c r="BN27" s="104" t="n"/>
      <c r="BO27" s="104" t="n"/>
      <c r="BP27" s="104" t="n"/>
      <c r="BQ27" s="104" t="n"/>
      <c r="BR27" s="104" t="n"/>
      <c r="BS27" s="104" t="n"/>
      <c r="BT27" s="104" t="n"/>
      <c r="BU27" s="104" t="n"/>
      <c r="BV27" s="104" t="n"/>
      <c r="BW27" s="104" t="n"/>
    </row>
    <row r="28" ht="20" customHeight="1">
      <c r="B28" s="100" t="n">
        <v>22</v>
      </c>
      <c r="C28" s="65" t="inlineStr">
        <is>
          <t>Final</t>
        </is>
      </c>
      <c r="D28" s="65" t="inlineStr">
        <is>
          <t>Cleaning</t>
        </is>
      </c>
      <c r="E28" s="65" t="inlineStr">
        <is>
          <t>Whole house</t>
        </is>
      </c>
      <c r="F28" s="65" t="n"/>
      <c r="G28" s="101" t="n">
        <v>3</v>
      </c>
      <c r="H28" s="101" t="n">
        <v>21</v>
      </c>
      <c r="I28" s="81" t="n"/>
      <c r="J28" s="102">
        <f>IF(OR(D28="",ProjStart=""),"",MAX(ProjStart,IF(I28&lt;&gt;"",I28,0),IF(H28="",0,IFERROR(INDEX($L$6:L27,MATCH(H28,$B$6:B27,0))+1,0))))</f>
        <v/>
      </c>
      <c r="K28" s="101" t="n"/>
      <c r="L28" s="102">
        <f>IF(J28="","",J28+MAX(1,G28)+IF(K28="",0,K28)-1)</f>
        <v/>
      </c>
      <c r="M28" s="65" t="inlineStr">
        <is>
          <t>Not started</t>
        </is>
      </c>
      <c r="N28" s="81" t="n"/>
      <c r="O28" s="103">
        <f>IF(D28="","",COUNTIF($H$7:$H$156,B28))</f>
        <v/>
      </c>
      <c r="P28" s="72">
        <f>IF(D28="","",IF(AND(H28&lt;&gt;"",H28&gt;=B28),"⚠️ Predecessor must be above",IF(M28="Done","✓ Done",IF(Q28=3,"🔴 Late",IF(M28="In progress","In progress","")))))</f>
        <v/>
      </c>
      <c r="Q28" s="63">
        <f>IF(OR(D28="",L28=""),"",IF(M28="Done",2,IF(AsOf&gt;L28,3,1)))</f>
        <v/>
      </c>
      <c r="R28" s="63">
        <f>IF(OR(E28="",F28=""),0,IF(COUNTIFS($E$7:E28,E28,$F$7:F28,F28)=1,1,0))</f>
        <v/>
      </c>
      <c r="S28" s="63">
        <f>IF(R28=1,E28&amp;"|"&amp;SUMIFS($R$7:R28,$E$7:E28,E28),"")</f>
        <v/>
      </c>
      <c r="T28" s="85">
        <f>IF(Q28="","",IF(Q28=3,L28,IF(OR(M28="Not started",M28=""),J28,"")))</f>
        <v/>
      </c>
      <c r="U28" s="63">
        <f>IF(T28="","",IF(Q28=3,1,IF(T28="","",IF(T28&lt;AsOf,1,IF(T28&lt;=AsOf+AlertDays,2,IF(T28&lt;=AsOf+2*AlertDays,3,""))))))</f>
        <v/>
      </c>
      <c r="V28" s="63">
        <f>IF(U28="","",IF(Q28=3,"Late task: "&amp;D28,IF(T28&lt;AsOf,"Should have started: ","Starts soon: ")&amp;D28)&amp;IF(F28="",""," — "&amp;F28))</f>
        <v/>
      </c>
      <c r="X28" s="104" t="n"/>
      <c r="Y28" s="104" t="n"/>
      <c r="Z28" s="104" t="n"/>
      <c r="AA28" s="104" t="n"/>
      <c r="AB28" s="104" t="n"/>
      <c r="AC28" s="104" t="n"/>
      <c r="AD28" s="104" t="n"/>
      <c r="AE28" s="104" t="n"/>
      <c r="AF28" s="104" t="n"/>
      <c r="AG28" s="104" t="n"/>
      <c r="AH28" s="104" t="n"/>
      <c r="AI28" s="104" t="n"/>
      <c r="AJ28" s="104" t="n"/>
      <c r="AK28" s="104" t="n"/>
      <c r="AL28" s="104" t="n"/>
      <c r="AM28" s="104" t="n"/>
      <c r="AN28" s="104" t="n"/>
      <c r="AO28" s="104" t="n"/>
      <c r="AP28" s="104" t="n"/>
      <c r="AQ28" s="104" t="n"/>
      <c r="AR28" s="104" t="n"/>
      <c r="AS28" s="104" t="n"/>
      <c r="AT28" s="104" t="n"/>
      <c r="AU28" s="104" t="n"/>
      <c r="AV28" s="104" t="n"/>
      <c r="AW28" s="104" t="n"/>
      <c r="AX28" s="104" t="n"/>
      <c r="AY28" s="104" t="n"/>
      <c r="AZ28" s="104" t="n"/>
      <c r="BA28" s="104" t="n"/>
      <c r="BB28" s="104" t="n"/>
      <c r="BC28" s="104" t="n"/>
      <c r="BD28" s="104" t="n"/>
      <c r="BE28" s="104" t="n"/>
      <c r="BF28" s="104" t="n"/>
      <c r="BG28" s="104" t="n"/>
      <c r="BH28" s="104" t="n"/>
      <c r="BI28" s="104" t="n"/>
      <c r="BJ28" s="104" t="n"/>
      <c r="BK28" s="104" t="n"/>
      <c r="BL28" s="104" t="n"/>
      <c r="BM28" s="104" t="n"/>
      <c r="BN28" s="104" t="n"/>
      <c r="BO28" s="104" t="n"/>
      <c r="BP28" s="104" t="n"/>
      <c r="BQ28" s="104" t="n"/>
      <c r="BR28" s="104" t="n"/>
      <c r="BS28" s="104" t="n"/>
      <c r="BT28" s="104" t="n"/>
      <c r="BU28" s="104" t="n"/>
      <c r="BV28" s="104" t="n"/>
      <c r="BW28" s="104" t="n"/>
    </row>
    <row r="29" ht="20" customHeight="1">
      <c r="B29" s="100" t="n">
        <v>23</v>
      </c>
      <c r="C29" s="65" t="inlineStr">
        <is>
          <t>Final</t>
        </is>
      </c>
      <c r="D29" s="65" t="inlineStr">
        <is>
          <t>Furniture &amp; move-in</t>
        </is>
      </c>
      <c r="E29" s="65" t="inlineStr">
        <is>
          <t>Whole house</t>
        </is>
      </c>
      <c r="F29" s="65" t="n"/>
      <c r="G29" s="101" t="n">
        <v>5</v>
      </c>
      <c r="H29" s="101" t="n">
        <v>22</v>
      </c>
      <c r="I29" s="81" t="n"/>
      <c r="J29" s="102">
        <f>IF(OR(D29="",ProjStart=""),"",MAX(ProjStart,IF(I29&lt;&gt;"",I29,0),IF(H29="",0,IFERROR(INDEX($L$6:L28,MATCH(H29,$B$6:B28,0))+1,0))))</f>
        <v/>
      </c>
      <c r="K29" s="101" t="n"/>
      <c r="L29" s="102">
        <f>IF(J29="","",J29+MAX(1,G29)+IF(K29="",0,K29)-1)</f>
        <v/>
      </c>
      <c r="M29" s="65" t="inlineStr">
        <is>
          <t>Not started</t>
        </is>
      </c>
      <c r="N29" s="81" t="n"/>
      <c r="O29" s="103">
        <f>IF(D29="","",COUNTIF($H$7:$H$156,B29))</f>
        <v/>
      </c>
      <c r="P29" s="72">
        <f>IF(D29="","",IF(AND(H29&lt;&gt;"",H29&gt;=B29),"⚠️ Predecessor must be above",IF(M29="Done","✓ Done",IF(Q29=3,"🔴 Late",IF(M29="In progress","In progress","")))))</f>
        <v/>
      </c>
      <c r="Q29" s="63">
        <f>IF(OR(D29="",L29=""),"",IF(M29="Done",2,IF(AsOf&gt;L29,3,1)))</f>
        <v/>
      </c>
      <c r="R29" s="63">
        <f>IF(OR(E29="",F29=""),0,IF(COUNTIFS($E$7:E29,E29,$F$7:F29,F29)=1,1,0))</f>
        <v/>
      </c>
      <c r="S29" s="63">
        <f>IF(R29=1,E29&amp;"|"&amp;SUMIFS($R$7:R29,$E$7:E29,E29),"")</f>
        <v/>
      </c>
      <c r="T29" s="85">
        <f>IF(Q29="","",IF(Q29=3,L29,IF(OR(M29="Not started",M29=""),J29,"")))</f>
        <v/>
      </c>
      <c r="U29" s="63">
        <f>IF(T29="","",IF(Q29=3,1,IF(T29="","",IF(T29&lt;AsOf,1,IF(T29&lt;=AsOf+AlertDays,2,IF(T29&lt;=AsOf+2*AlertDays,3,""))))))</f>
        <v/>
      </c>
      <c r="V29" s="63">
        <f>IF(U29="","",IF(Q29=3,"Late task: "&amp;D29,IF(T29&lt;AsOf,"Should have started: ","Starts soon: ")&amp;D29)&amp;IF(F29="",""," — "&amp;F29))</f>
        <v/>
      </c>
      <c r="X29" s="104" t="n"/>
      <c r="Y29" s="104" t="n"/>
      <c r="Z29" s="104" t="n"/>
      <c r="AA29" s="104" t="n"/>
      <c r="AB29" s="104" t="n"/>
      <c r="AC29" s="104" t="n"/>
      <c r="AD29" s="104" t="n"/>
      <c r="AE29" s="104" t="n"/>
      <c r="AF29" s="104" t="n"/>
      <c r="AG29" s="104" t="n"/>
      <c r="AH29" s="104" t="n"/>
      <c r="AI29" s="104" t="n"/>
      <c r="AJ29" s="104" t="n"/>
      <c r="AK29" s="104" t="n"/>
      <c r="AL29" s="104" t="n"/>
      <c r="AM29" s="104" t="n"/>
      <c r="AN29" s="104" t="n"/>
      <c r="AO29" s="104" t="n"/>
      <c r="AP29" s="104" t="n"/>
      <c r="AQ29" s="104" t="n"/>
      <c r="AR29" s="104" t="n"/>
      <c r="AS29" s="104" t="n"/>
      <c r="AT29" s="104" t="n"/>
      <c r="AU29" s="104" t="n"/>
      <c r="AV29" s="104" t="n"/>
      <c r="AW29" s="104" t="n"/>
      <c r="AX29" s="104" t="n"/>
      <c r="AY29" s="104" t="n"/>
      <c r="AZ29" s="104" t="n"/>
      <c r="BA29" s="104" t="n"/>
      <c r="BB29" s="104" t="n"/>
      <c r="BC29" s="104" t="n"/>
      <c r="BD29" s="104" t="n"/>
      <c r="BE29" s="104" t="n"/>
      <c r="BF29" s="104" t="n"/>
      <c r="BG29" s="104" t="n"/>
      <c r="BH29" s="104" t="n"/>
      <c r="BI29" s="104" t="n"/>
      <c r="BJ29" s="104" t="n"/>
      <c r="BK29" s="104" t="n"/>
      <c r="BL29" s="104" t="n"/>
      <c r="BM29" s="104" t="n"/>
      <c r="BN29" s="104" t="n"/>
      <c r="BO29" s="104" t="n"/>
      <c r="BP29" s="104" t="n"/>
      <c r="BQ29" s="104" t="n"/>
      <c r="BR29" s="104" t="n"/>
      <c r="BS29" s="104" t="n"/>
      <c r="BT29" s="104" t="n"/>
      <c r="BU29" s="104" t="n"/>
      <c r="BV29" s="104" t="n"/>
      <c r="BW29" s="104" t="n"/>
    </row>
    <row r="30" ht="20" customHeight="1">
      <c r="B30" s="100" t="n">
        <v>24</v>
      </c>
      <c r="C30" s="65" t="n"/>
      <c r="D30" s="65" t="n"/>
      <c r="E30" s="65" t="n"/>
      <c r="F30" s="65" t="n"/>
      <c r="G30" s="101" t="n"/>
      <c r="H30" s="101" t="n"/>
      <c r="I30" s="81" t="n"/>
      <c r="J30" s="102">
        <f>IF(OR(D30="",ProjStart=""),"",MAX(ProjStart,IF(I30&lt;&gt;"",I30,0),IF(H30="",0,IFERROR(INDEX($L$6:L29,MATCH(H30,$B$6:B29,0))+1,0))))</f>
        <v/>
      </c>
      <c r="K30" s="101" t="n"/>
      <c r="L30" s="102">
        <f>IF(J30="","",J30+MAX(1,G30)+IF(K30="",0,K30)-1)</f>
        <v/>
      </c>
      <c r="M30" s="65" t="n"/>
      <c r="N30" s="81" t="n"/>
      <c r="O30" s="103">
        <f>IF(D30="","",COUNTIF($H$7:$H$156,B30))</f>
        <v/>
      </c>
      <c r="P30" s="72">
        <f>IF(D30="","",IF(AND(H30&lt;&gt;"",H30&gt;=B30),"⚠️ Predecessor must be above",IF(M30="Done","✓ Done",IF(Q30=3,"🔴 Late",IF(M30="In progress","In progress","")))))</f>
        <v/>
      </c>
      <c r="Q30" s="63">
        <f>IF(OR(D30="",L30=""),"",IF(M30="Done",2,IF(AsOf&gt;L30,3,1)))</f>
        <v/>
      </c>
      <c r="R30" s="63">
        <f>IF(OR(E30="",F30=""),0,IF(COUNTIFS($E$7:E30,E30,$F$7:F30,F30)=1,1,0))</f>
        <v/>
      </c>
      <c r="S30" s="63">
        <f>IF(R30=1,E30&amp;"|"&amp;SUMIFS($R$7:R30,$E$7:E30,E30),"")</f>
        <v/>
      </c>
      <c r="T30" s="85">
        <f>IF(Q30="","",IF(Q30=3,L30,IF(OR(M30="Not started",M30=""),J30,"")))</f>
        <v/>
      </c>
      <c r="U30" s="63">
        <f>IF(T30="","",IF(Q30=3,1,IF(T30="","",IF(T30&lt;AsOf,1,IF(T30&lt;=AsOf+AlertDays,2,IF(T30&lt;=AsOf+2*AlertDays,3,""))))))</f>
        <v/>
      </c>
      <c r="V30" s="63">
        <f>IF(U30="","",IF(Q30=3,"Late task: "&amp;D30,IF(T30&lt;AsOf,"Should have started: ","Starts soon: ")&amp;D30)&amp;IF(F30="",""," — "&amp;F30))</f>
        <v/>
      </c>
      <c r="X30" s="104" t="n"/>
      <c r="Y30" s="104" t="n"/>
      <c r="Z30" s="104" t="n"/>
      <c r="AA30" s="104" t="n"/>
      <c r="AB30" s="104" t="n"/>
      <c r="AC30" s="104" t="n"/>
      <c r="AD30" s="104" t="n"/>
      <c r="AE30" s="104" t="n"/>
      <c r="AF30" s="104" t="n"/>
      <c r="AG30" s="104" t="n"/>
      <c r="AH30" s="104" t="n"/>
      <c r="AI30" s="104" t="n"/>
      <c r="AJ30" s="104" t="n"/>
      <c r="AK30" s="104" t="n"/>
      <c r="AL30" s="104" t="n"/>
      <c r="AM30" s="104" t="n"/>
      <c r="AN30" s="104" t="n"/>
      <c r="AO30" s="104" t="n"/>
      <c r="AP30" s="104" t="n"/>
      <c r="AQ30" s="104" t="n"/>
      <c r="AR30" s="104" t="n"/>
      <c r="AS30" s="104" t="n"/>
      <c r="AT30" s="104" t="n"/>
      <c r="AU30" s="104" t="n"/>
      <c r="AV30" s="104" t="n"/>
      <c r="AW30" s="104" t="n"/>
      <c r="AX30" s="104" t="n"/>
      <c r="AY30" s="104" t="n"/>
      <c r="AZ30" s="104" t="n"/>
      <c r="BA30" s="104" t="n"/>
      <c r="BB30" s="104" t="n"/>
      <c r="BC30" s="104" t="n"/>
      <c r="BD30" s="104" t="n"/>
      <c r="BE30" s="104" t="n"/>
      <c r="BF30" s="104" t="n"/>
      <c r="BG30" s="104" t="n"/>
      <c r="BH30" s="104" t="n"/>
      <c r="BI30" s="104" t="n"/>
      <c r="BJ30" s="104" t="n"/>
      <c r="BK30" s="104" t="n"/>
      <c r="BL30" s="104" t="n"/>
      <c r="BM30" s="104" t="n"/>
      <c r="BN30" s="104" t="n"/>
      <c r="BO30" s="104" t="n"/>
      <c r="BP30" s="104" t="n"/>
      <c r="BQ30" s="104" t="n"/>
      <c r="BR30" s="104" t="n"/>
      <c r="BS30" s="104" t="n"/>
      <c r="BT30" s="104" t="n"/>
      <c r="BU30" s="104" t="n"/>
      <c r="BV30" s="104" t="n"/>
      <c r="BW30" s="104" t="n"/>
    </row>
    <row r="31" ht="20" customHeight="1">
      <c r="B31" s="100" t="n">
        <v>25</v>
      </c>
      <c r="C31" s="65" t="n"/>
      <c r="D31" s="65" t="n"/>
      <c r="E31" s="65" t="n"/>
      <c r="F31" s="65" t="n"/>
      <c r="G31" s="101" t="n"/>
      <c r="H31" s="101" t="n"/>
      <c r="I31" s="81" t="n"/>
      <c r="J31" s="102">
        <f>IF(OR(D31="",ProjStart=""),"",MAX(ProjStart,IF(I31&lt;&gt;"",I31,0),IF(H31="",0,IFERROR(INDEX($L$6:L30,MATCH(H31,$B$6:B30,0))+1,0))))</f>
        <v/>
      </c>
      <c r="K31" s="101" t="n"/>
      <c r="L31" s="102">
        <f>IF(J31="","",J31+MAX(1,G31)+IF(K31="",0,K31)-1)</f>
        <v/>
      </c>
      <c r="M31" s="65" t="n"/>
      <c r="N31" s="81" t="n"/>
      <c r="O31" s="103">
        <f>IF(D31="","",COUNTIF($H$7:$H$156,B31))</f>
        <v/>
      </c>
      <c r="P31" s="72">
        <f>IF(D31="","",IF(AND(H31&lt;&gt;"",H31&gt;=B31),"⚠️ Predecessor must be above",IF(M31="Done","✓ Done",IF(Q31=3,"🔴 Late",IF(M31="In progress","In progress","")))))</f>
        <v/>
      </c>
      <c r="Q31" s="63">
        <f>IF(OR(D31="",L31=""),"",IF(M31="Done",2,IF(AsOf&gt;L31,3,1)))</f>
        <v/>
      </c>
      <c r="R31" s="63">
        <f>IF(OR(E31="",F31=""),0,IF(COUNTIFS($E$7:E31,E31,$F$7:F31,F31)=1,1,0))</f>
        <v/>
      </c>
      <c r="S31" s="63">
        <f>IF(R31=1,E31&amp;"|"&amp;SUMIFS($R$7:R31,$E$7:E31,E31),"")</f>
        <v/>
      </c>
      <c r="T31" s="85">
        <f>IF(Q31="","",IF(Q31=3,L31,IF(OR(M31="Not started",M31=""),J31,"")))</f>
        <v/>
      </c>
      <c r="U31" s="63">
        <f>IF(T31="","",IF(Q31=3,1,IF(T31="","",IF(T31&lt;AsOf,1,IF(T31&lt;=AsOf+AlertDays,2,IF(T31&lt;=AsOf+2*AlertDays,3,""))))))</f>
        <v/>
      </c>
      <c r="V31" s="63">
        <f>IF(U31="","",IF(Q31=3,"Late task: "&amp;D31,IF(T31&lt;AsOf,"Should have started: ","Starts soon: ")&amp;D31)&amp;IF(F31="",""," — "&amp;F31))</f>
        <v/>
      </c>
      <c r="X31" s="104" t="n"/>
      <c r="Y31" s="104" t="n"/>
      <c r="Z31" s="104" t="n"/>
      <c r="AA31" s="104" t="n"/>
      <c r="AB31" s="104" t="n"/>
      <c r="AC31" s="104" t="n"/>
      <c r="AD31" s="104" t="n"/>
      <c r="AE31" s="104" t="n"/>
      <c r="AF31" s="104" t="n"/>
      <c r="AG31" s="104" t="n"/>
      <c r="AH31" s="104" t="n"/>
      <c r="AI31" s="104" t="n"/>
      <c r="AJ31" s="104" t="n"/>
      <c r="AK31" s="104" t="n"/>
      <c r="AL31" s="104" t="n"/>
      <c r="AM31" s="104" t="n"/>
      <c r="AN31" s="104" t="n"/>
      <c r="AO31" s="104" t="n"/>
      <c r="AP31" s="104" t="n"/>
      <c r="AQ31" s="104" t="n"/>
      <c r="AR31" s="104" t="n"/>
      <c r="AS31" s="104" t="n"/>
      <c r="AT31" s="104" t="n"/>
      <c r="AU31" s="104" t="n"/>
      <c r="AV31" s="104" t="n"/>
      <c r="AW31" s="104" t="n"/>
      <c r="AX31" s="104" t="n"/>
      <c r="AY31" s="104" t="n"/>
      <c r="AZ31" s="104" t="n"/>
      <c r="BA31" s="104" t="n"/>
      <c r="BB31" s="104" t="n"/>
      <c r="BC31" s="104" t="n"/>
      <c r="BD31" s="104" t="n"/>
      <c r="BE31" s="104" t="n"/>
      <c r="BF31" s="104" t="n"/>
      <c r="BG31" s="104" t="n"/>
      <c r="BH31" s="104" t="n"/>
      <c r="BI31" s="104" t="n"/>
      <c r="BJ31" s="104" t="n"/>
      <c r="BK31" s="104" t="n"/>
      <c r="BL31" s="104" t="n"/>
      <c r="BM31" s="104" t="n"/>
      <c r="BN31" s="104" t="n"/>
      <c r="BO31" s="104" t="n"/>
      <c r="BP31" s="104" t="n"/>
      <c r="BQ31" s="104" t="n"/>
      <c r="BR31" s="104" t="n"/>
      <c r="BS31" s="104" t="n"/>
      <c r="BT31" s="104" t="n"/>
      <c r="BU31" s="104" t="n"/>
      <c r="BV31" s="104" t="n"/>
      <c r="BW31" s="104" t="n"/>
    </row>
    <row r="32" ht="20" customHeight="1">
      <c r="B32" s="100" t="n">
        <v>26</v>
      </c>
      <c r="C32" s="65" t="n"/>
      <c r="D32" s="65" t="n"/>
      <c r="E32" s="65" t="n"/>
      <c r="F32" s="65" t="n"/>
      <c r="G32" s="101" t="n"/>
      <c r="H32" s="101" t="n"/>
      <c r="I32" s="81" t="n"/>
      <c r="J32" s="102">
        <f>IF(OR(D32="",ProjStart=""),"",MAX(ProjStart,IF(I32&lt;&gt;"",I32,0),IF(H32="",0,IFERROR(INDEX($L$6:L31,MATCH(H32,$B$6:B31,0))+1,0))))</f>
        <v/>
      </c>
      <c r="K32" s="101" t="n"/>
      <c r="L32" s="102">
        <f>IF(J32="","",J32+MAX(1,G32)+IF(K32="",0,K32)-1)</f>
        <v/>
      </c>
      <c r="M32" s="65" t="n"/>
      <c r="N32" s="81" t="n"/>
      <c r="O32" s="103">
        <f>IF(D32="","",COUNTIF($H$7:$H$156,B32))</f>
        <v/>
      </c>
      <c r="P32" s="72">
        <f>IF(D32="","",IF(AND(H32&lt;&gt;"",H32&gt;=B32),"⚠️ Predecessor must be above",IF(M32="Done","✓ Done",IF(Q32=3,"🔴 Late",IF(M32="In progress","In progress","")))))</f>
        <v/>
      </c>
      <c r="Q32" s="63">
        <f>IF(OR(D32="",L32=""),"",IF(M32="Done",2,IF(AsOf&gt;L32,3,1)))</f>
        <v/>
      </c>
      <c r="R32" s="63">
        <f>IF(OR(E32="",F32=""),0,IF(COUNTIFS($E$7:E32,E32,$F$7:F32,F32)=1,1,0))</f>
        <v/>
      </c>
      <c r="S32" s="63">
        <f>IF(R32=1,E32&amp;"|"&amp;SUMIFS($R$7:R32,$E$7:E32,E32),"")</f>
        <v/>
      </c>
      <c r="T32" s="85">
        <f>IF(Q32="","",IF(Q32=3,L32,IF(OR(M32="Not started",M32=""),J32,"")))</f>
        <v/>
      </c>
      <c r="U32" s="63">
        <f>IF(T32="","",IF(Q32=3,1,IF(T32="","",IF(T32&lt;AsOf,1,IF(T32&lt;=AsOf+AlertDays,2,IF(T32&lt;=AsOf+2*AlertDays,3,""))))))</f>
        <v/>
      </c>
      <c r="V32" s="63">
        <f>IF(U32="","",IF(Q32=3,"Late task: "&amp;D32,IF(T32&lt;AsOf,"Should have started: ","Starts soon: ")&amp;D32)&amp;IF(F32="",""," — "&amp;F32))</f>
        <v/>
      </c>
      <c r="X32" s="104" t="n"/>
      <c r="Y32" s="104" t="n"/>
      <c r="Z32" s="104" t="n"/>
      <c r="AA32" s="104" t="n"/>
      <c r="AB32" s="104" t="n"/>
      <c r="AC32" s="104" t="n"/>
      <c r="AD32" s="104" t="n"/>
      <c r="AE32" s="104" t="n"/>
      <c r="AF32" s="104" t="n"/>
      <c r="AG32" s="104" t="n"/>
      <c r="AH32" s="104" t="n"/>
      <c r="AI32" s="104" t="n"/>
      <c r="AJ32" s="104" t="n"/>
      <c r="AK32" s="104" t="n"/>
      <c r="AL32" s="104" t="n"/>
      <c r="AM32" s="104" t="n"/>
      <c r="AN32" s="104" t="n"/>
      <c r="AO32" s="104" t="n"/>
      <c r="AP32" s="104" t="n"/>
      <c r="AQ32" s="104" t="n"/>
      <c r="AR32" s="104" t="n"/>
      <c r="AS32" s="104" t="n"/>
      <c r="AT32" s="104" t="n"/>
      <c r="AU32" s="104" t="n"/>
      <c r="AV32" s="104" t="n"/>
      <c r="AW32" s="104" t="n"/>
      <c r="AX32" s="104" t="n"/>
      <c r="AY32" s="104" t="n"/>
      <c r="AZ32" s="104" t="n"/>
      <c r="BA32" s="104" t="n"/>
      <c r="BB32" s="104" t="n"/>
      <c r="BC32" s="104" t="n"/>
      <c r="BD32" s="104" t="n"/>
      <c r="BE32" s="104" t="n"/>
      <c r="BF32" s="104" t="n"/>
      <c r="BG32" s="104" t="n"/>
      <c r="BH32" s="104" t="n"/>
      <c r="BI32" s="104" t="n"/>
      <c r="BJ32" s="104" t="n"/>
      <c r="BK32" s="104" t="n"/>
      <c r="BL32" s="104" t="n"/>
      <c r="BM32" s="104" t="n"/>
      <c r="BN32" s="104" t="n"/>
      <c r="BO32" s="104" t="n"/>
      <c r="BP32" s="104" t="n"/>
      <c r="BQ32" s="104" t="n"/>
      <c r="BR32" s="104" t="n"/>
      <c r="BS32" s="104" t="n"/>
      <c r="BT32" s="104" t="n"/>
      <c r="BU32" s="104" t="n"/>
      <c r="BV32" s="104" t="n"/>
      <c r="BW32" s="104" t="n"/>
    </row>
    <row r="33" ht="20" customHeight="1">
      <c r="B33" s="100" t="n">
        <v>27</v>
      </c>
      <c r="C33" s="65" t="n"/>
      <c r="D33" s="65" t="n"/>
      <c r="E33" s="65" t="n"/>
      <c r="F33" s="65" t="n"/>
      <c r="G33" s="101" t="n"/>
      <c r="H33" s="101" t="n"/>
      <c r="I33" s="81" t="n"/>
      <c r="J33" s="102">
        <f>IF(OR(D33="",ProjStart=""),"",MAX(ProjStart,IF(I33&lt;&gt;"",I33,0),IF(H33="",0,IFERROR(INDEX($L$6:L32,MATCH(H33,$B$6:B32,0))+1,0))))</f>
        <v/>
      </c>
      <c r="K33" s="101" t="n"/>
      <c r="L33" s="102">
        <f>IF(J33="","",J33+MAX(1,G33)+IF(K33="",0,K33)-1)</f>
        <v/>
      </c>
      <c r="M33" s="65" t="n"/>
      <c r="N33" s="81" t="n"/>
      <c r="O33" s="103">
        <f>IF(D33="","",COUNTIF($H$7:$H$156,B33))</f>
        <v/>
      </c>
      <c r="P33" s="72">
        <f>IF(D33="","",IF(AND(H33&lt;&gt;"",H33&gt;=B33),"⚠️ Predecessor must be above",IF(M33="Done","✓ Done",IF(Q33=3,"🔴 Late",IF(M33="In progress","In progress","")))))</f>
        <v/>
      </c>
      <c r="Q33" s="63">
        <f>IF(OR(D33="",L33=""),"",IF(M33="Done",2,IF(AsOf&gt;L33,3,1)))</f>
        <v/>
      </c>
      <c r="R33" s="63">
        <f>IF(OR(E33="",F33=""),0,IF(COUNTIFS($E$7:E33,E33,$F$7:F33,F33)=1,1,0))</f>
        <v/>
      </c>
      <c r="S33" s="63">
        <f>IF(R33=1,E33&amp;"|"&amp;SUMIFS($R$7:R33,$E$7:E33,E33),"")</f>
        <v/>
      </c>
      <c r="T33" s="85">
        <f>IF(Q33="","",IF(Q33=3,L33,IF(OR(M33="Not started",M33=""),J33,"")))</f>
        <v/>
      </c>
      <c r="U33" s="63">
        <f>IF(T33="","",IF(Q33=3,1,IF(T33="","",IF(T33&lt;AsOf,1,IF(T33&lt;=AsOf+AlertDays,2,IF(T33&lt;=AsOf+2*AlertDays,3,""))))))</f>
        <v/>
      </c>
      <c r="V33" s="63">
        <f>IF(U33="","",IF(Q33=3,"Late task: "&amp;D33,IF(T33&lt;AsOf,"Should have started: ","Starts soon: ")&amp;D33)&amp;IF(F33="",""," — "&amp;F33))</f>
        <v/>
      </c>
      <c r="X33" s="104" t="n"/>
      <c r="Y33" s="104" t="n"/>
      <c r="Z33" s="104" t="n"/>
      <c r="AA33" s="104" t="n"/>
      <c r="AB33" s="104" t="n"/>
      <c r="AC33" s="104" t="n"/>
      <c r="AD33" s="104" t="n"/>
      <c r="AE33" s="104" t="n"/>
      <c r="AF33" s="104" t="n"/>
      <c r="AG33" s="104" t="n"/>
      <c r="AH33" s="104" t="n"/>
      <c r="AI33" s="104" t="n"/>
      <c r="AJ33" s="104" t="n"/>
      <c r="AK33" s="104" t="n"/>
      <c r="AL33" s="104" t="n"/>
      <c r="AM33" s="104" t="n"/>
      <c r="AN33" s="104" t="n"/>
      <c r="AO33" s="104" t="n"/>
      <c r="AP33" s="104" t="n"/>
      <c r="AQ33" s="104" t="n"/>
      <c r="AR33" s="104" t="n"/>
      <c r="AS33" s="104" t="n"/>
      <c r="AT33" s="104" t="n"/>
      <c r="AU33" s="104" t="n"/>
      <c r="AV33" s="104" t="n"/>
      <c r="AW33" s="104" t="n"/>
      <c r="AX33" s="104" t="n"/>
      <c r="AY33" s="104" t="n"/>
      <c r="AZ33" s="104" t="n"/>
      <c r="BA33" s="104" t="n"/>
      <c r="BB33" s="104" t="n"/>
      <c r="BC33" s="104" t="n"/>
      <c r="BD33" s="104" t="n"/>
      <c r="BE33" s="104" t="n"/>
      <c r="BF33" s="104" t="n"/>
      <c r="BG33" s="104" t="n"/>
      <c r="BH33" s="104" t="n"/>
      <c r="BI33" s="104" t="n"/>
      <c r="BJ33" s="104" t="n"/>
      <c r="BK33" s="104" t="n"/>
      <c r="BL33" s="104" t="n"/>
      <c r="BM33" s="104" t="n"/>
      <c r="BN33" s="104" t="n"/>
      <c r="BO33" s="104" t="n"/>
      <c r="BP33" s="104" t="n"/>
      <c r="BQ33" s="104" t="n"/>
      <c r="BR33" s="104" t="n"/>
      <c r="BS33" s="104" t="n"/>
      <c r="BT33" s="104" t="n"/>
      <c r="BU33" s="104" t="n"/>
      <c r="BV33" s="104" t="n"/>
      <c r="BW33" s="104" t="n"/>
    </row>
    <row r="34" ht="20" customHeight="1">
      <c r="B34" s="100" t="n">
        <v>28</v>
      </c>
      <c r="C34" s="65" t="n"/>
      <c r="D34" s="65" t="n"/>
      <c r="E34" s="65" t="n"/>
      <c r="F34" s="65" t="n"/>
      <c r="G34" s="101" t="n"/>
      <c r="H34" s="101" t="n"/>
      <c r="I34" s="81" t="n"/>
      <c r="J34" s="102">
        <f>IF(OR(D34="",ProjStart=""),"",MAX(ProjStart,IF(I34&lt;&gt;"",I34,0),IF(H34="",0,IFERROR(INDEX($L$6:L33,MATCH(H34,$B$6:B33,0))+1,0))))</f>
        <v/>
      </c>
      <c r="K34" s="101" t="n"/>
      <c r="L34" s="102">
        <f>IF(J34="","",J34+MAX(1,G34)+IF(K34="",0,K34)-1)</f>
        <v/>
      </c>
      <c r="M34" s="65" t="n"/>
      <c r="N34" s="81" t="n"/>
      <c r="O34" s="103">
        <f>IF(D34="","",COUNTIF($H$7:$H$156,B34))</f>
        <v/>
      </c>
      <c r="P34" s="72">
        <f>IF(D34="","",IF(AND(H34&lt;&gt;"",H34&gt;=B34),"⚠️ Predecessor must be above",IF(M34="Done","✓ Done",IF(Q34=3,"🔴 Late",IF(M34="In progress","In progress","")))))</f>
        <v/>
      </c>
      <c r="Q34" s="63">
        <f>IF(OR(D34="",L34=""),"",IF(M34="Done",2,IF(AsOf&gt;L34,3,1)))</f>
        <v/>
      </c>
      <c r="R34" s="63">
        <f>IF(OR(E34="",F34=""),0,IF(COUNTIFS($E$7:E34,E34,$F$7:F34,F34)=1,1,0))</f>
        <v/>
      </c>
      <c r="S34" s="63">
        <f>IF(R34=1,E34&amp;"|"&amp;SUMIFS($R$7:R34,$E$7:E34,E34),"")</f>
        <v/>
      </c>
      <c r="T34" s="85">
        <f>IF(Q34="","",IF(Q34=3,L34,IF(OR(M34="Not started",M34=""),J34,"")))</f>
        <v/>
      </c>
      <c r="U34" s="63">
        <f>IF(T34="","",IF(Q34=3,1,IF(T34="","",IF(T34&lt;AsOf,1,IF(T34&lt;=AsOf+AlertDays,2,IF(T34&lt;=AsOf+2*AlertDays,3,""))))))</f>
        <v/>
      </c>
      <c r="V34" s="63">
        <f>IF(U34="","",IF(Q34=3,"Late task: "&amp;D34,IF(T34&lt;AsOf,"Should have started: ","Starts soon: ")&amp;D34)&amp;IF(F34="",""," — "&amp;F34))</f>
        <v/>
      </c>
      <c r="X34" s="104" t="n"/>
      <c r="Y34" s="104" t="n"/>
      <c r="Z34" s="104" t="n"/>
      <c r="AA34" s="104" t="n"/>
      <c r="AB34" s="104" t="n"/>
      <c r="AC34" s="104" t="n"/>
      <c r="AD34" s="104" t="n"/>
      <c r="AE34" s="104" t="n"/>
      <c r="AF34" s="104" t="n"/>
      <c r="AG34" s="104" t="n"/>
      <c r="AH34" s="104" t="n"/>
      <c r="AI34" s="104" t="n"/>
      <c r="AJ34" s="104" t="n"/>
      <c r="AK34" s="104" t="n"/>
      <c r="AL34" s="104" t="n"/>
      <c r="AM34" s="104" t="n"/>
      <c r="AN34" s="104" t="n"/>
      <c r="AO34" s="104" t="n"/>
      <c r="AP34" s="104" t="n"/>
      <c r="AQ34" s="104" t="n"/>
      <c r="AR34" s="104" t="n"/>
      <c r="AS34" s="104" t="n"/>
      <c r="AT34" s="104" t="n"/>
      <c r="AU34" s="104" t="n"/>
      <c r="AV34" s="104" t="n"/>
      <c r="AW34" s="104" t="n"/>
      <c r="AX34" s="104" t="n"/>
      <c r="AY34" s="104" t="n"/>
      <c r="AZ34" s="104" t="n"/>
      <c r="BA34" s="104" t="n"/>
      <c r="BB34" s="104" t="n"/>
      <c r="BC34" s="104" t="n"/>
      <c r="BD34" s="104" t="n"/>
      <c r="BE34" s="104" t="n"/>
      <c r="BF34" s="104" t="n"/>
      <c r="BG34" s="104" t="n"/>
      <c r="BH34" s="104" t="n"/>
      <c r="BI34" s="104" t="n"/>
      <c r="BJ34" s="104" t="n"/>
      <c r="BK34" s="104" t="n"/>
      <c r="BL34" s="104" t="n"/>
      <c r="BM34" s="104" t="n"/>
      <c r="BN34" s="104" t="n"/>
      <c r="BO34" s="104" t="n"/>
      <c r="BP34" s="104" t="n"/>
      <c r="BQ34" s="104" t="n"/>
      <c r="BR34" s="104" t="n"/>
      <c r="BS34" s="104" t="n"/>
      <c r="BT34" s="104" t="n"/>
      <c r="BU34" s="104" t="n"/>
      <c r="BV34" s="104" t="n"/>
      <c r="BW34" s="104" t="n"/>
    </row>
    <row r="35" ht="20" customHeight="1">
      <c r="B35" s="100" t="n">
        <v>29</v>
      </c>
      <c r="C35" s="65" t="n"/>
      <c r="D35" s="65" t="n"/>
      <c r="E35" s="65" t="n"/>
      <c r="F35" s="65" t="n"/>
      <c r="G35" s="101" t="n"/>
      <c r="H35" s="101" t="n"/>
      <c r="I35" s="81" t="n"/>
      <c r="J35" s="102">
        <f>IF(OR(D35="",ProjStart=""),"",MAX(ProjStart,IF(I35&lt;&gt;"",I35,0),IF(H35="",0,IFERROR(INDEX($L$6:L34,MATCH(H35,$B$6:B34,0))+1,0))))</f>
        <v/>
      </c>
      <c r="K35" s="101" t="n"/>
      <c r="L35" s="102">
        <f>IF(J35="","",J35+MAX(1,G35)+IF(K35="",0,K35)-1)</f>
        <v/>
      </c>
      <c r="M35" s="65" t="n"/>
      <c r="N35" s="81" t="n"/>
      <c r="O35" s="103">
        <f>IF(D35="","",COUNTIF($H$7:$H$156,B35))</f>
        <v/>
      </c>
      <c r="P35" s="72">
        <f>IF(D35="","",IF(AND(H35&lt;&gt;"",H35&gt;=B35),"⚠️ Predecessor must be above",IF(M35="Done","✓ Done",IF(Q35=3,"🔴 Late",IF(M35="In progress","In progress","")))))</f>
        <v/>
      </c>
      <c r="Q35" s="63">
        <f>IF(OR(D35="",L35=""),"",IF(M35="Done",2,IF(AsOf&gt;L35,3,1)))</f>
        <v/>
      </c>
      <c r="R35" s="63">
        <f>IF(OR(E35="",F35=""),0,IF(COUNTIFS($E$7:E35,E35,$F$7:F35,F35)=1,1,0))</f>
        <v/>
      </c>
      <c r="S35" s="63">
        <f>IF(R35=1,E35&amp;"|"&amp;SUMIFS($R$7:R35,$E$7:E35,E35),"")</f>
        <v/>
      </c>
      <c r="T35" s="85">
        <f>IF(Q35="","",IF(Q35=3,L35,IF(OR(M35="Not started",M35=""),J35,"")))</f>
        <v/>
      </c>
      <c r="U35" s="63">
        <f>IF(T35="","",IF(Q35=3,1,IF(T35="","",IF(T35&lt;AsOf,1,IF(T35&lt;=AsOf+AlertDays,2,IF(T35&lt;=AsOf+2*AlertDays,3,""))))))</f>
        <v/>
      </c>
      <c r="V35" s="63">
        <f>IF(U35="","",IF(Q35=3,"Late task: "&amp;D35,IF(T35&lt;AsOf,"Should have started: ","Starts soon: ")&amp;D35)&amp;IF(F35="",""," — "&amp;F35))</f>
        <v/>
      </c>
      <c r="X35" s="104" t="n"/>
      <c r="Y35" s="104" t="n"/>
      <c r="Z35" s="104" t="n"/>
      <c r="AA35" s="104" t="n"/>
      <c r="AB35" s="104" t="n"/>
      <c r="AC35" s="104" t="n"/>
      <c r="AD35" s="104" t="n"/>
      <c r="AE35" s="104" t="n"/>
      <c r="AF35" s="104" t="n"/>
      <c r="AG35" s="104" t="n"/>
      <c r="AH35" s="104" t="n"/>
      <c r="AI35" s="104" t="n"/>
      <c r="AJ35" s="104" t="n"/>
      <c r="AK35" s="104" t="n"/>
      <c r="AL35" s="104" t="n"/>
      <c r="AM35" s="104" t="n"/>
      <c r="AN35" s="104" t="n"/>
      <c r="AO35" s="104" t="n"/>
      <c r="AP35" s="104" t="n"/>
      <c r="AQ35" s="104" t="n"/>
      <c r="AR35" s="104" t="n"/>
      <c r="AS35" s="104" t="n"/>
      <c r="AT35" s="104" t="n"/>
      <c r="AU35" s="104" t="n"/>
      <c r="AV35" s="104" t="n"/>
      <c r="AW35" s="104" t="n"/>
      <c r="AX35" s="104" t="n"/>
      <c r="AY35" s="104" t="n"/>
      <c r="AZ35" s="104" t="n"/>
      <c r="BA35" s="104" t="n"/>
      <c r="BB35" s="104" t="n"/>
      <c r="BC35" s="104" t="n"/>
      <c r="BD35" s="104" t="n"/>
      <c r="BE35" s="104" t="n"/>
      <c r="BF35" s="104" t="n"/>
      <c r="BG35" s="104" t="n"/>
      <c r="BH35" s="104" t="n"/>
      <c r="BI35" s="104" t="n"/>
      <c r="BJ35" s="104" t="n"/>
      <c r="BK35" s="104" t="n"/>
      <c r="BL35" s="104" t="n"/>
      <c r="BM35" s="104" t="n"/>
      <c r="BN35" s="104" t="n"/>
      <c r="BO35" s="104" t="n"/>
      <c r="BP35" s="104" t="n"/>
      <c r="BQ35" s="104" t="n"/>
      <c r="BR35" s="104" t="n"/>
      <c r="BS35" s="104" t="n"/>
      <c r="BT35" s="104" t="n"/>
      <c r="BU35" s="104" t="n"/>
      <c r="BV35" s="104" t="n"/>
      <c r="BW35" s="104" t="n"/>
    </row>
    <row r="36" ht="20" customHeight="1">
      <c r="B36" s="100" t="n">
        <v>30</v>
      </c>
      <c r="C36" s="65" t="n"/>
      <c r="D36" s="65" t="n"/>
      <c r="E36" s="65" t="n"/>
      <c r="F36" s="65" t="n"/>
      <c r="G36" s="101" t="n"/>
      <c r="H36" s="101" t="n"/>
      <c r="I36" s="81" t="n"/>
      <c r="J36" s="102">
        <f>IF(OR(D36="",ProjStart=""),"",MAX(ProjStart,IF(I36&lt;&gt;"",I36,0),IF(H36="",0,IFERROR(INDEX($L$6:L35,MATCH(H36,$B$6:B35,0))+1,0))))</f>
        <v/>
      </c>
      <c r="K36" s="101" t="n"/>
      <c r="L36" s="102">
        <f>IF(J36="","",J36+MAX(1,G36)+IF(K36="",0,K36)-1)</f>
        <v/>
      </c>
      <c r="M36" s="65" t="n"/>
      <c r="N36" s="81" t="n"/>
      <c r="O36" s="103">
        <f>IF(D36="","",COUNTIF($H$7:$H$156,B36))</f>
        <v/>
      </c>
      <c r="P36" s="72">
        <f>IF(D36="","",IF(AND(H36&lt;&gt;"",H36&gt;=B36),"⚠️ Predecessor must be above",IF(M36="Done","✓ Done",IF(Q36=3,"🔴 Late",IF(M36="In progress","In progress","")))))</f>
        <v/>
      </c>
      <c r="Q36" s="63">
        <f>IF(OR(D36="",L36=""),"",IF(M36="Done",2,IF(AsOf&gt;L36,3,1)))</f>
        <v/>
      </c>
      <c r="R36" s="63">
        <f>IF(OR(E36="",F36=""),0,IF(COUNTIFS($E$7:E36,E36,$F$7:F36,F36)=1,1,0))</f>
        <v/>
      </c>
      <c r="S36" s="63">
        <f>IF(R36=1,E36&amp;"|"&amp;SUMIFS($R$7:R36,$E$7:E36,E36),"")</f>
        <v/>
      </c>
      <c r="T36" s="85">
        <f>IF(Q36="","",IF(Q36=3,L36,IF(OR(M36="Not started",M36=""),J36,"")))</f>
        <v/>
      </c>
      <c r="U36" s="63">
        <f>IF(T36="","",IF(Q36=3,1,IF(T36="","",IF(T36&lt;AsOf,1,IF(T36&lt;=AsOf+AlertDays,2,IF(T36&lt;=AsOf+2*AlertDays,3,""))))))</f>
        <v/>
      </c>
      <c r="V36" s="63">
        <f>IF(U36="","",IF(Q36=3,"Late task: "&amp;D36,IF(T36&lt;AsOf,"Should have started: ","Starts soon: ")&amp;D36)&amp;IF(F36="",""," — "&amp;F36))</f>
        <v/>
      </c>
      <c r="X36" s="104" t="n"/>
      <c r="Y36" s="104" t="n"/>
      <c r="Z36" s="104" t="n"/>
      <c r="AA36" s="104" t="n"/>
      <c r="AB36" s="104" t="n"/>
      <c r="AC36" s="104" t="n"/>
      <c r="AD36" s="104" t="n"/>
      <c r="AE36" s="104" t="n"/>
      <c r="AF36" s="104" t="n"/>
      <c r="AG36" s="104" t="n"/>
      <c r="AH36" s="104" t="n"/>
      <c r="AI36" s="104" t="n"/>
      <c r="AJ36" s="104" t="n"/>
      <c r="AK36" s="104" t="n"/>
      <c r="AL36" s="104" t="n"/>
      <c r="AM36" s="104" t="n"/>
      <c r="AN36" s="104" t="n"/>
      <c r="AO36" s="104" t="n"/>
      <c r="AP36" s="104" t="n"/>
      <c r="AQ36" s="104" t="n"/>
      <c r="AR36" s="104" t="n"/>
      <c r="AS36" s="104" t="n"/>
      <c r="AT36" s="104" t="n"/>
      <c r="AU36" s="104" t="n"/>
      <c r="AV36" s="104" t="n"/>
      <c r="AW36" s="104" t="n"/>
      <c r="AX36" s="104" t="n"/>
      <c r="AY36" s="104" t="n"/>
      <c r="AZ36" s="104" t="n"/>
      <c r="BA36" s="104" t="n"/>
      <c r="BB36" s="104" t="n"/>
      <c r="BC36" s="104" t="n"/>
      <c r="BD36" s="104" t="n"/>
      <c r="BE36" s="104" t="n"/>
      <c r="BF36" s="104" t="n"/>
      <c r="BG36" s="104" t="n"/>
      <c r="BH36" s="104" t="n"/>
      <c r="BI36" s="104" t="n"/>
      <c r="BJ36" s="104" t="n"/>
      <c r="BK36" s="104" t="n"/>
      <c r="BL36" s="104" t="n"/>
      <c r="BM36" s="104" t="n"/>
      <c r="BN36" s="104" t="n"/>
      <c r="BO36" s="104" t="n"/>
      <c r="BP36" s="104" t="n"/>
      <c r="BQ36" s="104" t="n"/>
      <c r="BR36" s="104" t="n"/>
      <c r="BS36" s="104" t="n"/>
      <c r="BT36" s="104" t="n"/>
      <c r="BU36" s="104" t="n"/>
      <c r="BV36" s="104" t="n"/>
      <c r="BW36" s="104" t="n"/>
    </row>
    <row r="37" ht="20" customHeight="1">
      <c r="B37" s="100" t="n">
        <v>31</v>
      </c>
      <c r="C37" s="65" t="n"/>
      <c r="D37" s="65" t="n"/>
      <c r="E37" s="65" t="n"/>
      <c r="F37" s="65" t="n"/>
      <c r="G37" s="101" t="n"/>
      <c r="H37" s="101" t="n"/>
      <c r="I37" s="81" t="n"/>
      <c r="J37" s="102">
        <f>IF(OR(D37="",ProjStart=""),"",MAX(ProjStart,IF(I37&lt;&gt;"",I37,0),IF(H37="",0,IFERROR(INDEX($L$6:L36,MATCH(H37,$B$6:B36,0))+1,0))))</f>
        <v/>
      </c>
      <c r="K37" s="101" t="n"/>
      <c r="L37" s="102">
        <f>IF(J37="","",J37+MAX(1,G37)+IF(K37="",0,K37)-1)</f>
        <v/>
      </c>
      <c r="M37" s="65" t="n"/>
      <c r="N37" s="81" t="n"/>
      <c r="O37" s="103">
        <f>IF(D37="","",COUNTIF($H$7:$H$156,B37))</f>
        <v/>
      </c>
      <c r="P37" s="72">
        <f>IF(D37="","",IF(AND(H37&lt;&gt;"",H37&gt;=B37),"⚠️ Predecessor must be above",IF(M37="Done","✓ Done",IF(Q37=3,"🔴 Late",IF(M37="In progress","In progress","")))))</f>
        <v/>
      </c>
      <c r="Q37" s="63">
        <f>IF(OR(D37="",L37=""),"",IF(M37="Done",2,IF(AsOf&gt;L37,3,1)))</f>
        <v/>
      </c>
      <c r="R37" s="63">
        <f>IF(OR(E37="",F37=""),0,IF(COUNTIFS($E$7:E37,E37,$F$7:F37,F37)=1,1,0))</f>
        <v/>
      </c>
      <c r="S37" s="63">
        <f>IF(R37=1,E37&amp;"|"&amp;SUMIFS($R$7:R37,$E$7:E37,E37),"")</f>
        <v/>
      </c>
      <c r="T37" s="85">
        <f>IF(Q37="","",IF(Q37=3,L37,IF(OR(M37="Not started",M37=""),J37,"")))</f>
        <v/>
      </c>
      <c r="U37" s="63">
        <f>IF(T37="","",IF(Q37=3,1,IF(T37="","",IF(T37&lt;AsOf,1,IF(T37&lt;=AsOf+AlertDays,2,IF(T37&lt;=AsOf+2*AlertDays,3,""))))))</f>
        <v/>
      </c>
      <c r="V37" s="63">
        <f>IF(U37="","",IF(Q37=3,"Late task: "&amp;D37,IF(T37&lt;AsOf,"Should have started: ","Starts soon: ")&amp;D37)&amp;IF(F37="",""," — "&amp;F37))</f>
        <v/>
      </c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4" t="n"/>
      <c r="AI37" s="104" t="n"/>
      <c r="AJ37" s="104" t="n"/>
      <c r="AK37" s="104" t="n"/>
      <c r="AL37" s="104" t="n"/>
      <c r="AM37" s="104" t="n"/>
      <c r="AN37" s="104" t="n"/>
      <c r="AO37" s="104" t="n"/>
      <c r="AP37" s="104" t="n"/>
      <c r="AQ37" s="104" t="n"/>
      <c r="AR37" s="104" t="n"/>
      <c r="AS37" s="104" t="n"/>
      <c r="AT37" s="104" t="n"/>
      <c r="AU37" s="104" t="n"/>
      <c r="AV37" s="104" t="n"/>
      <c r="AW37" s="104" t="n"/>
      <c r="AX37" s="104" t="n"/>
      <c r="AY37" s="104" t="n"/>
      <c r="AZ37" s="104" t="n"/>
      <c r="BA37" s="104" t="n"/>
      <c r="BB37" s="104" t="n"/>
      <c r="BC37" s="104" t="n"/>
      <c r="BD37" s="104" t="n"/>
      <c r="BE37" s="104" t="n"/>
      <c r="BF37" s="104" t="n"/>
      <c r="BG37" s="104" t="n"/>
      <c r="BH37" s="104" t="n"/>
      <c r="BI37" s="104" t="n"/>
      <c r="BJ37" s="104" t="n"/>
      <c r="BK37" s="104" t="n"/>
      <c r="BL37" s="104" t="n"/>
      <c r="BM37" s="104" t="n"/>
      <c r="BN37" s="104" t="n"/>
      <c r="BO37" s="104" t="n"/>
      <c r="BP37" s="104" t="n"/>
      <c r="BQ37" s="104" t="n"/>
      <c r="BR37" s="104" t="n"/>
      <c r="BS37" s="104" t="n"/>
      <c r="BT37" s="104" t="n"/>
      <c r="BU37" s="104" t="n"/>
      <c r="BV37" s="104" t="n"/>
      <c r="BW37" s="104" t="n"/>
    </row>
    <row r="38" ht="20" customHeight="1">
      <c r="B38" s="100" t="n">
        <v>32</v>
      </c>
      <c r="C38" s="65" t="n"/>
      <c r="D38" s="65" t="n"/>
      <c r="E38" s="65" t="n"/>
      <c r="F38" s="65" t="n"/>
      <c r="G38" s="101" t="n"/>
      <c r="H38" s="101" t="n"/>
      <c r="I38" s="81" t="n"/>
      <c r="J38" s="102">
        <f>IF(OR(D38="",ProjStart=""),"",MAX(ProjStart,IF(I38&lt;&gt;"",I38,0),IF(H38="",0,IFERROR(INDEX($L$6:L37,MATCH(H38,$B$6:B37,0))+1,0))))</f>
        <v/>
      </c>
      <c r="K38" s="101" t="n"/>
      <c r="L38" s="102">
        <f>IF(J38="","",J38+MAX(1,G38)+IF(K38="",0,K38)-1)</f>
        <v/>
      </c>
      <c r="M38" s="65" t="n"/>
      <c r="N38" s="81" t="n"/>
      <c r="O38" s="103">
        <f>IF(D38="","",COUNTIF($H$7:$H$156,B38))</f>
        <v/>
      </c>
      <c r="P38" s="72">
        <f>IF(D38="","",IF(AND(H38&lt;&gt;"",H38&gt;=B38),"⚠️ Predecessor must be above",IF(M38="Done","✓ Done",IF(Q38=3,"🔴 Late",IF(M38="In progress","In progress","")))))</f>
        <v/>
      </c>
      <c r="Q38" s="63">
        <f>IF(OR(D38="",L38=""),"",IF(M38="Done",2,IF(AsOf&gt;L38,3,1)))</f>
        <v/>
      </c>
      <c r="R38" s="63">
        <f>IF(OR(E38="",F38=""),0,IF(COUNTIFS($E$7:E38,E38,$F$7:F38,F38)=1,1,0))</f>
        <v/>
      </c>
      <c r="S38" s="63">
        <f>IF(R38=1,E38&amp;"|"&amp;SUMIFS($R$7:R38,$E$7:E38,E38),"")</f>
        <v/>
      </c>
      <c r="T38" s="85">
        <f>IF(Q38="","",IF(Q38=3,L38,IF(OR(M38="Not started",M38=""),J38,"")))</f>
        <v/>
      </c>
      <c r="U38" s="63">
        <f>IF(T38="","",IF(Q38=3,1,IF(T38="","",IF(T38&lt;AsOf,1,IF(T38&lt;=AsOf+AlertDays,2,IF(T38&lt;=AsOf+2*AlertDays,3,""))))))</f>
        <v/>
      </c>
      <c r="V38" s="63">
        <f>IF(U38="","",IF(Q38=3,"Late task: "&amp;D38,IF(T38&lt;AsOf,"Should have started: ","Starts soon: ")&amp;D38)&amp;IF(F38="",""," — "&amp;F38))</f>
        <v/>
      </c>
      <c r="X38" s="104" t="n"/>
      <c r="Y38" s="104" t="n"/>
      <c r="Z38" s="104" t="n"/>
      <c r="AA38" s="104" t="n"/>
      <c r="AB38" s="104" t="n"/>
      <c r="AC38" s="104" t="n"/>
      <c r="AD38" s="104" t="n"/>
      <c r="AE38" s="104" t="n"/>
      <c r="AF38" s="104" t="n"/>
      <c r="AG38" s="104" t="n"/>
      <c r="AH38" s="104" t="n"/>
      <c r="AI38" s="104" t="n"/>
      <c r="AJ38" s="104" t="n"/>
      <c r="AK38" s="104" t="n"/>
      <c r="AL38" s="104" t="n"/>
      <c r="AM38" s="104" t="n"/>
      <c r="AN38" s="104" t="n"/>
      <c r="AO38" s="104" t="n"/>
      <c r="AP38" s="104" t="n"/>
      <c r="AQ38" s="104" t="n"/>
      <c r="AR38" s="104" t="n"/>
      <c r="AS38" s="104" t="n"/>
      <c r="AT38" s="104" t="n"/>
      <c r="AU38" s="104" t="n"/>
      <c r="AV38" s="104" t="n"/>
      <c r="AW38" s="104" t="n"/>
      <c r="AX38" s="104" t="n"/>
      <c r="AY38" s="104" t="n"/>
      <c r="AZ38" s="104" t="n"/>
      <c r="BA38" s="104" t="n"/>
      <c r="BB38" s="104" t="n"/>
      <c r="BC38" s="104" t="n"/>
      <c r="BD38" s="104" t="n"/>
      <c r="BE38" s="104" t="n"/>
      <c r="BF38" s="104" t="n"/>
      <c r="BG38" s="104" t="n"/>
      <c r="BH38" s="104" t="n"/>
      <c r="BI38" s="104" t="n"/>
      <c r="BJ38" s="104" t="n"/>
      <c r="BK38" s="104" t="n"/>
      <c r="BL38" s="104" t="n"/>
      <c r="BM38" s="104" t="n"/>
      <c r="BN38" s="104" t="n"/>
      <c r="BO38" s="104" t="n"/>
      <c r="BP38" s="104" t="n"/>
      <c r="BQ38" s="104" t="n"/>
      <c r="BR38" s="104" t="n"/>
      <c r="BS38" s="104" t="n"/>
      <c r="BT38" s="104" t="n"/>
      <c r="BU38" s="104" t="n"/>
      <c r="BV38" s="104" t="n"/>
      <c r="BW38" s="104" t="n"/>
    </row>
    <row r="39" ht="20" customHeight="1">
      <c r="B39" s="100" t="n">
        <v>33</v>
      </c>
      <c r="C39" s="65" t="n"/>
      <c r="D39" s="65" t="n"/>
      <c r="E39" s="65" t="n"/>
      <c r="F39" s="65" t="n"/>
      <c r="G39" s="101" t="n"/>
      <c r="H39" s="101" t="n"/>
      <c r="I39" s="81" t="n"/>
      <c r="J39" s="102">
        <f>IF(OR(D39="",ProjStart=""),"",MAX(ProjStart,IF(I39&lt;&gt;"",I39,0),IF(H39="",0,IFERROR(INDEX($L$6:L38,MATCH(H39,$B$6:B38,0))+1,0))))</f>
        <v/>
      </c>
      <c r="K39" s="101" t="n"/>
      <c r="L39" s="102">
        <f>IF(J39="","",J39+MAX(1,G39)+IF(K39="",0,K39)-1)</f>
        <v/>
      </c>
      <c r="M39" s="65" t="n"/>
      <c r="N39" s="81" t="n"/>
      <c r="O39" s="103">
        <f>IF(D39="","",COUNTIF($H$7:$H$156,B39))</f>
        <v/>
      </c>
      <c r="P39" s="72">
        <f>IF(D39="","",IF(AND(H39&lt;&gt;"",H39&gt;=B39),"⚠️ Predecessor must be above",IF(M39="Done","✓ Done",IF(Q39=3,"🔴 Late",IF(M39="In progress","In progress","")))))</f>
        <v/>
      </c>
      <c r="Q39" s="63">
        <f>IF(OR(D39="",L39=""),"",IF(M39="Done",2,IF(AsOf&gt;L39,3,1)))</f>
        <v/>
      </c>
      <c r="R39" s="63">
        <f>IF(OR(E39="",F39=""),0,IF(COUNTIFS($E$7:E39,E39,$F$7:F39,F39)=1,1,0))</f>
        <v/>
      </c>
      <c r="S39" s="63">
        <f>IF(R39=1,E39&amp;"|"&amp;SUMIFS($R$7:R39,$E$7:E39,E39),"")</f>
        <v/>
      </c>
      <c r="T39" s="85">
        <f>IF(Q39="","",IF(Q39=3,L39,IF(OR(M39="Not started",M39=""),J39,"")))</f>
        <v/>
      </c>
      <c r="U39" s="63">
        <f>IF(T39="","",IF(Q39=3,1,IF(T39="","",IF(T39&lt;AsOf,1,IF(T39&lt;=AsOf+AlertDays,2,IF(T39&lt;=AsOf+2*AlertDays,3,""))))))</f>
        <v/>
      </c>
      <c r="V39" s="63">
        <f>IF(U39="","",IF(Q39=3,"Late task: "&amp;D39,IF(T39&lt;AsOf,"Should have started: ","Starts soon: ")&amp;D39)&amp;IF(F39="",""," — "&amp;F39))</f>
        <v/>
      </c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4" t="n"/>
      <c r="AI39" s="104" t="n"/>
      <c r="AJ39" s="104" t="n"/>
      <c r="AK39" s="104" t="n"/>
      <c r="AL39" s="104" t="n"/>
      <c r="AM39" s="104" t="n"/>
      <c r="AN39" s="104" t="n"/>
      <c r="AO39" s="104" t="n"/>
      <c r="AP39" s="104" t="n"/>
      <c r="AQ39" s="104" t="n"/>
      <c r="AR39" s="104" t="n"/>
      <c r="AS39" s="104" t="n"/>
      <c r="AT39" s="104" t="n"/>
      <c r="AU39" s="104" t="n"/>
      <c r="AV39" s="104" t="n"/>
      <c r="AW39" s="104" t="n"/>
      <c r="AX39" s="104" t="n"/>
      <c r="AY39" s="104" t="n"/>
      <c r="AZ39" s="104" t="n"/>
      <c r="BA39" s="104" t="n"/>
      <c r="BB39" s="104" t="n"/>
      <c r="BC39" s="104" t="n"/>
      <c r="BD39" s="104" t="n"/>
      <c r="BE39" s="104" t="n"/>
      <c r="BF39" s="104" t="n"/>
      <c r="BG39" s="104" t="n"/>
      <c r="BH39" s="104" t="n"/>
      <c r="BI39" s="104" t="n"/>
      <c r="BJ39" s="104" t="n"/>
      <c r="BK39" s="104" t="n"/>
      <c r="BL39" s="104" t="n"/>
      <c r="BM39" s="104" t="n"/>
      <c r="BN39" s="104" t="n"/>
      <c r="BO39" s="104" t="n"/>
      <c r="BP39" s="104" t="n"/>
      <c r="BQ39" s="104" t="n"/>
      <c r="BR39" s="104" t="n"/>
      <c r="BS39" s="104" t="n"/>
      <c r="BT39" s="104" t="n"/>
      <c r="BU39" s="104" t="n"/>
      <c r="BV39" s="104" t="n"/>
      <c r="BW39" s="104" t="n"/>
    </row>
    <row r="40" ht="20" customHeight="1">
      <c r="B40" s="100" t="n">
        <v>34</v>
      </c>
      <c r="C40" s="65" t="n"/>
      <c r="D40" s="65" t="n"/>
      <c r="E40" s="65" t="n"/>
      <c r="F40" s="65" t="n"/>
      <c r="G40" s="101" t="n"/>
      <c r="H40" s="101" t="n"/>
      <c r="I40" s="81" t="n"/>
      <c r="J40" s="102">
        <f>IF(OR(D40="",ProjStart=""),"",MAX(ProjStart,IF(I40&lt;&gt;"",I40,0),IF(H40="",0,IFERROR(INDEX($L$6:L39,MATCH(H40,$B$6:B39,0))+1,0))))</f>
        <v/>
      </c>
      <c r="K40" s="101" t="n"/>
      <c r="L40" s="102">
        <f>IF(J40="","",J40+MAX(1,G40)+IF(K40="",0,K40)-1)</f>
        <v/>
      </c>
      <c r="M40" s="65" t="n"/>
      <c r="N40" s="81" t="n"/>
      <c r="O40" s="103">
        <f>IF(D40="","",COUNTIF($H$7:$H$156,B40))</f>
        <v/>
      </c>
      <c r="P40" s="72">
        <f>IF(D40="","",IF(AND(H40&lt;&gt;"",H40&gt;=B40),"⚠️ Predecessor must be above",IF(M40="Done","✓ Done",IF(Q40=3,"🔴 Late",IF(M40="In progress","In progress","")))))</f>
        <v/>
      </c>
      <c r="Q40" s="63">
        <f>IF(OR(D40="",L40=""),"",IF(M40="Done",2,IF(AsOf&gt;L40,3,1)))</f>
        <v/>
      </c>
      <c r="R40" s="63">
        <f>IF(OR(E40="",F40=""),0,IF(COUNTIFS($E$7:E40,E40,$F$7:F40,F40)=1,1,0))</f>
        <v/>
      </c>
      <c r="S40" s="63">
        <f>IF(R40=1,E40&amp;"|"&amp;SUMIFS($R$7:R40,$E$7:E40,E40),"")</f>
        <v/>
      </c>
      <c r="T40" s="85">
        <f>IF(Q40="","",IF(Q40=3,L40,IF(OR(M40="Not started",M40=""),J40,"")))</f>
        <v/>
      </c>
      <c r="U40" s="63">
        <f>IF(T40="","",IF(Q40=3,1,IF(T40="","",IF(T40&lt;AsOf,1,IF(T40&lt;=AsOf+AlertDays,2,IF(T40&lt;=AsOf+2*AlertDays,3,""))))))</f>
        <v/>
      </c>
      <c r="V40" s="63">
        <f>IF(U40="","",IF(Q40=3,"Late task: "&amp;D40,IF(T40&lt;AsOf,"Should have started: ","Starts soon: ")&amp;D40)&amp;IF(F40="",""," — "&amp;F40))</f>
        <v/>
      </c>
      <c r="X40" s="104" t="n"/>
      <c r="Y40" s="104" t="n"/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4" t="n"/>
      <c r="AI40" s="104" t="n"/>
      <c r="AJ40" s="104" t="n"/>
      <c r="AK40" s="104" t="n"/>
      <c r="AL40" s="104" t="n"/>
      <c r="AM40" s="104" t="n"/>
      <c r="AN40" s="104" t="n"/>
      <c r="AO40" s="104" t="n"/>
      <c r="AP40" s="104" t="n"/>
      <c r="AQ40" s="104" t="n"/>
      <c r="AR40" s="104" t="n"/>
      <c r="AS40" s="104" t="n"/>
      <c r="AT40" s="104" t="n"/>
      <c r="AU40" s="104" t="n"/>
      <c r="AV40" s="104" t="n"/>
      <c r="AW40" s="104" t="n"/>
      <c r="AX40" s="104" t="n"/>
      <c r="AY40" s="104" t="n"/>
      <c r="AZ40" s="104" t="n"/>
      <c r="BA40" s="104" t="n"/>
      <c r="BB40" s="104" t="n"/>
      <c r="BC40" s="104" t="n"/>
      <c r="BD40" s="104" t="n"/>
      <c r="BE40" s="104" t="n"/>
      <c r="BF40" s="104" t="n"/>
      <c r="BG40" s="104" t="n"/>
      <c r="BH40" s="104" t="n"/>
      <c r="BI40" s="104" t="n"/>
      <c r="BJ40" s="104" t="n"/>
      <c r="BK40" s="104" t="n"/>
      <c r="BL40" s="104" t="n"/>
      <c r="BM40" s="104" t="n"/>
      <c r="BN40" s="104" t="n"/>
      <c r="BO40" s="104" t="n"/>
      <c r="BP40" s="104" t="n"/>
      <c r="BQ40" s="104" t="n"/>
      <c r="BR40" s="104" t="n"/>
      <c r="BS40" s="104" t="n"/>
      <c r="BT40" s="104" t="n"/>
      <c r="BU40" s="104" t="n"/>
      <c r="BV40" s="104" t="n"/>
      <c r="BW40" s="104" t="n"/>
    </row>
    <row r="41" ht="20" customHeight="1">
      <c r="B41" s="100" t="n">
        <v>35</v>
      </c>
      <c r="C41" s="65" t="n"/>
      <c r="D41" s="65" t="n"/>
      <c r="E41" s="65" t="n"/>
      <c r="F41" s="65" t="n"/>
      <c r="G41" s="101" t="n"/>
      <c r="H41" s="101" t="n"/>
      <c r="I41" s="81" t="n"/>
      <c r="J41" s="102">
        <f>IF(OR(D41="",ProjStart=""),"",MAX(ProjStart,IF(I41&lt;&gt;"",I41,0),IF(H41="",0,IFERROR(INDEX($L$6:L40,MATCH(H41,$B$6:B40,0))+1,0))))</f>
        <v/>
      </c>
      <c r="K41" s="101" t="n"/>
      <c r="L41" s="102">
        <f>IF(J41="","",J41+MAX(1,G41)+IF(K41="",0,K41)-1)</f>
        <v/>
      </c>
      <c r="M41" s="65" t="n"/>
      <c r="N41" s="81" t="n"/>
      <c r="O41" s="103">
        <f>IF(D41="","",COUNTIF($H$7:$H$156,B41))</f>
        <v/>
      </c>
      <c r="P41" s="72">
        <f>IF(D41="","",IF(AND(H41&lt;&gt;"",H41&gt;=B41),"⚠️ Predecessor must be above",IF(M41="Done","✓ Done",IF(Q41=3,"🔴 Late",IF(M41="In progress","In progress","")))))</f>
        <v/>
      </c>
      <c r="Q41" s="63">
        <f>IF(OR(D41="",L41=""),"",IF(M41="Done",2,IF(AsOf&gt;L41,3,1)))</f>
        <v/>
      </c>
      <c r="R41" s="63">
        <f>IF(OR(E41="",F41=""),0,IF(COUNTIFS($E$7:E41,E41,$F$7:F41,F41)=1,1,0))</f>
        <v/>
      </c>
      <c r="S41" s="63">
        <f>IF(R41=1,E41&amp;"|"&amp;SUMIFS($R$7:R41,$E$7:E41,E41),"")</f>
        <v/>
      </c>
      <c r="T41" s="85">
        <f>IF(Q41="","",IF(Q41=3,L41,IF(OR(M41="Not started",M41=""),J41,"")))</f>
        <v/>
      </c>
      <c r="U41" s="63">
        <f>IF(T41="","",IF(Q41=3,1,IF(T41="","",IF(T41&lt;AsOf,1,IF(T41&lt;=AsOf+AlertDays,2,IF(T41&lt;=AsOf+2*AlertDays,3,""))))))</f>
        <v/>
      </c>
      <c r="V41" s="63">
        <f>IF(U41="","",IF(Q41=3,"Late task: "&amp;D41,IF(T41&lt;AsOf,"Should have started: ","Starts soon: ")&amp;D41)&amp;IF(F41="",""," — "&amp;F41))</f>
        <v/>
      </c>
      <c r="X41" s="104" t="n"/>
      <c r="Y41" s="104" t="n"/>
      <c r="Z41" s="104" t="n"/>
      <c r="AA41" s="104" t="n"/>
      <c r="AB41" s="104" t="n"/>
      <c r="AC41" s="104" t="n"/>
      <c r="AD41" s="104" t="n"/>
      <c r="AE41" s="104" t="n"/>
      <c r="AF41" s="104" t="n"/>
      <c r="AG41" s="104" t="n"/>
      <c r="AH41" s="104" t="n"/>
      <c r="AI41" s="104" t="n"/>
      <c r="AJ41" s="104" t="n"/>
      <c r="AK41" s="104" t="n"/>
      <c r="AL41" s="104" t="n"/>
      <c r="AM41" s="104" t="n"/>
      <c r="AN41" s="104" t="n"/>
      <c r="AO41" s="104" t="n"/>
      <c r="AP41" s="104" t="n"/>
      <c r="AQ41" s="104" t="n"/>
      <c r="AR41" s="104" t="n"/>
      <c r="AS41" s="104" t="n"/>
      <c r="AT41" s="104" t="n"/>
      <c r="AU41" s="104" t="n"/>
      <c r="AV41" s="104" t="n"/>
      <c r="AW41" s="104" t="n"/>
      <c r="AX41" s="104" t="n"/>
      <c r="AY41" s="104" t="n"/>
      <c r="AZ41" s="104" t="n"/>
      <c r="BA41" s="104" t="n"/>
      <c r="BB41" s="104" t="n"/>
      <c r="BC41" s="104" t="n"/>
      <c r="BD41" s="104" t="n"/>
      <c r="BE41" s="104" t="n"/>
      <c r="BF41" s="104" t="n"/>
      <c r="BG41" s="104" t="n"/>
      <c r="BH41" s="104" t="n"/>
      <c r="BI41" s="104" t="n"/>
      <c r="BJ41" s="104" t="n"/>
      <c r="BK41" s="104" t="n"/>
      <c r="BL41" s="104" t="n"/>
      <c r="BM41" s="104" t="n"/>
      <c r="BN41" s="104" t="n"/>
      <c r="BO41" s="104" t="n"/>
      <c r="BP41" s="104" t="n"/>
      <c r="BQ41" s="104" t="n"/>
      <c r="BR41" s="104" t="n"/>
      <c r="BS41" s="104" t="n"/>
      <c r="BT41" s="104" t="n"/>
      <c r="BU41" s="104" t="n"/>
      <c r="BV41" s="104" t="n"/>
      <c r="BW41" s="104" t="n"/>
    </row>
    <row r="42" ht="20" customHeight="1">
      <c r="B42" s="100" t="n">
        <v>36</v>
      </c>
      <c r="C42" s="65" t="n"/>
      <c r="D42" s="65" t="n"/>
      <c r="E42" s="65" t="n"/>
      <c r="F42" s="65" t="n"/>
      <c r="G42" s="101" t="n"/>
      <c r="H42" s="101" t="n"/>
      <c r="I42" s="81" t="n"/>
      <c r="J42" s="102">
        <f>IF(OR(D42="",ProjStart=""),"",MAX(ProjStart,IF(I42&lt;&gt;"",I42,0),IF(H42="",0,IFERROR(INDEX($L$6:L41,MATCH(H42,$B$6:B41,0))+1,0))))</f>
        <v/>
      </c>
      <c r="K42" s="101" t="n"/>
      <c r="L42" s="102">
        <f>IF(J42="","",J42+MAX(1,G42)+IF(K42="",0,K42)-1)</f>
        <v/>
      </c>
      <c r="M42" s="65" t="n"/>
      <c r="N42" s="81" t="n"/>
      <c r="O42" s="103">
        <f>IF(D42="","",COUNTIF($H$7:$H$156,B42))</f>
        <v/>
      </c>
      <c r="P42" s="72">
        <f>IF(D42="","",IF(AND(H42&lt;&gt;"",H42&gt;=B42),"⚠️ Predecessor must be above",IF(M42="Done","✓ Done",IF(Q42=3,"🔴 Late",IF(M42="In progress","In progress","")))))</f>
        <v/>
      </c>
      <c r="Q42" s="63">
        <f>IF(OR(D42="",L42=""),"",IF(M42="Done",2,IF(AsOf&gt;L42,3,1)))</f>
        <v/>
      </c>
      <c r="R42" s="63">
        <f>IF(OR(E42="",F42=""),0,IF(COUNTIFS($E$7:E42,E42,$F$7:F42,F42)=1,1,0))</f>
        <v/>
      </c>
      <c r="S42" s="63">
        <f>IF(R42=1,E42&amp;"|"&amp;SUMIFS($R$7:R42,$E$7:E42,E42),"")</f>
        <v/>
      </c>
      <c r="T42" s="85">
        <f>IF(Q42="","",IF(Q42=3,L42,IF(OR(M42="Not started",M42=""),J42,"")))</f>
        <v/>
      </c>
      <c r="U42" s="63">
        <f>IF(T42="","",IF(Q42=3,1,IF(T42="","",IF(T42&lt;AsOf,1,IF(T42&lt;=AsOf+AlertDays,2,IF(T42&lt;=AsOf+2*AlertDays,3,""))))))</f>
        <v/>
      </c>
      <c r="V42" s="63">
        <f>IF(U42="","",IF(Q42=3,"Late task: "&amp;D42,IF(T42&lt;AsOf,"Should have started: ","Starts soon: ")&amp;D42)&amp;IF(F42="",""," — "&amp;F42))</f>
        <v/>
      </c>
      <c r="X42" s="104" t="n"/>
      <c r="Y42" s="104" t="n"/>
      <c r="Z42" s="104" t="n"/>
      <c r="AA42" s="104" t="n"/>
      <c r="AB42" s="104" t="n"/>
      <c r="AC42" s="104" t="n"/>
      <c r="AD42" s="104" t="n"/>
      <c r="AE42" s="104" t="n"/>
      <c r="AF42" s="104" t="n"/>
      <c r="AG42" s="104" t="n"/>
      <c r="AH42" s="104" t="n"/>
      <c r="AI42" s="104" t="n"/>
      <c r="AJ42" s="104" t="n"/>
      <c r="AK42" s="104" t="n"/>
      <c r="AL42" s="104" t="n"/>
      <c r="AM42" s="104" t="n"/>
      <c r="AN42" s="104" t="n"/>
      <c r="AO42" s="104" t="n"/>
      <c r="AP42" s="104" t="n"/>
      <c r="AQ42" s="104" t="n"/>
      <c r="AR42" s="104" t="n"/>
      <c r="AS42" s="104" t="n"/>
      <c r="AT42" s="104" t="n"/>
      <c r="AU42" s="104" t="n"/>
      <c r="AV42" s="104" t="n"/>
      <c r="AW42" s="104" t="n"/>
      <c r="AX42" s="104" t="n"/>
      <c r="AY42" s="104" t="n"/>
      <c r="AZ42" s="104" t="n"/>
      <c r="BA42" s="104" t="n"/>
      <c r="BB42" s="104" t="n"/>
      <c r="BC42" s="104" t="n"/>
      <c r="BD42" s="104" t="n"/>
      <c r="BE42" s="104" t="n"/>
      <c r="BF42" s="104" t="n"/>
      <c r="BG42" s="104" t="n"/>
      <c r="BH42" s="104" t="n"/>
      <c r="BI42" s="104" t="n"/>
      <c r="BJ42" s="104" t="n"/>
      <c r="BK42" s="104" t="n"/>
      <c r="BL42" s="104" t="n"/>
      <c r="BM42" s="104" t="n"/>
      <c r="BN42" s="104" t="n"/>
      <c r="BO42" s="104" t="n"/>
      <c r="BP42" s="104" t="n"/>
      <c r="BQ42" s="104" t="n"/>
      <c r="BR42" s="104" t="n"/>
      <c r="BS42" s="104" t="n"/>
      <c r="BT42" s="104" t="n"/>
      <c r="BU42" s="104" t="n"/>
      <c r="BV42" s="104" t="n"/>
      <c r="BW42" s="104" t="n"/>
    </row>
    <row r="43" ht="20" customHeight="1">
      <c r="B43" s="100" t="n">
        <v>37</v>
      </c>
      <c r="C43" s="65" t="n"/>
      <c r="D43" s="65" t="n"/>
      <c r="E43" s="65" t="n"/>
      <c r="F43" s="65" t="n"/>
      <c r="G43" s="101" t="n"/>
      <c r="H43" s="101" t="n"/>
      <c r="I43" s="81" t="n"/>
      <c r="J43" s="102">
        <f>IF(OR(D43="",ProjStart=""),"",MAX(ProjStart,IF(I43&lt;&gt;"",I43,0),IF(H43="",0,IFERROR(INDEX($L$6:L42,MATCH(H43,$B$6:B42,0))+1,0))))</f>
        <v/>
      </c>
      <c r="K43" s="101" t="n"/>
      <c r="L43" s="102">
        <f>IF(J43="","",J43+MAX(1,G43)+IF(K43="",0,K43)-1)</f>
        <v/>
      </c>
      <c r="M43" s="65" t="n"/>
      <c r="N43" s="81" t="n"/>
      <c r="O43" s="103">
        <f>IF(D43="","",COUNTIF($H$7:$H$156,B43))</f>
        <v/>
      </c>
      <c r="P43" s="72">
        <f>IF(D43="","",IF(AND(H43&lt;&gt;"",H43&gt;=B43),"⚠️ Predecessor must be above",IF(M43="Done","✓ Done",IF(Q43=3,"🔴 Late",IF(M43="In progress","In progress","")))))</f>
        <v/>
      </c>
      <c r="Q43" s="63">
        <f>IF(OR(D43="",L43=""),"",IF(M43="Done",2,IF(AsOf&gt;L43,3,1)))</f>
        <v/>
      </c>
      <c r="R43" s="63">
        <f>IF(OR(E43="",F43=""),0,IF(COUNTIFS($E$7:E43,E43,$F$7:F43,F43)=1,1,0))</f>
        <v/>
      </c>
      <c r="S43" s="63">
        <f>IF(R43=1,E43&amp;"|"&amp;SUMIFS($R$7:R43,$E$7:E43,E43),"")</f>
        <v/>
      </c>
      <c r="T43" s="85">
        <f>IF(Q43="","",IF(Q43=3,L43,IF(OR(M43="Not started",M43=""),J43,"")))</f>
        <v/>
      </c>
      <c r="U43" s="63">
        <f>IF(T43="","",IF(Q43=3,1,IF(T43="","",IF(T43&lt;AsOf,1,IF(T43&lt;=AsOf+AlertDays,2,IF(T43&lt;=AsOf+2*AlertDays,3,""))))))</f>
        <v/>
      </c>
      <c r="V43" s="63">
        <f>IF(U43="","",IF(Q43=3,"Late task: "&amp;D43,IF(T43&lt;AsOf,"Should have started: ","Starts soon: ")&amp;D43)&amp;IF(F43="",""," — "&amp;F43))</f>
        <v/>
      </c>
      <c r="X43" s="104" t="n"/>
      <c r="Y43" s="104" t="n"/>
      <c r="Z43" s="104" t="n"/>
      <c r="AA43" s="104" t="n"/>
      <c r="AB43" s="104" t="n"/>
      <c r="AC43" s="104" t="n"/>
      <c r="AD43" s="104" t="n"/>
      <c r="AE43" s="104" t="n"/>
      <c r="AF43" s="104" t="n"/>
      <c r="AG43" s="104" t="n"/>
      <c r="AH43" s="104" t="n"/>
      <c r="AI43" s="104" t="n"/>
      <c r="AJ43" s="104" t="n"/>
      <c r="AK43" s="104" t="n"/>
      <c r="AL43" s="104" t="n"/>
      <c r="AM43" s="104" t="n"/>
      <c r="AN43" s="104" t="n"/>
      <c r="AO43" s="104" t="n"/>
      <c r="AP43" s="104" t="n"/>
      <c r="AQ43" s="104" t="n"/>
      <c r="AR43" s="104" t="n"/>
      <c r="AS43" s="104" t="n"/>
      <c r="AT43" s="104" t="n"/>
      <c r="AU43" s="104" t="n"/>
      <c r="AV43" s="104" t="n"/>
      <c r="AW43" s="104" t="n"/>
      <c r="AX43" s="104" t="n"/>
      <c r="AY43" s="104" t="n"/>
      <c r="AZ43" s="104" t="n"/>
      <c r="BA43" s="104" t="n"/>
      <c r="BB43" s="104" t="n"/>
      <c r="BC43" s="104" t="n"/>
      <c r="BD43" s="104" t="n"/>
      <c r="BE43" s="104" t="n"/>
      <c r="BF43" s="104" t="n"/>
      <c r="BG43" s="104" t="n"/>
      <c r="BH43" s="104" t="n"/>
      <c r="BI43" s="104" t="n"/>
      <c r="BJ43" s="104" t="n"/>
      <c r="BK43" s="104" t="n"/>
      <c r="BL43" s="104" t="n"/>
      <c r="BM43" s="104" t="n"/>
      <c r="BN43" s="104" t="n"/>
      <c r="BO43" s="104" t="n"/>
      <c r="BP43" s="104" t="n"/>
      <c r="BQ43" s="104" t="n"/>
      <c r="BR43" s="104" t="n"/>
      <c r="BS43" s="104" t="n"/>
      <c r="BT43" s="104" t="n"/>
      <c r="BU43" s="104" t="n"/>
      <c r="BV43" s="104" t="n"/>
      <c r="BW43" s="104" t="n"/>
    </row>
    <row r="44" ht="20" customHeight="1">
      <c r="B44" s="100" t="n">
        <v>38</v>
      </c>
      <c r="C44" s="65" t="n"/>
      <c r="D44" s="65" t="n"/>
      <c r="E44" s="65" t="n"/>
      <c r="F44" s="65" t="n"/>
      <c r="G44" s="101" t="n"/>
      <c r="H44" s="101" t="n"/>
      <c r="I44" s="81" t="n"/>
      <c r="J44" s="102">
        <f>IF(OR(D44="",ProjStart=""),"",MAX(ProjStart,IF(I44&lt;&gt;"",I44,0),IF(H44="",0,IFERROR(INDEX($L$6:L43,MATCH(H44,$B$6:B43,0))+1,0))))</f>
        <v/>
      </c>
      <c r="K44" s="101" t="n"/>
      <c r="L44" s="102">
        <f>IF(J44="","",J44+MAX(1,G44)+IF(K44="",0,K44)-1)</f>
        <v/>
      </c>
      <c r="M44" s="65" t="n"/>
      <c r="N44" s="81" t="n"/>
      <c r="O44" s="103">
        <f>IF(D44="","",COUNTIF($H$7:$H$156,B44))</f>
        <v/>
      </c>
      <c r="P44" s="72">
        <f>IF(D44="","",IF(AND(H44&lt;&gt;"",H44&gt;=B44),"⚠️ Predecessor must be above",IF(M44="Done","✓ Done",IF(Q44=3,"🔴 Late",IF(M44="In progress","In progress","")))))</f>
        <v/>
      </c>
      <c r="Q44" s="63">
        <f>IF(OR(D44="",L44=""),"",IF(M44="Done",2,IF(AsOf&gt;L44,3,1)))</f>
        <v/>
      </c>
      <c r="R44" s="63">
        <f>IF(OR(E44="",F44=""),0,IF(COUNTIFS($E$7:E44,E44,$F$7:F44,F44)=1,1,0))</f>
        <v/>
      </c>
      <c r="S44" s="63">
        <f>IF(R44=1,E44&amp;"|"&amp;SUMIFS($R$7:R44,$E$7:E44,E44),"")</f>
        <v/>
      </c>
      <c r="T44" s="85">
        <f>IF(Q44="","",IF(Q44=3,L44,IF(OR(M44="Not started",M44=""),J44,"")))</f>
        <v/>
      </c>
      <c r="U44" s="63">
        <f>IF(T44="","",IF(Q44=3,1,IF(T44="","",IF(T44&lt;AsOf,1,IF(T44&lt;=AsOf+AlertDays,2,IF(T44&lt;=AsOf+2*AlertDays,3,""))))))</f>
        <v/>
      </c>
      <c r="V44" s="63">
        <f>IF(U44="","",IF(Q44=3,"Late task: "&amp;D44,IF(T44&lt;AsOf,"Should have started: ","Starts soon: ")&amp;D44)&amp;IF(F44="",""," — "&amp;F44))</f>
        <v/>
      </c>
      <c r="X44" s="104" t="n"/>
      <c r="Y44" s="104" t="n"/>
      <c r="Z44" s="104" t="n"/>
      <c r="AA44" s="104" t="n"/>
      <c r="AB44" s="104" t="n"/>
      <c r="AC44" s="104" t="n"/>
      <c r="AD44" s="104" t="n"/>
      <c r="AE44" s="104" t="n"/>
      <c r="AF44" s="104" t="n"/>
      <c r="AG44" s="104" t="n"/>
      <c r="AH44" s="104" t="n"/>
      <c r="AI44" s="104" t="n"/>
      <c r="AJ44" s="104" t="n"/>
      <c r="AK44" s="104" t="n"/>
      <c r="AL44" s="104" t="n"/>
      <c r="AM44" s="104" t="n"/>
      <c r="AN44" s="104" t="n"/>
      <c r="AO44" s="104" t="n"/>
      <c r="AP44" s="104" t="n"/>
      <c r="AQ44" s="104" t="n"/>
      <c r="AR44" s="104" t="n"/>
      <c r="AS44" s="104" t="n"/>
      <c r="AT44" s="104" t="n"/>
      <c r="AU44" s="104" t="n"/>
      <c r="AV44" s="104" t="n"/>
      <c r="AW44" s="104" t="n"/>
      <c r="AX44" s="104" t="n"/>
      <c r="AY44" s="104" t="n"/>
      <c r="AZ44" s="104" t="n"/>
      <c r="BA44" s="104" t="n"/>
      <c r="BB44" s="104" t="n"/>
      <c r="BC44" s="104" t="n"/>
      <c r="BD44" s="104" t="n"/>
      <c r="BE44" s="104" t="n"/>
      <c r="BF44" s="104" t="n"/>
      <c r="BG44" s="104" t="n"/>
      <c r="BH44" s="104" t="n"/>
      <c r="BI44" s="104" t="n"/>
      <c r="BJ44" s="104" t="n"/>
      <c r="BK44" s="104" t="n"/>
      <c r="BL44" s="104" t="n"/>
      <c r="BM44" s="104" t="n"/>
      <c r="BN44" s="104" t="n"/>
      <c r="BO44" s="104" t="n"/>
      <c r="BP44" s="104" t="n"/>
      <c r="BQ44" s="104" t="n"/>
      <c r="BR44" s="104" t="n"/>
      <c r="BS44" s="104" t="n"/>
      <c r="BT44" s="104" t="n"/>
      <c r="BU44" s="104" t="n"/>
      <c r="BV44" s="104" t="n"/>
      <c r="BW44" s="104" t="n"/>
    </row>
    <row r="45" ht="20" customHeight="1">
      <c r="B45" s="100" t="n">
        <v>39</v>
      </c>
      <c r="C45" s="65" t="n"/>
      <c r="D45" s="65" t="n"/>
      <c r="E45" s="65" t="n"/>
      <c r="F45" s="65" t="n"/>
      <c r="G45" s="101" t="n"/>
      <c r="H45" s="101" t="n"/>
      <c r="I45" s="81" t="n"/>
      <c r="J45" s="102">
        <f>IF(OR(D45="",ProjStart=""),"",MAX(ProjStart,IF(I45&lt;&gt;"",I45,0),IF(H45="",0,IFERROR(INDEX($L$6:L44,MATCH(H45,$B$6:B44,0))+1,0))))</f>
        <v/>
      </c>
      <c r="K45" s="101" t="n"/>
      <c r="L45" s="102">
        <f>IF(J45="","",J45+MAX(1,G45)+IF(K45="",0,K45)-1)</f>
        <v/>
      </c>
      <c r="M45" s="65" t="n"/>
      <c r="N45" s="81" t="n"/>
      <c r="O45" s="103">
        <f>IF(D45="","",COUNTIF($H$7:$H$156,B45))</f>
        <v/>
      </c>
      <c r="P45" s="72">
        <f>IF(D45="","",IF(AND(H45&lt;&gt;"",H45&gt;=B45),"⚠️ Predecessor must be above",IF(M45="Done","✓ Done",IF(Q45=3,"🔴 Late",IF(M45="In progress","In progress","")))))</f>
        <v/>
      </c>
      <c r="Q45" s="63">
        <f>IF(OR(D45="",L45=""),"",IF(M45="Done",2,IF(AsOf&gt;L45,3,1)))</f>
        <v/>
      </c>
      <c r="R45" s="63">
        <f>IF(OR(E45="",F45=""),0,IF(COUNTIFS($E$7:E45,E45,$F$7:F45,F45)=1,1,0))</f>
        <v/>
      </c>
      <c r="S45" s="63">
        <f>IF(R45=1,E45&amp;"|"&amp;SUMIFS($R$7:R45,$E$7:E45,E45),"")</f>
        <v/>
      </c>
      <c r="T45" s="85">
        <f>IF(Q45="","",IF(Q45=3,L45,IF(OR(M45="Not started",M45=""),J45,"")))</f>
        <v/>
      </c>
      <c r="U45" s="63">
        <f>IF(T45="","",IF(Q45=3,1,IF(T45="","",IF(T45&lt;AsOf,1,IF(T45&lt;=AsOf+AlertDays,2,IF(T45&lt;=AsOf+2*AlertDays,3,""))))))</f>
        <v/>
      </c>
      <c r="V45" s="63">
        <f>IF(U45="","",IF(Q45=3,"Late task: "&amp;D45,IF(T45&lt;AsOf,"Should have started: ","Starts soon: ")&amp;D45)&amp;IF(F45="",""," — "&amp;F45))</f>
        <v/>
      </c>
      <c r="X45" s="104" t="n"/>
      <c r="Y45" s="104" t="n"/>
      <c r="Z45" s="104" t="n"/>
      <c r="AA45" s="104" t="n"/>
      <c r="AB45" s="104" t="n"/>
      <c r="AC45" s="104" t="n"/>
      <c r="AD45" s="104" t="n"/>
      <c r="AE45" s="104" t="n"/>
      <c r="AF45" s="104" t="n"/>
      <c r="AG45" s="104" t="n"/>
      <c r="AH45" s="104" t="n"/>
      <c r="AI45" s="104" t="n"/>
      <c r="AJ45" s="104" t="n"/>
      <c r="AK45" s="104" t="n"/>
      <c r="AL45" s="104" t="n"/>
      <c r="AM45" s="104" t="n"/>
      <c r="AN45" s="104" t="n"/>
      <c r="AO45" s="104" t="n"/>
      <c r="AP45" s="104" t="n"/>
      <c r="AQ45" s="104" t="n"/>
      <c r="AR45" s="104" t="n"/>
      <c r="AS45" s="104" t="n"/>
      <c r="AT45" s="104" t="n"/>
      <c r="AU45" s="104" t="n"/>
      <c r="AV45" s="104" t="n"/>
      <c r="AW45" s="104" t="n"/>
      <c r="AX45" s="104" t="n"/>
      <c r="AY45" s="104" t="n"/>
      <c r="AZ45" s="104" t="n"/>
      <c r="BA45" s="104" t="n"/>
      <c r="BB45" s="104" t="n"/>
      <c r="BC45" s="104" t="n"/>
      <c r="BD45" s="104" t="n"/>
      <c r="BE45" s="104" t="n"/>
      <c r="BF45" s="104" t="n"/>
      <c r="BG45" s="104" t="n"/>
      <c r="BH45" s="104" t="n"/>
      <c r="BI45" s="104" t="n"/>
      <c r="BJ45" s="104" t="n"/>
      <c r="BK45" s="104" t="n"/>
      <c r="BL45" s="104" t="n"/>
      <c r="BM45" s="104" t="n"/>
      <c r="BN45" s="104" t="n"/>
      <c r="BO45" s="104" t="n"/>
      <c r="BP45" s="104" t="n"/>
      <c r="BQ45" s="104" t="n"/>
      <c r="BR45" s="104" t="n"/>
      <c r="BS45" s="104" t="n"/>
      <c r="BT45" s="104" t="n"/>
      <c r="BU45" s="104" t="n"/>
      <c r="BV45" s="104" t="n"/>
      <c r="BW45" s="104" t="n"/>
    </row>
    <row r="46" ht="20" customHeight="1">
      <c r="B46" s="100" t="n">
        <v>40</v>
      </c>
      <c r="C46" s="65" t="n"/>
      <c r="D46" s="65" t="n"/>
      <c r="E46" s="65" t="n"/>
      <c r="F46" s="65" t="n"/>
      <c r="G46" s="101" t="n"/>
      <c r="H46" s="101" t="n"/>
      <c r="I46" s="81" t="n"/>
      <c r="J46" s="102">
        <f>IF(OR(D46="",ProjStart=""),"",MAX(ProjStart,IF(I46&lt;&gt;"",I46,0),IF(H46="",0,IFERROR(INDEX($L$6:L45,MATCH(H46,$B$6:B45,0))+1,0))))</f>
        <v/>
      </c>
      <c r="K46" s="101" t="n"/>
      <c r="L46" s="102">
        <f>IF(J46="","",J46+MAX(1,G46)+IF(K46="",0,K46)-1)</f>
        <v/>
      </c>
      <c r="M46" s="65" t="n"/>
      <c r="N46" s="81" t="n"/>
      <c r="O46" s="103">
        <f>IF(D46="","",COUNTIF($H$7:$H$156,B46))</f>
        <v/>
      </c>
      <c r="P46" s="72">
        <f>IF(D46="","",IF(AND(H46&lt;&gt;"",H46&gt;=B46),"⚠️ Predecessor must be above",IF(M46="Done","✓ Done",IF(Q46=3,"🔴 Late",IF(M46="In progress","In progress","")))))</f>
        <v/>
      </c>
      <c r="Q46" s="63">
        <f>IF(OR(D46="",L46=""),"",IF(M46="Done",2,IF(AsOf&gt;L46,3,1)))</f>
        <v/>
      </c>
      <c r="R46" s="63">
        <f>IF(OR(E46="",F46=""),0,IF(COUNTIFS($E$7:E46,E46,$F$7:F46,F46)=1,1,0))</f>
        <v/>
      </c>
      <c r="S46" s="63">
        <f>IF(R46=1,E46&amp;"|"&amp;SUMIFS($R$7:R46,$E$7:E46,E46),"")</f>
        <v/>
      </c>
      <c r="T46" s="85">
        <f>IF(Q46="","",IF(Q46=3,L46,IF(OR(M46="Not started",M46=""),J46,"")))</f>
        <v/>
      </c>
      <c r="U46" s="63">
        <f>IF(T46="","",IF(Q46=3,1,IF(T46="","",IF(T46&lt;AsOf,1,IF(T46&lt;=AsOf+AlertDays,2,IF(T46&lt;=AsOf+2*AlertDays,3,""))))))</f>
        <v/>
      </c>
      <c r="V46" s="63">
        <f>IF(U46="","",IF(Q46=3,"Late task: "&amp;D46,IF(T46&lt;AsOf,"Should have started: ","Starts soon: ")&amp;D46)&amp;IF(F46="",""," — "&amp;F46))</f>
        <v/>
      </c>
      <c r="X46" s="104" t="n"/>
      <c r="Y46" s="104" t="n"/>
      <c r="Z46" s="104" t="n"/>
      <c r="AA46" s="104" t="n"/>
      <c r="AB46" s="104" t="n"/>
      <c r="AC46" s="104" t="n"/>
      <c r="AD46" s="104" t="n"/>
      <c r="AE46" s="104" t="n"/>
      <c r="AF46" s="104" t="n"/>
      <c r="AG46" s="104" t="n"/>
      <c r="AH46" s="104" t="n"/>
      <c r="AI46" s="104" t="n"/>
      <c r="AJ46" s="104" t="n"/>
      <c r="AK46" s="104" t="n"/>
      <c r="AL46" s="104" t="n"/>
      <c r="AM46" s="104" t="n"/>
      <c r="AN46" s="104" t="n"/>
      <c r="AO46" s="104" t="n"/>
      <c r="AP46" s="104" t="n"/>
      <c r="AQ46" s="104" t="n"/>
      <c r="AR46" s="104" t="n"/>
      <c r="AS46" s="104" t="n"/>
      <c r="AT46" s="104" t="n"/>
      <c r="AU46" s="104" t="n"/>
      <c r="AV46" s="104" t="n"/>
      <c r="AW46" s="104" t="n"/>
      <c r="AX46" s="104" t="n"/>
      <c r="AY46" s="104" t="n"/>
      <c r="AZ46" s="104" t="n"/>
      <c r="BA46" s="104" t="n"/>
      <c r="BB46" s="104" t="n"/>
      <c r="BC46" s="104" t="n"/>
      <c r="BD46" s="104" t="n"/>
      <c r="BE46" s="104" t="n"/>
      <c r="BF46" s="104" t="n"/>
      <c r="BG46" s="104" t="n"/>
      <c r="BH46" s="104" t="n"/>
      <c r="BI46" s="104" t="n"/>
      <c r="BJ46" s="104" t="n"/>
      <c r="BK46" s="104" t="n"/>
      <c r="BL46" s="104" t="n"/>
      <c r="BM46" s="104" t="n"/>
      <c r="BN46" s="104" t="n"/>
      <c r="BO46" s="104" t="n"/>
      <c r="BP46" s="104" t="n"/>
      <c r="BQ46" s="104" t="n"/>
      <c r="BR46" s="104" t="n"/>
      <c r="BS46" s="104" t="n"/>
      <c r="BT46" s="104" t="n"/>
      <c r="BU46" s="104" t="n"/>
      <c r="BV46" s="104" t="n"/>
      <c r="BW46" s="104" t="n"/>
    </row>
    <row r="47" ht="20" customHeight="1">
      <c r="B47" s="100" t="n">
        <v>41</v>
      </c>
      <c r="C47" s="65" t="n"/>
      <c r="D47" s="65" t="n"/>
      <c r="E47" s="65" t="n"/>
      <c r="F47" s="65" t="n"/>
      <c r="G47" s="101" t="n"/>
      <c r="H47" s="101" t="n"/>
      <c r="I47" s="81" t="n"/>
      <c r="J47" s="102">
        <f>IF(OR(D47="",ProjStart=""),"",MAX(ProjStart,IF(I47&lt;&gt;"",I47,0),IF(H47="",0,IFERROR(INDEX($L$6:L46,MATCH(H47,$B$6:B46,0))+1,0))))</f>
        <v/>
      </c>
      <c r="K47" s="101" t="n"/>
      <c r="L47" s="102">
        <f>IF(J47="","",J47+MAX(1,G47)+IF(K47="",0,K47)-1)</f>
        <v/>
      </c>
      <c r="M47" s="65" t="n"/>
      <c r="N47" s="81" t="n"/>
      <c r="O47" s="103">
        <f>IF(D47="","",COUNTIF($H$7:$H$156,B47))</f>
        <v/>
      </c>
      <c r="P47" s="72">
        <f>IF(D47="","",IF(AND(H47&lt;&gt;"",H47&gt;=B47),"⚠️ Predecessor must be above",IF(M47="Done","✓ Done",IF(Q47=3,"🔴 Late",IF(M47="In progress","In progress","")))))</f>
        <v/>
      </c>
      <c r="Q47" s="63">
        <f>IF(OR(D47="",L47=""),"",IF(M47="Done",2,IF(AsOf&gt;L47,3,1)))</f>
        <v/>
      </c>
      <c r="R47" s="63">
        <f>IF(OR(E47="",F47=""),0,IF(COUNTIFS($E$7:E47,E47,$F$7:F47,F47)=1,1,0))</f>
        <v/>
      </c>
      <c r="S47" s="63">
        <f>IF(R47=1,E47&amp;"|"&amp;SUMIFS($R$7:R47,$E$7:E47,E47),"")</f>
        <v/>
      </c>
      <c r="T47" s="85">
        <f>IF(Q47="","",IF(Q47=3,L47,IF(OR(M47="Not started",M47=""),J47,"")))</f>
        <v/>
      </c>
      <c r="U47" s="63">
        <f>IF(T47="","",IF(Q47=3,1,IF(T47="","",IF(T47&lt;AsOf,1,IF(T47&lt;=AsOf+AlertDays,2,IF(T47&lt;=AsOf+2*AlertDays,3,""))))))</f>
        <v/>
      </c>
      <c r="V47" s="63">
        <f>IF(U47="","",IF(Q47=3,"Late task: "&amp;D47,IF(T47&lt;AsOf,"Should have started: ","Starts soon: ")&amp;D47)&amp;IF(F47="",""," — "&amp;F47))</f>
        <v/>
      </c>
      <c r="X47" s="104" t="n"/>
      <c r="Y47" s="104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4" t="n"/>
      <c r="AI47" s="104" t="n"/>
      <c r="AJ47" s="104" t="n"/>
      <c r="AK47" s="104" t="n"/>
      <c r="AL47" s="104" t="n"/>
      <c r="AM47" s="104" t="n"/>
      <c r="AN47" s="104" t="n"/>
      <c r="AO47" s="104" t="n"/>
      <c r="AP47" s="104" t="n"/>
      <c r="AQ47" s="104" t="n"/>
      <c r="AR47" s="104" t="n"/>
      <c r="AS47" s="104" t="n"/>
      <c r="AT47" s="104" t="n"/>
      <c r="AU47" s="104" t="n"/>
      <c r="AV47" s="104" t="n"/>
      <c r="AW47" s="104" t="n"/>
      <c r="AX47" s="104" t="n"/>
      <c r="AY47" s="104" t="n"/>
      <c r="AZ47" s="104" t="n"/>
      <c r="BA47" s="104" t="n"/>
      <c r="BB47" s="104" t="n"/>
      <c r="BC47" s="104" t="n"/>
      <c r="BD47" s="104" t="n"/>
      <c r="BE47" s="104" t="n"/>
      <c r="BF47" s="104" t="n"/>
      <c r="BG47" s="104" t="n"/>
      <c r="BH47" s="104" t="n"/>
      <c r="BI47" s="104" t="n"/>
      <c r="BJ47" s="104" t="n"/>
      <c r="BK47" s="104" t="n"/>
      <c r="BL47" s="104" t="n"/>
      <c r="BM47" s="104" t="n"/>
      <c r="BN47" s="104" t="n"/>
      <c r="BO47" s="104" t="n"/>
      <c r="BP47" s="104" t="n"/>
      <c r="BQ47" s="104" t="n"/>
      <c r="BR47" s="104" t="n"/>
      <c r="BS47" s="104" t="n"/>
      <c r="BT47" s="104" t="n"/>
      <c r="BU47" s="104" t="n"/>
      <c r="BV47" s="104" t="n"/>
      <c r="BW47" s="104" t="n"/>
    </row>
    <row r="48" ht="20" customHeight="1">
      <c r="B48" s="100" t="n">
        <v>42</v>
      </c>
      <c r="C48" s="65" t="n"/>
      <c r="D48" s="65" t="n"/>
      <c r="E48" s="65" t="n"/>
      <c r="F48" s="65" t="n"/>
      <c r="G48" s="101" t="n"/>
      <c r="H48" s="101" t="n"/>
      <c r="I48" s="81" t="n"/>
      <c r="J48" s="102">
        <f>IF(OR(D48="",ProjStart=""),"",MAX(ProjStart,IF(I48&lt;&gt;"",I48,0),IF(H48="",0,IFERROR(INDEX($L$6:L47,MATCH(H48,$B$6:B47,0))+1,0))))</f>
        <v/>
      </c>
      <c r="K48" s="101" t="n"/>
      <c r="L48" s="102">
        <f>IF(J48="","",J48+MAX(1,G48)+IF(K48="",0,K48)-1)</f>
        <v/>
      </c>
      <c r="M48" s="65" t="n"/>
      <c r="N48" s="81" t="n"/>
      <c r="O48" s="103">
        <f>IF(D48="","",COUNTIF($H$7:$H$156,B48))</f>
        <v/>
      </c>
      <c r="P48" s="72">
        <f>IF(D48="","",IF(AND(H48&lt;&gt;"",H48&gt;=B48),"⚠️ Predecessor must be above",IF(M48="Done","✓ Done",IF(Q48=3,"🔴 Late",IF(M48="In progress","In progress","")))))</f>
        <v/>
      </c>
      <c r="Q48" s="63">
        <f>IF(OR(D48="",L48=""),"",IF(M48="Done",2,IF(AsOf&gt;L48,3,1)))</f>
        <v/>
      </c>
      <c r="R48" s="63">
        <f>IF(OR(E48="",F48=""),0,IF(COUNTIFS($E$7:E48,E48,$F$7:F48,F48)=1,1,0))</f>
        <v/>
      </c>
      <c r="S48" s="63">
        <f>IF(R48=1,E48&amp;"|"&amp;SUMIFS($R$7:R48,$E$7:E48,E48),"")</f>
        <v/>
      </c>
      <c r="T48" s="85">
        <f>IF(Q48="","",IF(Q48=3,L48,IF(OR(M48="Not started",M48=""),J48,"")))</f>
        <v/>
      </c>
      <c r="U48" s="63">
        <f>IF(T48="","",IF(Q48=3,1,IF(T48="","",IF(T48&lt;AsOf,1,IF(T48&lt;=AsOf+AlertDays,2,IF(T48&lt;=AsOf+2*AlertDays,3,""))))))</f>
        <v/>
      </c>
      <c r="V48" s="63">
        <f>IF(U48="","",IF(Q48=3,"Late task: "&amp;D48,IF(T48&lt;AsOf,"Should have started: ","Starts soon: ")&amp;D48)&amp;IF(F48="",""," — "&amp;F48))</f>
        <v/>
      </c>
      <c r="X48" s="104" t="n"/>
      <c r="Y48" s="104" t="n"/>
      <c r="Z48" s="104" t="n"/>
      <c r="AA48" s="104" t="n"/>
      <c r="AB48" s="104" t="n"/>
      <c r="AC48" s="104" t="n"/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  <c r="AS48" s="104" t="n"/>
      <c r="AT48" s="104" t="n"/>
      <c r="AU48" s="104" t="n"/>
      <c r="AV48" s="104" t="n"/>
      <c r="AW48" s="104" t="n"/>
      <c r="AX48" s="104" t="n"/>
      <c r="AY48" s="104" t="n"/>
      <c r="AZ48" s="104" t="n"/>
      <c r="BA48" s="104" t="n"/>
      <c r="BB48" s="104" t="n"/>
      <c r="BC48" s="104" t="n"/>
      <c r="BD48" s="104" t="n"/>
      <c r="BE48" s="104" t="n"/>
      <c r="BF48" s="104" t="n"/>
      <c r="BG48" s="104" t="n"/>
      <c r="BH48" s="104" t="n"/>
      <c r="BI48" s="104" t="n"/>
      <c r="BJ48" s="104" t="n"/>
      <c r="BK48" s="104" t="n"/>
      <c r="BL48" s="104" t="n"/>
      <c r="BM48" s="104" t="n"/>
      <c r="BN48" s="104" t="n"/>
      <c r="BO48" s="104" t="n"/>
      <c r="BP48" s="104" t="n"/>
      <c r="BQ48" s="104" t="n"/>
      <c r="BR48" s="104" t="n"/>
      <c r="BS48" s="104" t="n"/>
      <c r="BT48" s="104" t="n"/>
      <c r="BU48" s="104" t="n"/>
      <c r="BV48" s="104" t="n"/>
      <c r="BW48" s="104" t="n"/>
    </row>
    <row r="49" ht="20" customHeight="1">
      <c r="B49" s="100" t="n">
        <v>43</v>
      </c>
      <c r="C49" s="65" t="n"/>
      <c r="D49" s="65" t="n"/>
      <c r="E49" s="65" t="n"/>
      <c r="F49" s="65" t="n"/>
      <c r="G49" s="101" t="n"/>
      <c r="H49" s="101" t="n"/>
      <c r="I49" s="81" t="n"/>
      <c r="J49" s="102">
        <f>IF(OR(D49="",ProjStart=""),"",MAX(ProjStart,IF(I49&lt;&gt;"",I49,0),IF(H49="",0,IFERROR(INDEX($L$6:L48,MATCH(H49,$B$6:B48,0))+1,0))))</f>
        <v/>
      </c>
      <c r="K49" s="101" t="n"/>
      <c r="L49" s="102">
        <f>IF(J49="","",J49+MAX(1,G49)+IF(K49="",0,K49)-1)</f>
        <v/>
      </c>
      <c r="M49" s="65" t="n"/>
      <c r="N49" s="81" t="n"/>
      <c r="O49" s="103">
        <f>IF(D49="","",COUNTIF($H$7:$H$156,B49))</f>
        <v/>
      </c>
      <c r="P49" s="72">
        <f>IF(D49="","",IF(AND(H49&lt;&gt;"",H49&gt;=B49),"⚠️ Predecessor must be above",IF(M49="Done","✓ Done",IF(Q49=3,"🔴 Late",IF(M49="In progress","In progress","")))))</f>
        <v/>
      </c>
      <c r="Q49" s="63">
        <f>IF(OR(D49="",L49=""),"",IF(M49="Done",2,IF(AsOf&gt;L49,3,1)))</f>
        <v/>
      </c>
      <c r="R49" s="63">
        <f>IF(OR(E49="",F49=""),0,IF(COUNTIFS($E$7:E49,E49,$F$7:F49,F49)=1,1,0))</f>
        <v/>
      </c>
      <c r="S49" s="63">
        <f>IF(R49=1,E49&amp;"|"&amp;SUMIFS($R$7:R49,$E$7:E49,E49),"")</f>
        <v/>
      </c>
      <c r="T49" s="85">
        <f>IF(Q49="","",IF(Q49=3,L49,IF(OR(M49="Not started",M49=""),J49,"")))</f>
        <v/>
      </c>
      <c r="U49" s="63">
        <f>IF(T49="","",IF(Q49=3,1,IF(T49="","",IF(T49&lt;AsOf,1,IF(T49&lt;=AsOf+AlertDays,2,IF(T49&lt;=AsOf+2*AlertDays,3,""))))))</f>
        <v/>
      </c>
      <c r="V49" s="63">
        <f>IF(U49="","",IF(Q49=3,"Late task: "&amp;D49,IF(T49&lt;AsOf,"Should have started: ","Starts soon: ")&amp;D49)&amp;IF(F49="",""," — "&amp;F49))</f>
        <v/>
      </c>
      <c r="X49" s="104" t="n"/>
      <c r="Y49" s="104" t="n"/>
      <c r="Z49" s="104" t="n"/>
      <c r="AA49" s="104" t="n"/>
      <c r="AB49" s="104" t="n"/>
      <c r="AC49" s="104" t="n"/>
      <c r="AD49" s="104" t="n"/>
      <c r="AE49" s="104" t="n"/>
      <c r="AF49" s="104" t="n"/>
      <c r="AG49" s="104" t="n"/>
      <c r="AH49" s="104" t="n"/>
      <c r="AI49" s="104" t="n"/>
      <c r="AJ49" s="104" t="n"/>
      <c r="AK49" s="104" t="n"/>
      <c r="AL49" s="104" t="n"/>
      <c r="AM49" s="104" t="n"/>
      <c r="AN49" s="104" t="n"/>
      <c r="AO49" s="104" t="n"/>
      <c r="AP49" s="104" t="n"/>
      <c r="AQ49" s="104" t="n"/>
      <c r="AR49" s="104" t="n"/>
      <c r="AS49" s="104" t="n"/>
      <c r="AT49" s="104" t="n"/>
      <c r="AU49" s="104" t="n"/>
      <c r="AV49" s="104" t="n"/>
      <c r="AW49" s="104" t="n"/>
      <c r="AX49" s="104" t="n"/>
      <c r="AY49" s="104" t="n"/>
      <c r="AZ49" s="104" t="n"/>
      <c r="BA49" s="104" t="n"/>
      <c r="BB49" s="104" t="n"/>
      <c r="BC49" s="104" t="n"/>
      <c r="BD49" s="104" t="n"/>
      <c r="BE49" s="104" t="n"/>
      <c r="BF49" s="104" t="n"/>
      <c r="BG49" s="104" t="n"/>
      <c r="BH49" s="104" t="n"/>
      <c r="BI49" s="104" t="n"/>
      <c r="BJ49" s="104" t="n"/>
      <c r="BK49" s="104" t="n"/>
      <c r="BL49" s="104" t="n"/>
      <c r="BM49" s="104" t="n"/>
      <c r="BN49" s="104" t="n"/>
      <c r="BO49" s="104" t="n"/>
      <c r="BP49" s="104" t="n"/>
      <c r="BQ49" s="104" t="n"/>
      <c r="BR49" s="104" t="n"/>
      <c r="BS49" s="104" t="n"/>
      <c r="BT49" s="104" t="n"/>
      <c r="BU49" s="104" t="n"/>
      <c r="BV49" s="104" t="n"/>
      <c r="BW49" s="104" t="n"/>
    </row>
    <row r="50" ht="20" customHeight="1">
      <c r="B50" s="100" t="n">
        <v>44</v>
      </c>
      <c r="C50" s="65" t="n"/>
      <c r="D50" s="65" t="n"/>
      <c r="E50" s="65" t="n"/>
      <c r="F50" s="65" t="n"/>
      <c r="G50" s="101" t="n"/>
      <c r="H50" s="101" t="n"/>
      <c r="I50" s="81" t="n"/>
      <c r="J50" s="102">
        <f>IF(OR(D50="",ProjStart=""),"",MAX(ProjStart,IF(I50&lt;&gt;"",I50,0),IF(H50="",0,IFERROR(INDEX($L$6:L49,MATCH(H50,$B$6:B49,0))+1,0))))</f>
        <v/>
      </c>
      <c r="K50" s="101" t="n"/>
      <c r="L50" s="102">
        <f>IF(J50="","",J50+MAX(1,G50)+IF(K50="",0,K50)-1)</f>
        <v/>
      </c>
      <c r="M50" s="65" t="n"/>
      <c r="N50" s="81" t="n"/>
      <c r="O50" s="103">
        <f>IF(D50="","",COUNTIF($H$7:$H$156,B50))</f>
        <v/>
      </c>
      <c r="P50" s="72">
        <f>IF(D50="","",IF(AND(H50&lt;&gt;"",H50&gt;=B50),"⚠️ Predecessor must be above",IF(M50="Done","✓ Done",IF(Q50=3,"🔴 Late",IF(M50="In progress","In progress","")))))</f>
        <v/>
      </c>
      <c r="Q50" s="63">
        <f>IF(OR(D50="",L50=""),"",IF(M50="Done",2,IF(AsOf&gt;L50,3,1)))</f>
        <v/>
      </c>
      <c r="R50" s="63">
        <f>IF(OR(E50="",F50=""),0,IF(COUNTIFS($E$7:E50,E50,$F$7:F50,F50)=1,1,0))</f>
        <v/>
      </c>
      <c r="S50" s="63">
        <f>IF(R50=1,E50&amp;"|"&amp;SUMIFS($R$7:R50,$E$7:E50,E50),"")</f>
        <v/>
      </c>
      <c r="T50" s="85">
        <f>IF(Q50="","",IF(Q50=3,L50,IF(OR(M50="Not started",M50=""),J50,"")))</f>
        <v/>
      </c>
      <c r="U50" s="63">
        <f>IF(T50="","",IF(Q50=3,1,IF(T50="","",IF(T50&lt;AsOf,1,IF(T50&lt;=AsOf+AlertDays,2,IF(T50&lt;=AsOf+2*AlertDays,3,""))))))</f>
        <v/>
      </c>
      <c r="V50" s="63">
        <f>IF(U50="","",IF(Q50=3,"Late task: "&amp;D50,IF(T50&lt;AsOf,"Should have started: ","Starts soon: ")&amp;D50)&amp;IF(F50="",""," — "&amp;F50))</f>
        <v/>
      </c>
      <c r="X50" s="104" t="n"/>
      <c r="Y50" s="104" t="n"/>
      <c r="Z50" s="104" t="n"/>
      <c r="AA50" s="104" t="n"/>
      <c r="AB50" s="104" t="n"/>
      <c r="AC50" s="104" t="n"/>
      <c r="AD50" s="104" t="n"/>
      <c r="AE50" s="104" t="n"/>
      <c r="AF50" s="104" t="n"/>
      <c r="AG50" s="104" t="n"/>
      <c r="AH50" s="104" t="n"/>
      <c r="AI50" s="104" t="n"/>
      <c r="AJ50" s="104" t="n"/>
      <c r="AK50" s="104" t="n"/>
      <c r="AL50" s="104" t="n"/>
      <c r="AM50" s="104" t="n"/>
      <c r="AN50" s="104" t="n"/>
      <c r="AO50" s="104" t="n"/>
      <c r="AP50" s="104" t="n"/>
      <c r="AQ50" s="104" t="n"/>
      <c r="AR50" s="104" t="n"/>
      <c r="AS50" s="104" t="n"/>
      <c r="AT50" s="104" t="n"/>
      <c r="AU50" s="104" t="n"/>
      <c r="AV50" s="104" t="n"/>
      <c r="AW50" s="104" t="n"/>
      <c r="AX50" s="104" t="n"/>
      <c r="AY50" s="104" t="n"/>
      <c r="AZ50" s="104" t="n"/>
      <c r="BA50" s="104" t="n"/>
      <c r="BB50" s="104" t="n"/>
      <c r="BC50" s="104" t="n"/>
      <c r="BD50" s="104" t="n"/>
      <c r="BE50" s="104" t="n"/>
      <c r="BF50" s="104" t="n"/>
      <c r="BG50" s="104" t="n"/>
      <c r="BH50" s="104" t="n"/>
      <c r="BI50" s="104" t="n"/>
      <c r="BJ50" s="104" t="n"/>
      <c r="BK50" s="104" t="n"/>
      <c r="BL50" s="104" t="n"/>
      <c r="BM50" s="104" t="n"/>
      <c r="BN50" s="104" t="n"/>
      <c r="BO50" s="104" t="n"/>
      <c r="BP50" s="104" t="n"/>
      <c r="BQ50" s="104" t="n"/>
      <c r="BR50" s="104" t="n"/>
      <c r="BS50" s="104" t="n"/>
      <c r="BT50" s="104" t="n"/>
      <c r="BU50" s="104" t="n"/>
      <c r="BV50" s="104" t="n"/>
      <c r="BW50" s="104" t="n"/>
    </row>
    <row r="51" ht="20" customHeight="1">
      <c r="B51" s="100" t="n">
        <v>45</v>
      </c>
      <c r="C51" s="65" t="n"/>
      <c r="D51" s="65" t="n"/>
      <c r="E51" s="65" t="n"/>
      <c r="F51" s="65" t="n"/>
      <c r="G51" s="101" t="n"/>
      <c r="H51" s="101" t="n"/>
      <c r="I51" s="81" t="n"/>
      <c r="J51" s="102">
        <f>IF(OR(D51="",ProjStart=""),"",MAX(ProjStart,IF(I51&lt;&gt;"",I51,0),IF(H51="",0,IFERROR(INDEX($L$6:L50,MATCH(H51,$B$6:B50,0))+1,0))))</f>
        <v/>
      </c>
      <c r="K51" s="101" t="n"/>
      <c r="L51" s="102">
        <f>IF(J51="","",J51+MAX(1,G51)+IF(K51="",0,K51)-1)</f>
        <v/>
      </c>
      <c r="M51" s="65" t="n"/>
      <c r="N51" s="81" t="n"/>
      <c r="O51" s="103">
        <f>IF(D51="","",COUNTIF($H$7:$H$156,B51))</f>
        <v/>
      </c>
      <c r="P51" s="72">
        <f>IF(D51="","",IF(AND(H51&lt;&gt;"",H51&gt;=B51),"⚠️ Predecessor must be above",IF(M51="Done","✓ Done",IF(Q51=3,"🔴 Late",IF(M51="In progress","In progress","")))))</f>
        <v/>
      </c>
      <c r="Q51" s="63">
        <f>IF(OR(D51="",L51=""),"",IF(M51="Done",2,IF(AsOf&gt;L51,3,1)))</f>
        <v/>
      </c>
      <c r="R51" s="63">
        <f>IF(OR(E51="",F51=""),0,IF(COUNTIFS($E$7:E51,E51,$F$7:F51,F51)=1,1,0))</f>
        <v/>
      </c>
      <c r="S51" s="63">
        <f>IF(R51=1,E51&amp;"|"&amp;SUMIFS($R$7:R51,$E$7:E51,E51),"")</f>
        <v/>
      </c>
      <c r="T51" s="85">
        <f>IF(Q51="","",IF(Q51=3,L51,IF(OR(M51="Not started",M51=""),J51,"")))</f>
        <v/>
      </c>
      <c r="U51" s="63">
        <f>IF(T51="","",IF(Q51=3,1,IF(T51="","",IF(T51&lt;AsOf,1,IF(T51&lt;=AsOf+AlertDays,2,IF(T51&lt;=AsOf+2*AlertDays,3,""))))))</f>
        <v/>
      </c>
      <c r="V51" s="63">
        <f>IF(U51="","",IF(Q51=3,"Late task: "&amp;D51,IF(T51&lt;AsOf,"Should have started: ","Starts soon: ")&amp;D51)&amp;IF(F51="",""," — "&amp;F51))</f>
        <v/>
      </c>
      <c r="X51" s="104" t="n"/>
      <c r="Y51" s="104" t="n"/>
      <c r="Z51" s="104" t="n"/>
      <c r="AA51" s="104" t="n"/>
      <c r="AB51" s="104" t="n"/>
      <c r="AC51" s="104" t="n"/>
      <c r="AD51" s="104" t="n"/>
      <c r="AE51" s="104" t="n"/>
      <c r="AF51" s="104" t="n"/>
      <c r="AG51" s="104" t="n"/>
      <c r="AH51" s="104" t="n"/>
      <c r="AI51" s="104" t="n"/>
      <c r="AJ51" s="104" t="n"/>
      <c r="AK51" s="104" t="n"/>
      <c r="AL51" s="104" t="n"/>
      <c r="AM51" s="104" t="n"/>
      <c r="AN51" s="104" t="n"/>
      <c r="AO51" s="104" t="n"/>
      <c r="AP51" s="104" t="n"/>
      <c r="AQ51" s="104" t="n"/>
      <c r="AR51" s="104" t="n"/>
      <c r="AS51" s="104" t="n"/>
      <c r="AT51" s="104" t="n"/>
      <c r="AU51" s="104" t="n"/>
      <c r="AV51" s="104" t="n"/>
      <c r="AW51" s="104" t="n"/>
      <c r="AX51" s="104" t="n"/>
      <c r="AY51" s="104" t="n"/>
      <c r="AZ51" s="104" t="n"/>
      <c r="BA51" s="104" t="n"/>
      <c r="BB51" s="104" t="n"/>
      <c r="BC51" s="104" t="n"/>
      <c r="BD51" s="104" t="n"/>
      <c r="BE51" s="104" t="n"/>
      <c r="BF51" s="104" t="n"/>
      <c r="BG51" s="104" t="n"/>
      <c r="BH51" s="104" t="n"/>
      <c r="BI51" s="104" t="n"/>
      <c r="BJ51" s="104" t="n"/>
      <c r="BK51" s="104" t="n"/>
      <c r="BL51" s="104" t="n"/>
      <c r="BM51" s="104" t="n"/>
      <c r="BN51" s="104" t="n"/>
      <c r="BO51" s="104" t="n"/>
      <c r="BP51" s="104" t="n"/>
      <c r="BQ51" s="104" t="n"/>
      <c r="BR51" s="104" t="n"/>
      <c r="BS51" s="104" t="n"/>
      <c r="BT51" s="104" t="n"/>
      <c r="BU51" s="104" t="n"/>
      <c r="BV51" s="104" t="n"/>
      <c r="BW51" s="104" t="n"/>
    </row>
    <row r="52" ht="20" customHeight="1">
      <c r="B52" s="100" t="n">
        <v>46</v>
      </c>
      <c r="C52" s="65" t="n"/>
      <c r="D52" s="65" t="n"/>
      <c r="E52" s="65" t="n"/>
      <c r="F52" s="65" t="n"/>
      <c r="G52" s="101" t="n"/>
      <c r="H52" s="101" t="n"/>
      <c r="I52" s="81" t="n"/>
      <c r="J52" s="102">
        <f>IF(OR(D52="",ProjStart=""),"",MAX(ProjStart,IF(I52&lt;&gt;"",I52,0),IF(H52="",0,IFERROR(INDEX($L$6:L51,MATCH(H52,$B$6:B51,0))+1,0))))</f>
        <v/>
      </c>
      <c r="K52" s="101" t="n"/>
      <c r="L52" s="102">
        <f>IF(J52="","",J52+MAX(1,G52)+IF(K52="",0,K52)-1)</f>
        <v/>
      </c>
      <c r="M52" s="65" t="n"/>
      <c r="N52" s="81" t="n"/>
      <c r="O52" s="103">
        <f>IF(D52="","",COUNTIF($H$7:$H$156,B52))</f>
        <v/>
      </c>
      <c r="P52" s="72">
        <f>IF(D52="","",IF(AND(H52&lt;&gt;"",H52&gt;=B52),"⚠️ Predecessor must be above",IF(M52="Done","✓ Done",IF(Q52=3,"🔴 Late",IF(M52="In progress","In progress","")))))</f>
        <v/>
      </c>
      <c r="Q52" s="63">
        <f>IF(OR(D52="",L52=""),"",IF(M52="Done",2,IF(AsOf&gt;L52,3,1)))</f>
        <v/>
      </c>
      <c r="R52" s="63">
        <f>IF(OR(E52="",F52=""),0,IF(COUNTIFS($E$7:E52,E52,$F$7:F52,F52)=1,1,0))</f>
        <v/>
      </c>
      <c r="S52" s="63">
        <f>IF(R52=1,E52&amp;"|"&amp;SUMIFS($R$7:R52,$E$7:E52,E52),"")</f>
        <v/>
      </c>
      <c r="T52" s="85">
        <f>IF(Q52="","",IF(Q52=3,L52,IF(OR(M52="Not started",M52=""),J52,"")))</f>
        <v/>
      </c>
      <c r="U52" s="63">
        <f>IF(T52="","",IF(Q52=3,1,IF(T52="","",IF(T52&lt;AsOf,1,IF(T52&lt;=AsOf+AlertDays,2,IF(T52&lt;=AsOf+2*AlertDays,3,""))))))</f>
        <v/>
      </c>
      <c r="V52" s="63">
        <f>IF(U52="","",IF(Q52=3,"Late task: "&amp;D52,IF(T52&lt;AsOf,"Should have started: ","Starts soon: ")&amp;D52)&amp;IF(F52="",""," — "&amp;F52))</f>
        <v/>
      </c>
      <c r="X52" s="104" t="n"/>
      <c r="Y52" s="104" t="n"/>
      <c r="Z52" s="104" t="n"/>
      <c r="AA52" s="104" t="n"/>
      <c r="AB52" s="104" t="n"/>
      <c r="AC52" s="104" t="n"/>
      <c r="AD52" s="104" t="n"/>
      <c r="AE52" s="104" t="n"/>
      <c r="AF52" s="104" t="n"/>
      <c r="AG52" s="104" t="n"/>
      <c r="AH52" s="104" t="n"/>
      <c r="AI52" s="104" t="n"/>
      <c r="AJ52" s="104" t="n"/>
      <c r="AK52" s="104" t="n"/>
      <c r="AL52" s="104" t="n"/>
      <c r="AM52" s="104" t="n"/>
      <c r="AN52" s="104" t="n"/>
      <c r="AO52" s="104" t="n"/>
      <c r="AP52" s="104" t="n"/>
      <c r="AQ52" s="104" t="n"/>
      <c r="AR52" s="104" t="n"/>
      <c r="AS52" s="104" t="n"/>
      <c r="AT52" s="104" t="n"/>
      <c r="AU52" s="104" t="n"/>
      <c r="AV52" s="104" t="n"/>
      <c r="AW52" s="104" t="n"/>
      <c r="AX52" s="104" t="n"/>
      <c r="AY52" s="104" t="n"/>
      <c r="AZ52" s="104" t="n"/>
      <c r="BA52" s="104" t="n"/>
      <c r="BB52" s="104" t="n"/>
      <c r="BC52" s="104" t="n"/>
      <c r="BD52" s="104" t="n"/>
      <c r="BE52" s="104" t="n"/>
      <c r="BF52" s="104" t="n"/>
      <c r="BG52" s="104" t="n"/>
      <c r="BH52" s="104" t="n"/>
      <c r="BI52" s="104" t="n"/>
      <c r="BJ52" s="104" t="n"/>
      <c r="BK52" s="104" t="n"/>
      <c r="BL52" s="104" t="n"/>
      <c r="BM52" s="104" t="n"/>
      <c r="BN52" s="104" t="n"/>
      <c r="BO52" s="104" t="n"/>
      <c r="BP52" s="104" t="n"/>
      <c r="BQ52" s="104" t="n"/>
      <c r="BR52" s="104" t="n"/>
      <c r="BS52" s="104" t="n"/>
      <c r="BT52" s="104" t="n"/>
      <c r="BU52" s="104" t="n"/>
      <c r="BV52" s="104" t="n"/>
      <c r="BW52" s="104" t="n"/>
    </row>
    <row r="53" ht="20" customHeight="1">
      <c r="B53" s="100" t="n">
        <v>47</v>
      </c>
      <c r="C53" s="65" t="n"/>
      <c r="D53" s="65" t="n"/>
      <c r="E53" s="65" t="n"/>
      <c r="F53" s="65" t="n"/>
      <c r="G53" s="101" t="n"/>
      <c r="H53" s="101" t="n"/>
      <c r="I53" s="81" t="n"/>
      <c r="J53" s="102">
        <f>IF(OR(D53="",ProjStart=""),"",MAX(ProjStart,IF(I53&lt;&gt;"",I53,0),IF(H53="",0,IFERROR(INDEX($L$6:L52,MATCH(H53,$B$6:B52,0))+1,0))))</f>
        <v/>
      </c>
      <c r="K53" s="101" t="n"/>
      <c r="L53" s="102">
        <f>IF(J53="","",J53+MAX(1,G53)+IF(K53="",0,K53)-1)</f>
        <v/>
      </c>
      <c r="M53" s="65" t="n"/>
      <c r="N53" s="81" t="n"/>
      <c r="O53" s="103">
        <f>IF(D53="","",COUNTIF($H$7:$H$156,B53))</f>
        <v/>
      </c>
      <c r="P53" s="72">
        <f>IF(D53="","",IF(AND(H53&lt;&gt;"",H53&gt;=B53),"⚠️ Predecessor must be above",IF(M53="Done","✓ Done",IF(Q53=3,"🔴 Late",IF(M53="In progress","In progress","")))))</f>
        <v/>
      </c>
      <c r="Q53" s="63">
        <f>IF(OR(D53="",L53=""),"",IF(M53="Done",2,IF(AsOf&gt;L53,3,1)))</f>
        <v/>
      </c>
      <c r="R53" s="63">
        <f>IF(OR(E53="",F53=""),0,IF(COUNTIFS($E$7:E53,E53,$F$7:F53,F53)=1,1,0))</f>
        <v/>
      </c>
      <c r="S53" s="63">
        <f>IF(R53=1,E53&amp;"|"&amp;SUMIFS($R$7:R53,$E$7:E53,E53),"")</f>
        <v/>
      </c>
      <c r="T53" s="85">
        <f>IF(Q53="","",IF(Q53=3,L53,IF(OR(M53="Not started",M53=""),J53,"")))</f>
        <v/>
      </c>
      <c r="U53" s="63">
        <f>IF(T53="","",IF(Q53=3,1,IF(T53="","",IF(T53&lt;AsOf,1,IF(T53&lt;=AsOf+AlertDays,2,IF(T53&lt;=AsOf+2*AlertDays,3,""))))))</f>
        <v/>
      </c>
      <c r="V53" s="63">
        <f>IF(U53="","",IF(Q53=3,"Late task: "&amp;D53,IF(T53&lt;AsOf,"Should have started: ","Starts soon: ")&amp;D53)&amp;IF(F53="",""," — "&amp;F53))</f>
        <v/>
      </c>
      <c r="X53" s="104" t="n"/>
      <c r="Y53" s="104" t="n"/>
      <c r="Z53" s="104" t="n"/>
      <c r="AA53" s="104" t="n"/>
      <c r="AB53" s="104" t="n"/>
      <c r="AC53" s="104" t="n"/>
      <c r="AD53" s="104" t="n"/>
      <c r="AE53" s="104" t="n"/>
      <c r="AF53" s="104" t="n"/>
      <c r="AG53" s="104" t="n"/>
      <c r="AH53" s="104" t="n"/>
      <c r="AI53" s="104" t="n"/>
      <c r="AJ53" s="104" t="n"/>
      <c r="AK53" s="104" t="n"/>
      <c r="AL53" s="104" t="n"/>
      <c r="AM53" s="104" t="n"/>
      <c r="AN53" s="104" t="n"/>
      <c r="AO53" s="104" t="n"/>
      <c r="AP53" s="104" t="n"/>
      <c r="AQ53" s="104" t="n"/>
      <c r="AR53" s="104" t="n"/>
      <c r="AS53" s="104" t="n"/>
      <c r="AT53" s="104" t="n"/>
      <c r="AU53" s="104" t="n"/>
      <c r="AV53" s="104" t="n"/>
      <c r="AW53" s="104" t="n"/>
      <c r="AX53" s="104" t="n"/>
      <c r="AY53" s="104" t="n"/>
      <c r="AZ53" s="104" t="n"/>
      <c r="BA53" s="104" t="n"/>
      <c r="BB53" s="104" t="n"/>
      <c r="BC53" s="104" t="n"/>
      <c r="BD53" s="104" t="n"/>
      <c r="BE53" s="104" t="n"/>
      <c r="BF53" s="104" t="n"/>
      <c r="BG53" s="104" t="n"/>
      <c r="BH53" s="104" t="n"/>
      <c r="BI53" s="104" t="n"/>
      <c r="BJ53" s="104" t="n"/>
      <c r="BK53" s="104" t="n"/>
      <c r="BL53" s="104" t="n"/>
      <c r="BM53" s="104" t="n"/>
      <c r="BN53" s="104" t="n"/>
      <c r="BO53" s="104" t="n"/>
      <c r="BP53" s="104" t="n"/>
      <c r="BQ53" s="104" t="n"/>
      <c r="BR53" s="104" t="n"/>
      <c r="BS53" s="104" t="n"/>
      <c r="BT53" s="104" t="n"/>
      <c r="BU53" s="104" t="n"/>
      <c r="BV53" s="104" t="n"/>
      <c r="BW53" s="104" t="n"/>
    </row>
    <row r="54" ht="20" customHeight="1">
      <c r="B54" s="100" t="n">
        <v>48</v>
      </c>
      <c r="C54" s="65" t="n"/>
      <c r="D54" s="65" t="n"/>
      <c r="E54" s="65" t="n"/>
      <c r="F54" s="65" t="n"/>
      <c r="G54" s="101" t="n"/>
      <c r="H54" s="101" t="n"/>
      <c r="I54" s="81" t="n"/>
      <c r="J54" s="102">
        <f>IF(OR(D54="",ProjStart=""),"",MAX(ProjStart,IF(I54&lt;&gt;"",I54,0),IF(H54="",0,IFERROR(INDEX($L$6:L53,MATCH(H54,$B$6:B53,0))+1,0))))</f>
        <v/>
      </c>
      <c r="K54" s="101" t="n"/>
      <c r="L54" s="102">
        <f>IF(J54="","",J54+MAX(1,G54)+IF(K54="",0,K54)-1)</f>
        <v/>
      </c>
      <c r="M54" s="65" t="n"/>
      <c r="N54" s="81" t="n"/>
      <c r="O54" s="103">
        <f>IF(D54="","",COUNTIF($H$7:$H$156,B54))</f>
        <v/>
      </c>
      <c r="P54" s="72">
        <f>IF(D54="","",IF(AND(H54&lt;&gt;"",H54&gt;=B54),"⚠️ Predecessor must be above",IF(M54="Done","✓ Done",IF(Q54=3,"🔴 Late",IF(M54="In progress","In progress","")))))</f>
        <v/>
      </c>
      <c r="Q54" s="63">
        <f>IF(OR(D54="",L54=""),"",IF(M54="Done",2,IF(AsOf&gt;L54,3,1)))</f>
        <v/>
      </c>
      <c r="R54" s="63">
        <f>IF(OR(E54="",F54=""),0,IF(COUNTIFS($E$7:E54,E54,$F$7:F54,F54)=1,1,0))</f>
        <v/>
      </c>
      <c r="S54" s="63">
        <f>IF(R54=1,E54&amp;"|"&amp;SUMIFS($R$7:R54,$E$7:E54,E54),"")</f>
        <v/>
      </c>
      <c r="T54" s="85">
        <f>IF(Q54="","",IF(Q54=3,L54,IF(OR(M54="Not started",M54=""),J54,"")))</f>
        <v/>
      </c>
      <c r="U54" s="63">
        <f>IF(T54="","",IF(Q54=3,1,IF(T54="","",IF(T54&lt;AsOf,1,IF(T54&lt;=AsOf+AlertDays,2,IF(T54&lt;=AsOf+2*AlertDays,3,""))))))</f>
        <v/>
      </c>
      <c r="V54" s="63">
        <f>IF(U54="","",IF(Q54=3,"Late task: "&amp;D54,IF(T54&lt;AsOf,"Should have started: ","Starts soon: ")&amp;D54)&amp;IF(F54="",""," — "&amp;F54))</f>
        <v/>
      </c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  <c r="AI54" s="104" t="n"/>
      <c r="AJ54" s="104" t="n"/>
      <c r="AK54" s="104" t="n"/>
      <c r="AL54" s="104" t="n"/>
      <c r="AM54" s="104" t="n"/>
      <c r="AN54" s="104" t="n"/>
      <c r="AO54" s="104" t="n"/>
      <c r="AP54" s="104" t="n"/>
      <c r="AQ54" s="104" t="n"/>
      <c r="AR54" s="104" t="n"/>
      <c r="AS54" s="104" t="n"/>
      <c r="AT54" s="104" t="n"/>
      <c r="AU54" s="104" t="n"/>
      <c r="AV54" s="104" t="n"/>
      <c r="AW54" s="104" t="n"/>
      <c r="AX54" s="104" t="n"/>
      <c r="AY54" s="104" t="n"/>
      <c r="AZ54" s="104" t="n"/>
      <c r="BA54" s="104" t="n"/>
      <c r="BB54" s="104" t="n"/>
      <c r="BC54" s="104" t="n"/>
      <c r="BD54" s="104" t="n"/>
      <c r="BE54" s="104" t="n"/>
      <c r="BF54" s="104" t="n"/>
      <c r="BG54" s="104" t="n"/>
      <c r="BH54" s="104" t="n"/>
      <c r="BI54" s="104" t="n"/>
      <c r="BJ54" s="104" t="n"/>
      <c r="BK54" s="104" t="n"/>
      <c r="BL54" s="104" t="n"/>
      <c r="BM54" s="104" t="n"/>
      <c r="BN54" s="104" t="n"/>
      <c r="BO54" s="104" t="n"/>
      <c r="BP54" s="104" t="n"/>
      <c r="BQ54" s="104" t="n"/>
      <c r="BR54" s="104" t="n"/>
      <c r="BS54" s="104" t="n"/>
      <c r="BT54" s="104" t="n"/>
      <c r="BU54" s="104" t="n"/>
      <c r="BV54" s="104" t="n"/>
      <c r="BW54" s="104" t="n"/>
    </row>
    <row r="55" ht="20" customHeight="1">
      <c r="B55" s="100" t="n">
        <v>49</v>
      </c>
      <c r="C55" s="65" t="n"/>
      <c r="D55" s="65" t="n"/>
      <c r="E55" s="65" t="n"/>
      <c r="F55" s="65" t="n"/>
      <c r="G55" s="101" t="n"/>
      <c r="H55" s="101" t="n"/>
      <c r="I55" s="81" t="n"/>
      <c r="J55" s="102">
        <f>IF(OR(D55="",ProjStart=""),"",MAX(ProjStart,IF(I55&lt;&gt;"",I55,0),IF(H55="",0,IFERROR(INDEX($L$6:L54,MATCH(H55,$B$6:B54,0))+1,0))))</f>
        <v/>
      </c>
      <c r="K55" s="101" t="n"/>
      <c r="L55" s="102">
        <f>IF(J55="","",J55+MAX(1,G55)+IF(K55="",0,K55)-1)</f>
        <v/>
      </c>
      <c r="M55" s="65" t="n"/>
      <c r="N55" s="81" t="n"/>
      <c r="O55" s="103">
        <f>IF(D55="","",COUNTIF($H$7:$H$156,B55))</f>
        <v/>
      </c>
      <c r="P55" s="72">
        <f>IF(D55="","",IF(AND(H55&lt;&gt;"",H55&gt;=B55),"⚠️ Predecessor must be above",IF(M55="Done","✓ Done",IF(Q55=3,"🔴 Late",IF(M55="In progress","In progress","")))))</f>
        <v/>
      </c>
      <c r="Q55" s="63">
        <f>IF(OR(D55="",L55=""),"",IF(M55="Done",2,IF(AsOf&gt;L55,3,1)))</f>
        <v/>
      </c>
      <c r="R55" s="63">
        <f>IF(OR(E55="",F55=""),0,IF(COUNTIFS($E$7:E55,E55,$F$7:F55,F55)=1,1,0))</f>
        <v/>
      </c>
      <c r="S55" s="63">
        <f>IF(R55=1,E55&amp;"|"&amp;SUMIFS($R$7:R55,$E$7:E55,E55),"")</f>
        <v/>
      </c>
      <c r="T55" s="85">
        <f>IF(Q55="","",IF(Q55=3,L55,IF(OR(M55="Not started",M55=""),J55,"")))</f>
        <v/>
      </c>
      <c r="U55" s="63">
        <f>IF(T55="","",IF(Q55=3,1,IF(T55="","",IF(T55&lt;AsOf,1,IF(T55&lt;=AsOf+AlertDays,2,IF(T55&lt;=AsOf+2*AlertDays,3,""))))))</f>
        <v/>
      </c>
      <c r="V55" s="63">
        <f>IF(U55="","",IF(Q55=3,"Late task: "&amp;D55,IF(T55&lt;AsOf,"Should have started: ","Starts soon: ")&amp;D55)&amp;IF(F55="",""," — "&amp;F55))</f>
        <v/>
      </c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</row>
    <row r="56" ht="20" customHeight="1">
      <c r="B56" s="100" t="n">
        <v>50</v>
      </c>
      <c r="C56" s="65" t="n"/>
      <c r="D56" s="65" t="n"/>
      <c r="E56" s="65" t="n"/>
      <c r="F56" s="65" t="n"/>
      <c r="G56" s="101" t="n"/>
      <c r="H56" s="101" t="n"/>
      <c r="I56" s="81" t="n"/>
      <c r="J56" s="102">
        <f>IF(OR(D56="",ProjStart=""),"",MAX(ProjStart,IF(I56&lt;&gt;"",I56,0),IF(H56="",0,IFERROR(INDEX($L$6:L55,MATCH(H56,$B$6:B55,0))+1,0))))</f>
        <v/>
      </c>
      <c r="K56" s="101" t="n"/>
      <c r="L56" s="102">
        <f>IF(J56="","",J56+MAX(1,G56)+IF(K56="",0,K56)-1)</f>
        <v/>
      </c>
      <c r="M56" s="65" t="n"/>
      <c r="N56" s="81" t="n"/>
      <c r="O56" s="103">
        <f>IF(D56="","",COUNTIF($H$7:$H$156,B56))</f>
        <v/>
      </c>
      <c r="P56" s="72">
        <f>IF(D56="","",IF(AND(H56&lt;&gt;"",H56&gt;=B56),"⚠️ Predecessor must be above",IF(M56="Done","✓ Done",IF(Q56=3,"🔴 Late",IF(M56="In progress","In progress","")))))</f>
        <v/>
      </c>
      <c r="Q56" s="63">
        <f>IF(OR(D56="",L56=""),"",IF(M56="Done",2,IF(AsOf&gt;L56,3,1)))</f>
        <v/>
      </c>
      <c r="R56" s="63">
        <f>IF(OR(E56="",F56=""),0,IF(COUNTIFS($E$7:E56,E56,$F$7:F56,F56)=1,1,0))</f>
        <v/>
      </c>
      <c r="S56" s="63">
        <f>IF(R56=1,E56&amp;"|"&amp;SUMIFS($R$7:R56,$E$7:E56,E56),"")</f>
        <v/>
      </c>
      <c r="T56" s="85">
        <f>IF(Q56="","",IF(Q56=3,L56,IF(OR(M56="Not started",M56=""),J56,"")))</f>
        <v/>
      </c>
      <c r="U56" s="63">
        <f>IF(T56="","",IF(Q56=3,1,IF(T56="","",IF(T56&lt;AsOf,1,IF(T56&lt;=AsOf+AlertDays,2,IF(T56&lt;=AsOf+2*AlertDays,3,""))))))</f>
        <v/>
      </c>
      <c r="V56" s="63">
        <f>IF(U56="","",IF(Q56=3,"Late task: "&amp;D56,IF(T56&lt;AsOf,"Should have started: ","Starts soon: ")&amp;D56)&amp;IF(F56="",""," — "&amp;F56))</f>
        <v/>
      </c>
      <c r="X56" s="104" t="n"/>
      <c r="Y56" s="104" t="n"/>
      <c r="Z56" s="104" t="n"/>
      <c r="AA56" s="104" t="n"/>
      <c r="AB56" s="104" t="n"/>
      <c r="AC56" s="104" t="n"/>
      <c r="AD56" s="104" t="n"/>
      <c r="AE56" s="104" t="n"/>
      <c r="AF56" s="104" t="n"/>
      <c r="AG56" s="104" t="n"/>
      <c r="AH56" s="104" t="n"/>
      <c r="AI56" s="104" t="n"/>
      <c r="AJ56" s="104" t="n"/>
      <c r="AK56" s="104" t="n"/>
      <c r="AL56" s="104" t="n"/>
      <c r="AM56" s="104" t="n"/>
      <c r="AN56" s="104" t="n"/>
      <c r="AO56" s="104" t="n"/>
      <c r="AP56" s="104" t="n"/>
      <c r="AQ56" s="104" t="n"/>
      <c r="AR56" s="104" t="n"/>
      <c r="AS56" s="104" t="n"/>
      <c r="AT56" s="104" t="n"/>
      <c r="AU56" s="104" t="n"/>
      <c r="AV56" s="104" t="n"/>
      <c r="AW56" s="104" t="n"/>
      <c r="AX56" s="104" t="n"/>
      <c r="AY56" s="104" t="n"/>
      <c r="AZ56" s="104" t="n"/>
      <c r="BA56" s="104" t="n"/>
      <c r="BB56" s="104" t="n"/>
      <c r="BC56" s="104" t="n"/>
      <c r="BD56" s="104" t="n"/>
      <c r="BE56" s="104" t="n"/>
      <c r="BF56" s="104" t="n"/>
      <c r="BG56" s="104" t="n"/>
      <c r="BH56" s="104" t="n"/>
      <c r="BI56" s="104" t="n"/>
      <c r="BJ56" s="104" t="n"/>
      <c r="BK56" s="104" t="n"/>
      <c r="BL56" s="104" t="n"/>
      <c r="BM56" s="104" t="n"/>
      <c r="BN56" s="104" t="n"/>
      <c r="BO56" s="104" t="n"/>
      <c r="BP56" s="104" t="n"/>
      <c r="BQ56" s="104" t="n"/>
      <c r="BR56" s="104" t="n"/>
      <c r="BS56" s="104" t="n"/>
      <c r="BT56" s="104" t="n"/>
      <c r="BU56" s="104" t="n"/>
      <c r="BV56" s="104" t="n"/>
      <c r="BW56" s="104" t="n"/>
    </row>
    <row r="57" ht="20" customHeight="1">
      <c r="B57" s="100" t="n">
        <v>51</v>
      </c>
      <c r="C57" s="65" t="n"/>
      <c r="D57" s="65" t="n"/>
      <c r="E57" s="65" t="n"/>
      <c r="F57" s="65" t="n"/>
      <c r="G57" s="101" t="n"/>
      <c r="H57" s="101" t="n"/>
      <c r="I57" s="81" t="n"/>
      <c r="J57" s="102">
        <f>IF(OR(D57="",ProjStart=""),"",MAX(ProjStart,IF(I57&lt;&gt;"",I57,0),IF(H57="",0,IFERROR(INDEX($L$6:L56,MATCH(H57,$B$6:B56,0))+1,0))))</f>
        <v/>
      </c>
      <c r="K57" s="101" t="n"/>
      <c r="L57" s="102">
        <f>IF(J57="","",J57+MAX(1,G57)+IF(K57="",0,K57)-1)</f>
        <v/>
      </c>
      <c r="M57" s="65" t="n"/>
      <c r="N57" s="81" t="n"/>
      <c r="O57" s="103">
        <f>IF(D57="","",COUNTIF($H$7:$H$156,B57))</f>
        <v/>
      </c>
      <c r="P57" s="72">
        <f>IF(D57="","",IF(AND(H57&lt;&gt;"",H57&gt;=B57),"⚠️ Predecessor must be above",IF(M57="Done","✓ Done",IF(Q57=3,"🔴 Late",IF(M57="In progress","In progress","")))))</f>
        <v/>
      </c>
      <c r="Q57" s="63">
        <f>IF(OR(D57="",L57=""),"",IF(M57="Done",2,IF(AsOf&gt;L57,3,1)))</f>
        <v/>
      </c>
      <c r="R57" s="63">
        <f>IF(OR(E57="",F57=""),0,IF(COUNTIFS($E$7:E57,E57,$F$7:F57,F57)=1,1,0))</f>
        <v/>
      </c>
      <c r="S57" s="63">
        <f>IF(R57=1,E57&amp;"|"&amp;SUMIFS($R$7:R57,$E$7:E57,E57),"")</f>
        <v/>
      </c>
      <c r="T57" s="85">
        <f>IF(Q57="","",IF(Q57=3,L57,IF(OR(M57="Not started",M57=""),J57,"")))</f>
        <v/>
      </c>
      <c r="U57" s="63">
        <f>IF(T57="","",IF(Q57=3,1,IF(T57="","",IF(T57&lt;AsOf,1,IF(T57&lt;=AsOf+AlertDays,2,IF(T57&lt;=AsOf+2*AlertDays,3,""))))))</f>
        <v/>
      </c>
      <c r="V57" s="63">
        <f>IF(U57="","",IF(Q57=3,"Late task: "&amp;D57,IF(T57&lt;AsOf,"Should have started: ","Starts soon: ")&amp;D57)&amp;IF(F57="",""," — "&amp;F57))</f>
        <v/>
      </c>
      <c r="X57" s="104" t="n"/>
      <c r="Y57" s="104" t="n"/>
      <c r="Z57" s="104" t="n"/>
      <c r="AA57" s="104" t="n"/>
      <c r="AB57" s="104" t="n"/>
      <c r="AC57" s="104" t="n"/>
      <c r="AD57" s="104" t="n"/>
      <c r="AE57" s="104" t="n"/>
      <c r="AF57" s="104" t="n"/>
      <c r="AG57" s="104" t="n"/>
      <c r="AH57" s="104" t="n"/>
      <c r="AI57" s="104" t="n"/>
      <c r="AJ57" s="104" t="n"/>
      <c r="AK57" s="104" t="n"/>
      <c r="AL57" s="104" t="n"/>
      <c r="AM57" s="104" t="n"/>
      <c r="AN57" s="104" t="n"/>
      <c r="AO57" s="104" t="n"/>
      <c r="AP57" s="104" t="n"/>
      <c r="AQ57" s="104" t="n"/>
      <c r="AR57" s="104" t="n"/>
      <c r="AS57" s="104" t="n"/>
      <c r="AT57" s="104" t="n"/>
      <c r="AU57" s="104" t="n"/>
      <c r="AV57" s="104" t="n"/>
      <c r="AW57" s="104" t="n"/>
      <c r="AX57" s="104" t="n"/>
      <c r="AY57" s="104" t="n"/>
      <c r="AZ57" s="104" t="n"/>
      <c r="BA57" s="104" t="n"/>
      <c r="BB57" s="104" t="n"/>
      <c r="BC57" s="104" t="n"/>
      <c r="BD57" s="104" t="n"/>
      <c r="BE57" s="104" t="n"/>
      <c r="BF57" s="104" t="n"/>
      <c r="BG57" s="104" t="n"/>
      <c r="BH57" s="104" t="n"/>
      <c r="BI57" s="104" t="n"/>
      <c r="BJ57" s="104" t="n"/>
      <c r="BK57" s="104" t="n"/>
      <c r="BL57" s="104" t="n"/>
      <c r="BM57" s="104" t="n"/>
      <c r="BN57" s="104" t="n"/>
      <c r="BO57" s="104" t="n"/>
      <c r="BP57" s="104" t="n"/>
      <c r="BQ57" s="104" t="n"/>
      <c r="BR57" s="104" t="n"/>
      <c r="BS57" s="104" t="n"/>
      <c r="BT57" s="104" t="n"/>
      <c r="BU57" s="104" t="n"/>
      <c r="BV57" s="104" t="n"/>
      <c r="BW57" s="104" t="n"/>
    </row>
    <row r="58" ht="20" customHeight="1">
      <c r="B58" s="100" t="n">
        <v>52</v>
      </c>
      <c r="C58" s="65" t="n"/>
      <c r="D58" s="65" t="n"/>
      <c r="E58" s="65" t="n"/>
      <c r="F58" s="65" t="n"/>
      <c r="G58" s="101" t="n"/>
      <c r="H58" s="101" t="n"/>
      <c r="I58" s="81" t="n"/>
      <c r="J58" s="102">
        <f>IF(OR(D58="",ProjStart=""),"",MAX(ProjStart,IF(I58&lt;&gt;"",I58,0),IF(H58="",0,IFERROR(INDEX($L$6:L57,MATCH(H58,$B$6:B57,0))+1,0))))</f>
        <v/>
      </c>
      <c r="K58" s="101" t="n"/>
      <c r="L58" s="102">
        <f>IF(J58="","",J58+MAX(1,G58)+IF(K58="",0,K58)-1)</f>
        <v/>
      </c>
      <c r="M58" s="65" t="n"/>
      <c r="N58" s="81" t="n"/>
      <c r="O58" s="103">
        <f>IF(D58="","",COUNTIF($H$7:$H$156,B58))</f>
        <v/>
      </c>
      <c r="P58" s="72">
        <f>IF(D58="","",IF(AND(H58&lt;&gt;"",H58&gt;=B58),"⚠️ Predecessor must be above",IF(M58="Done","✓ Done",IF(Q58=3,"🔴 Late",IF(M58="In progress","In progress","")))))</f>
        <v/>
      </c>
      <c r="Q58" s="63">
        <f>IF(OR(D58="",L58=""),"",IF(M58="Done",2,IF(AsOf&gt;L58,3,1)))</f>
        <v/>
      </c>
      <c r="R58" s="63">
        <f>IF(OR(E58="",F58=""),0,IF(COUNTIFS($E$7:E58,E58,$F$7:F58,F58)=1,1,0))</f>
        <v/>
      </c>
      <c r="S58" s="63">
        <f>IF(R58=1,E58&amp;"|"&amp;SUMIFS($R$7:R58,$E$7:E58,E58),"")</f>
        <v/>
      </c>
      <c r="T58" s="85">
        <f>IF(Q58="","",IF(Q58=3,L58,IF(OR(M58="Not started",M58=""),J58,"")))</f>
        <v/>
      </c>
      <c r="U58" s="63">
        <f>IF(T58="","",IF(Q58=3,1,IF(T58="","",IF(T58&lt;AsOf,1,IF(T58&lt;=AsOf+AlertDays,2,IF(T58&lt;=AsOf+2*AlertDays,3,""))))))</f>
        <v/>
      </c>
      <c r="V58" s="63">
        <f>IF(U58="","",IF(Q58=3,"Late task: "&amp;D58,IF(T58&lt;AsOf,"Should have started: ","Starts soon: ")&amp;D58)&amp;IF(F58="",""," — "&amp;F58))</f>
        <v/>
      </c>
      <c r="X58" s="104" t="n"/>
      <c r="Y58" s="104" t="n"/>
      <c r="Z58" s="104" t="n"/>
      <c r="AA58" s="104" t="n"/>
      <c r="AB58" s="104" t="n"/>
      <c r="AC58" s="104" t="n"/>
      <c r="AD58" s="104" t="n"/>
      <c r="AE58" s="104" t="n"/>
      <c r="AF58" s="104" t="n"/>
      <c r="AG58" s="104" t="n"/>
      <c r="AH58" s="104" t="n"/>
      <c r="AI58" s="104" t="n"/>
      <c r="AJ58" s="104" t="n"/>
      <c r="AK58" s="104" t="n"/>
      <c r="AL58" s="104" t="n"/>
      <c r="AM58" s="104" t="n"/>
      <c r="AN58" s="104" t="n"/>
      <c r="AO58" s="104" t="n"/>
      <c r="AP58" s="104" t="n"/>
      <c r="AQ58" s="104" t="n"/>
      <c r="AR58" s="104" t="n"/>
      <c r="AS58" s="104" t="n"/>
      <c r="AT58" s="104" t="n"/>
      <c r="AU58" s="104" t="n"/>
      <c r="AV58" s="104" t="n"/>
      <c r="AW58" s="104" t="n"/>
      <c r="AX58" s="104" t="n"/>
      <c r="AY58" s="104" t="n"/>
      <c r="AZ58" s="104" t="n"/>
      <c r="BA58" s="104" t="n"/>
      <c r="BB58" s="104" t="n"/>
      <c r="BC58" s="104" t="n"/>
      <c r="BD58" s="104" t="n"/>
      <c r="BE58" s="104" t="n"/>
      <c r="BF58" s="104" t="n"/>
      <c r="BG58" s="104" t="n"/>
      <c r="BH58" s="104" t="n"/>
      <c r="BI58" s="104" t="n"/>
      <c r="BJ58" s="104" t="n"/>
      <c r="BK58" s="104" t="n"/>
      <c r="BL58" s="104" t="n"/>
      <c r="BM58" s="104" t="n"/>
      <c r="BN58" s="104" t="n"/>
      <c r="BO58" s="104" t="n"/>
      <c r="BP58" s="104" t="n"/>
      <c r="BQ58" s="104" t="n"/>
      <c r="BR58" s="104" t="n"/>
      <c r="BS58" s="104" t="n"/>
      <c r="BT58" s="104" t="n"/>
      <c r="BU58" s="104" t="n"/>
      <c r="BV58" s="104" t="n"/>
      <c r="BW58" s="104" t="n"/>
    </row>
    <row r="59" ht="20" customHeight="1">
      <c r="B59" s="100" t="n">
        <v>53</v>
      </c>
      <c r="C59" s="65" t="n"/>
      <c r="D59" s="65" t="n"/>
      <c r="E59" s="65" t="n"/>
      <c r="F59" s="65" t="n"/>
      <c r="G59" s="101" t="n"/>
      <c r="H59" s="101" t="n"/>
      <c r="I59" s="81" t="n"/>
      <c r="J59" s="102">
        <f>IF(OR(D59="",ProjStart=""),"",MAX(ProjStart,IF(I59&lt;&gt;"",I59,0),IF(H59="",0,IFERROR(INDEX($L$6:L58,MATCH(H59,$B$6:B58,0))+1,0))))</f>
        <v/>
      </c>
      <c r="K59" s="101" t="n"/>
      <c r="L59" s="102">
        <f>IF(J59="","",J59+MAX(1,G59)+IF(K59="",0,K59)-1)</f>
        <v/>
      </c>
      <c r="M59" s="65" t="n"/>
      <c r="N59" s="81" t="n"/>
      <c r="O59" s="103">
        <f>IF(D59="","",COUNTIF($H$7:$H$156,B59))</f>
        <v/>
      </c>
      <c r="P59" s="72">
        <f>IF(D59="","",IF(AND(H59&lt;&gt;"",H59&gt;=B59),"⚠️ Predecessor must be above",IF(M59="Done","✓ Done",IF(Q59=3,"🔴 Late",IF(M59="In progress","In progress","")))))</f>
        <v/>
      </c>
      <c r="Q59" s="63">
        <f>IF(OR(D59="",L59=""),"",IF(M59="Done",2,IF(AsOf&gt;L59,3,1)))</f>
        <v/>
      </c>
      <c r="R59" s="63">
        <f>IF(OR(E59="",F59=""),0,IF(COUNTIFS($E$7:E59,E59,$F$7:F59,F59)=1,1,0))</f>
        <v/>
      </c>
      <c r="S59" s="63">
        <f>IF(R59=1,E59&amp;"|"&amp;SUMIFS($R$7:R59,$E$7:E59,E59),"")</f>
        <v/>
      </c>
      <c r="T59" s="85">
        <f>IF(Q59="","",IF(Q59=3,L59,IF(OR(M59="Not started",M59=""),J59,"")))</f>
        <v/>
      </c>
      <c r="U59" s="63">
        <f>IF(T59="","",IF(Q59=3,1,IF(T59="","",IF(T59&lt;AsOf,1,IF(T59&lt;=AsOf+AlertDays,2,IF(T59&lt;=AsOf+2*AlertDays,3,""))))))</f>
        <v/>
      </c>
      <c r="V59" s="63">
        <f>IF(U59="","",IF(Q59=3,"Late task: "&amp;D59,IF(T59&lt;AsOf,"Should have started: ","Starts soon: ")&amp;D59)&amp;IF(F59="",""," — "&amp;F59))</f>
        <v/>
      </c>
      <c r="X59" s="104" t="n"/>
      <c r="Y59" s="104" t="n"/>
      <c r="Z59" s="104" t="n"/>
      <c r="AA59" s="104" t="n"/>
      <c r="AB59" s="104" t="n"/>
      <c r="AC59" s="104" t="n"/>
      <c r="AD59" s="104" t="n"/>
      <c r="AE59" s="104" t="n"/>
      <c r="AF59" s="104" t="n"/>
      <c r="AG59" s="104" t="n"/>
      <c r="AH59" s="104" t="n"/>
      <c r="AI59" s="104" t="n"/>
      <c r="AJ59" s="104" t="n"/>
      <c r="AK59" s="104" t="n"/>
      <c r="AL59" s="104" t="n"/>
      <c r="AM59" s="104" t="n"/>
      <c r="AN59" s="104" t="n"/>
      <c r="AO59" s="104" t="n"/>
      <c r="AP59" s="104" t="n"/>
      <c r="AQ59" s="104" t="n"/>
      <c r="AR59" s="104" t="n"/>
      <c r="AS59" s="104" t="n"/>
      <c r="AT59" s="104" t="n"/>
      <c r="AU59" s="104" t="n"/>
      <c r="AV59" s="104" t="n"/>
      <c r="AW59" s="104" t="n"/>
      <c r="AX59" s="104" t="n"/>
      <c r="AY59" s="104" t="n"/>
      <c r="AZ59" s="104" t="n"/>
      <c r="BA59" s="104" t="n"/>
      <c r="BB59" s="104" t="n"/>
      <c r="BC59" s="104" t="n"/>
      <c r="BD59" s="104" t="n"/>
      <c r="BE59" s="104" t="n"/>
      <c r="BF59" s="104" t="n"/>
      <c r="BG59" s="104" t="n"/>
      <c r="BH59" s="104" t="n"/>
      <c r="BI59" s="104" t="n"/>
      <c r="BJ59" s="104" t="n"/>
      <c r="BK59" s="104" t="n"/>
      <c r="BL59" s="104" t="n"/>
      <c r="BM59" s="104" t="n"/>
      <c r="BN59" s="104" t="n"/>
      <c r="BO59" s="104" t="n"/>
      <c r="BP59" s="104" t="n"/>
      <c r="BQ59" s="104" t="n"/>
      <c r="BR59" s="104" t="n"/>
      <c r="BS59" s="104" t="n"/>
      <c r="BT59" s="104" t="n"/>
      <c r="BU59" s="104" t="n"/>
      <c r="BV59" s="104" t="n"/>
      <c r="BW59" s="104" t="n"/>
    </row>
    <row r="60" ht="20" customHeight="1">
      <c r="B60" s="100" t="n">
        <v>54</v>
      </c>
      <c r="C60" s="65" t="n"/>
      <c r="D60" s="65" t="n"/>
      <c r="E60" s="65" t="n"/>
      <c r="F60" s="65" t="n"/>
      <c r="G60" s="101" t="n"/>
      <c r="H60" s="101" t="n"/>
      <c r="I60" s="81" t="n"/>
      <c r="J60" s="102">
        <f>IF(OR(D60="",ProjStart=""),"",MAX(ProjStart,IF(I60&lt;&gt;"",I60,0),IF(H60="",0,IFERROR(INDEX($L$6:L59,MATCH(H60,$B$6:B59,0))+1,0))))</f>
        <v/>
      </c>
      <c r="K60" s="101" t="n"/>
      <c r="L60" s="102">
        <f>IF(J60="","",J60+MAX(1,G60)+IF(K60="",0,K60)-1)</f>
        <v/>
      </c>
      <c r="M60" s="65" t="n"/>
      <c r="N60" s="81" t="n"/>
      <c r="O60" s="103">
        <f>IF(D60="","",COUNTIF($H$7:$H$156,B60))</f>
        <v/>
      </c>
      <c r="P60" s="72">
        <f>IF(D60="","",IF(AND(H60&lt;&gt;"",H60&gt;=B60),"⚠️ Predecessor must be above",IF(M60="Done","✓ Done",IF(Q60=3,"🔴 Late",IF(M60="In progress","In progress","")))))</f>
        <v/>
      </c>
      <c r="Q60" s="63">
        <f>IF(OR(D60="",L60=""),"",IF(M60="Done",2,IF(AsOf&gt;L60,3,1)))</f>
        <v/>
      </c>
      <c r="R60" s="63">
        <f>IF(OR(E60="",F60=""),0,IF(COUNTIFS($E$7:E60,E60,$F$7:F60,F60)=1,1,0))</f>
        <v/>
      </c>
      <c r="S60" s="63">
        <f>IF(R60=1,E60&amp;"|"&amp;SUMIFS($R$7:R60,$E$7:E60,E60),"")</f>
        <v/>
      </c>
      <c r="T60" s="85">
        <f>IF(Q60="","",IF(Q60=3,L60,IF(OR(M60="Not started",M60=""),J60,"")))</f>
        <v/>
      </c>
      <c r="U60" s="63">
        <f>IF(T60="","",IF(Q60=3,1,IF(T60="","",IF(T60&lt;AsOf,1,IF(T60&lt;=AsOf+AlertDays,2,IF(T60&lt;=AsOf+2*AlertDays,3,""))))))</f>
        <v/>
      </c>
      <c r="V60" s="63">
        <f>IF(U60="","",IF(Q60=3,"Late task: "&amp;D60,IF(T60&lt;AsOf,"Should have started: ","Starts soon: ")&amp;D60)&amp;IF(F60="",""," — "&amp;F60))</f>
        <v/>
      </c>
      <c r="X60" s="104" t="n"/>
      <c r="Y60" s="104" t="n"/>
      <c r="Z60" s="104" t="n"/>
      <c r="AA60" s="104" t="n"/>
      <c r="AB60" s="104" t="n"/>
      <c r="AC60" s="104" t="n"/>
      <c r="AD60" s="104" t="n"/>
      <c r="AE60" s="104" t="n"/>
      <c r="AF60" s="104" t="n"/>
      <c r="AG60" s="104" t="n"/>
      <c r="AH60" s="104" t="n"/>
      <c r="AI60" s="104" t="n"/>
      <c r="AJ60" s="104" t="n"/>
      <c r="AK60" s="104" t="n"/>
      <c r="AL60" s="104" t="n"/>
      <c r="AM60" s="104" t="n"/>
      <c r="AN60" s="104" t="n"/>
      <c r="AO60" s="104" t="n"/>
      <c r="AP60" s="104" t="n"/>
      <c r="AQ60" s="104" t="n"/>
      <c r="AR60" s="104" t="n"/>
      <c r="AS60" s="104" t="n"/>
      <c r="AT60" s="104" t="n"/>
      <c r="AU60" s="104" t="n"/>
      <c r="AV60" s="104" t="n"/>
      <c r="AW60" s="104" t="n"/>
      <c r="AX60" s="104" t="n"/>
      <c r="AY60" s="104" t="n"/>
      <c r="AZ60" s="104" t="n"/>
      <c r="BA60" s="104" t="n"/>
      <c r="BB60" s="104" t="n"/>
      <c r="BC60" s="104" t="n"/>
      <c r="BD60" s="104" t="n"/>
      <c r="BE60" s="104" t="n"/>
      <c r="BF60" s="104" t="n"/>
      <c r="BG60" s="104" t="n"/>
      <c r="BH60" s="104" t="n"/>
      <c r="BI60" s="104" t="n"/>
      <c r="BJ60" s="104" t="n"/>
      <c r="BK60" s="104" t="n"/>
      <c r="BL60" s="104" t="n"/>
      <c r="BM60" s="104" t="n"/>
      <c r="BN60" s="104" t="n"/>
      <c r="BO60" s="104" t="n"/>
      <c r="BP60" s="104" t="n"/>
      <c r="BQ60" s="104" t="n"/>
      <c r="BR60" s="104" t="n"/>
      <c r="BS60" s="104" t="n"/>
      <c r="BT60" s="104" t="n"/>
      <c r="BU60" s="104" t="n"/>
      <c r="BV60" s="104" t="n"/>
      <c r="BW60" s="104" t="n"/>
    </row>
    <row r="61" ht="20" customHeight="1">
      <c r="B61" s="100" t="n">
        <v>55</v>
      </c>
      <c r="C61" s="65" t="n"/>
      <c r="D61" s="65" t="n"/>
      <c r="E61" s="65" t="n"/>
      <c r="F61" s="65" t="n"/>
      <c r="G61" s="101" t="n"/>
      <c r="H61" s="101" t="n"/>
      <c r="I61" s="81" t="n"/>
      <c r="J61" s="102">
        <f>IF(OR(D61="",ProjStart=""),"",MAX(ProjStart,IF(I61&lt;&gt;"",I61,0),IF(H61="",0,IFERROR(INDEX($L$6:L60,MATCH(H61,$B$6:B60,0))+1,0))))</f>
        <v/>
      </c>
      <c r="K61" s="101" t="n"/>
      <c r="L61" s="102">
        <f>IF(J61="","",J61+MAX(1,G61)+IF(K61="",0,K61)-1)</f>
        <v/>
      </c>
      <c r="M61" s="65" t="n"/>
      <c r="N61" s="81" t="n"/>
      <c r="O61" s="103">
        <f>IF(D61="","",COUNTIF($H$7:$H$156,B61))</f>
        <v/>
      </c>
      <c r="P61" s="72">
        <f>IF(D61="","",IF(AND(H61&lt;&gt;"",H61&gt;=B61),"⚠️ Predecessor must be above",IF(M61="Done","✓ Done",IF(Q61=3,"🔴 Late",IF(M61="In progress","In progress","")))))</f>
        <v/>
      </c>
      <c r="Q61" s="63">
        <f>IF(OR(D61="",L61=""),"",IF(M61="Done",2,IF(AsOf&gt;L61,3,1)))</f>
        <v/>
      </c>
      <c r="R61" s="63">
        <f>IF(OR(E61="",F61=""),0,IF(COUNTIFS($E$7:E61,E61,$F$7:F61,F61)=1,1,0))</f>
        <v/>
      </c>
      <c r="S61" s="63">
        <f>IF(R61=1,E61&amp;"|"&amp;SUMIFS($R$7:R61,$E$7:E61,E61),"")</f>
        <v/>
      </c>
      <c r="T61" s="85">
        <f>IF(Q61="","",IF(Q61=3,L61,IF(OR(M61="Not started",M61=""),J61,"")))</f>
        <v/>
      </c>
      <c r="U61" s="63">
        <f>IF(T61="","",IF(Q61=3,1,IF(T61="","",IF(T61&lt;AsOf,1,IF(T61&lt;=AsOf+AlertDays,2,IF(T61&lt;=AsOf+2*AlertDays,3,""))))))</f>
        <v/>
      </c>
      <c r="V61" s="63">
        <f>IF(U61="","",IF(Q61=3,"Late task: "&amp;D61,IF(T61&lt;AsOf,"Should have started: ","Starts soon: ")&amp;D61)&amp;IF(F61="",""," — "&amp;F61))</f>
        <v/>
      </c>
      <c r="X61" s="104" t="n"/>
      <c r="Y61" s="104" t="n"/>
      <c r="Z61" s="104" t="n"/>
      <c r="AA61" s="104" t="n"/>
      <c r="AB61" s="104" t="n"/>
      <c r="AC61" s="104" t="n"/>
      <c r="AD61" s="104" t="n"/>
      <c r="AE61" s="104" t="n"/>
      <c r="AF61" s="104" t="n"/>
      <c r="AG61" s="104" t="n"/>
      <c r="AH61" s="104" t="n"/>
      <c r="AI61" s="104" t="n"/>
      <c r="AJ61" s="104" t="n"/>
      <c r="AK61" s="104" t="n"/>
      <c r="AL61" s="104" t="n"/>
      <c r="AM61" s="104" t="n"/>
      <c r="AN61" s="104" t="n"/>
      <c r="AO61" s="104" t="n"/>
      <c r="AP61" s="104" t="n"/>
      <c r="AQ61" s="104" t="n"/>
      <c r="AR61" s="104" t="n"/>
      <c r="AS61" s="104" t="n"/>
      <c r="AT61" s="104" t="n"/>
      <c r="AU61" s="104" t="n"/>
      <c r="AV61" s="104" t="n"/>
      <c r="AW61" s="104" t="n"/>
      <c r="AX61" s="104" t="n"/>
      <c r="AY61" s="104" t="n"/>
      <c r="AZ61" s="104" t="n"/>
      <c r="BA61" s="104" t="n"/>
      <c r="BB61" s="104" t="n"/>
      <c r="BC61" s="104" t="n"/>
      <c r="BD61" s="104" t="n"/>
      <c r="BE61" s="104" t="n"/>
      <c r="BF61" s="104" t="n"/>
      <c r="BG61" s="104" t="n"/>
      <c r="BH61" s="104" t="n"/>
      <c r="BI61" s="104" t="n"/>
      <c r="BJ61" s="104" t="n"/>
      <c r="BK61" s="104" t="n"/>
      <c r="BL61" s="104" t="n"/>
      <c r="BM61" s="104" t="n"/>
      <c r="BN61" s="104" t="n"/>
      <c r="BO61" s="104" t="n"/>
      <c r="BP61" s="104" t="n"/>
      <c r="BQ61" s="104" t="n"/>
      <c r="BR61" s="104" t="n"/>
      <c r="BS61" s="104" t="n"/>
      <c r="BT61" s="104" t="n"/>
      <c r="BU61" s="104" t="n"/>
      <c r="BV61" s="104" t="n"/>
      <c r="BW61" s="104" t="n"/>
    </row>
    <row r="62" ht="20" customHeight="1">
      <c r="B62" s="100" t="n">
        <v>56</v>
      </c>
      <c r="C62" s="65" t="n"/>
      <c r="D62" s="65" t="n"/>
      <c r="E62" s="65" t="n"/>
      <c r="F62" s="65" t="n"/>
      <c r="G62" s="101" t="n"/>
      <c r="H62" s="101" t="n"/>
      <c r="I62" s="81" t="n"/>
      <c r="J62" s="102">
        <f>IF(OR(D62="",ProjStart=""),"",MAX(ProjStart,IF(I62&lt;&gt;"",I62,0),IF(H62="",0,IFERROR(INDEX($L$6:L61,MATCH(H62,$B$6:B61,0))+1,0))))</f>
        <v/>
      </c>
      <c r="K62" s="101" t="n"/>
      <c r="L62" s="102">
        <f>IF(J62="","",J62+MAX(1,G62)+IF(K62="",0,K62)-1)</f>
        <v/>
      </c>
      <c r="M62" s="65" t="n"/>
      <c r="N62" s="81" t="n"/>
      <c r="O62" s="103">
        <f>IF(D62="","",COUNTIF($H$7:$H$156,B62))</f>
        <v/>
      </c>
      <c r="P62" s="72">
        <f>IF(D62="","",IF(AND(H62&lt;&gt;"",H62&gt;=B62),"⚠️ Predecessor must be above",IF(M62="Done","✓ Done",IF(Q62=3,"🔴 Late",IF(M62="In progress","In progress","")))))</f>
        <v/>
      </c>
      <c r="Q62" s="63">
        <f>IF(OR(D62="",L62=""),"",IF(M62="Done",2,IF(AsOf&gt;L62,3,1)))</f>
        <v/>
      </c>
      <c r="R62" s="63">
        <f>IF(OR(E62="",F62=""),0,IF(COUNTIFS($E$7:E62,E62,$F$7:F62,F62)=1,1,0))</f>
        <v/>
      </c>
      <c r="S62" s="63">
        <f>IF(R62=1,E62&amp;"|"&amp;SUMIFS($R$7:R62,$E$7:E62,E62),"")</f>
        <v/>
      </c>
      <c r="T62" s="85">
        <f>IF(Q62="","",IF(Q62=3,L62,IF(OR(M62="Not started",M62=""),J62,"")))</f>
        <v/>
      </c>
      <c r="U62" s="63">
        <f>IF(T62="","",IF(Q62=3,1,IF(T62="","",IF(T62&lt;AsOf,1,IF(T62&lt;=AsOf+AlertDays,2,IF(T62&lt;=AsOf+2*AlertDays,3,""))))))</f>
        <v/>
      </c>
      <c r="V62" s="63">
        <f>IF(U62="","",IF(Q62=3,"Late task: "&amp;D62,IF(T62&lt;AsOf,"Should have started: ","Starts soon: ")&amp;D62)&amp;IF(F62="",""," — "&amp;F62))</f>
        <v/>
      </c>
      <c r="X62" s="104" t="n"/>
      <c r="Y62" s="104" t="n"/>
      <c r="Z62" s="104" t="n"/>
      <c r="AA62" s="104" t="n"/>
      <c r="AB62" s="104" t="n"/>
      <c r="AC62" s="104" t="n"/>
      <c r="AD62" s="104" t="n"/>
      <c r="AE62" s="104" t="n"/>
      <c r="AF62" s="104" t="n"/>
      <c r="AG62" s="104" t="n"/>
      <c r="AH62" s="104" t="n"/>
      <c r="AI62" s="104" t="n"/>
      <c r="AJ62" s="104" t="n"/>
      <c r="AK62" s="104" t="n"/>
      <c r="AL62" s="104" t="n"/>
      <c r="AM62" s="104" t="n"/>
      <c r="AN62" s="104" t="n"/>
      <c r="AO62" s="104" t="n"/>
      <c r="AP62" s="104" t="n"/>
      <c r="AQ62" s="104" t="n"/>
      <c r="AR62" s="104" t="n"/>
      <c r="AS62" s="104" t="n"/>
      <c r="AT62" s="104" t="n"/>
      <c r="AU62" s="104" t="n"/>
      <c r="AV62" s="104" t="n"/>
      <c r="AW62" s="104" t="n"/>
      <c r="AX62" s="104" t="n"/>
      <c r="AY62" s="104" t="n"/>
      <c r="AZ62" s="104" t="n"/>
      <c r="BA62" s="104" t="n"/>
      <c r="BB62" s="104" t="n"/>
      <c r="BC62" s="104" t="n"/>
      <c r="BD62" s="104" t="n"/>
      <c r="BE62" s="104" t="n"/>
      <c r="BF62" s="104" t="n"/>
      <c r="BG62" s="104" t="n"/>
      <c r="BH62" s="104" t="n"/>
      <c r="BI62" s="104" t="n"/>
      <c r="BJ62" s="104" t="n"/>
      <c r="BK62" s="104" t="n"/>
      <c r="BL62" s="104" t="n"/>
      <c r="BM62" s="104" t="n"/>
      <c r="BN62" s="104" t="n"/>
      <c r="BO62" s="104" t="n"/>
      <c r="BP62" s="104" t="n"/>
      <c r="BQ62" s="104" t="n"/>
      <c r="BR62" s="104" t="n"/>
      <c r="BS62" s="104" t="n"/>
      <c r="BT62" s="104" t="n"/>
      <c r="BU62" s="104" t="n"/>
      <c r="BV62" s="104" t="n"/>
      <c r="BW62" s="104" t="n"/>
    </row>
    <row r="63" ht="20" customHeight="1">
      <c r="B63" s="100" t="n">
        <v>57</v>
      </c>
      <c r="C63" s="65" t="n"/>
      <c r="D63" s="65" t="n"/>
      <c r="E63" s="65" t="n"/>
      <c r="F63" s="65" t="n"/>
      <c r="G63" s="101" t="n"/>
      <c r="H63" s="101" t="n"/>
      <c r="I63" s="81" t="n"/>
      <c r="J63" s="102">
        <f>IF(OR(D63="",ProjStart=""),"",MAX(ProjStart,IF(I63&lt;&gt;"",I63,0),IF(H63="",0,IFERROR(INDEX($L$6:L62,MATCH(H63,$B$6:B62,0))+1,0))))</f>
        <v/>
      </c>
      <c r="K63" s="101" t="n"/>
      <c r="L63" s="102">
        <f>IF(J63="","",J63+MAX(1,G63)+IF(K63="",0,K63)-1)</f>
        <v/>
      </c>
      <c r="M63" s="65" t="n"/>
      <c r="N63" s="81" t="n"/>
      <c r="O63" s="103">
        <f>IF(D63="","",COUNTIF($H$7:$H$156,B63))</f>
        <v/>
      </c>
      <c r="P63" s="72">
        <f>IF(D63="","",IF(AND(H63&lt;&gt;"",H63&gt;=B63),"⚠️ Predecessor must be above",IF(M63="Done","✓ Done",IF(Q63=3,"🔴 Late",IF(M63="In progress","In progress","")))))</f>
        <v/>
      </c>
      <c r="Q63" s="63">
        <f>IF(OR(D63="",L63=""),"",IF(M63="Done",2,IF(AsOf&gt;L63,3,1)))</f>
        <v/>
      </c>
      <c r="R63" s="63">
        <f>IF(OR(E63="",F63=""),0,IF(COUNTIFS($E$7:E63,E63,$F$7:F63,F63)=1,1,0))</f>
        <v/>
      </c>
      <c r="S63" s="63">
        <f>IF(R63=1,E63&amp;"|"&amp;SUMIFS($R$7:R63,$E$7:E63,E63),"")</f>
        <v/>
      </c>
      <c r="T63" s="85">
        <f>IF(Q63="","",IF(Q63=3,L63,IF(OR(M63="Not started",M63=""),J63,"")))</f>
        <v/>
      </c>
      <c r="U63" s="63">
        <f>IF(T63="","",IF(Q63=3,1,IF(T63="","",IF(T63&lt;AsOf,1,IF(T63&lt;=AsOf+AlertDays,2,IF(T63&lt;=AsOf+2*AlertDays,3,""))))))</f>
        <v/>
      </c>
      <c r="V63" s="63">
        <f>IF(U63="","",IF(Q63=3,"Late task: "&amp;D63,IF(T63&lt;AsOf,"Should have started: ","Starts soon: ")&amp;D63)&amp;IF(F63="",""," — "&amp;F63))</f>
        <v/>
      </c>
      <c r="X63" s="104" t="n"/>
      <c r="Y63" s="104" t="n"/>
      <c r="Z63" s="104" t="n"/>
      <c r="AA63" s="104" t="n"/>
      <c r="AB63" s="104" t="n"/>
      <c r="AC63" s="104" t="n"/>
      <c r="AD63" s="104" t="n"/>
      <c r="AE63" s="104" t="n"/>
      <c r="AF63" s="104" t="n"/>
      <c r="AG63" s="104" t="n"/>
      <c r="AH63" s="104" t="n"/>
      <c r="AI63" s="104" t="n"/>
      <c r="AJ63" s="104" t="n"/>
      <c r="AK63" s="104" t="n"/>
      <c r="AL63" s="104" t="n"/>
      <c r="AM63" s="104" t="n"/>
      <c r="AN63" s="104" t="n"/>
      <c r="AO63" s="104" t="n"/>
      <c r="AP63" s="104" t="n"/>
      <c r="AQ63" s="104" t="n"/>
      <c r="AR63" s="104" t="n"/>
      <c r="AS63" s="104" t="n"/>
      <c r="AT63" s="104" t="n"/>
      <c r="AU63" s="104" t="n"/>
      <c r="AV63" s="104" t="n"/>
      <c r="AW63" s="104" t="n"/>
      <c r="AX63" s="104" t="n"/>
      <c r="AY63" s="104" t="n"/>
      <c r="AZ63" s="104" t="n"/>
      <c r="BA63" s="104" t="n"/>
      <c r="BB63" s="104" t="n"/>
      <c r="BC63" s="104" t="n"/>
      <c r="BD63" s="104" t="n"/>
      <c r="BE63" s="104" t="n"/>
      <c r="BF63" s="104" t="n"/>
      <c r="BG63" s="104" t="n"/>
      <c r="BH63" s="104" t="n"/>
      <c r="BI63" s="104" t="n"/>
      <c r="BJ63" s="104" t="n"/>
      <c r="BK63" s="104" t="n"/>
      <c r="BL63" s="104" t="n"/>
      <c r="BM63" s="104" t="n"/>
      <c r="BN63" s="104" t="n"/>
      <c r="BO63" s="104" t="n"/>
      <c r="BP63" s="104" t="n"/>
      <c r="BQ63" s="104" t="n"/>
      <c r="BR63" s="104" t="n"/>
      <c r="BS63" s="104" t="n"/>
      <c r="BT63" s="104" t="n"/>
      <c r="BU63" s="104" t="n"/>
      <c r="BV63" s="104" t="n"/>
      <c r="BW63" s="104" t="n"/>
    </row>
    <row r="64" ht="20" customHeight="1">
      <c r="B64" s="100" t="n">
        <v>58</v>
      </c>
      <c r="C64" s="65" t="n"/>
      <c r="D64" s="65" t="n"/>
      <c r="E64" s="65" t="n"/>
      <c r="F64" s="65" t="n"/>
      <c r="G64" s="101" t="n"/>
      <c r="H64" s="101" t="n"/>
      <c r="I64" s="81" t="n"/>
      <c r="J64" s="102">
        <f>IF(OR(D64="",ProjStart=""),"",MAX(ProjStart,IF(I64&lt;&gt;"",I64,0),IF(H64="",0,IFERROR(INDEX($L$6:L63,MATCH(H64,$B$6:B63,0))+1,0))))</f>
        <v/>
      </c>
      <c r="K64" s="101" t="n"/>
      <c r="L64" s="102">
        <f>IF(J64="","",J64+MAX(1,G64)+IF(K64="",0,K64)-1)</f>
        <v/>
      </c>
      <c r="M64" s="65" t="n"/>
      <c r="N64" s="81" t="n"/>
      <c r="O64" s="103">
        <f>IF(D64="","",COUNTIF($H$7:$H$156,B64))</f>
        <v/>
      </c>
      <c r="P64" s="72">
        <f>IF(D64="","",IF(AND(H64&lt;&gt;"",H64&gt;=B64),"⚠️ Predecessor must be above",IF(M64="Done","✓ Done",IF(Q64=3,"🔴 Late",IF(M64="In progress","In progress","")))))</f>
        <v/>
      </c>
      <c r="Q64" s="63">
        <f>IF(OR(D64="",L64=""),"",IF(M64="Done",2,IF(AsOf&gt;L64,3,1)))</f>
        <v/>
      </c>
      <c r="R64" s="63">
        <f>IF(OR(E64="",F64=""),0,IF(COUNTIFS($E$7:E64,E64,$F$7:F64,F64)=1,1,0))</f>
        <v/>
      </c>
      <c r="S64" s="63">
        <f>IF(R64=1,E64&amp;"|"&amp;SUMIFS($R$7:R64,$E$7:E64,E64),"")</f>
        <v/>
      </c>
      <c r="T64" s="85">
        <f>IF(Q64="","",IF(Q64=3,L64,IF(OR(M64="Not started",M64=""),J64,"")))</f>
        <v/>
      </c>
      <c r="U64" s="63">
        <f>IF(T64="","",IF(Q64=3,1,IF(T64="","",IF(T64&lt;AsOf,1,IF(T64&lt;=AsOf+AlertDays,2,IF(T64&lt;=AsOf+2*AlertDays,3,""))))))</f>
        <v/>
      </c>
      <c r="V64" s="63">
        <f>IF(U64="","",IF(Q64=3,"Late task: "&amp;D64,IF(T64&lt;AsOf,"Should have started: ","Starts soon: ")&amp;D64)&amp;IF(F64="",""," — "&amp;F64))</f>
        <v/>
      </c>
      <c r="X64" s="104" t="n"/>
      <c r="Y64" s="104" t="n"/>
      <c r="Z64" s="104" t="n"/>
      <c r="AA64" s="104" t="n"/>
      <c r="AB64" s="104" t="n"/>
      <c r="AC64" s="104" t="n"/>
      <c r="AD64" s="104" t="n"/>
      <c r="AE64" s="104" t="n"/>
      <c r="AF64" s="104" t="n"/>
      <c r="AG64" s="104" t="n"/>
      <c r="AH64" s="104" t="n"/>
      <c r="AI64" s="104" t="n"/>
      <c r="AJ64" s="104" t="n"/>
      <c r="AK64" s="104" t="n"/>
      <c r="AL64" s="104" t="n"/>
      <c r="AM64" s="104" t="n"/>
      <c r="AN64" s="104" t="n"/>
      <c r="AO64" s="104" t="n"/>
      <c r="AP64" s="104" t="n"/>
      <c r="AQ64" s="104" t="n"/>
      <c r="AR64" s="104" t="n"/>
      <c r="AS64" s="104" t="n"/>
      <c r="AT64" s="104" t="n"/>
      <c r="AU64" s="104" t="n"/>
      <c r="AV64" s="104" t="n"/>
      <c r="AW64" s="104" t="n"/>
      <c r="AX64" s="104" t="n"/>
      <c r="AY64" s="104" t="n"/>
      <c r="AZ64" s="104" t="n"/>
      <c r="BA64" s="104" t="n"/>
      <c r="BB64" s="104" t="n"/>
      <c r="BC64" s="104" t="n"/>
      <c r="BD64" s="104" t="n"/>
      <c r="BE64" s="104" t="n"/>
      <c r="BF64" s="104" t="n"/>
      <c r="BG64" s="104" t="n"/>
      <c r="BH64" s="104" t="n"/>
      <c r="BI64" s="104" t="n"/>
      <c r="BJ64" s="104" t="n"/>
      <c r="BK64" s="104" t="n"/>
      <c r="BL64" s="104" t="n"/>
      <c r="BM64" s="104" t="n"/>
      <c r="BN64" s="104" t="n"/>
      <c r="BO64" s="104" t="n"/>
      <c r="BP64" s="104" t="n"/>
      <c r="BQ64" s="104" t="n"/>
      <c r="BR64" s="104" t="n"/>
      <c r="BS64" s="104" t="n"/>
      <c r="BT64" s="104" t="n"/>
      <c r="BU64" s="104" t="n"/>
      <c r="BV64" s="104" t="n"/>
      <c r="BW64" s="104" t="n"/>
    </row>
    <row r="65" ht="20" customHeight="1">
      <c r="B65" s="100" t="n">
        <v>59</v>
      </c>
      <c r="C65" s="65" t="n"/>
      <c r="D65" s="65" t="n"/>
      <c r="E65" s="65" t="n"/>
      <c r="F65" s="65" t="n"/>
      <c r="G65" s="101" t="n"/>
      <c r="H65" s="101" t="n"/>
      <c r="I65" s="81" t="n"/>
      <c r="J65" s="102">
        <f>IF(OR(D65="",ProjStart=""),"",MAX(ProjStart,IF(I65&lt;&gt;"",I65,0),IF(H65="",0,IFERROR(INDEX($L$6:L64,MATCH(H65,$B$6:B64,0))+1,0))))</f>
        <v/>
      </c>
      <c r="K65" s="101" t="n"/>
      <c r="L65" s="102">
        <f>IF(J65="","",J65+MAX(1,G65)+IF(K65="",0,K65)-1)</f>
        <v/>
      </c>
      <c r="M65" s="65" t="n"/>
      <c r="N65" s="81" t="n"/>
      <c r="O65" s="103">
        <f>IF(D65="","",COUNTIF($H$7:$H$156,B65))</f>
        <v/>
      </c>
      <c r="P65" s="72">
        <f>IF(D65="","",IF(AND(H65&lt;&gt;"",H65&gt;=B65),"⚠️ Predecessor must be above",IF(M65="Done","✓ Done",IF(Q65=3,"🔴 Late",IF(M65="In progress","In progress","")))))</f>
        <v/>
      </c>
      <c r="Q65" s="63">
        <f>IF(OR(D65="",L65=""),"",IF(M65="Done",2,IF(AsOf&gt;L65,3,1)))</f>
        <v/>
      </c>
      <c r="R65" s="63">
        <f>IF(OR(E65="",F65=""),0,IF(COUNTIFS($E$7:E65,E65,$F$7:F65,F65)=1,1,0))</f>
        <v/>
      </c>
      <c r="S65" s="63">
        <f>IF(R65=1,E65&amp;"|"&amp;SUMIFS($R$7:R65,$E$7:E65,E65),"")</f>
        <v/>
      </c>
      <c r="T65" s="85">
        <f>IF(Q65="","",IF(Q65=3,L65,IF(OR(M65="Not started",M65=""),J65,"")))</f>
        <v/>
      </c>
      <c r="U65" s="63">
        <f>IF(T65="","",IF(Q65=3,1,IF(T65="","",IF(T65&lt;AsOf,1,IF(T65&lt;=AsOf+AlertDays,2,IF(T65&lt;=AsOf+2*AlertDays,3,""))))))</f>
        <v/>
      </c>
      <c r="V65" s="63">
        <f>IF(U65="","",IF(Q65=3,"Late task: "&amp;D65,IF(T65&lt;AsOf,"Should have started: ","Starts soon: ")&amp;D65)&amp;IF(F65="",""," — "&amp;F65))</f>
        <v/>
      </c>
      <c r="X65" s="104" t="n"/>
      <c r="Y65" s="104" t="n"/>
      <c r="Z65" s="104" t="n"/>
      <c r="AA65" s="104" t="n"/>
      <c r="AB65" s="104" t="n"/>
      <c r="AC65" s="104" t="n"/>
      <c r="AD65" s="104" t="n"/>
      <c r="AE65" s="104" t="n"/>
      <c r="AF65" s="104" t="n"/>
      <c r="AG65" s="104" t="n"/>
      <c r="AH65" s="104" t="n"/>
      <c r="AI65" s="104" t="n"/>
      <c r="AJ65" s="104" t="n"/>
      <c r="AK65" s="104" t="n"/>
      <c r="AL65" s="104" t="n"/>
      <c r="AM65" s="104" t="n"/>
      <c r="AN65" s="104" t="n"/>
      <c r="AO65" s="104" t="n"/>
      <c r="AP65" s="104" t="n"/>
      <c r="AQ65" s="104" t="n"/>
      <c r="AR65" s="104" t="n"/>
      <c r="AS65" s="104" t="n"/>
      <c r="AT65" s="104" t="n"/>
      <c r="AU65" s="104" t="n"/>
      <c r="AV65" s="104" t="n"/>
      <c r="AW65" s="104" t="n"/>
      <c r="AX65" s="104" t="n"/>
      <c r="AY65" s="104" t="n"/>
      <c r="AZ65" s="104" t="n"/>
      <c r="BA65" s="104" t="n"/>
      <c r="BB65" s="104" t="n"/>
      <c r="BC65" s="104" t="n"/>
      <c r="BD65" s="104" t="n"/>
      <c r="BE65" s="104" t="n"/>
      <c r="BF65" s="104" t="n"/>
      <c r="BG65" s="104" t="n"/>
      <c r="BH65" s="104" t="n"/>
      <c r="BI65" s="104" t="n"/>
      <c r="BJ65" s="104" t="n"/>
      <c r="BK65" s="104" t="n"/>
      <c r="BL65" s="104" t="n"/>
      <c r="BM65" s="104" t="n"/>
      <c r="BN65" s="104" t="n"/>
      <c r="BO65" s="104" t="n"/>
      <c r="BP65" s="104" t="n"/>
      <c r="BQ65" s="104" t="n"/>
      <c r="BR65" s="104" t="n"/>
      <c r="BS65" s="104" t="n"/>
      <c r="BT65" s="104" t="n"/>
      <c r="BU65" s="104" t="n"/>
      <c r="BV65" s="104" t="n"/>
      <c r="BW65" s="104" t="n"/>
    </row>
    <row r="66" ht="20" customHeight="1">
      <c r="B66" s="100" t="n">
        <v>60</v>
      </c>
      <c r="C66" s="65" t="n"/>
      <c r="D66" s="65" t="n"/>
      <c r="E66" s="65" t="n"/>
      <c r="F66" s="65" t="n"/>
      <c r="G66" s="101" t="n"/>
      <c r="H66" s="101" t="n"/>
      <c r="I66" s="81" t="n"/>
      <c r="J66" s="102">
        <f>IF(OR(D66="",ProjStart=""),"",MAX(ProjStart,IF(I66&lt;&gt;"",I66,0),IF(H66="",0,IFERROR(INDEX($L$6:L65,MATCH(H66,$B$6:B65,0))+1,0))))</f>
        <v/>
      </c>
      <c r="K66" s="101" t="n"/>
      <c r="L66" s="102">
        <f>IF(J66="","",J66+MAX(1,G66)+IF(K66="",0,K66)-1)</f>
        <v/>
      </c>
      <c r="M66" s="65" t="n"/>
      <c r="N66" s="81" t="n"/>
      <c r="O66" s="103">
        <f>IF(D66="","",COUNTIF($H$7:$H$156,B66))</f>
        <v/>
      </c>
      <c r="P66" s="72">
        <f>IF(D66="","",IF(AND(H66&lt;&gt;"",H66&gt;=B66),"⚠️ Predecessor must be above",IF(M66="Done","✓ Done",IF(Q66=3,"🔴 Late",IF(M66="In progress","In progress","")))))</f>
        <v/>
      </c>
      <c r="Q66" s="63">
        <f>IF(OR(D66="",L66=""),"",IF(M66="Done",2,IF(AsOf&gt;L66,3,1)))</f>
        <v/>
      </c>
      <c r="R66" s="63">
        <f>IF(OR(E66="",F66=""),0,IF(COUNTIFS($E$7:E66,E66,$F$7:F66,F66)=1,1,0))</f>
        <v/>
      </c>
      <c r="S66" s="63">
        <f>IF(R66=1,E66&amp;"|"&amp;SUMIFS($R$7:R66,$E$7:E66,E66),"")</f>
        <v/>
      </c>
      <c r="T66" s="85">
        <f>IF(Q66="","",IF(Q66=3,L66,IF(OR(M66="Not started",M66=""),J66,"")))</f>
        <v/>
      </c>
      <c r="U66" s="63">
        <f>IF(T66="","",IF(Q66=3,1,IF(T66="","",IF(T66&lt;AsOf,1,IF(T66&lt;=AsOf+AlertDays,2,IF(T66&lt;=AsOf+2*AlertDays,3,""))))))</f>
        <v/>
      </c>
      <c r="V66" s="63">
        <f>IF(U66="","",IF(Q66=3,"Late task: "&amp;D66,IF(T66&lt;AsOf,"Should have started: ","Starts soon: ")&amp;D66)&amp;IF(F66="",""," — "&amp;F66))</f>
        <v/>
      </c>
      <c r="X66" s="104" t="n"/>
      <c r="Y66" s="104" t="n"/>
      <c r="Z66" s="104" t="n"/>
      <c r="AA66" s="104" t="n"/>
      <c r="AB66" s="104" t="n"/>
      <c r="AC66" s="104" t="n"/>
      <c r="AD66" s="104" t="n"/>
      <c r="AE66" s="104" t="n"/>
      <c r="AF66" s="104" t="n"/>
      <c r="AG66" s="104" t="n"/>
      <c r="AH66" s="104" t="n"/>
      <c r="AI66" s="104" t="n"/>
      <c r="AJ66" s="104" t="n"/>
      <c r="AK66" s="104" t="n"/>
      <c r="AL66" s="104" t="n"/>
      <c r="AM66" s="104" t="n"/>
      <c r="AN66" s="104" t="n"/>
      <c r="AO66" s="104" t="n"/>
      <c r="AP66" s="104" t="n"/>
      <c r="AQ66" s="104" t="n"/>
      <c r="AR66" s="104" t="n"/>
      <c r="AS66" s="104" t="n"/>
      <c r="AT66" s="104" t="n"/>
      <c r="AU66" s="104" t="n"/>
      <c r="AV66" s="104" t="n"/>
      <c r="AW66" s="104" t="n"/>
      <c r="AX66" s="104" t="n"/>
      <c r="AY66" s="104" t="n"/>
      <c r="AZ66" s="104" t="n"/>
      <c r="BA66" s="104" t="n"/>
      <c r="BB66" s="104" t="n"/>
      <c r="BC66" s="104" t="n"/>
      <c r="BD66" s="104" t="n"/>
      <c r="BE66" s="104" t="n"/>
      <c r="BF66" s="104" t="n"/>
      <c r="BG66" s="104" t="n"/>
      <c r="BH66" s="104" t="n"/>
      <c r="BI66" s="104" t="n"/>
      <c r="BJ66" s="104" t="n"/>
      <c r="BK66" s="104" t="n"/>
      <c r="BL66" s="104" t="n"/>
      <c r="BM66" s="104" t="n"/>
      <c r="BN66" s="104" t="n"/>
      <c r="BO66" s="104" t="n"/>
      <c r="BP66" s="104" t="n"/>
      <c r="BQ66" s="104" t="n"/>
      <c r="BR66" s="104" t="n"/>
      <c r="BS66" s="104" t="n"/>
      <c r="BT66" s="104" t="n"/>
      <c r="BU66" s="104" t="n"/>
      <c r="BV66" s="104" t="n"/>
      <c r="BW66" s="104" t="n"/>
    </row>
    <row r="67" ht="20" customHeight="1">
      <c r="B67" s="100" t="n">
        <v>61</v>
      </c>
      <c r="C67" s="65" t="n"/>
      <c r="D67" s="65" t="n"/>
      <c r="E67" s="65" t="n"/>
      <c r="F67" s="65" t="n"/>
      <c r="G67" s="101" t="n"/>
      <c r="H67" s="101" t="n"/>
      <c r="I67" s="81" t="n"/>
      <c r="J67" s="102">
        <f>IF(OR(D67="",ProjStart=""),"",MAX(ProjStart,IF(I67&lt;&gt;"",I67,0),IF(H67="",0,IFERROR(INDEX($L$6:L66,MATCH(H67,$B$6:B66,0))+1,0))))</f>
        <v/>
      </c>
      <c r="K67" s="101" t="n"/>
      <c r="L67" s="102">
        <f>IF(J67="","",J67+MAX(1,G67)+IF(K67="",0,K67)-1)</f>
        <v/>
      </c>
      <c r="M67" s="65" t="n"/>
      <c r="N67" s="81" t="n"/>
      <c r="O67" s="103">
        <f>IF(D67="","",COUNTIF($H$7:$H$156,B67))</f>
        <v/>
      </c>
      <c r="P67" s="72">
        <f>IF(D67="","",IF(AND(H67&lt;&gt;"",H67&gt;=B67),"⚠️ Predecessor must be above",IF(M67="Done","✓ Done",IF(Q67=3,"🔴 Late",IF(M67="In progress","In progress","")))))</f>
        <v/>
      </c>
      <c r="Q67" s="63">
        <f>IF(OR(D67="",L67=""),"",IF(M67="Done",2,IF(AsOf&gt;L67,3,1)))</f>
        <v/>
      </c>
      <c r="R67" s="63">
        <f>IF(OR(E67="",F67=""),0,IF(COUNTIFS($E$7:E67,E67,$F$7:F67,F67)=1,1,0))</f>
        <v/>
      </c>
      <c r="S67" s="63">
        <f>IF(R67=1,E67&amp;"|"&amp;SUMIFS($R$7:R67,$E$7:E67,E67),"")</f>
        <v/>
      </c>
      <c r="T67" s="85">
        <f>IF(Q67="","",IF(Q67=3,L67,IF(OR(M67="Not started",M67=""),J67,"")))</f>
        <v/>
      </c>
      <c r="U67" s="63">
        <f>IF(T67="","",IF(Q67=3,1,IF(T67="","",IF(T67&lt;AsOf,1,IF(T67&lt;=AsOf+AlertDays,2,IF(T67&lt;=AsOf+2*AlertDays,3,""))))))</f>
        <v/>
      </c>
      <c r="V67" s="63">
        <f>IF(U67="","",IF(Q67=3,"Late task: "&amp;D67,IF(T67&lt;AsOf,"Should have started: ","Starts soon: ")&amp;D67)&amp;IF(F67="",""," — "&amp;F67))</f>
        <v/>
      </c>
      <c r="X67" s="104" t="n"/>
      <c r="Y67" s="104" t="n"/>
      <c r="Z67" s="104" t="n"/>
      <c r="AA67" s="104" t="n"/>
      <c r="AB67" s="104" t="n"/>
      <c r="AC67" s="104" t="n"/>
      <c r="AD67" s="104" t="n"/>
      <c r="AE67" s="104" t="n"/>
      <c r="AF67" s="104" t="n"/>
      <c r="AG67" s="104" t="n"/>
      <c r="AH67" s="104" t="n"/>
      <c r="AI67" s="104" t="n"/>
      <c r="AJ67" s="104" t="n"/>
      <c r="AK67" s="104" t="n"/>
      <c r="AL67" s="104" t="n"/>
      <c r="AM67" s="104" t="n"/>
      <c r="AN67" s="104" t="n"/>
      <c r="AO67" s="104" t="n"/>
      <c r="AP67" s="104" t="n"/>
      <c r="AQ67" s="104" t="n"/>
      <c r="AR67" s="104" t="n"/>
      <c r="AS67" s="104" t="n"/>
      <c r="AT67" s="104" t="n"/>
      <c r="AU67" s="104" t="n"/>
      <c r="AV67" s="104" t="n"/>
      <c r="AW67" s="104" t="n"/>
      <c r="AX67" s="104" t="n"/>
      <c r="AY67" s="104" t="n"/>
      <c r="AZ67" s="104" t="n"/>
      <c r="BA67" s="104" t="n"/>
      <c r="BB67" s="104" t="n"/>
      <c r="BC67" s="104" t="n"/>
      <c r="BD67" s="104" t="n"/>
      <c r="BE67" s="104" t="n"/>
      <c r="BF67" s="104" t="n"/>
      <c r="BG67" s="104" t="n"/>
      <c r="BH67" s="104" t="n"/>
      <c r="BI67" s="104" t="n"/>
      <c r="BJ67" s="104" t="n"/>
      <c r="BK67" s="104" t="n"/>
      <c r="BL67" s="104" t="n"/>
      <c r="BM67" s="104" t="n"/>
      <c r="BN67" s="104" t="n"/>
      <c r="BO67" s="104" t="n"/>
      <c r="BP67" s="104" t="n"/>
      <c r="BQ67" s="104" t="n"/>
      <c r="BR67" s="104" t="n"/>
      <c r="BS67" s="104" t="n"/>
      <c r="BT67" s="104" t="n"/>
      <c r="BU67" s="104" t="n"/>
      <c r="BV67" s="104" t="n"/>
      <c r="BW67" s="104" t="n"/>
    </row>
    <row r="68" ht="20" customHeight="1">
      <c r="B68" s="100" t="n">
        <v>62</v>
      </c>
      <c r="C68" s="65" t="n"/>
      <c r="D68" s="65" t="n"/>
      <c r="E68" s="65" t="n"/>
      <c r="F68" s="65" t="n"/>
      <c r="G68" s="101" t="n"/>
      <c r="H68" s="101" t="n"/>
      <c r="I68" s="81" t="n"/>
      <c r="J68" s="102">
        <f>IF(OR(D68="",ProjStart=""),"",MAX(ProjStart,IF(I68&lt;&gt;"",I68,0),IF(H68="",0,IFERROR(INDEX($L$6:L67,MATCH(H68,$B$6:B67,0))+1,0))))</f>
        <v/>
      </c>
      <c r="K68" s="101" t="n"/>
      <c r="L68" s="102">
        <f>IF(J68="","",J68+MAX(1,G68)+IF(K68="",0,K68)-1)</f>
        <v/>
      </c>
      <c r="M68" s="65" t="n"/>
      <c r="N68" s="81" t="n"/>
      <c r="O68" s="103">
        <f>IF(D68="","",COUNTIF($H$7:$H$156,B68))</f>
        <v/>
      </c>
      <c r="P68" s="72">
        <f>IF(D68="","",IF(AND(H68&lt;&gt;"",H68&gt;=B68),"⚠️ Predecessor must be above",IF(M68="Done","✓ Done",IF(Q68=3,"🔴 Late",IF(M68="In progress","In progress","")))))</f>
        <v/>
      </c>
      <c r="Q68" s="63">
        <f>IF(OR(D68="",L68=""),"",IF(M68="Done",2,IF(AsOf&gt;L68,3,1)))</f>
        <v/>
      </c>
      <c r="R68" s="63">
        <f>IF(OR(E68="",F68=""),0,IF(COUNTIFS($E$7:E68,E68,$F$7:F68,F68)=1,1,0))</f>
        <v/>
      </c>
      <c r="S68" s="63">
        <f>IF(R68=1,E68&amp;"|"&amp;SUMIFS($R$7:R68,$E$7:E68,E68),"")</f>
        <v/>
      </c>
      <c r="T68" s="85">
        <f>IF(Q68="","",IF(Q68=3,L68,IF(OR(M68="Not started",M68=""),J68,"")))</f>
        <v/>
      </c>
      <c r="U68" s="63">
        <f>IF(T68="","",IF(Q68=3,1,IF(T68="","",IF(T68&lt;AsOf,1,IF(T68&lt;=AsOf+AlertDays,2,IF(T68&lt;=AsOf+2*AlertDays,3,""))))))</f>
        <v/>
      </c>
      <c r="V68" s="63">
        <f>IF(U68="","",IF(Q68=3,"Late task: "&amp;D68,IF(T68&lt;AsOf,"Should have started: ","Starts soon: ")&amp;D68)&amp;IF(F68="",""," — "&amp;F68))</f>
        <v/>
      </c>
      <c r="X68" s="104" t="n"/>
      <c r="Y68" s="104" t="n"/>
      <c r="Z68" s="104" t="n"/>
      <c r="AA68" s="104" t="n"/>
      <c r="AB68" s="104" t="n"/>
      <c r="AC68" s="104" t="n"/>
      <c r="AD68" s="104" t="n"/>
      <c r="AE68" s="104" t="n"/>
      <c r="AF68" s="104" t="n"/>
      <c r="AG68" s="104" t="n"/>
      <c r="AH68" s="104" t="n"/>
      <c r="AI68" s="104" t="n"/>
      <c r="AJ68" s="104" t="n"/>
      <c r="AK68" s="104" t="n"/>
      <c r="AL68" s="104" t="n"/>
      <c r="AM68" s="104" t="n"/>
      <c r="AN68" s="104" t="n"/>
      <c r="AO68" s="104" t="n"/>
      <c r="AP68" s="104" t="n"/>
      <c r="AQ68" s="104" t="n"/>
      <c r="AR68" s="104" t="n"/>
      <c r="AS68" s="104" t="n"/>
      <c r="AT68" s="104" t="n"/>
      <c r="AU68" s="104" t="n"/>
      <c r="AV68" s="104" t="n"/>
      <c r="AW68" s="104" t="n"/>
      <c r="AX68" s="104" t="n"/>
      <c r="AY68" s="104" t="n"/>
      <c r="AZ68" s="104" t="n"/>
      <c r="BA68" s="104" t="n"/>
      <c r="BB68" s="104" t="n"/>
      <c r="BC68" s="104" t="n"/>
      <c r="BD68" s="104" t="n"/>
      <c r="BE68" s="104" t="n"/>
      <c r="BF68" s="104" t="n"/>
      <c r="BG68" s="104" t="n"/>
      <c r="BH68" s="104" t="n"/>
      <c r="BI68" s="104" t="n"/>
      <c r="BJ68" s="104" t="n"/>
      <c r="BK68" s="104" t="n"/>
      <c r="BL68" s="104" t="n"/>
      <c r="BM68" s="104" t="n"/>
      <c r="BN68" s="104" t="n"/>
      <c r="BO68" s="104" t="n"/>
      <c r="BP68" s="104" t="n"/>
      <c r="BQ68" s="104" t="n"/>
      <c r="BR68" s="104" t="n"/>
      <c r="BS68" s="104" t="n"/>
      <c r="BT68" s="104" t="n"/>
      <c r="BU68" s="104" t="n"/>
      <c r="BV68" s="104" t="n"/>
      <c r="BW68" s="104" t="n"/>
    </row>
    <row r="69" ht="20" customHeight="1">
      <c r="B69" s="100" t="n">
        <v>63</v>
      </c>
      <c r="C69" s="65" t="n"/>
      <c r="D69" s="65" t="n"/>
      <c r="E69" s="65" t="n"/>
      <c r="F69" s="65" t="n"/>
      <c r="G69" s="101" t="n"/>
      <c r="H69" s="101" t="n"/>
      <c r="I69" s="81" t="n"/>
      <c r="J69" s="102">
        <f>IF(OR(D69="",ProjStart=""),"",MAX(ProjStart,IF(I69&lt;&gt;"",I69,0),IF(H69="",0,IFERROR(INDEX($L$6:L68,MATCH(H69,$B$6:B68,0))+1,0))))</f>
        <v/>
      </c>
      <c r="K69" s="101" t="n"/>
      <c r="L69" s="102">
        <f>IF(J69="","",J69+MAX(1,G69)+IF(K69="",0,K69)-1)</f>
        <v/>
      </c>
      <c r="M69" s="65" t="n"/>
      <c r="N69" s="81" t="n"/>
      <c r="O69" s="103">
        <f>IF(D69="","",COUNTIF($H$7:$H$156,B69))</f>
        <v/>
      </c>
      <c r="P69" s="72">
        <f>IF(D69="","",IF(AND(H69&lt;&gt;"",H69&gt;=B69),"⚠️ Predecessor must be above",IF(M69="Done","✓ Done",IF(Q69=3,"🔴 Late",IF(M69="In progress","In progress","")))))</f>
        <v/>
      </c>
      <c r="Q69" s="63">
        <f>IF(OR(D69="",L69=""),"",IF(M69="Done",2,IF(AsOf&gt;L69,3,1)))</f>
        <v/>
      </c>
      <c r="R69" s="63">
        <f>IF(OR(E69="",F69=""),0,IF(COUNTIFS($E$7:E69,E69,$F$7:F69,F69)=1,1,0))</f>
        <v/>
      </c>
      <c r="S69" s="63">
        <f>IF(R69=1,E69&amp;"|"&amp;SUMIFS($R$7:R69,$E$7:E69,E69),"")</f>
        <v/>
      </c>
      <c r="T69" s="85">
        <f>IF(Q69="","",IF(Q69=3,L69,IF(OR(M69="Not started",M69=""),J69,"")))</f>
        <v/>
      </c>
      <c r="U69" s="63">
        <f>IF(T69="","",IF(Q69=3,1,IF(T69="","",IF(T69&lt;AsOf,1,IF(T69&lt;=AsOf+AlertDays,2,IF(T69&lt;=AsOf+2*AlertDays,3,""))))))</f>
        <v/>
      </c>
      <c r="V69" s="63">
        <f>IF(U69="","",IF(Q69=3,"Late task: "&amp;D69,IF(T69&lt;AsOf,"Should have started: ","Starts soon: ")&amp;D69)&amp;IF(F69="",""," — "&amp;F69))</f>
        <v/>
      </c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</row>
    <row r="70" ht="20" customHeight="1">
      <c r="B70" s="100" t="n">
        <v>64</v>
      </c>
      <c r="C70" s="65" t="n"/>
      <c r="D70" s="65" t="n"/>
      <c r="E70" s="65" t="n"/>
      <c r="F70" s="65" t="n"/>
      <c r="G70" s="101" t="n"/>
      <c r="H70" s="101" t="n"/>
      <c r="I70" s="81" t="n"/>
      <c r="J70" s="102">
        <f>IF(OR(D70="",ProjStart=""),"",MAX(ProjStart,IF(I70&lt;&gt;"",I70,0),IF(H70="",0,IFERROR(INDEX($L$6:L69,MATCH(H70,$B$6:B69,0))+1,0))))</f>
        <v/>
      </c>
      <c r="K70" s="101" t="n"/>
      <c r="L70" s="102">
        <f>IF(J70="","",J70+MAX(1,G70)+IF(K70="",0,K70)-1)</f>
        <v/>
      </c>
      <c r="M70" s="65" t="n"/>
      <c r="N70" s="81" t="n"/>
      <c r="O70" s="103">
        <f>IF(D70="","",COUNTIF($H$7:$H$156,B70))</f>
        <v/>
      </c>
      <c r="P70" s="72">
        <f>IF(D70="","",IF(AND(H70&lt;&gt;"",H70&gt;=B70),"⚠️ Predecessor must be above",IF(M70="Done","✓ Done",IF(Q70=3,"🔴 Late",IF(M70="In progress","In progress","")))))</f>
        <v/>
      </c>
      <c r="Q70" s="63">
        <f>IF(OR(D70="",L70=""),"",IF(M70="Done",2,IF(AsOf&gt;L70,3,1)))</f>
        <v/>
      </c>
      <c r="R70" s="63">
        <f>IF(OR(E70="",F70=""),0,IF(COUNTIFS($E$7:E70,E70,$F$7:F70,F70)=1,1,0))</f>
        <v/>
      </c>
      <c r="S70" s="63">
        <f>IF(R70=1,E70&amp;"|"&amp;SUMIFS($R$7:R70,$E$7:E70,E70),"")</f>
        <v/>
      </c>
      <c r="T70" s="85">
        <f>IF(Q70="","",IF(Q70=3,L70,IF(OR(M70="Not started",M70=""),J70,"")))</f>
        <v/>
      </c>
      <c r="U70" s="63">
        <f>IF(T70="","",IF(Q70=3,1,IF(T70="","",IF(T70&lt;AsOf,1,IF(T70&lt;=AsOf+AlertDays,2,IF(T70&lt;=AsOf+2*AlertDays,3,""))))))</f>
        <v/>
      </c>
      <c r="V70" s="63">
        <f>IF(U70="","",IF(Q70=3,"Late task: "&amp;D70,IF(T70&lt;AsOf,"Should have started: ","Starts soon: ")&amp;D70)&amp;IF(F70="",""," — "&amp;F70))</f>
        <v/>
      </c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</row>
    <row r="71" ht="20" customHeight="1">
      <c r="B71" s="100" t="n">
        <v>65</v>
      </c>
      <c r="C71" s="65" t="n"/>
      <c r="D71" s="65" t="n"/>
      <c r="E71" s="65" t="n"/>
      <c r="F71" s="65" t="n"/>
      <c r="G71" s="101" t="n"/>
      <c r="H71" s="101" t="n"/>
      <c r="I71" s="81" t="n"/>
      <c r="J71" s="102">
        <f>IF(OR(D71="",ProjStart=""),"",MAX(ProjStart,IF(I71&lt;&gt;"",I71,0),IF(H71="",0,IFERROR(INDEX($L$6:L70,MATCH(H71,$B$6:B70,0))+1,0))))</f>
        <v/>
      </c>
      <c r="K71" s="101" t="n"/>
      <c r="L71" s="102">
        <f>IF(J71="","",J71+MAX(1,G71)+IF(K71="",0,K71)-1)</f>
        <v/>
      </c>
      <c r="M71" s="65" t="n"/>
      <c r="N71" s="81" t="n"/>
      <c r="O71" s="103">
        <f>IF(D71="","",COUNTIF($H$7:$H$156,B71))</f>
        <v/>
      </c>
      <c r="P71" s="72">
        <f>IF(D71="","",IF(AND(H71&lt;&gt;"",H71&gt;=B71),"⚠️ Predecessor must be above",IF(M71="Done","✓ Done",IF(Q71=3,"🔴 Late",IF(M71="In progress","In progress","")))))</f>
        <v/>
      </c>
      <c r="Q71" s="63">
        <f>IF(OR(D71="",L71=""),"",IF(M71="Done",2,IF(AsOf&gt;L71,3,1)))</f>
        <v/>
      </c>
      <c r="R71" s="63">
        <f>IF(OR(E71="",F71=""),0,IF(COUNTIFS($E$7:E71,E71,$F$7:F71,F71)=1,1,0))</f>
        <v/>
      </c>
      <c r="S71" s="63">
        <f>IF(R71=1,E71&amp;"|"&amp;SUMIFS($R$7:R71,$E$7:E71,E71),"")</f>
        <v/>
      </c>
      <c r="T71" s="85">
        <f>IF(Q71="","",IF(Q71=3,L71,IF(OR(M71="Not started",M71=""),J71,"")))</f>
        <v/>
      </c>
      <c r="U71" s="63">
        <f>IF(T71="","",IF(Q71=3,1,IF(T71="","",IF(T71&lt;AsOf,1,IF(T71&lt;=AsOf+AlertDays,2,IF(T71&lt;=AsOf+2*AlertDays,3,""))))))</f>
        <v/>
      </c>
      <c r="V71" s="63">
        <f>IF(U71="","",IF(Q71=3,"Late task: "&amp;D71,IF(T71&lt;AsOf,"Should have started: ","Starts soon: ")&amp;D71)&amp;IF(F71="",""," — "&amp;F71))</f>
        <v/>
      </c>
      <c r="X71" s="104" t="n"/>
      <c r="Y71" s="104" t="n"/>
      <c r="Z71" s="104" t="n"/>
      <c r="AA71" s="104" t="n"/>
      <c r="AB71" s="104" t="n"/>
      <c r="AC71" s="104" t="n"/>
      <c r="AD71" s="104" t="n"/>
      <c r="AE71" s="104" t="n"/>
      <c r="AF71" s="104" t="n"/>
      <c r="AG71" s="104" t="n"/>
      <c r="AH71" s="104" t="n"/>
      <c r="AI71" s="104" t="n"/>
      <c r="AJ71" s="104" t="n"/>
      <c r="AK71" s="104" t="n"/>
      <c r="AL71" s="104" t="n"/>
      <c r="AM71" s="104" t="n"/>
      <c r="AN71" s="104" t="n"/>
      <c r="AO71" s="104" t="n"/>
      <c r="AP71" s="104" t="n"/>
      <c r="AQ71" s="104" t="n"/>
      <c r="AR71" s="104" t="n"/>
      <c r="AS71" s="104" t="n"/>
      <c r="AT71" s="104" t="n"/>
      <c r="AU71" s="104" t="n"/>
      <c r="AV71" s="104" t="n"/>
      <c r="AW71" s="104" t="n"/>
      <c r="AX71" s="104" t="n"/>
      <c r="AY71" s="104" t="n"/>
      <c r="AZ71" s="104" t="n"/>
      <c r="BA71" s="104" t="n"/>
      <c r="BB71" s="104" t="n"/>
      <c r="BC71" s="104" t="n"/>
      <c r="BD71" s="104" t="n"/>
      <c r="BE71" s="104" t="n"/>
      <c r="BF71" s="104" t="n"/>
      <c r="BG71" s="104" t="n"/>
      <c r="BH71" s="104" t="n"/>
      <c r="BI71" s="104" t="n"/>
      <c r="BJ71" s="104" t="n"/>
      <c r="BK71" s="104" t="n"/>
      <c r="BL71" s="104" t="n"/>
      <c r="BM71" s="104" t="n"/>
      <c r="BN71" s="104" t="n"/>
      <c r="BO71" s="104" t="n"/>
      <c r="BP71" s="104" t="n"/>
      <c r="BQ71" s="104" t="n"/>
      <c r="BR71" s="104" t="n"/>
      <c r="BS71" s="104" t="n"/>
      <c r="BT71" s="104" t="n"/>
      <c r="BU71" s="104" t="n"/>
      <c r="BV71" s="104" t="n"/>
      <c r="BW71" s="104" t="n"/>
    </row>
    <row r="72" ht="20" customHeight="1">
      <c r="B72" s="100" t="n">
        <v>66</v>
      </c>
      <c r="C72" s="65" t="n"/>
      <c r="D72" s="65" t="n"/>
      <c r="E72" s="65" t="n"/>
      <c r="F72" s="65" t="n"/>
      <c r="G72" s="101" t="n"/>
      <c r="H72" s="101" t="n"/>
      <c r="I72" s="81" t="n"/>
      <c r="J72" s="102">
        <f>IF(OR(D72="",ProjStart=""),"",MAX(ProjStart,IF(I72&lt;&gt;"",I72,0),IF(H72="",0,IFERROR(INDEX($L$6:L71,MATCH(H72,$B$6:B71,0))+1,0))))</f>
        <v/>
      </c>
      <c r="K72" s="101" t="n"/>
      <c r="L72" s="102">
        <f>IF(J72="","",J72+MAX(1,G72)+IF(K72="",0,K72)-1)</f>
        <v/>
      </c>
      <c r="M72" s="65" t="n"/>
      <c r="N72" s="81" t="n"/>
      <c r="O72" s="103">
        <f>IF(D72="","",COUNTIF($H$7:$H$156,B72))</f>
        <v/>
      </c>
      <c r="P72" s="72">
        <f>IF(D72="","",IF(AND(H72&lt;&gt;"",H72&gt;=B72),"⚠️ Predecessor must be above",IF(M72="Done","✓ Done",IF(Q72=3,"🔴 Late",IF(M72="In progress","In progress","")))))</f>
        <v/>
      </c>
      <c r="Q72" s="63">
        <f>IF(OR(D72="",L72=""),"",IF(M72="Done",2,IF(AsOf&gt;L72,3,1)))</f>
        <v/>
      </c>
      <c r="R72" s="63">
        <f>IF(OR(E72="",F72=""),0,IF(COUNTIFS($E$7:E72,E72,$F$7:F72,F72)=1,1,0))</f>
        <v/>
      </c>
      <c r="S72" s="63">
        <f>IF(R72=1,E72&amp;"|"&amp;SUMIFS($R$7:R72,$E$7:E72,E72),"")</f>
        <v/>
      </c>
      <c r="T72" s="85">
        <f>IF(Q72="","",IF(Q72=3,L72,IF(OR(M72="Not started",M72=""),J72,"")))</f>
        <v/>
      </c>
      <c r="U72" s="63">
        <f>IF(T72="","",IF(Q72=3,1,IF(T72="","",IF(T72&lt;AsOf,1,IF(T72&lt;=AsOf+AlertDays,2,IF(T72&lt;=AsOf+2*AlertDays,3,""))))))</f>
        <v/>
      </c>
      <c r="V72" s="63">
        <f>IF(U72="","",IF(Q72=3,"Late task: "&amp;D72,IF(T72&lt;AsOf,"Should have started: ","Starts soon: ")&amp;D72)&amp;IF(F72="",""," — "&amp;F72))</f>
        <v/>
      </c>
      <c r="X72" s="104" t="n"/>
      <c r="Y72" s="104" t="n"/>
      <c r="Z72" s="104" t="n"/>
      <c r="AA72" s="104" t="n"/>
      <c r="AB72" s="104" t="n"/>
      <c r="AC72" s="104" t="n"/>
      <c r="AD72" s="104" t="n"/>
      <c r="AE72" s="104" t="n"/>
      <c r="AF72" s="104" t="n"/>
      <c r="AG72" s="104" t="n"/>
      <c r="AH72" s="104" t="n"/>
      <c r="AI72" s="104" t="n"/>
      <c r="AJ72" s="104" t="n"/>
      <c r="AK72" s="104" t="n"/>
      <c r="AL72" s="104" t="n"/>
      <c r="AM72" s="104" t="n"/>
      <c r="AN72" s="104" t="n"/>
      <c r="AO72" s="104" t="n"/>
      <c r="AP72" s="104" t="n"/>
      <c r="AQ72" s="104" t="n"/>
      <c r="AR72" s="104" t="n"/>
      <c r="AS72" s="104" t="n"/>
      <c r="AT72" s="104" t="n"/>
      <c r="AU72" s="104" t="n"/>
      <c r="AV72" s="104" t="n"/>
      <c r="AW72" s="104" t="n"/>
      <c r="AX72" s="104" t="n"/>
      <c r="AY72" s="104" t="n"/>
      <c r="AZ72" s="104" t="n"/>
      <c r="BA72" s="104" t="n"/>
      <c r="BB72" s="104" t="n"/>
      <c r="BC72" s="104" t="n"/>
      <c r="BD72" s="104" t="n"/>
      <c r="BE72" s="104" t="n"/>
      <c r="BF72" s="104" t="n"/>
      <c r="BG72" s="104" t="n"/>
      <c r="BH72" s="104" t="n"/>
      <c r="BI72" s="104" t="n"/>
      <c r="BJ72" s="104" t="n"/>
      <c r="BK72" s="104" t="n"/>
      <c r="BL72" s="104" t="n"/>
      <c r="BM72" s="104" t="n"/>
      <c r="BN72" s="104" t="n"/>
      <c r="BO72" s="104" t="n"/>
      <c r="BP72" s="104" t="n"/>
      <c r="BQ72" s="104" t="n"/>
      <c r="BR72" s="104" t="n"/>
      <c r="BS72" s="104" t="n"/>
      <c r="BT72" s="104" t="n"/>
      <c r="BU72" s="104" t="n"/>
      <c r="BV72" s="104" t="n"/>
      <c r="BW72" s="104" t="n"/>
    </row>
    <row r="73" ht="20" customHeight="1">
      <c r="B73" s="100" t="n">
        <v>67</v>
      </c>
      <c r="C73" s="65" t="n"/>
      <c r="D73" s="65" t="n"/>
      <c r="E73" s="65" t="n"/>
      <c r="F73" s="65" t="n"/>
      <c r="G73" s="101" t="n"/>
      <c r="H73" s="101" t="n"/>
      <c r="I73" s="81" t="n"/>
      <c r="J73" s="102">
        <f>IF(OR(D73="",ProjStart=""),"",MAX(ProjStart,IF(I73&lt;&gt;"",I73,0),IF(H73="",0,IFERROR(INDEX($L$6:L72,MATCH(H73,$B$6:B72,0))+1,0))))</f>
        <v/>
      </c>
      <c r="K73" s="101" t="n"/>
      <c r="L73" s="102">
        <f>IF(J73="","",J73+MAX(1,G73)+IF(K73="",0,K73)-1)</f>
        <v/>
      </c>
      <c r="M73" s="65" t="n"/>
      <c r="N73" s="81" t="n"/>
      <c r="O73" s="103">
        <f>IF(D73="","",COUNTIF($H$7:$H$156,B73))</f>
        <v/>
      </c>
      <c r="P73" s="72">
        <f>IF(D73="","",IF(AND(H73&lt;&gt;"",H73&gt;=B73),"⚠️ Predecessor must be above",IF(M73="Done","✓ Done",IF(Q73=3,"🔴 Late",IF(M73="In progress","In progress","")))))</f>
        <v/>
      </c>
      <c r="Q73" s="63">
        <f>IF(OR(D73="",L73=""),"",IF(M73="Done",2,IF(AsOf&gt;L73,3,1)))</f>
        <v/>
      </c>
      <c r="R73" s="63">
        <f>IF(OR(E73="",F73=""),0,IF(COUNTIFS($E$7:E73,E73,$F$7:F73,F73)=1,1,0))</f>
        <v/>
      </c>
      <c r="S73" s="63">
        <f>IF(R73=1,E73&amp;"|"&amp;SUMIFS($R$7:R73,$E$7:E73,E73),"")</f>
        <v/>
      </c>
      <c r="T73" s="85">
        <f>IF(Q73="","",IF(Q73=3,L73,IF(OR(M73="Not started",M73=""),J73,"")))</f>
        <v/>
      </c>
      <c r="U73" s="63">
        <f>IF(T73="","",IF(Q73=3,1,IF(T73="","",IF(T73&lt;AsOf,1,IF(T73&lt;=AsOf+AlertDays,2,IF(T73&lt;=AsOf+2*AlertDays,3,""))))))</f>
        <v/>
      </c>
      <c r="V73" s="63">
        <f>IF(U73="","",IF(Q73=3,"Late task: "&amp;D73,IF(T73&lt;AsOf,"Should have started: ","Starts soon: ")&amp;D73)&amp;IF(F73="",""," — "&amp;F73))</f>
        <v/>
      </c>
      <c r="X73" s="104" t="n"/>
      <c r="Y73" s="104" t="n"/>
      <c r="Z73" s="104" t="n"/>
      <c r="AA73" s="104" t="n"/>
      <c r="AB73" s="104" t="n"/>
      <c r="AC73" s="104" t="n"/>
      <c r="AD73" s="104" t="n"/>
      <c r="AE73" s="104" t="n"/>
      <c r="AF73" s="104" t="n"/>
      <c r="AG73" s="104" t="n"/>
      <c r="AH73" s="104" t="n"/>
      <c r="AI73" s="104" t="n"/>
      <c r="AJ73" s="104" t="n"/>
      <c r="AK73" s="104" t="n"/>
      <c r="AL73" s="104" t="n"/>
      <c r="AM73" s="104" t="n"/>
      <c r="AN73" s="104" t="n"/>
      <c r="AO73" s="104" t="n"/>
      <c r="AP73" s="104" t="n"/>
      <c r="AQ73" s="104" t="n"/>
      <c r="AR73" s="104" t="n"/>
      <c r="AS73" s="104" t="n"/>
      <c r="AT73" s="104" t="n"/>
      <c r="AU73" s="104" t="n"/>
      <c r="AV73" s="104" t="n"/>
      <c r="AW73" s="104" t="n"/>
      <c r="AX73" s="104" t="n"/>
      <c r="AY73" s="104" t="n"/>
      <c r="AZ73" s="104" t="n"/>
      <c r="BA73" s="104" t="n"/>
      <c r="BB73" s="104" t="n"/>
      <c r="BC73" s="104" t="n"/>
      <c r="BD73" s="104" t="n"/>
      <c r="BE73" s="104" t="n"/>
      <c r="BF73" s="104" t="n"/>
      <c r="BG73" s="104" t="n"/>
      <c r="BH73" s="104" t="n"/>
      <c r="BI73" s="104" t="n"/>
      <c r="BJ73" s="104" t="n"/>
      <c r="BK73" s="104" t="n"/>
      <c r="BL73" s="104" t="n"/>
      <c r="BM73" s="104" t="n"/>
      <c r="BN73" s="104" t="n"/>
      <c r="BO73" s="104" t="n"/>
      <c r="BP73" s="104" t="n"/>
      <c r="BQ73" s="104" t="n"/>
      <c r="BR73" s="104" t="n"/>
      <c r="BS73" s="104" t="n"/>
      <c r="BT73" s="104" t="n"/>
      <c r="BU73" s="104" t="n"/>
      <c r="BV73" s="104" t="n"/>
      <c r="BW73" s="104" t="n"/>
    </row>
    <row r="74" ht="20" customHeight="1">
      <c r="B74" s="100" t="n">
        <v>68</v>
      </c>
      <c r="C74" s="65" t="n"/>
      <c r="D74" s="65" t="n"/>
      <c r="E74" s="65" t="n"/>
      <c r="F74" s="65" t="n"/>
      <c r="G74" s="101" t="n"/>
      <c r="H74" s="101" t="n"/>
      <c r="I74" s="81" t="n"/>
      <c r="J74" s="102">
        <f>IF(OR(D74="",ProjStart=""),"",MAX(ProjStart,IF(I74&lt;&gt;"",I74,0),IF(H74="",0,IFERROR(INDEX($L$6:L73,MATCH(H74,$B$6:B73,0))+1,0))))</f>
        <v/>
      </c>
      <c r="K74" s="101" t="n"/>
      <c r="L74" s="102">
        <f>IF(J74="","",J74+MAX(1,G74)+IF(K74="",0,K74)-1)</f>
        <v/>
      </c>
      <c r="M74" s="65" t="n"/>
      <c r="N74" s="81" t="n"/>
      <c r="O74" s="103">
        <f>IF(D74="","",COUNTIF($H$7:$H$156,B74))</f>
        <v/>
      </c>
      <c r="P74" s="72">
        <f>IF(D74="","",IF(AND(H74&lt;&gt;"",H74&gt;=B74),"⚠️ Predecessor must be above",IF(M74="Done","✓ Done",IF(Q74=3,"🔴 Late",IF(M74="In progress","In progress","")))))</f>
        <v/>
      </c>
      <c r="Q74" s="63">
        <f>IF(OR(D74="",L74=""),"",IF(M74="Done",2,IF(AsOf&gt;L74,3,1)))</f>
        <v/>
      </c>
      <c r="R74" s="63">
        <f>IF(OR(E74="",F74=""),0,IF(COUNTIFS($E$7:E74,E74,$F$7:F74,F74)=1,1,0))</f>
        <v/>
      </c>
      <c r="S74" s="63">
        <f>IF(R74=1,E74&amp;"|"&amp;SUMIFS($R$7:R74,$E$7:E74,E74),"")</f>
        <v/>
      </c>
      <c r="T74" s="85">
        <f>IF(Q74="","",IF(Q74=3,L74,IF(OR(M74="Not started",M74=""),J74,"")))</f>
        <v/>
      </c>
      <c r="U74" s="63">
        <f>IF(T74="","",IF(Q74=3,1,IF(T74="","",IF(T74&lt;AsOf,1,IF(T74&lt;=AsOf+AlertDays,2,IF(T74&lt;=AsOf+2*AlertDays,3,""))))))</f>
        <v/>
      </c>
      <c r="V74" s="63">
        <f>IF(U74="","",IF(Q74=3,"Late task: "&amp;D74,IF(T74&lt;AsOf,"Should have started: ","Starts soon: ")&amp;D74)&amp;IF(F74="",""," — "&amp;F74))</f>
        <v/>
      </c>
      <c r="X74" s="104" t="n"/>
      <c r="Y74" s="104" t="n"/>
      <c r="Z74" s="104" t="n"/>
      <c r="AA74" s="104" t="n"/>
      <c r="AB74" s="104" t="n"/>
      <c r="AC74" s="104" t="n"/>
      <c r="AD74" s="104" t="n"/>
      <c r="AE74" s="104" t="n"/>
      <c r="AF74" s="104" t="n"/>
      <c r="AG74" s="104" t="n"/>
      <c r="AH74" s="104" t="n"/>
      <c r="AI74" s="104" t="n"/>
      <c r="AJ74" s="104" t="n"/>
      <c r="AK74" s="104" t="n"/>
      <c r="AL74" s="104" t="n"/>
      <c r="AM74" s="104" t="n"/>
      <c r="AN74" s="104" t="n"/>
      <c r="AO74" s="104" t="n"/>
      <c r="AP74" s="104" t="n"/>
      <c r="AQ74" s="104" t="n"/>
      <c r="AR74" s="104" t="n"/>
      <c r="AS74" s="104" t="n"/>
      <c r="AT74" s="104" t="n"/>
      <c r="AU74" s="104" t="n"/>
      <c r="AV74" s="104" t="n"/>
      <c r="AW74" s="104" t="n"/>
      <c r="AX74" s="104" t="n"/>
      <c r="AY74" s="104" t="n"/>
      <c r="AZ74" s="104" t="n"/>
      <c r="BA74" s="104" t="n"/>
      <c r="BB74" s="104" t="n"/>
      <c r="BC74" s="104" t="n"/>
      <c r="BD74" s="104" t="n"/>
      <c r="BE74" s="104" t="n"/>
      <c r="BF74" s="104" t="n"/>
      <c r="BG74" s="104" t="n"/>
      <c r="BH74" s="104" t="n"/>
      <c r="BI74" s="104" t="n"/>
      <c r="BJ74" s="104" t="n"/>
      <c r="BK74" s="104" t="n"/>
      <c r="BL74" s="104" t="n"/>
      <c r="BM74" s="104" t="n"/>
      <c r="BN74" s="104" t="n"/>
      <c r="BO74" s="104" t="n"/>
      <c r="BP74" s="104" t="n"/>
      <c r="BQ74" s="104" t="n"/>
      <c r="BR74" s="104" t="n"/>
      <c r="BS74" s="104" t="n"/>
      <c r="BT74" s="104" t="n"/>
      <c r="BU74" s="104" t="n"/>
      <c r="BV74" s="104" t="n"/>
      <c r="BW74" s="104" t="n"/>
    </row>
    <row r="75" ht="20" customHeight="1">
      <c r="B75" s="100" t="n">
        <v>69</v>
      </c>
      <c r="C75" s="65" t="n"/>
      <c r="D75" s="65" t="n"/>
      <c r="E75" s="65" t="n"/>
      <c r="F75" s="65" t="n"/>
      <c r="G75" s="101" t="n"/>
      <c r="H75" s="101" t="n"/>
      <c r="I75" s="81" t="n"/>
      <c r="J75" s="102">
        <f>IF(OR(D75="",ProjStart=""),"",MAX(ProjStart,IF(I75&lt;&gt;"",I75,0),IF(H75="",0,IFERROR(INDEX($L$6:L74,MATCH(H75,$B$6:B74,0))+1,0))))</f>
        <v/>
      </c>
      <c r="K75" s="101" t="n"/>
      <c r="L75" s="102">
        <f>IF(J75="","",J75+MAX(1,G75)+IF(K75="",0,K75)-1)</f>
        <v/>
      </c>
      <c r="M75" s="65" t="n"/>
      <c r="N75" s="81" t="n"/>
      <c r="O75" s="103">
        <f>IF(D75="","",COUNTIF($H$7:$H$156,B75))</f>
        <v/>
      </c>
      <c r="P75" s="72">
        <f>IF(D75="","",IF(AND(H75&lt;&gt;"",H75&gt;=B75),"⚠️ Predecessor must be above",IF(M75="Done","✓ Done",IF(Q75=3,"🔴 Late",IF(M75="In progress","In progress","")))))</f>
        <v/>
      </c>
      <c r="Q75" s="63">
        <f>IF(OR(D75="",L75=""),"",IF(M75="Done",2,IF(AsOf&gt;L75,3,1)))</f>
        <v/>
      </c>
      <c r="R75" s="63">
        <f>IF(OR(E75="",F75=""),0,IF(COUNTIFS($E$7:E75,E75,$F$7:F75,F75)=1,1,0))</f>
        <v/>
      </c>
      <c r="S75" s="63">
        <f>IF(R75=1,E75&amp;"|"&amp;SUMIFS($R$7:R75,$E$7:E75,E75),"")</f>
        <v/>
      </c>
      <c r="T75" s="85">
        <f>IF(Q75="","",IF(Q75=3,L75,IF(OR(M75="Not started",M75=""),J75,"")))</f>
        <v/>
      </c>
      <c r="U75" s="63">
        <f>IF(T75="","",IF(Q75=3,1,IF(T75="","",IF(T75&lt;AsOf,1,IF(T75&lt;=AsOf+AlertDays,2,IF(T75&lt;=AsOf+2*AlertDays,3,""))))))</f>
        <v/>
      </c>
      <c r="V75" s="63">
        <f>IF(U75="","",IF(Q75=3,"Late task: "&amp;D75,IF(T75&lt;AsOf,"Should have started: ","Starts soon: ")&amp;D75)&amp;IF(F75="",""," — "&amp;F75))</f>
        <v/>
      </c>
      <c r="X75" s="104" t="n"/>
      <c r="Y75" s="104" t="n"/>
      <c r="Z75" s="104" t="n"/>
      <c r="AA75" s="104" t="n"/>
      <c r="AB75" s="104" t="n"/>
      <c r="AC75" s="104" t="n"/>
      <c r="AD75" s="104" t="n"/>
      <c r="AE75" s="104" t="n"/>
      <c r="AF75" s="104" t="n"/>
      <c r="AG75" s="104" t="n"/>
      <c r="AH75" s="104" t="n"/>
      <c r="AI75" s="104" t="n"/>
      <c r="AJ75" s="104" t="n"/>
      <c r="AK75" s="104" t="n"/>
      <c r="AL75" s="104" t="n"/>
      <c r="AM75" s="104" t="n"/>
      <c r="AN75" s="104" t="n"/>
      <c r="AO75" s="104" t="n"/>
      <c r="AP75" s="104" t="n"/>
      <c r="AQ75" s="104" t="n"/>
      <c r="AR75" s="104" t="n"/>
      <c r="AS75" s="104" t="n"/>
      <c r="AT75" s="104" t="n"/>
      <c r="AU75" s="104" t="n"/>
      <c r="AV75" s="104" t="n"/>
      <c r="AW75" s="104" t="n"/>
      <c r="AX75" s="104" t="n"/>
      <c r="AY75" s="104" t="n"/>
      <c r="AZ75" s="104" t="n"/>
      <c r="BA75" s="104" t="n"/>
      <c r="BB75" s="104" t="n"/>
      <c r="BC75" s="104" t="n"/>
      <c r="BD75" s="104" t="n"/>
      <c r="BE75" s="104" t="n"/>
      <c r="BF75" s="104" t="n"/>
      <c r="BG75" s="104" t="n"/>
      <c r="BH75" s="104" t="n"/>
      <c r="BI75" s="104" t="n"/>
      <c r="BJ75" s="104" t="n"/>
      <c r="BK75" s="104" t="n"/>
      <c r="BL75" s="104" t="n"/>
      <c r="BM75" s="104" t="n"/>
      <c r="BN75" s="104" t="n"/>
      <c r="BO75" s="104" t="n"/>
      <c r="BP75" s="104" t="n"/>
      <c r="BQ75" s="104" t="n"/>
      <c r="BR75" s="104" t="n"/>
      <c r="BS75" s="104" t="n"/>
      <c r="BT75" s="104" t="n"/>
      <c r="BU75" s="104" t="n"/>
      <c r="BV75" s="104" t="n"/>
      <c r="BW75" s="104" t="n"/>
    </row>
    <row r="76" ht="20" customHeight="1">
      <c r="B76" s="100" t="n">
        <v>70</v>
      </c>
      <c r="C76" s="65" t="n"/>
      <c r="D76" s="65" t="n"/>
      <c r="E76" s="65" t="n"/>
      <c r="F76" s="65" t="n"/>
      <c r="G76" s="101" t="n"/>
      <c r="H76" s="101" t="n"/>
      <c r="I76" s="81" t="n"/>
      <c r="J76" s="102">
        <f>IF(OR(D76="",ProjStart=""),"",MAX(ProjStart,IF(I76&lt;&gt;"",I76,0),IF(H76="",0,IFERROR(INDEX($L$6:L75,MATCH(H76,$B$6:B75,0))+1,0))))</f>
        <v/>
      </c>
      <c r="K76" s="101" t="n"/>
      <c r="L76" s="102">
        <f>IF(J76="","",J76+MAX(1,G76)+IF(K76="",0,K76)-1)</f>
        <v/>
      </c>
      <c r="M76" s="65" t="n"/>
      <c r="N76" s="81" t="n"/>
      <c r="O76" s="103">
        <f>IF(D76="","",COUNTIF($H$7:$H$156,B76))</f>
        <v/>
      </c>
      <c r="P76" s="72">
        <f>IF(D76="","",IF(AND(H76&lt;&gt;"",H76&gt;=B76),"⚠️ Predecessor must be above",IF(M76="Done","✓ Done",IF(Q76=3,"🔴 Late",IF(M76="In progress","In progress","")))))</f>
        <v/>
      </c>
      <c r="Q76" s="63">
        <f>IF(OR(D76="",L76=""),"",IF(M76="Done",2,IF(AsOf&gt;L76,3,1)))</f>
        <v/>
      </c>
      <c r="R76" s="63">
        <f>IF(OR(E76="",F76=""),0,IF(COUNTIFS($E$7:E76,E76,$F$7:F76,F76)=1,1,0))</f>
        <v/>
      </c>
      <c r="S76" s="63">
        <f>IF(R76=1,E76&amp;"|"&amp;SUMIFS($R$7:R76,$E$7:E76,E76),"")</f>
        <v/>
      </c>
      <c r="T76" s="85">
        <f>IF(Q76="","",IF(Q76=3,L76,IF(OR(M76="Not started",M76=""),J76,"")))</f>
        <v/>
      </c>
      <c r="U76" s="63">
        <f>IF(T76="","",IF(Q76=3,1,IF(T76="","",IF(T76&lt;AsOf,1,IF(T76&lt;=AsOf+AlertDays,2,IF(T76&lt;=AsOf+2*AlertDays,3,""))))))</f>
        <v/>
      </c>
      <c r="V76" s="63">
        <f>IF(U76="","",IF(Q76=3,"Late task: "&amp;D76,IF(T76&lt;AsOf,"Should have started: ","Starts soon: ")&amp;D76)&amp;IF(F76="",""," — "&amp;F76))</f>
        <v/>
      </c>
      <c r="X76" s="104" t="n"/>
      <c r="Y76" s="104" t="n"/>
      <c r="Z76" s="104" t="n"/>
      <c r="AA76" s="104" t="n"/>
      <c r="AB76" s="104" t="n"/>
      <c r="AC76" s="104" t="n"/>
      <c r="AD76" s="104" t="n"/>
      <c r="AE76" s="104" t="n"/>
      <c r="AF76" s="104" t="n"/>
      <c r="AG76" s="104" t="n"/>
      <c r="AH76" s="104" t="n"/>
      <c r="AI76" s="104" t="n"/>
      <c r="AJ76" s="104" t="n"/>
      <c r="AK76" s="104" t="n"/>
      <c r="AL76" s="104" t="n"/>
      <c r="AM76" s="104" t="n"/>
      <c r="AN76" s="104" t="n"/>
      <c r="AO76" s="104" t="n"/>
      <c r="AP76" s="104" t="n"/>
      <c r="AQ76" s="104" t="n"/>
      <c r="AR76" s="104" t="n"/>
      <c r="AS76" s="104" t="n"/>
      <c r="AT76" s="104" t="n"/>
      <c r="AU76" s="104" t="n"/>
      <c r="AV76" s="104" t="n"/>
      <c r="AW76" s="104" t="n"/>
      <c r="AX76" s="104" t="n"/>
      <c r="AY76" s="104" t="n"/>
      <c r="AZ76" s="104" t="n"/>
      <c r="BA76" s="104" t="n"/>
      <c r="BB76" s="104" t="n"/>
      <c r="BC76" s="104" t="n"/>
      <c r="BD76" s="104" t="n"/>
      <c r="BE76" s="104" t="n"/>
      <c r="BF76" s="104" t="n"/>
      <c r="BG76" s="104" t="n"/>
      <c r="BH76" s="104" t="n"/>
      <c r="BI76" s="104" t="n"/>
      <c r="BJ76" s="104" t="n"/>
      <c r="BK76" s="104" t="n"/>
      <c r="BL76" s="104" t="n"/>
      <c r="BM76" s="104" t="n"/>
      <c r="BN76" s="104" t="n"/>
      <c r="BO76" s="104" t="n"/>
      <c r="BP76" s="104" t="n"/>
      <c r="BQ76" s="104" t="n"/>
      <c r="BR76" s="104" t="n"/>
      <c r="BS76" s="104" t="n"/>
      <c r="BT76" s="104" t="n"/>
      <c r="BU76" s="104" t="n"/>
      <c r="BV76" s="104" t="n"/>
      <c r="BW76" s="104" t="n"/>
    </row>
    <row r="77" ht="20" customHeight="1">
      <c r="B77" s="100" t="n">
        <v>71</v>
      </c>
      <c r="C77" s="65" t="n"/>
      <c r="D77" s="65" t="n"/>
      <c r="E77" s="65" t="n"/>
      <c r="F77" s="65" t="n"/>
      <c r="G77" s="101" t="n"/>
      <c r="H77" s="101" t="n"/>
      <c r="I77" s="81" t="n"/>
      <c r="J77" s="102">
        <f>IF(OR(D77="",ProjStart=""),"",MAX(ProjStart,IF(I77&lt;&gt;"",I77,0),IF(H77="",0,IFERROR(INDEX($L$6:L76,MATCH(H77,$B$6:B76,0))+1,0))))</f>
        <v/>
      </c>
      <c r="K77" s="101" t="n"/>
      <c r="L77" s="102">
        <f>IF(J77="","",J77+MAX(1,G77)+IF(K77="",0,K77)-1)</f>
        <v/>
      </c>
      <c r="M77" s="65" t="n"/>
      <c r="N77" s="81" t="n"/>
      <c r="O77" s="103">
        <f>IF(D77="","",COUNTIF($H$7:$H$156,B77))</f>
        <v/>
      </c>
      <c r="P77" s="72">
        <f>IF(D77="","",IF(AND(H77&lt;&gt;"",H77&gt;=B77),"⚠️ Predecessor must be above",IF(M77="Done","✓ Done",IF(Q77=3,"🔴 Late",IF(M77="In progress","In progress","")))))</f>
        <v/>
      </c>
      <c r="Q77" s="63">
        <f>IF(OR(D77="",L77=""),"",IF(M77="Done",2,IF(AsOf&gt;L77,3,1)))</f>
        <v/>
      </c>
      <c r="R77" s="63">
        <f>IF(OR(E77="",F77=""),0,IF(COUNTIFS($E$7:E77,E77,$F$7:F77,F77)=1,1,0))</f>
        <v/>
      </c>
      <c r="S77" s="63">
        <f>IF(R77=1,E77&amp;"|"&amp;SUMIFS($R$7:R77,$E$7:E77,E77),"")</f>
        <v/>
      </c>
      <c r="T77" s="85">
        <f>IF(Q77="","",IF(Q77=3,L77,IF(OR(M77="Not started",M77=""),J77,"")))</f>
        <v/>
      </c>
      <c r="U77" s="63">
        <f>IF(T77="","",IF(Q77=3,1,IF(T77="","",IF(T77&lt;AsOf,1,IF(T77&lt;=AsOf+AlertDays,2,IF(T77&lt;=AsOf+2*AlertDays,3,""))))))</f>
        <v/>
      </c>
      <c r="V77" s="63">
        <f>IF(U77="","",IF(Q77=3,"Late task: "&amp;D77,IF(T77&lt;AsOf,"Should have started: ","Starts soon: ")&amp;D77)&amp;IF(F77="",""," — "&amp;F77))</f>
        <v/>
      </c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</row>
    <row r="78" ht="20" customHeight="1">
      <c r="B78" s="100" t="n">
        <v>72</v>
      </c>
      <c r="C78" s="65" t="n"/>
      <c r="D78" s="65" t="n"/>
      <c r="E78" s="65" t="n"/>
      <c r="F78" s="65" t="n"/>
      <c r="G78" s="101" t="n"/>
      <c r="H78" s="101" t="n"/>
      <c r="I78" s="81" t="n"/>
      <c r="J78" s="102">
        <f>IF(OR(D78="",ProjStart=""),"",MAX(ProjStart,IF(I78&lt;&gt;"",I78,0),IF(H78="",0,IFERROR(INDEX($L$6:L77,MATCH(H78,$B$6:B77,0))+1,0))))</f>
        <v/>
      </c>
      <c r="K78" s="101" t="n"/>
      <c r="L78" s="102">
        <f>IF(J78="","",J78+MAX(1,G78)+IF(K78="",0,K78)-1)</f>
        <v/>
      </c>
      <c r="M78" s="65" t="n"/>
      <c r="N78" s="81" t="n"/>
      <c r="O78" s="103">
        <f>IF(D78="","",COUNTIF($H$7:$H$156,B78))</f>
        <v/>
      </c>
      <c r="P78" s="72">
        <f>IF(D78="","",IF(AND(H78&lt;&gt;"",H78&gt;=B78),"⚠️ Predecessor must be above",IF(M78="Done","✓ Done",IF(Q78=3,"🔴 Late",IF(M78="In progress","In progress","")))))</f>
        <v/>
      </c>
      <c r="Q78" s="63">
        <f>IF(OR(D78="",L78=""),"",IF(M78="Done",2,IF(AsOf&gt;L78,3,1)))</f>
        <v/>
      </c>
      <c r="R78" s="63">
        <f>IF(OR(E78="",F78=""),0,IF(COUNTIFS($E$7:E78,E78,$F$7:F78,F78)=1,1,0))</f>
        <v/>
      </c>
      <c r="S78" s="63">
        <f>IF(R78=1,E78&amp;"|"&amp;SUMIFS($R$7:R78,$E$7:E78,E78),"")</f>
        <v/>
      </c>
      <c r="T78" s="85">
        <f>IF(Q78="","",IF(Q78=3,L78,IF(OR(M78="Not started",M78=""),J78,"")))</f>
        <v/>
      </c>
      <c r="U78" s="63">
        <f>IF(T78="","",IF(Q78=3,1,IF(T78="","",IF(T78&lt;AsOf,1,IF(T78&lt;=AsOf+AlertDays,2,IF(T78&lt;=AsOf+2*AlertDays,3,""))))))</f>
        <v/>
      </c>
      <c r="V78" s="63">
        <f>IF(U78="","",IF(Q78=3,"Late task: "&amp;D78,IF(T78&lt;AsOf,"Should have started: ","Starts soon: ")&amp;D78)&amp;IF(F78="",""," — "&amp;F78))</f>
        <v/>
      </c>
      <c r="X78" s="104" t="n"/>
      <c r="Y78" s="104" t="n"/>
      <c r="Z78" s="104" t="n"/>
      <c r="AA78" s="104" t="n"/>
      <c r="AB78" s="104" t="n"/>
      <c r="AC78" s="104" t="n"/>
      <c r="AD78" s="104" t="n"/>
      <c r="AE78" s="104" t="n"/>
      <c r="AF78" s="104" t="n"/>
      <c r="AG78" s="104" t="n"/>
      <c r="AH78" s="104" t="n"/>
      <c r="AI78" s="104" t="n"/>
      <c r="AJ78" s="104" t="n"/>
      <c r="AK78" s="104" t="n"/>
      <c r="AL78" s="104" t="n"/>
      <c r="AM78" s="104" t="n"/>
      <c r="AN78" s="104" t="n"/>
      <c r="AO78" s="104" t="n"/>
      <c r="AP78" s="104" t="n"/>
      <c r="AQ78" s="104" t="n"/>
      <c r="AR78" s="104" t="n"/>
      <c r="AS78" s="104" t="n"/>
      <c r="AT78" s="104" t="n"/>
      <c r="AU78" s="104" t="n"/>
      <c r="AV78" s="104" t="n"/>
      <c r="AW78" s="104" t="n"/>
      <c r="AX78" s="104" t="n"/>
      <c r="AY78" s="104" t="n"/>
      <c r="AZ78" s="104" t="n"/>
      <c r="BA78" s="104" t="n"/>
      <c r="BB78" s="104" t="n"/>
      <c r="BC78" s="104" t="n"/>
      <c r="BD78" s="104" t="n"/>
      <c r="BE78" s="104" t="n"/>
      <c r="BF78" s="104" t="n"/>
      <c r="BG78" s="104" t="n"/>
      <c r="BH78" s="104" t="n"/>
      <c r="BI78" s="104" t="n"/>
      <c r="BJ78" s="104" t="n"/>
      <c r="BK78" s="104" t="n"/>
      <c r="BL78" s="104" t="n"/>
      <c r="BM78" s="104" t="n"/>
      <c r="BN78" s="104" t="n"/>
      <c r="BO78" s="104" t="n"/>
      <c r="BP78" s="104" t="n"/>
      <c r="BQ78" s="104" t="n"/>
      <c r="BR78" s="104" t="n"/>
      <c r="BS78" s="104" t="n"/>
      <c r="BT78" s="104" t="n"/>
      <c r="BU78" s="104" t="n"/>
      <c r="BV78" s="104" t="n"/>
      <c r="BW78" s="104" t="n"/>
    </row>
    <row r="79" ht="20" customHeight="1">
      <c r="B79" s="100" t="n">
        <v>73</v>
      </c>
      <c r="C79" s="65" t="n"/>
      <c r="D79" s="65" t="n"/>
      <c r="E79" s="65" t="n"/>
      <c r="F79" s="65" t="n"/>
      <c r="G79" s="101" t="n"/>
      <c r="H79" s="101" t="n"/>
      <c r="I79" s="81" t="n"/>
      <c r="J79" s="102">
        <f>IF(OR(D79="",ProjStart=""),"",MAX(ProjStart,IF(I79&lt;&gt;"",I79,0),IF(H79="",0,IFERROR(INDEX($L$6:L78,MATCH(H79,$B$6:B78,0))+1,0))))</f>
        <v/>
      </c>
      <c r="K79" s="101" t="n"/>
      <c r="L79" s="102">
        <f>IF(J79="","",J79+MAX(1,G79)+IF(K79="",0,K79)-1)</f>
        <v/>
      </c>
      <c r="M79" s="65" t="n"/>
      <c r="N79" s="81" t="n"/>
      <c r="O79" s="103">
        <f>IF(D79="","",COUNTIF($H$7:$H$156,B79))</f>
        <v/>
      </c>
      <c r="P79" s="72">
        <f>IF(D79="","",IF(AND(H79&lt;&gt;"",H79&gt;=B79),"⚠️ Predecessor must be above",IF(M79="Done","✓ Done",IF(Q79=3,"🔴 Late",IF(M79="In progress","In progress","")))))</f>
        <v/>
      </c>
      <c r="Q79" s="63">
        <f>IF(OR(D79="",L79=""),"",IF(M79="Done",2,IF(AsOf&gt;L79,3,1)))</f>
        <v/>
      </c>
      <c r="R79" s="63">
        <f>IF(OR(E79="",F79=""),0,IF(COUNTIFS($E$7:E79,E79,$F$7:F79,F79)=1,1,0))</f>
        <v/>
      </c>
      <c r="S79" s="63">
        <f>IF(R79=1,E79&amp;"|"&amp;SUMIFS($R$7:R79,$E$7:E79,E79),"")</f>
        <v/>
      </c>
      <c r="T79" s="85">
        <f>IF(Q79="","",IF(Q79=3,L79,IF(OR(M79="Not started",M79=""),J79,"")))</f>
        <v/>
      </c>
      <c r="U79" s="63">
        <f>IF(T79="","",IF(Q79=3,1,IF(T79="","",IF(T79&lt;AsOf,1,IF(T79&lt;=AsOf+AlertDays,2,IF(T79&lt;=AsOf+2*AlertDays,3,""))))))</f>
        <v/>
      </c>
      <c r="V79" s="63">
        <f>IF(U79="","",IF(Q79=3,"Late task: "&amp;D79,IF(T79&lt;AsOf,"Should have started: ","Starts soon: ")&amp;D79)&amp;IF(F79="",""," — "&amp;F79))</f>
        <v/>
      </c>
      <c r="X79" s="104" t="n"/>
      <c r="Y79" s="104" t="n"/>
      <c r="Z79" s="104" t="n"/>
      <c r="AA79" s="104" t="n"/>
      <c r="AB79" s="104" t="n"/>
      <c r="AC79" s="104" t="n"/>
      <c r="AD79" s="104" t="n"/>
      <c r="AE79" s="104" t="n"/>
      <c r="AF79" s="104" t="n"/>
      <c r="AG79" s="104" t="n"/>
      <c r="AH79" s="104" t="n"/>
      <c r="AI79" s="104" t="n"/>
      <c r="AJ79" s="104" t="n"/>
      <c r="AK79" s="104" t="n"/>
      <c r="AL79" s="104" t="n"/>
      <c r="AM79" s="104" t="n"/>
      <c r="AN79" s="104" t="n"/>
      <c r="AO79" s="104" t="n"/>
      <c r="AP79" s="104" t="n"/>
      <c r="AQ79" s="104" t="n"/>
      <c r="AR79" s="104" t="n"/>
      <c r="AS79" s="104" t="n"/>
      <c r="AT79" s="104" t="n"/>
      <c r="AU79" s="104" t="n"/>
      <c r="AV79" s="104" t="n"/>
      <c r="AW79" s="104" t="n"/>
      <c r="AX79" s="104" t="n"/>
      <c r="AY79" s="104" t="n"/>
      <c r="AZ79" s="104" t="n"/>
      <c r="BA79" s="104" t="n"/>
      <c r="BB79" s="104" t="n"/>
      <c r="BC79" s="104" t="n"/>
      <c r="BD79" s="104" t="n"/>
      <c r="BE79" s="104" t="n"/>
      <c r="BF79" s="104" t="n"/>
      <c r="BG79" s="104" t="n"/>
      <c r="BH79" s="104" t="n"/>
      <c r="BI79" s="104" t="n"/>
      <c r="BJ79" s="104" t="n"/>
      <c r="BK79" s="104" t="n"/>
      <c r="BL79" s="104" t="n"/>
      <c r="BM79" s="104" t="n"/>
      <c r="BN79" s="104" t="n"/>
      <c r="BO79" s="104" t="n"/>
      <c r="BP79" s="104" t="n"/>
      <c r="BQ79" s="104" t="n"/>
      <c r="BR79" s="104" t="n"/>
      <c r="BS79" s="104" t="n"/>
      <c r="BT79" s="104" t="n"/>
      <c r="BU79" s="104" t="n"/>
      <c r="BV79" s="104" t="n"/>
      <c r="BW79" s="104" t="n"/>
    </row>
    <row r="80" ht="20" customHeight="1">
      <c r="B80" s="100" t="n">
        <v>74</v>
      </c>
      <c r="C80" s="65" t="n"/>
      <c r="D80" s="65" t="n"/>
      <c r="E80" s="65" t="n"/>
      <c r="F80" s="65" t="n"/>
      <c r="G80" s="101" t="n"/>
      <c r="H80" s="101" t="n"/>
      <c r="I80" s="81" t="n"/>
      <c r="J80" s="102">
        <f>IF(OR(D80="",ProjStart=""),"",MAX(ProjStart,IF(I80&lt;&gt;"",I80,0),IF(H80="",0,IFERROR(INDEX($L$6:L79,MATCH(H80,$B$6:B79,0))+1,0))))</f>
        <v/>
      </c>
      <c r="K80" s="101" t="n"/>
      <c r="L80" s="102">
        <f>IF(J80="","",J80+MAX(1,G80)+IF(K80="",0,K80)-1)</f>
        <v/>
      </c>
      <c r="M80" s="65" t="n"/>
      <c r="N80" s="81" t="n"/>
      <c r="O80" s="103">
        <f>IF(D80="","",COUNTIF($H$7:$H$156,B80))</f>
        <v/>
      </c>
      <c r="P80" s="72">
        <f>IF(D80="","",IF(AND(H80&lt;&gt;"",H80&gt;=B80),"⚠️ Predecessor must be above",IF(M80="Done","✓ Done",IF(Q80=3,"🔴 Late",IF(M80="In progress","In progress","")))))</f>
        <v/>
      </c>
      <c r="Q80" s="63">
        <f>IF(OR(D80="",L80=""),"",IF(M80="Done",2,IF(AsOf&gt;L80,3,1)))</f>
        <v/>
      </c>
      <c r="R80" s="63">
        <f>IF(OR(E80="",F80=""),0,IF(COUNTIFS($E$7:E80,E80,$F$7:F80,F80)=1,1,0))</f>
        <v/>
      </c>
      <c r="S80" s="63">
        <f>IF(R80=1,E80&amp;"|"&amp;SUMIFS($R$7:R80,$E$7:E80,E80),"")</f>
        <v/>
      </c>
      <c r="T80" s="85">
        <f>IF(Q80="","",IF(Q80=3,L80,IF(OR(M80="Not started",M80=""),J80,"")))</f>
        <v/>
      </c>
      <c r="U80" s="63">
        <f>IF(T80="","",IF(Q80=3,1,IF(T80="","",IF(T80&lt;AsOf,1,IF(T80&lt;=AsOf+AlertDays,2,IF(T80&lt;=AsOf+2*AlertDays,3,""))))))</f>
        <v/>
      </c>
      <c r="V80" s="63">
        <f>IF(U80="","",IF(Q80=3,"Late task: "&amp;D80,IF(T80&lt;AsOf,"Should have started: ","Starts soon: ")&amp;D80)&amp;IF(F80="",""," — "&amp;F80))</f>
        <v/>
      </c>
      <c r="X80" s="104" t="n"/>
      <c r="Y80" s="104" t="n"/>
      <c r="Z80" s="104" t="n"/>
      <c r="AA80" s="104" t="n"/>
      <c r="AB80" s="104" t="n"/>
      <c r="AC80" s="104" t="n"/>
      <c r="AD80" s="104" t="n"/>
      <c r="AE80" s="104" t="n"/>
      <c r="AF80" s="104" t="n"/>
      <c r="AG80" s="104" t="n"/>
      <c r="AH80" s="104" t="n"/>
      <c r="AI80" s="104" t="n"/>
      <c r="AJ80" s="104" t="n"/>
      <c r="AK80" s="104" t="n"/>
      <c r="AL80" s="104" t="n"/>
      <c r="AM80" s="104" t="n"/>
      <c r="AN80" s="104" t="n"/>
      <c r="AO80" s="104" t="n"/>
      <c r="AP80" s="104" t="n"/>
      <c r="AQ80" s="104" t="n"/>
      <c r="AR80" s="104" t="n"/>
      <c r="AS80" s="104" t="n"/>
      <c r="AT80" s="104" t="n"/>
      <c r="AU80" s="104" t="n"/>
      <c r="AV80" s="104" t="n"/>
      <c r="AW80" s="104" t="n"/>
      <c r="AX80" s="104" t="n"/>
      <c r="AY80" s="104" t="n"/>
      <c r="AZ80" s="104" t="n"/>
      <c r="BA80" s="104" t="n"/>
      <c r="BB80" s="104" t="n"/>
      <c r="BC80" s="104" t="n"/>
      <c r="BD80" s="104" t="n"/>
      <c r="BE80" s="104" t="n"/>
      <c r="BF80" s="104" t="n"/>
      <c r="BG80" s="104" t="n"/>
      <c r="BH80" s="104" t="n"/>
      <c r="BI80" s="104" t="n"/>
      <c r="BJ80" s="104" t="n"/>
      <c r="BK80" s="104" t="n"/>
      <c r="BL80" s="104" t="n"/>
      <c r="BM80" s="104" t="n"/>
      <c r="BN80" s="104" t="n"/>
      <c r="BO80" s="104" t="n"/>
      <c r="BP80" s="104" t="n"/>
      <c r="BQ80" s="104" t="n"/>
      <c r="BR80" s="104" t="n"/>
      <c r="BS80" s="104" t="n"/>
      <c r="BT80" s="104" t="n"/>
      <c r="BU80" s="104" t="n"/>
      <c r="BV80" s="104" t="n"/>
      <c r="BW80" s="104" t="n"/>
    </row>
    <row r="81" ht="20" customHeight="1">
      <c r="B81" s="100" t="n">
        <v>75</v>
      </c>
      <c r="C81" s="65" t="n"/>
      <c r="D81" s="65" t="n"/>
      <c r="E81" s="65" t="n"/>
      <c r="F81" s="65" t="n"/>
      <c r="G81" s="101" t="n"/>
      <c r="H81" s="101" t="n"/>
      <c r="I81" s="81" t="n"/>
      <c r="J81" s="102">
        <f>IF(OR(D81="",ProjStart=""),"",MAX(ProjStart,IF(I81&lt;&gt;"",I81,0),IF(H81="",0,IFERROR(INDEX($L$6:L80,MATCH(H81,$B$6:B80,0))+1,0))))</f>
        <v/>
      </c>
      <c r="K81" s="101" t="n"/>
      <c r="L81" s="102">
        <f>IF(J81="","",J81+MAX(1,G81)+IF(K81="",0,K81)-1)</f>
        <v/>
      </c>
      <c r="M81" s="65" t="n"/>
      <c r="N81" s="81" t="n"/>
      <c r="O81" s="103">
        <f>IF(D81="","",COUNTIF($H$7:$H$156,B81))</f>
        <v/>
      </c>
      <c r="P81" s="72">
        <f>IF(D81="","",IF(AND(H81&lt;&gt;"",H81&gt;=B81),"⚠️ Predecessor must be above",IF(M81="Done","✓ Done",IF(Q81=3,"🔴 Late",IF(M81="In progress","In progress","")))))</f>
        <v/>
      </c>
      <c r="Q81" s="63">
        <f>IF(OR(D81="",L81=""),"",IF(M81="Done",2,IF(AsOf&gt;L81,3,1)))</f>
        <v/>
      </c>
      <c r="R81" s="63">
        <f>IF(OR(E81="",F81=""),0,IF(COUNTIFS($E$7:E81,E81,$F$7:F81,F81)=1,1,0))</f>
        <v/>
      </c>
      <c r="S81" s="63">
        <f>IF(R81=1,E81&amp;"|"&amp;SUMIFS($R$7:R81,$E$7:E81,E81),"")</f>
        <v/>
      </c>
      <c r="T81" s="85">
        <f>IF(Q81="","",IF(Q81=3,L81,IF(OR(M81="Not started",M81=""),J81,"")))</f>
        <v/>
      </c>
      <c r="U81" s="63">
        <f>IF(T81="","",IF(Q81=3,1,IF(T81="","",IF(T81&lt;AsOf,1,IF(T81&lt;=AsOf+AlertDays,2,IF(T81&lt;=AsOf+2*AlertDays,3,""))))))</f>
        <v/>
      </c>
      <c r="V81" s="63">
        <f>IF(U81="","",IF(Q81=3,"Late task: "&amp;D81,IF(T81&lt;AsOf,"Should have started: ","Starts soon: ")&amp;D81)&amp;IF(F81="",""," — "&amp;F81))</f>
        <v/>
      </c>
      <c r="X81" s="104" t="n"/>
      <c r="Y81" s="104" t="n"/>
      <c r="Z81" s="104" t="n"/>
      <c r="AA81" s="104" t="n"/>
      <c r="AB81" s="104" t="n"/>
      <c r="AC81" s="104" t="n"/>
      <c r="AD81" s="104" t="n"/>
      <c r="AE81" s="104" t="n"/>
      <c r="AF81" s="104" t="n"/>
      <c r="AG81" s="104" t="n"/>
      <c r="AH81" s="104" t="n"/>
      <c r="AI81" s="104" t="n"/>
      <c r="AJ81" s="104" t="n"/>
      <c r="AK81" s="104" t="n"/>
      <c r="AL81" s="104" t="n"/>
      <c r="AM81" s="104" t="n"/>
      <c r="AN81" s="104" t="n"/>
      <c r="AO81" s="104" t="n"/>
      <c r="AP81" s="104" t="n"/>
      <c r="AQ81" s="104" t="n"/>
      <c r="AR81" s="104" t="n"/>
      <c r="AS81" s="104" t="n"/>
      <c r="AT81" s="104" t="n"/>
      <c r="AU81" s="104" t="n"/>
      <c r="AV81" s="104" t="n"/>
      <c r="AW81" s="104" t="n"/>
      <c r="AX81" s="104" t="n"/>
      <c r="AY81" s="104" t="n"/>
      <c r="AZ81" s="104" t="n"/>
      <c r="BA81" s="104" t="n"/>
      <c r="BB81" s="104" t="n"/>
      <c r="BC81" s="104" t="n"/>
      <c r="BD81" s="104" t="n"/>
      <c r="BE81" s="104" t="n"/>
      <c r="BF81" s="104" t="n"/>
      <c r="BG81" s="104" t="n"/>
      <c r="BH81" s="104" t="n"/>
      <c r="BI81" s="104" t="n"/>
      <c r="BJ81" s="104" t="n"/>
      <c r="BK81" s="104" t="n"/>
      <c r="BL81" s="104" t="n"/>
      <c r="BM81" s="104" t="n"/>
      <c r="BN81" s="104" t="n"/>
      <c r="BO81" s="104" t="n"/>
      <c r="BP81" s="104" t="n"/>
      <c r="BQ81" s="104" t="n"/>
      <c r="BR81" s="104" t="n"/>
      <c r="BS81" s="104" t="n"/>
      <c r="BT81" s="104" t="n"/>
      <c r="BU81" s="104" t="n"/>
      <c r="BV81" s="104" t="n"/>
      <c r="BW81" s="104" t="n"/>
    </row>
    <row r="82" ht="20" customHeight="1">
      <c r="B82" s="100" t="n">
        <v>76</v>
      </c>
      <c r="C82" s="65" t="n"/>
      <c r="D82" s="65" t="n"/>
      <c r="E82" s="65" t="n"/>
      <c r="F82" s="65" t="n"/>
      <c r="G82" s="101" t="n"/>
      <c r="H82" s="101" t="n"/>
      <c r="I82" s="81" t="n"/>
      <c r="J82" s="102">
        <f>IF(OR(D82="",ProjStart=""),"",MAX(ProjStart,IF(I82&lt;&gt;"",I82,0),IF(H82="",0,IFERROR(INDEX($L$6:L81,MATCH(H82,$B$6:B81,0))+1,0))))</f>
        <v/>
      </c>
      <c r="K82" s="101" t="n"/>
      <c r="L82" s="102">
        <f>IF(J82="","",J82+MAX(1,G82)+IF(K82="",0,K82)-1)</f>
        <v/>
      </c>
      <c r="M82" s="65" t="n"/>
      <c r="N82" s="81" t="n"/>
      <c r="O82" s="103">
        <f>IF(D82="","",COUNTIF($H$7:$H$156,B82))</f>
        <v/>
      </c>
      <c r="P82" s="72">
        <f>IF(D82="","",IF(AND(H82&lt;&gt;"",H82&gt;=B82),"⚠️ Predecessor must be above",IF(M82="Done","✓ Done",IF(Q82=3,"🔴 Late",IF(M82="In progress","In progress","")))))</f>
        <v/>
      </c>
      <c r="Q82" s="63">
        <f>IF(OR(D82="",L82=""),"",IF(M82="Done",2,IF(AsOf&gt;L82,3,1)))</f>
        <v/>
      </c>
      <c r="R82" s="63">
        <f>IF(OR(E82="",F82=""),0,IF(COUNTIFS($E$7:E82,E82,$F$7:F82,F82)=1,1,0))</f>
        <v/>
      </c>
      <c r="S82" s="63">
        <f>IF(R82=1,E82&amp;"|"&amp;SUMIFS($R$7:R82,$E$7:E82,E82),"")</f>
        <v/>
      </c>
      <c r="T82" s="85">
        <f>IF(Q82="","",IF(Q82=3,L82,IF(OR(M82="Not started",M82=""),J82,"")))</f>
        <v/>
      </c>
      <c r="U82" s="63">
        <f>IF(T82="","",IF(Q82=3,1,IF(T82="","",IF(T82&lt;AsOf,1,IF(T82&lt;=AsOf+AlertDays,2,IF(T82&lt;=AsOf+2*AlertDays,3,""))))))</f>
        <v/>
      </c>
      <c r="V82" s="63">
        <f>IF(U82="","",IF(Q82=3,"Late task: "&amp;D82,IF(T82&lt;AsOf,"Should have started: ","Starts soon: ")&amp;D82)&amp;IF(F82="",""," — "&amp;F82))</f>
        <v/>
      </c>
      <c r="X82" s="104" t="n"/>
      <c r="Y82" s="104" t="n"/>
      <c r="Z82" s="104" t="n"/>
      <c r="AA82" s="104" t="n"/>
      <c r="AB82" s="104" t="n"/>
      <c r="AC82" s="104" t="n"/>
      <c r="AD82" s="104" t="n"/>
      <c r="AE82" s="104" t="n"/>
      <c r="AF82" s="104" t="n"/>
      <c r="AG82" s="104" t="n"/>
      <c r="AH82" s="104" t="n"/>
      <c r="AI82" s="104" t="n"/>
      <c r="AJ82" s="104" t="n"/>
      <c r="AK82" s="104" t="n"/>
      <c r="AL82" s="104" t="n"/>
      <c r="AM82" s="104" t="n"/>
      <c r="AN82" s="104" t="n"/>
      <c r="AO82" s="104" t="n"/>
      <c r="AP82" s="104" t="n"/>
      <c r="AQ82" s="104" t="n"/>
      <c r="AR82" s="104" t="n"/>
      <c r="AS82" s="104" t="n"/>
      <c r="AT82" s="104" t="n"/>
      <c r="AU82" s="104" t="n"/>
      <c r="AV82" s="104" t="n"/>
      <c r="AW82" s="104" t="n"/>
      <c r="AX82" s="104" t="n"/>
      <c r="AY82" s="104" t="n"/>
      <c r="AZ82" s="104" t="n"/>
      <c r="BA82" s="104" t="n"/>
      <c r="BB82" s="104" t="n"/>
      <c r="BC82" s="104" t="n"/>
      <c r="BD82" s="104" t="n"/>
      <c r="BE82" s="104" t="n"/>
      <c r="BF82" s="104" t="n"/>
      <c r="BG82" s="104" t="n"/>
      <c r="BH82" s="104" t="n"/>
      <c r="BI82" s="104" t="n"/>
      <c r="BJ82" s="104" t="n"/>
      <c r="BK82" s="104" t="n"/>
      <c r="BL82" s="104" t="n"/>
      <c r="BM82" s="104" t="n"/>
      <c r="BN82" s="104" t="n"/>
      <c r="BO82" s="104" t="n"/>
      <c r="BP82" s="104" t="n"/>
      <c r="BQ82" s="104" t="n"/>
      <c r="BR82" s="104" t="n"/>
      <c r="BS82" s="104" t="n"/>
      <c r="BT82" s="104" t="n"/>
      <c r="BU82" s="104" t="n"/>
      <c r="BV82" s="104" t="n"/>
      <c r="BW82" s="104" t="n"/>
    </row>
    <row r="83" ht="20" customHeight="1">
      <c r="B83" s="100" t="n">
        <v>77</v>
      </c>
      <c r="C83" s="65" t="n"/>
      <c r="D83" s="65" t="n"/>
      <c r="E83" s="65" t="n"/>
      <c r="F83" s="65" t="n"/>
      <c r="G83" s="101" t="n"/>
      <c r="H83" s="101" t="n"/>
      <c r="I83" s="81" t="n"/>
      <c r="J83" s="102">
        <f>IF(OR(D83="",ProjStart=""),"",MAX(ProjStart,IF(I83&lt;&gt;"",I83,0),IF(H83="",0,IFERROR(INDEX($L$6:L82,MATCH(H83,$B$6:B82,0))+1,0))))</f>
        <v/>
      </c>
      <c r="K83" s="101" t="n"/>
      <c r="L83" s="102">
        <f>IF(J83="","",J83+MAX(1,G83)+IF(K83="",0,K83)-1)</f>
        <v/>
      </c>
      <c r="M83" s="65" t="n"/>
      <c r="N83" s="81" t="n"/>
      <c r="O83" s="103">
        <f>IF(D83="","",COUNTIF($H$7:$H$156,B83))</f>
        <v/>
      </c>
      <c r="P83" s="72">
        <f>IF(D83="","",IF(AND(H83&lt;&gt;"",H83&gt;=B83),"⚠️ Predecessor must be above",IF(M83="Done","✓ Done",IF(Q83=3,"🔴 Late",IF(M83="In progress","In progress","")))))</f>
        <v/>
      </c>
      <c r="Q83" s="63">
        <f>IF(OR(D83="",L83=""),"",IF(M83="Done",2,IF(AsOf&gt;L83,3,1)))</f>
        <v/>
      </c>
      <c r="R83" s="63">
        <f>IF(OR(E83="",F83=""),0,IF(COUNTIFS($E$7:E83,E83,$F$7:F83,F83)=1,1,0))</f>
        <v/>
      </c>
      <c r="S83" s="63">
        <f>IF(R83=1,E83&amp;"|"&amp;SUMIFS($R$7:R83,$E$7:E83,E83),"")</f>
        <v/>
      </c>
      <c r="T83" s="85">
        <f>IF(Q83="","",IF(Q83=3,L83,IF(OR(M83="Not started",M83=""),J83,"")))</f>
        <v/>
      </c>
      <c r="U83" s="63">
        <f>IF(T83="","",IF(Q83=3,1,IF(T83="","",IF(T83&lt;AsOf,1,IF(T83&lt;=AsOf+AlertDays,2,IF(T83&lt;=AsOf+2*AlertDays,3,""))))))</f>
        <v/>
      </c>
      <c r="V83" s="63">
        <f>IF(U83="","",IF(Q83=3,"Late task: "&amp;D83,IF(T83&lt;AsOf,"Should have started: ","Starts soon: ")&amp;D83)&amp;IF(F83="",""," — "&amp;F83))</f>
        <v/>
      </c>
      <c r="X83" s="104" t="n"/>
      <c r="Y83" s="104" t="n"/>
      <c r="Z83" s="104" t="n"/>
      <c r="AA83" s="104" t="n"/>
      <c r="AB83" s="104" t="n"/>
      <c r="AC83" s="104" t="n"/>
      <c r="AD83" s="104" t="n"/>
      <c r="AE83" s="104" t="n"/>
      <c r="AF83" s="104" t="n"/>
      <c r="AG83" s="104" t="n"/>
      <c r="AH83" s="104" t="n"/>
      <c r="AI83" s="104" t="n"/>
      <c r="AJ83" s="104" t="n"/>
      <c r="AK83" s="104" t="n"/>
      <c r="AL83" s="104" t="n"/>
      <c r="AM83" s="104" t="n"/>
      <c r="AN83" s="104" t="n"/>
      <c r="AO83" s="104" t="n"/>
      <c r="AP83" s="104" t="n"/>
      <c r="AQ83" s="104" t="n"/>
      <c r="AR83" s="104" t="n"/>
      <c r="AS83" s="104" t="n"/>
      <c r="AT83" s="104" t="n"/>
      <c r="AU83" s="104" t="n"/>
      <c r="AV83" s="104" t="n"/>
      <c r="AW83" s="104" t="n"/>
      <c r="AX83" s="104" t="n"/>
      <c r="AY83" s="104" t="n"/>
      <c r="AZ83" s="104" t="n"/>
      <c r="BA83" s="104" t="n"/>
      <c r="BB83" s="104" t="n"/>
      <c r="BC83" s="104" t="n"/>
      <c r="BD83" s="104" t="n"/>
      <c r="BE83" s="104" t="n"/>
      <c r="BF83" s="104" t="n"/>
      <c r="BG83" s="104" t="n"/>
      <c r="BH83" s="104" t="n"/>
      <c r="BI83" s="104" t="n"/>
      <c r="BJ83" s="104" t="n"/>
      <c r="BK83" s="104" t="n"/>
      <c r="BL83" s="104" t="n"/>
      <c r="BM83" s="104" t="n"/>
      <c r="BN83" s="104" t="n"/>
      <c r="BO83" s="104" t="n"/>
      <c r="BP83" s="104" t="n"/>
      <c r="BQ83" s="104" t="n"/>
      <c r="BR83" s="104" t="n"/>
      <c r="BS83" s="104" t="n"/>
      <c r="BT83" s="104" t="n"/>
      <c r="BU83" s="104" t="n"/>
      <c r="BV83" s="104" t="n"/>
      <c r="BW83" s="104" t="n"/>
    </row>
    <row r="84" ht="20" customHeight="1">
      <c r="B84" s="100" t="n">
        <v>78</v>
      </c>
      <c r="C84" s="65" t="n"/>
      <c r="D84" s="65" t="n"/>
      <c r="E84" s="65" t="n"/>
      <c r="F84" s="65" t="n"/>
      <c r="G84" s="101" t="n"/>
      <c r="H84" s="101" t="n"/>
      <c r="I84" s="81" t="n"/>
      <c r="J84" s="102">
        <f>IF(OR(D84="",ProjStart=""),"",MAX(ProjStart,IF(I84&lt;&gt;"",I84,0),IF(H84="",0,IFERROR(INDEX($L$6:L83,MATCH(H84,$B$6:B83,0))+1,0))))</f>
        <v/>
      </c>
      <c r="K84" s="101" t="n"/>
      <c r="L84" s="102">
        <f>IF(J84="","",J84+MAX(1,G84)+IF(K84="",0,K84)-1)</f>
        <v/>
      </c>
      <c r="M84" s="65" t="n"/>
      <c r="N84" s="81" t="n"/>
      <c r="O84" s="103">
        <f>IF(D84="","",COUNTIF($H$7:$H$156,B84))</f>
        <v/>
      </c>
      <c r="P84" s="72">
        <f>IF(D84="","",IF(AND(H84&lt;&gt;"",H84&gt;=B84),"⚠️ Predecessor must be above",IF(M84="Done","✓ Done",IF(Q84=3,"🔴 Late",IF(M84="In progress","In progress","")))))</f>
        <v/>
      </c>
      <c r="Q84" s="63">
        <f>IF(OR(D84="",L84=""),"",IF(M84="Done",2,IF(AsOf&gt;L84,3,1)))</f>
        <v/>
      </c>
      <c r="R84" s="63">
        <f>IF(OR(E84="",F84=""),0,IF(COUNTIFS($E$7:E84,E84,$F$7:F84,F84)=1,1,0))</f>
        <v/>
      </c>
      <c r="S84" s="63">
        <f>IF(R84=1,E84&amp;"|"&amp;SUMIFS($R$7:R84,$E$7:E84,E84),"")</f>
        <v/>
      </c>
      <c r="T84" s="85">
        <f>IF(Q84="","",IF(Q84=3,L84,IF(OR(M84="Not started",M84=""),J84,"")))</f>
        <v/>
      </c>
      <c r="U84" s="63">
        <f>IF(T84="","",IF(Q84=3,1,IF(T84="","",IF(T84&lt;AsOf,1,IF(T84&lt;=AsOf+AlertDays,2,IF(T84&lt;=AsOf+2*AlertDays,3,""))))))</f>
        <v/>
      </c>
      <c r="V84" s="63">
        <f>IF(U84="","",IF(Q84=3,"Late task: "&amp;D84,IF(T84&lt;AsOf,"Should have started: ","Starts soon: ")&amp;D84)&amp;IF(F84="",""," — "&amp;F84))</f>
        <v/>
      </c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  <c r="AI84" s="104" t="n"/>
      <c r="AJ84" s="104" t="n"/>
      <c r="AK84" s="104" t="n"/>
      <c r="AL84" s="104" t="n"/>
      <c r="AM84" s="104" t="n"/>
      <c r="AN84" s="104" t="n"/>
      <c r="AO84" s="104" t="n"/>
      <c r="AP84" s="104" t="n"/>
      <c r="AQ84" s="104" t="n"/>
      <c r="AR84" s="104" t="n"/>
      <c r="AS84" s="104" t="n"/>
      <c r="AT84" s="104" t="n"/>
      <c r="AU84" s="104" t="n"/>
      <c r="AV84" s="104" t="n"/>
      <c r="AW84" s="104" t="n"/>
      <c r="AX84" s="104" t="n"/>
      <c r="AY84" s="104" t="n"/>
      <c r="AZ84" s="104" t="n"/>
      <c r="BA84" s="104" t="n"/>
      <c r="BB84" s="104" t="n"/>
      <c r="BC84" s="104" t="n"/>
      <c r="BD84" s="104" t="n"/>
      <c r="BE84" s="104" t="n"/>
      <c r="BF84" s="104" t="n"/>
      <c r="BG84" s="104" t="n"/>
      <c r="BH84" s="104" t="n"/>
      <c r="BI84" s="104" t="n"/>
      <c r="BJ84" s="104" t="n"/>
      <c r="BK84" s="104" t="n"/>
      <c r="BL84" s="104" t="n"/>
      <c r="BM84" s="104" t="n"/>
      <c r="BN84" s="104" t="n"/>
      <c r="BO84" s="104" t="n"/>
      <c r="BP84" s="104" t="n"/>
      <c r="BQ84" s="104" t="n"/>
      <c r="BR84" s="104" t="n"/>
      <c r="BS84" s="104" t="n"/>
      <c r="BT84" s="104" t="n"/>
      <c r="BU84" s="104" t="n"/>
      <c r="BV84" s="104" t="n"/>
      <c r="BW84" s="104" t="n"/>
    </row>
    <row r="85" ht="20" customHeight="1">
      <c r="B85" s="100" t="n">
        <v>79</v>
      </c>
      <c r="C85" s="65" t="n"/>
      <c r="D85" s="65" t="n"/>
      <c r="E85" s="65" t="n"/>
      <c r="F85" s="65" t="n"/>
      <c r="G85" s="101" t="n"/>
      <c r="H85" s="101" t="n"/>
      <c r="I85" s="81" t="n"/>
      <c r="J85" s="102">
        <f>IF(OR(D85="",ProjStart=""),"",MAX(ProjStart,IF(I85&lt;&gt;"",I85,0),IF(H85="",0,IFERROR(INDEX($L$6:L84,MATCH(H85,$B$6:B84,0))+1,0))))</f>
        <v/>
      </c>
      <c r="K85" s="101" t="n"/>
      <c r="L85" s="102">
        <f>IF(J85="","",J85+MAX(1,G85)+IF(K85="",0,K85)-1)</f>
        <v/>
      </c>
      <c r="M85" s="65" t="n"/>
      <c r="N85" s="81" t="n"/>
      <c r="O85" s="103">
        <f>IF(D85="","",COUNTIF($H$7:$H$156,B85))</f>
        <v/>
      </c>
      <c r="P85" s="72">
        <f>IF(D85="","",IF(AND(H85&lt;&gt;"",H85&gt;=B85),"⚠️ Predecessor must be above",IF(M85="Done","✓ Done",IF(Q85=3,"🔴 Late",IF(M85="In progress","In progress","")))))</f>
        <v/>
      </c>
      <c r="Q85" s="63">
        <f>IF(OR(D85="",L85=""),"",IF(M85="Done",2,IF(AsOf&gt;L85,3,1)))</f>
        <v/>
      </c>
      <c r="R85" s="63">
        <f>IF(OR(E85="",F85=""),0,IF(COUNTIFS($E$7:E85,E85,$F$7:F85,F85)=1,1,0))</f>
        <v/>
      </c>
      <c r="S85" s="63">
        <f>IF(R85=1,E85&amp;"|"&amp;SUMIFS($R$7:R85,$E$7:E85,E85),"")</f>
        <v/>
      </c>
      <c r="T85" s="85">
        <f>IF(Q85="","",IF(Q85=3,L85,IF(OR(M85="Not started",M85=""),J85,"")))</f>
        <v/>
      </c>
      <c r="U85" s="63">
        <f>IF(T85="","",IF(Q85=3,1,IF(T85="","",IF(T85&lt;AsOf,1,IF(T85&lt;=AsOf+AlertDays,2,IF(T85&lt;=AsOf+2*AlertDays,3,""))))))</f>
        <v/>
      </c>
      <c r="V85" s="63">
        <f>IF(U85="","",IF(Q85=3,"Late task: "&amp;D85,IF(T85&lt;AsOf,"Should have started: ","Starts soon: ")&amp;D85)&amp;IF(F85="",""," — "&amp;F85))</f>
        <v/>
      </c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  <c r="BC85" s="104" t="n"/>
      <c r="BD85" s="104" t="n"/>
      <c r="BE85" s="104" t="n"/>
      <c r="BF85" s="104" t="n"/>
      <c r="BG85" s="104" t="n"/>
      <c r="BH85" s="104" t="n"/>
      <c r="BI85" s="104" t="n"/>
      <c r="BJ85" s="104" t="n"/>
      <c r="BK85" s="104" t="n"/>
      <c r="BL85" s="104" t="n"/>
      <c r="BM85" s="104" t="n"/>
      <c r="BN85" s="104" t="n"/>
      <c r="BO85" s="104" t="n"/>
      <c r="BP85" s="104" t="n"/>
      <c r="BQ85" s="104" t="n"/>
      <c r="BR85" s="104" t="n"/>
      <c r="BS85" s="104" t="n"/>
      <c r="BT85" s="104" t="n"/>
      <c r="BU85" s="104" t="n"/>
      <c r="BV85" s="104" t="n"/>
      <c r="BW85" s="104" t="n"/>
    </row>
    <row r="86" ht="20" customHeight="1">
      <c r="B86" s="100" t="n">
        <v>80</v>
      </c>
      <c r="C86" s="65" t="n"/>
      <c r="D86" s="65" t="n"/>
      <c r="E86" s="65" t="n"/>
      <c r="F86" s="65" t="n"/>
      <c r="G86" s="101" t="n"/>
      <c r="H86" s="101" t="n"/>
      <c r="I86" s="81" t="n"/>
      <c r="J86" s="102">
        <f>IF(OR(D86="",ProjStart=""),"",MAX(ProjStart,IF(I86&lt;&gt;"",I86,0),IF(H86="",0,IFERROR(INDEX($L$6:L85,MATCH(H86,$B$6:B85,0))+1,0))))</f>
        <v/>
      </c>
      <c r="K86" s="101" t="n"/>
      <c r="L86" s="102">
        <f>IF(J86="","",J86+MAX(1,G86)+IF(K86="",0,K86)-1)</f>
        <v/>
      </c>
      <c r="M86" s="65" t="n"/>
      <c r="N86" s="81" t="n"/>
      <c r="O86" s="103">
        <f>IF(D86="","",COUNTIF($H$7:$H$156,B86))</f>
        <v/>
      </c>
      <c r="P86" s="72">
        <f>IF(D86="","",IF(AND(H86&lt;&gt;"",H86&gt;=B86),"⚠️ Predecessor must be above",IF(M86="Done","✓ Done",IF(Q86=3,"🔴 Late",IF(M86="In progress","In progress","")))))</f>
        <v/>
      </c>
      <c r="Q86" s="63">
        <f>IF(OR(D86="",L86=""),"",IF(M86="Done",2,IF(AsOf&gt;L86,3,1)))</f>
        <v/>
      </c>
      <c r="R86" s="63">
        <f>IF(OR(E86="",F86=""),0,IF(COUNTIFS($E$7:E86,E86,$F$7:F86,F86)=1,1,0))</f>
        <v/>
      </c>
      <c r="S86" s="63">
        <f>IF(R86=1,E86&amp;"|"&amp;SUMIFS($R$7:R86,$E$7:E86,E86),"")</f>
        <v/>
      </c>
      <c r="T86" s="85">
        <f>IF(Q86="","",IF(Q86=3,L86,IF(OR(M86="Not started",M86=""),J86,"")))</f>
        <v/>
      </c>
      <c r="U86" s="63">
        <f>IF(T86="","",IF(Q86=3,1,IF(T86="","",IF(T86&lt;AsOf,1,IF(T86&lt;=AsOf+AlertDays,2,IF(T86&lt;=AsOf+2*AlertDays,3,""))))))</f>
        <v/>
      </c>
      <c r="V86" s="63">
        <f>IF(U86="","",IF(Q86=3,"Late task: "&amp;D86,IF(T86&lt;AsOf,"Should have started: ","Starts soon: ")&amp;D86)&amp;IF(F86="",""," — "&amp;F86))</f>
        <v/>
      </c>
      <c r="X86" s="104" t="n"/>
      <c r="Y86" s="104" t="n"/>
      <c r="Z86" s="104" t="n"/>
      <c r="AA86" s="104" t="n"/>
      <c r="AB86" s="104" t="n"/>
      <c r="AC86" s="104" t="n"/>
      <c r="AD86" s="104" t="n"/>
      <c r="AE86" s="104" t="n"/>
      <c r="AF86" s="104" t="n"/>
      <c r="AG86" s="104" t="n"/>
      <c r="AH86" s="104" t="n"/>
      <c r="AI86" s="104" t="n"/>
      <c r="AJ86" s="104" t="n"/>
      <c r="AK86" s="104" t="n"/>
      <c r="AL86" s="104" t="n"/>
      <c r="AM86" s="104" t="n"/>
      <c r="AN86" s="104" t="n"/>
      <c r="AO86" s="104" t="n"/>
      <c r="AP86" s="104" t="n"/>
      <c r="AQ86" s="104" t="n"/>
      <c r="AR86" s="104" t="n"/>
      <c r="AS86" s="104" t="n"/>
      <c r="AT86" s="104" t="n"/>
      <c r="AU86" s="104" t="n"/>
      <c r="AV86" s="104" t="n"/>
      <c r="AW86" s="104" t="n"/>
      <c r="AX86" s="104" t="n"/>
      <c r="AY86" s="104" t="n"/>
      <c r="AZ86" s="104" t="n"/>
      <c r="BA86" s="104" t="n"/>
      <c r="BB86" s="104" t="n"/>
      <c r="BC86" s="104" t="n"/>
      <c r="BD86" s="104" t="n"/>
      <c r="BE86" s="104" t="n"/>
      <c r="BF86" s="104" t="n"/>
      <c r="BG86" s="104" t="n"/>
      <c r="BH86" s="104" t="n"/>
      <c r="BI86" s="104" t="n"/>
      <c r="BJ86" s="104" t="n"/>
      <c r="BK86" s="104" t="n"/>
      <c r="BL86" s="104" t="n"/>
      <c r="BM86" s="104" t="n"/>
      <c r="BN86" s="104" t="n"/>
      <c r="BO86" s="104" t="n"/>
      <c r="BP86" s="104" t="n"/>
      <c r="BQ86" s="104" t="n"/>
      <c r="BR86" s="104" t="n"/>
      <c r="BS86" s="104" t="n"/>
      <c r="BT86" s="104" t="n"/>
      <c r="BU86" s="104" t="n"/>
      <c r="BV86" s="104" t="n"/>
      <c r="BW86" s="104" t="n"/>
    </row>
    <row r="87" ht="20" customHeight="1">
      <c r="B87" s="100" t="n">
        <v>81</v>
      </c>
      <c r="C87" s="65" t="n"/>
      <c r="D87" s="65" t="n"/>
      <c r="E87" s="65" t="n"/>
      <c r="F87" s="65" t="n"/>
      <c r="G87" s="101" t="n"/>
      <c r="H87" s="101" t="n"/>
      <c r="I87" s="81" t="n"/>
      <c r="J87" s="102">
        <f>IF(OR(D87="",ProjStart=""),"",MAX(ProjStart,IF(I87&lt;&gt;"",I87,0),IF(H87="",0,IFERROR(INDEX($L$6:L86,MATCH(H87,$B$6:B86,0))+1,0))))</f>
        <v/>
      </c>
      <c r="K87" s="101" t="n"/>
      <c r="L87" s="102">
        <f>IF(J87="","",J87+MAX(1,G87)+IF(K87="",0,K87)-1)</f>
        <v/>
      </c>
      <c r="M87" s="65" t="n"/>
      <c r="N87" s="81" t="n"/>
      <c r="O87" s="103">
        <f>IF(D87="","",COUNTIF($H$7:$H$156,B87))</f>
        <v/>
      </c>
      <c r="P87" s="72">
        <f>IF(D87="","",IF(AND(H87&lt;&gt;"",H87&gt;=B87),"⚠️ Predecessor must be above",IF(M87="Done","✓ Done",IF(Q87=3,"🔴 Late",IF(M87="In progress","In progress","")))))</f>
        <v/>
      </c>
      <c r="Q87" s="63">
        <f>IF(OR(D87="",L87=""),"",IF(M87="Done",2,IF(AsOf&gt;L87,3,1)))</f>
        <v/>
      </c>
      <c r="R87" s="63">
        <f>IF(OR(E87="",F87=""),0,IF(COUNTIFS($E$7:E87,E87,$F$7:F87,F87)=1,1,0))</f>
        <v/>
      </c>
      <c r="S87" s="63">
        <f>IF(R87=1,E87&amp;"|"&amp;SUMIFS($R$7:R87,$E$7:E87,E87),"")</f>
        <v/>
      </c>
      <c r="T87" s="85">
        <f>IF(Q87="","",IF(Q87=3,L87,IF(OR(M87="Not started",M87=""),J87,"")))</f>
        <v/>
      </c>
      <c r="U87" s="63">
        <f>IF(T87="","",IF(Q87=3,1,IF(T87="","",IF(T87&lt;AsOf,1,IF(T87&lt;=AsOf+AlertDays,2,IF(T87&lt;=AsOf+2*AlertDays,3,""))))))</f>
        <v/>
      </c>
      <c r="V87" s="63">
        <f>IF(U87="","",IF(Q87=3,"Late task: "&amp;D87,IF(T87&lt;AsOf,"Should have started: ","Starts soon: ")&amp;D87)&amp;IF(F87="",""," — "&amp;F87))</f>
        <v/>
      </c>
      <c r="X87" s="104" t="n"/>
      <c r="Y87" s="104" t="n"/>
      <c r="Z87" s="104" t="n"/>
      <c r="AA87" s="104" t="n"/>
      <c r="AB87" s="104" t="n"/>
      <c r="AC87" s="104" t="n"/>
      <c r="AD87" s="104" t="n"/>
      <c r="AE87" s="104" t="n"/>
      <c r="AF87" s="104" t="n"/>
      <c r="AG87" s="104" t="n"/>
      <c r="AH87" s="104" t="n"/>
      <c r="AI87" s="104" t="n"/>
      <c r="AJ87" s="104" t="n"/>
      <c r="AK87" s="104" t="n"/>
      <c r="AL87" s="104" t="n"/>
      <c r="AM87" s="104" t="n"/>
      <c r="AN87" s="104" t="n"/>
      <c r="AO87" s="104" t="n"/>
      <c r="AP87" s="104" t="n"/>
      <c r="AQ87" s="104" t="n"/>
      <c r="AR87" s="104" t="n"/>
      <c r="AS87" s="104" t="n"/>
      <c r="AT87" s="104" t="n"/>
      <c r="AU87" s="104" t="n"/>
      <c r="AV87" s="104" t="n"/>
      <c r="AW87" s="104" t="n"/>
      <c r="AX87" s="104" t="n"/>
      <c r="AY87" s="104" t="n"/>
      <c r="AZ87" s="104" t="n"/>
      <c r="BA87" s="104" t="n"/>
      <c r="BB87" s="104" t="n"/>
      <c r="BC87" s="104" t="n"/>
      <c r="BD87" s="104" t="n"/>
      <c r="BE87" s="104" t="n"/>
      <c r="BF87" s="104" t="n"/>
      <c r="BG87" s="104" t="n"/>
      <c r="BH87" s="104" t="n"/>
      <c r="BI87" s="104" t="n"/>
      <c r="BJ87" s="104" t="n"/>
      <c r="BK87" s="104" t="n"/>
      <c r="BL87" s="104" t="n"/>
      <c r="BM87" s="104" t="n"/>
      <c r="BN87" s="104" t="n"/>
      <c r="BO87" s="104" t="n"/>
      <c r="BP87" s="104" t="n"/>
      <c r="BQ87" s="104" t="n"/>
      <c r="BR87" s="104" t="n"/>
      <c r="BS87" s="104" t="n"/>
      <c r="BT87" s="104" t="n"/>
      <c r="BU87" s="104" t="n"/>
      <c r="BV87" s="104" t="n"/>
      <c r="BW87" s="104" t="n"/>
    </row>
    <row r="88" ht="20" customHeight="1">
      <c r="B88" s="100" t="n">
        <v>82</v>
      </c>
      <c r="C88" s="65" t="n"/>
      <c r="D88" s="65" t="n"/>
      <c r="E88" s="65" t="n"/>
      <c r="F88" s="65" t="n"/>
      <c r="G88" s="101" t="n"/>
      <c r="H88" s="101" t="n"/>
      <c r="I88" s="81" t="n"/>
      <c r="J88" s="102">
        <f>IF(OR(D88="",ProjStart=""),"",MAX(ProjStart,IF(I88&lt;&gt;"",I88,0),IF(H88="",0,IFERROR(INDEX($L$6:L87,MATCH(H88,$B$6:B87,0))+1,0))))</f>
        <v/>
      </c>
      <c r="K88" s="101" t="n"/>
      <c r="L88" s="102">
        <f>IF(J88="","",J88+MAX(1,G88)+IF(K88="",0,K88)-1)</f>
        <v/>
      </c>
      <c r="M88" s="65" t="n"/>
      <c r="N88" s="81" t="n"/>
      <c r="O88" s="103">
        <f>IF(D88="","",COUNTIF($H$7:$H$156,B88))</f>
        <v/>
      </c>
      <c r="P88" s="72">
        <f>IF(D88="","",IF(AND(H88&lt;&gt;"",H88&gt;=B88),"⚠️ Predecessor must be above",IF(M88="Done","✓ Done",IF(Q88=3,"🔴 Late",IF(M88="In progress","In progress","")))))</f>
        <v/>
      </c>
      <c r="Q88" s="63">
        <f>IF(OR(D88="",L88=""),"",IF(M88="Done",2,IF(AsOf&gt;L88,3,1)))</f>
        <v/>
      </c>
      <c r="R88" s="63">
        <f>IF(OR(E88="",F88=""),0,IF(COUNTIFS($E$7:E88,E88,$F$7:F88,F88)=1,1,0))</f>
        <v/>
      </c>
      <c r="S88" s="63">
        <f>IF(R88=1,E88&amp;"|"&amp;SUMIFS($R$7:R88,$E$7:E88,E88),"")</f>
        <v/>
      </c>
      <c r="T88" s="85">
        <f>IF(Q88="","",IF(Q88=3,L88,IF(OR(M88="Not started",M88=""),J88,"")))</f>
        <v/>
      </c>
      <c r="U88" s="63">
        <f>IF(T88="","",IF(Q88=3,1,IF(T88="","",IF(T88&lt;AsOf,1,IF(T88&lt;=AsOf+AlertDays,2,IF(T88&lt;=AsOf+2*AlertDays,3,""))))))</f>
        <v/>
      </c>
      <c r="V88" s="63">
        <f>IF(U88="","",IF(Q88=3,"Late task: "&amp;D88,IF(T88&lt;AsOf,"Should have started: ","Starts soon: ")&amp;D88)&amp;IF(F88="",""," — "&amp;F88))</f>
        <v/>
      </c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4" t="n"/>
      <c r="AI88" s="104" t="n"/>
      <c r="AJ88" s="104" t="n"/>
      <c r="AK88" s="104" t="n"/>
      <c r="AL88" s="104" t="n"/>
      <c r="AM88" s="104" t="n"/>
      <c r="AN88" s="104" t="n"/>
      <c r="AO88" s="104" t="n"/>
      <c r="AP88" s="104" t="n"/>
      <c r="AQ88" s="104" t="n"/>
      <c r="AR88" s="104" t="n"/>
      <c r="AS88" s="104" t="n"/>
      <c r="AT88" s="104" t="n"/>
      <c r="AU88" s="104" t="n"/>
      <c r="AV88" s="104" t="n"/>
      <c r="AW88" s="104" t="n"/>
      <c r="AX88" s="104" t="n"/>
      <c r="AY88" s="104" t="n"/>
      <c r="AZ88" s="104" t="n"/>
      <c r="BA88" s="104" t="n"/>
      <c r="BB88" s="104" t="n"/>
      <c r="BC88" s="104" t="n"/>
      <c r="BD88" s="104" t="n"/>
      <c r="BE88" s="104" t="n"/>
      <c r="BF88" s="104" t="n"/>
      <c r="BG88" s="104" t="n"/>
      <c r="BH88" s="104" t="n"/>
      <c r="BI88" s="104" t="n"/>
      <c r="BJ88" s="104" t="n"/>
      <c r="BK88" s="104" t="n"/>
      <c r="BL88" s="104" t="n"/>
      <c r="BM88" s="104" t="n"/>
      <c r="BN88" s="104" t="n"/>
      <c r="BO88" s="104" t="n"/>
      <c r="BP88" s="104" t="n"/>
      <c r="BQ88" s="104" t="n"/>
      <c r="BR88" s="104" t="n"/>
      <c r="BS88" s="104" t="n"/>
      <c r="BT88" s="104" t="n"/>
      <c r="BU88" s="104" t="n"/>
      <c r="BV88" s="104" t="n"/>
      <c r="BW88" s="104" t="n"/>
    </row>
    <row r="89" ht="20" customHeight="1">
      <c r="B89" s="100" t="n">
        <v>83</v>
      </c>
      <c r="C89" s="65" t="n"/>
      <c r="D89" s="65" t="n"/>
      <c r="E89" s="65" t="n"/>
      <c r="F89" s="65" t="n"/>
      <c r="G89" s="101" t="n"/>
      <c r="H89" s="101" t="n"/>
      <c r="I89" s="81" t="n"/>
      <c r="J89" s="102">
        <f>IF(OR(D89="",ProjStart=""),"",MAX(ProjStart,IF(I89&lt;&gt;"",I89,0),IF(H89="",0,IFERROR(INDEX($L$6:L88,MATCH(H89,$B$6:B88,0))+1,0))))</f>
        <v/>
      </c>
      <c r="K89" s="101" t="n"/>
      <c r="L89" s="102">
        <f>IF(J89="","",J89+MAX(1,G89)+IF(K89="",0,K89)-1)</f>
        <v/>
      </c>
      <c r="M89" s="65" t="n"/>
      <c r="N89" s="81" t="n"/>
      <c r="O89" s="103">
        <f>IF(D89="","",COUNTIF($H$7:$H$156,B89))</f>
        <v/>
      </c>
      <c r="P89" s="72">
        <f>IF(D89="","",IF(AND(H89&lt;&gt;"",H89&gt;=B89),"⚠️ Predecessor must be above",IF(M89="Done","✓ Done",IF(Q89=3,"🔴 Late",IF(M89="In progress","In progress","")))))</f>
        <v/>
      </c>
      <c r="Q89" s="63">
        <f>IF(OR(D89="",L89=""),"",IF(M89="Done",2,IF(AsOf&gt;L89,3,1)))</f>
        <v/>
      </c>
      <c r="R89" s="63">
        <f>IF(OR(E89="",F89=""),0,IF(COUNTIFS($E$7:E89,E89,$F$7:F89,F89)=1,1,0))</f>
        <v/>
      </c>
      <c r="S89" s="63">
        <f>IF(R89=1,E89&amp;"|"&amp;SUMIFS($R$7:R89,$E$7:E89,E89),"")</f>
        <v/>
      </c>
      <c r="T89" s="85">
        <f>IF(Q89="","",IF(Q89=3,L89,IF(OR(M89="Not started",M89=""),J89,"")))</f>
        <v/>
      </c>
      <c r="U89" s="63">
        <f>IF(T89="","",IF(Q89=3,1,IF(T89="","",IF(T89&lt;AsOf,1,IF(T89&lt;=AsOf+AlertDays,2,IF(T89&lt;=AsOf+2*AlertDays,3,""))))))</f>
        <v/>
      </c>
      <c r="V89" s="63">
        <f>IF(U89="","",IF(Q89=3,"Late task: "&amp;D89,IF(T89&lt;AsOf,"Should have started: ","Starts soon: ")&amp;D89)&amp;IF(F89="",""," — "&amp;F89))</f>
        <v/>
      </c>
      <c r="X89" s="104" t="n"/>
      <c r="Y89" s="104" t="n"/>
      <c r="Z89" s="104" t="n"/>
      <c r="AA89" s="104" t="n"/>
      <c r="AB89" s="104" t="n"/>
      <c r="AC89" s="104" t="n"/>
      <c r="AD89" s="104" t="n"/>
      <c r="AE89" s="104" t="n"/>
      <c r="AF89" s="104" t="n"/>
      <c r="AG89" s="104" t="n"/>
      <c r="AH89" s="104" t="n"/>
      <c r="AI89" s="104" t="n"/>
      <c r="AJ89" s="104" t="n"/>
      <c r="AK89" s="104" t="n"/>
      <c r="AL89" s="104" t="n"/>
      <c r="AM89" s="104" t="n"/>
      <c r="AN89" s="104" t="n"/>
      <c r="AO89" s="104" t="n"/>
      <c r="AP89" s="104" t="n"/>
      <c r="AQ89" s="104" t="n"/>
      <c r="AR89" s="104" t="n"/>
      <c r="AS89" s="104" t="n"/>
      <c r="AT89" s="104" t="n"/>
      <c r="AU89" s="104" t="n"/>
      <c r="AV89" s="104" t="n"/>
      <c r="AW89" s="104" t="n"/>
      <c r="AX89" s="104" t="n"/>
      <c r="AY89" s="104" t="n"/>
      <c r="AZ89" s="104" t="n"/>
      <c r="BA89" s="104" t="n"/>
      <c r="BB89" s="104" t="n"/>
      <c r="BC89" s="104" t="n"/>
      <c r="BD89" s="104" t="n"/>
      <c r="BE89" s="104" t="n"/>
      <c r="BF89" s="104" t="n"/>
      <c r="BG89" s="104" t="n"/>
      <c r="BH89" s="104" t="n"/>
      <c r="BI89" s="104" t="n"/>
      <c r="BJ89" s="104" t="n"/>
      <c r="BK89" s="104" t="n"/>
      <c r="BL89" s="104" t="n"/>
      <c r="BM89" s="104" t="n"/>
      <c r="BN89" s="104" t="n"/>
      <c r="BO89" s="104" t="n"/>
      <c r="BP89" s="104" t="n"/>
      <c r="BQ89" s="104" t="n"/>
      <c r="BR89" s="104" t="n"/>
      <c r="BS89" s="104" t="n"/>
      <c r="BT89" s="104" t="n"/>
      <c r="BU89" s="104" t="n"/>
      <c r="BV89" s="104" t="n"/>
      <c r="BW89" s="104" t="n"/>
    </row>
    <row r="90" ht="20" customHeight="1">
      <c r="B90" s="100" t="n">
        <v>84</v>
      </c>
      <c r="C90" s="65" t="n"/>
      <c r="D90" s="65" t="n"/>
      <c r="E90" s="65" t="n"/>
      <c r="F90" s="65" t="n"/>
      <c r="G90" s="101" t="n"/>
      <c r="H90" s="101" t="n"/>
      <c r="I90" s="81" t="n"/>
      <c r="J90" s="102">
        <f>IF(OR(D90="",ProjStart=""),"",MAX(ProjStart,IF(I90&lt;&gt;"",I90,0),IF(H90="",0,IFERROR(INDEX($L$6:L89,MATCH(H90,$B$6:B89,0))+1,0))))</f>
        <v/>
      </c>
      <c r="K90" s="101" t="n"/>
      <c r="L90" s="102">
        <f>IF(J90="","",J90+MAX(1,G90)+IF(K90="",0,K90)-1)</f>
        <v/>
      </c>
      <c r="M90" s="65" t="n"/>
      <c r="N90" s="81" t="n"/>
      <c r="O90" s="103">
        <f>IF(D90="","",COUNTIF($H$7:$H$156,B90))</f>
        <v/>
      </c>
      <c r="P90" s="72">
        <f>IF(D90="","",IF(AND(H90&lt;&gt;"",H90&gt;=B90),"⚠️ Predecessor must be above",IF(M90="Done","✓ Done",IF(Q90=3,"🔴 Late",IF(M90="In progress","In progress","")))))</f>
        <v/>
      </c>
      <c r="Q90" s="63">
        <f>IF(OR(D90="",L90=""),"",IF(M90="Done",2,IF(AsOf&gt;L90,3,1)))</f>
        <v/>
      </c>
      <c r="R90" s="63">
        <f>IF(OR(E90="",F90=""),0,IF(COUNTIFS($E$7:E90,E90,$F$7:F90,F90)=1,1,0))</f>
        <v/>
      </c>
      <c r="S90" s="63">
        <f>IF(R90=1,E90&amp;"|"&amp;SUMIFS($R$7:R90,$E$7:E90,E90),"")</f>
        <v/>
      </c>
      <c r="T90" s="85">
        <f>IF(Q90="","",IF(Q90=3,L90,IF(OR(M90="Not started",M90=""),J90,"")))</f>
        <v/>
      </c>
      <c r="U90" s="63">
        <f>IF(T90="","",IF(Q90=3,1,IF(T90="","",IF(T90&lt;AsOf,1,IF(T90&lt;=AsOf+AlertDays,2,IF(T90&lt;=AsOf+2*AlertDays,3,""))))))</f>
        <v/>
      </c>
      <c r="V90" s="63">
        <f>IF(U90="","",IF(Q90=3,"Late task: "&amp;D90,IF(T90&lt;AsOf,"Should have started: ","Starts soon: ")&amp;D90)&amp;IF(F90="",""," — "&amp;F90))</f>
        <v/>
      </c>
      <c r="X90" s="104" t="n"/>
      <c r="Y90" s="104" t="n"/>
      <c r="Z90" s="104" t="n"/>
      <c r="AA90" s="104" t="n"/>
      <c r="AB90" s="104" t="n"/>
      <c r="AC90" s="104" t="n"/>
      <c r="AD90" s="104" t="n"/>
      <c r="AE90" s="104" t="n"/>
      <c r="AF90" s="104" t="n"/>
      <c r="AG90" s="104" t="n"/>
      <c r="AH90" s="104" t="n"/>
      <c r="AI90" s="104" t="n"/>
      <c r="AJ90" s="104" t="n"/>
      <c r="AK90" s="104" t="n"/>
      <c r="AL90" s="104" t="n"/>
      <c r="AM90" s="104" t="n"/>
      <c r="AN90" s="104" t="n"/>
      <c r="AO90" s="104" t="n"/>
      <c r="AP90" s="104" t="n"/>
      <c r="AQ90" s="104" t="n"/>
      <c r="AR90" s="104" t="n"/>
      <c r="AS90" s="104" t="n"/>
      <c r="AT90" s="104" t="n"/>
      <c r="AU90" s="104" t="n"/>
      <c r="AV90" s="104" t="n"/>
      <c r="AW90" s="104" t="n"/>
      <c r="AX90" s="104" t="n"/>
      <c r="AY90" s="104" t="n"/>
      <c r="AZ90" s="104" t="n"/>
      <c r="BA90" s="104" t="n"/>
      <c r="BB90" s="104" t="n"/>
      <c r="BC90" s="104" t="n"/>
      <c r="BD90" s="104" t="n"/>
      <c r="BE90" s="104" t="n"/>
      <c r="BF90" s="104" t="n"/>
      <c r="BG90" s="104" t="n"/>
      <c r="BH90" s="104" t="n"/>
      <c r="BI90" s="104" t="n"/>
      <c r="BJ90" s="104" t="n"/>
      <c r="BK90" s="104" t="n"/>
      <c r="BL90" s="104" t="n"/>
      <c r="BM90" s="104" t="n"/>
      <c r="BN90" s="104" t="n"/>
      <c r="BO90" s="104" t="n"/>
      <c r="BP90" s="104" t="n"/>
      <c r="BQ90" s="104" t="n"/>
      <c r="BR90" s="104" t="n"/>
      <c r="BS90" s="104" t="n"/>
      <c r="BT90" s="104" t="n"/>
      <c r="BU90" s="104" t="n"/>
      <c r="BV90" s="104" t="n"/>
      <c r="BW90" s="104" t="n"/>
    </row>
    <row r="91" ht="20" customHeight="1">
      <c r="B91" s="100" t="n">
        <v>85</v>
      </c>
      <c r="C91" s="65" t="n"/>
      <c r="D91" s="65" t="n"/>
      <c r="E91" s="65" t="n"/>
      <c r="F91" s="65" t="n"/>
      <c r="G91" s="101" t="n"/>
      <c r="H91" s="101" t="n"/>
      <c r="I91" s="81" t="n"/>
      <c r="J91" s="102">
        <f>IF(OR(D91="",ProjStart=""),"",MAX(ProjStart,IF(I91&lt;&gt;"",I91,0),IF(H91="",0,IFERROR(INDEX($L$6:L90,MATCH(H91,$B$6:B90,0))+1,0))))</f>
        <v/>
      </c>
      <c r="K91" s="101" t="n"/>
      <c r="L91" s="102">
        <f>IF(J91="","",J91+MAX(1,G91)+IF(K91="",0,K91)-1)</f>
        <v/>
      </c>
      <c r="M91" s="65" t="n"/>
      <c r="N91" s="81" t="n"/>
      <c r="O91" s="103">
        <f>IF(D91="","",COUNTIF($H$7:$H$156,B91))</f>
        <v/>
      </c>
      <c r="P91" s="72">
        <f>IF(D91="","",IF(AND(H91&lt;&gt;"",H91&gt;=B91),"⚠️ Predecessor must be above",IF(M91="Done","✓ Done",IF(Q91=3,"🔴 Late",IF(M91="In progress","In progress","")))))</f>
        <v/>
      </c>
      <c r="Q91" s="63">
        <f>IF(OR(D91="",L91=""),"",IF(M91="Done",2,IF(AsOf&gt;L91,3,1)))</f>
        <v/>
      </c>
      <c r="R91" s="63">
        <f>IF(OR(E91="",F91=""),0,IF(COUNTIFS($E$7:E91,E91,$F$7:F91,F91)=1,1,0))</f>
        <v/>
      </c>
      <c r="S91" s="63">
        <f>IF(R91=1,E91&amp;"|"&amp;SUMIFS($R$7:R91,$E$7:E91,E91),"")</f>
        <v/>
      </c>
      <c r="T91" s="85">
        <f>IF(Q91="","",IF(Q91=3,L91,IF(OR(M91="Not started",M91=""),J91,"")))</f>
        <v/>
      </c>
      <c r="U91" s="63">
        <f>IF(T91="","",IF(Q91=3,1,IF(T91="","",IF(T91&lt;AsOf,1,IF(T91&lt;=AsOf+AlertDays,2,IF(T91&lt;=AsOf+2*AlertDays,3,""))))))</f>
        <v/>
      </c>
      <c r="V91" s="63">
        <f>IF(U91="","",IF(Q91=3,"Late task: "&amp;D91,IF(T91&lt;AsOf,"Should have started: ","Starts soon: ")&amp;D91)&amp;IF(F91="",""," — "&amp;F91))</f>
        <v/>
      </c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  <c r="AI91" s="104" t="n"/>
      <c r="AJ91" s="104" t="n"/>
      <c r="AK91" s="104" t="n"/>
      <c r="AL91" s="104" t="n"/>
      <c r="AM91" s="104" t="n"/>
      <c r="AN91" s="104" t="n"/>
      <c r="AO91" s="104" t="n"/>
      <c r="AP91" s="104" t="n"/>
      <c r="AQ91" s="104" t="n"/>
      <c r="AR91" s="104" t="n"/>
      <c r="AS91" s="104" t="n"/>
      <c r="AT91" s="104" t="n"/>
      <c r="AU91" s="104" t="n"/>
      <c r="AV91" s="104" t="n"/>
      <c r="AW91" s="104" t="n"/>
      <c r="AX91" s="104" t="n"/>
      <c r="AY91" s="104" t="n"/>
      <c r="AZ91" s="104" t="n"/>
      <c r="BA91" s="104" t="n"/>
      <c r="BB91" s="104" t="n"/>
      <c r="BC91" s="104" t="n"/>
      <c r="BD91" s="104" t="n"/>
      <c r="BE91" s="104" t="n"/>
      <c r="BF91" s="104" t="n"/>
      <c r="BG91" s="104" t="n"/>
      <c r="BH91" s="104" t="n"/>
      <c r="BI91" s="104" t="n"/>
      <c r="BJ91" s="104" t="n"/>
      <c r="BK91" s="104" t="n"/>
      <c r="BL91" s="104" t="n"/>
      <c r="BM91" s="104" t="n"/>
      <c r="BN91" s="104" t="n"/>
      <c r="BO91" s="104" t="n"/>
      <c r="BP91" s="104" t="n"/>
      <c r="BQ91" s="104" t="n"/>
      <c r="BR91" s="104" t="n"/>
      <c r="BS91" s="104" t="n"/>
      <c r="BT91" s="104" t="n"/>
      <c r="BU91" s="104" t="n"/>
      <c r="BV91" s="104" t="n"/>
      <c r="BW91" s="104" t="n"/>
    </row>
    <row r="92" ht="20" customHeight="1">
      <c r="B92" s="100" t="n">
        <v>86</v>
      </c>
      <c r="C92" s="65" t="n"/>
      <c r="D92" s="65" t="n"/>
      <c r="E92" s="65" t="n"/>
      <c r="F92" s="65" t="n"/>
      <c r="G92" s="101" t="n"/>
      <c r="H92" s="101" t="n"/>
      <c r="I92" s="81" t="n"/>
      <c r="J92" s="102">
        <f>IF(OR(D92="",ProjStart=""),"",MAX(ProjStart,IF(I92&lt;&gt;"",I92,0),IF(H92="",0,IFERROR(INDEX($L$6:L91,MATCH(H92,$B$6:B91,0))+1,0))))</f>
        <v/>
      </c>
      <c r="K92" s="101" t="n"/>
      <c r="L92" s="102">
        <f>IF(J92="","",J92+MAX(1,G92)+IF(K92="",0,K92)-1)</f>
        <v/>
      </c>
      <c r="M92" s="65" t="n"/>
      <c r="N92" s="81" t="n"/>
      <c r="O92" s="103">
        <f>IF(D92="","",COUNTIF($H$7:$H$156,B92))</f>
        <v/>
      </c>
      <c r="P92" s="72">
        <f>IF(D92="","",IF(AND(H92&lt;&gt;"",H92&gt;=B92),"⚠️ Predecessor must be above",IF(M92="Done","✓ Done",IF(Q92=3,"🔴 Late",IF(M92="In progress","In progress","")))))</f>
        <v/>
      </c>
      <c r="Q92" s="63">
        <f>IF(OR(D92="",L92=""),"",IF(M92="Done",2,IF(AsOf&gt;L92,3,1)))</f>
        <v/>
      </c>
      <c r="R92" s="63">
        <f>IF(OR(E92="",F92=""),0,IF(COUNTIFS($E$7:E92,E92,$F$7:F92,F92)=1,1,0))</f>
        <v/>
      </c>
      <c r="S92" s="63">
        <f>IF(R92=1,E92&amp;"|"&amp;SUMIFS($R$7:R92,$E$7:E92,E92),"")</f>
        <v/>
      </c>
      <c r="T92" s="85">
        <f>IF(Q92="","",IF(Q92=3,L92,IF(OR(M92="Not started",M92=""),J92,"")))</f>
        <v/>
      </c>
      <c r="U92" s="63">
        <f>IF(T92="","",IF(Q92=3,1,IF(T92="","",IF(T92&lt;AsOf,1,IF(T92&lt;=AsOf+AlertDays,2,IF(T92&lt;=AsOf+2*AlertDays,3,""))))))</f>
        <v/>
      </c>
      <c r="V92" s="63">
        <f>IF(U92="","",IF(Q92=3,"Late task: "&amp;D92,IF(T92&lt;AsOf,"Should have started: ","Starts soon: ")&amp;D92)&amp;IF(F92="",""," — "&amp;F92))</f>
        <v/>
      </c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  <c r="BC92" s="104" t="n"/>
      <c r="BD92" s="104" t="n"/>
      <c r="BE92" s="104" t="n"/>
      <c r="BF92" s="104" t="n"/>
      <c r="BG92" s="104" t="n"/>
      <c r="BH92" s="104" t="n"/>
      <c r="BI92" s="104" t="n"/>
      <c r="BJ92" s="104" t="n"/>
      <c r="BK92" s="104" t="n"/>
      <c r="BL92" s="104" t="n"/>
      <c r="BM92" s="104" t="n"/>
      <c r="BN92" s="104" t="n"/>
      <c r="BO92" s="104" t="n"/>
      <c r="BP92" s="104" t="n"/>
      <c r="BQ92" s="104" t="n"/>
      <c r="BR92" s="104" t="n"/>
      <c r="BS92" s="104" t="n"/>
      <c r="BT92" s="104" t="n"/>
      <c r="BU92" s="104" t="n"/>
      <c r="BV92" s="104" t="n"/>
      <c r="BW92" s="104" t="n"/>
    </row>
    <row r="93" ht="20" customHeight="1">
      <c r="B93" s="100" t="n">
        <v>87</v>
      </c>
      <c r="C93" s="65" t="n"/>
      <c r="D93" s="65" t="n"/>
      <c r="E93" s="65" t="n"/>
      <c r="F93" s="65" t="n"/>
      <c r="G93" s="101" t="n"/>
      <c r="H93" s="101" t="n"/>
      <c r="I93" s="81" t="n"/>
      <c r="J93" s="102">
        <f>IF(OR(D93="",ProjStart=""),"",MAX(ProjStart,IF(I93&lt;&gt;"",I93,0),IF(H93="",0,IFERROR(INDEX($L$6:L92,MATCH(H93,$B$6:B92,0))+1,0))))</f>
        <v/>
      </c>
      <c r="K93" s="101" t="n"/>
      <c r="L93" s="102">
        <f>IF(J93="","",J93+MAX(1,G93)+IF(K93="",0,K93)-1)</f>
        <v/>
      </c>
      <c r="M93" s="65" t="n"/>
      <c r="N93" s="81" t="n"/>
      <c r="O93" s="103">
        <f>IF(D93="","",COUNTIF($H$7:$H$156,B93))</f>
        <v/>
      </c>
      <c r="P93" s="72">
        <f>IF(D93="","",IF(AND(H93&lt;&gt;"",H93&gt;=B93),"⚠️ Predecessor must be above",IF(M93="Done","✓ Done",IF(Q93=3,"🔴 Late",IF(M93="In progress","In progress","")))))</f>
        <v/>
      </c>
      <c r="Q93" s="63">
        <f>IF(OR(D93="",L93=""),"",IF(M93="Done",2,IF(AsOf&gt;L93,3,1)))</f>
        <v/>
      </c>
      <c r="R93" s="63">
        <f>IF(OR(E93="",F93=""),0,IF(COUNTIFS($E$7:E93,E93,$F$7:F93,F93)=1,1,0))</f>
        <v/>
      </c>
      <c r="S93" s="63">
        <f>IF(R93=1,E93&amp;"|"&amp;SUMIFS($R$7:R93,$E$7:E93,E93),"")</f>
        <v/>
      </c>
      <c r="T93" s="85">
        <f>IF(Q93="","",IF(Q93=3,L93,IF(OR(M93="Not started",M93=""),J93,"")))</f>
        <v/>
      </c>
      <c r="U93" s="63">
        <f>IF(T93="","",IF(Q93=3,1,IF(T93="","",IF(T93&lt;AsOf,1,IF(T93&lt;=AsOf+AlertDays,2,IF(T93&lt;=AsOf+2*AlertDays,3,""))))))</f>
        <v/>
      </c>
      <c r="V93" s="63">
        <f>IF(U93="","",IF(Q93=3,"Late task: "&amp;D93,IF(T93&lt;AsOf,"Should have started: ","Starts soon: ")&amp;D93)&amp;IF(F93="",""," — "&amp;F93))</f>
        <v/>
      </c>
      <c r="X93" s="104" t="n"/>
      <c r="Y93" s="104" t="n"/>
      <c r="Z93" s="104" t="n"/>
      <c r="AA93" s="104" t="n"/>
      <c r="AB93" s="104" t="n"/>
      <c r="AC93" s="104" t="n"/>
      <c r="AD93" s="104" t="n"/>
      <c r="AE93" s="104" t="n"/>
      <c r="AF93" s="104" t="n"/>
      <c r="AG93" s="104" t="n"/>
      <c r="AH93" s="104" t="n"/>
      <c r="AI93" s="104" t="n"/>
      <c r="AJ93" s="104" t="n"/>
      <c r="AK93" s="104" t="n"/>
      <c r="AL93" s="104" t="n"/>
      <c r="AM93" s="104" t="n"/>
      <c r="AN93" s="104" t="n"/>
      <c r="AO93" s="104" t="n"/>
      <c r="AP93" s="104" t="n"/>
      <c r="AQ93" s="104" t="n"/>
      <c r="AR93" s="104" t="n"/>
      <c r="AS93" s="104" t="n"/>
      <c r="AT93" s="104" t="n"/>
      <c r="AU93" s="104" t="n"/>
      <c r="AV93" s="104" t="n"/>
      <c r="AW93" s="104" t="n"/>
      <c r="AX93" s="104" t="n"/>
      <c r="AY93" s="104" t="n"/>
      <c r="AZ93" s="104" t="n"/>
      <c r="BA93" s="104" t="n"/>
      <c r="BB93" s="104" t="n"/>
      <c r="BC93" s="104" t="n"/>
      <c r="BD93" s="104" t="n"/>
      <c r="BE93" s="104" t="n"/>
      <c r="BF93" s="104" t="n"/>
      <c r="BG93" s="104" t="n"/>
      <c r="BH93" s="104" t="n"/>
      <c r="BI93" s="104" t="n"/>
      <c r="BJ93" s="104" t="n"/>
      <c r="BK93" s="104" t="n"/>
      <c r="BL93" s="104" t="n"/>
      <c r="BM93" s="104" t="n"/>
      <c r="BN93" s="104" t="n"/>
      <c r="BO93" s="104" t="n"/>
      <c r="BP93" s="104" t="n"/>
      <c r="BQ93" s="104" t="n"/>
      <c r="BR93" s="104" t="n"/>
      <c r="BS93" s="104" t="n"/>
      <c r="BT93" s="104" t="n"/>
      <c r="BU93" s="104" t="n"/>
      <c r="BV93" s="104" t="n"/>
      <c r="BW93" s="104" t="n"/>
    </row>
    <row r="94" ht="20" customHeight="1">
      <c r="B94" s="100" t="n">
        <v>88</v>
      </c>
      <c r="C94" s="65" t="n"/>
      <c r="D94" s="65" t="n"/>
      <c r="E94" s="65" t="n"/>
      <c r="F94" s="65" t="n"/>
      <c r="G94" s="101" t="n"/>
      <c r="H94" s="101" t="n"/>
      <c r="I94" s="81" t="n"/>
      <c r="J94" s="102">
        <f>IF(OR(D94="",ProjStart=""),"",MAX(ProjStart,IF(I94&lt;&gt;"",I94,0),IF(H94="",0,IFERROR(INDEX($L$6:L93,MATCH(H94,$B$6:B93,0))+1,0))))</f>
        <v/>
      </c>
      <c r="K94" s="101" t="n"/>
      <c r="L94" s="102">
        <f>IF(J94="","",J94+MAX(1,G94)+IF(K94="",0,K94)-1)</f>
        <v/>
      </c>
      <c r="M94" s="65" t="n"/>
      <c r="N94" s="81" t="n"/>
      <c r="O94" s="103">
        <f>IF(D94="","",COUNTIF($H$7:$H$156,B94))</f>
        <v/>
      </c>
      <c r="P94" s="72">
        <f>IF(D94="","",IF(AND(H94&lt;&gt;"",H94&gt;=B94),"⚠️ Predecessor must be above",IF(M94="Done","✓ Done",IF(Q94=3,"🔴 Late",IF(M94="In progress","In progress","")))))</f>
        <v/>
      </c>
      <c r="Q94" s="63">
        <f>IF(OR(D94="",L94=""),"",IF(M94="Done",2,IF(AsOf&gt;L94,3,1)))</f>
        <v/>
      </c>
      <c r="R94" s="63">
        <f>IF(OR(E94="",F94=""),0,IF(COUNTIFS($E$7:E94,E94,$F$7:F94,F94)=1,1,0))</f>
        <v/>
      </c>
      <c r="S94" s="63">
        <f>IF(R94=1,E94&amp;"|"&amp;SUMIFS($R$7:R94,$E$7:E94,E94),"")</f>
        <v/>
      </c>
      <c r="T94" s="85">
        <f>IF(Q94="","",IF(Q94=3,L94,IF(OR(M94="Not started",M94=""),J94,"")))</f>
        <v/>
      </c>
      <c r="U94" s="63">
        <f>IF(T94="","",IF(Q94=3,1,IF(T94="","",IF(T94&lt;AsOf,1,IF(T94&lt;=AsOf+AlertDays,2,IF(T94&lt;=AsOf+2*AlertDays,3,""))))))</f>
        <v/>
      </c>
      <c r="V94" s="63">
        <f>IF(U94="","",IF(Q94=3,"Late task: "&amp;D94,IF(T94&lt;AsOf,"Should have started: ","Starts soon: ")&amp;D94)&amp;IF(F94="",""," — "&amp;F94))</f>
        <v/>
      </c>
      <c r="X94" s="104" t="n"/>
      <c r="Y94" s="104" t="n"/>
      <c r="Z94" s="104" t="n"/>
      <c r="AA94" s="104" t="n"/>
      <c r="AB94" s="104" t="n"/>
      <c r="AC94" s="104" t="n"/>
      <c r="AD94" s="104" t="n"/>
      <c r="AE94" s="104" t="n"/>
      <c r="AF94" s="104" t="n"/>
      <c r="AG94" s="104" t="n"/>
      <c r="AH94" s="104" t="n"/>
      <c r="AI94" s="104" t="n"/>
      <c r="AJ94" s="104" t="n"/>
      <c r="AK94" s="104" t="n"/>
      <c r="AL94" s="104" t="n"/>
      <c r="AM94" s="104" t="n"/>
      <c r="AN94" s="104" t="n"/>
      <c r="AO94" s="104" t="n"/>
      <c r="AP94" s="104" t="n"/>
      <c r="AQ94" s="104" t="n"/>
      <c r="AR94" s="104" t="n"/>
      <c r="AS94" s="104" t="n"/>
      <c r="AT94" s="104" t="n"/>
      <c r="AU94" s="104" t="n"/>
      <c r="AV94" s="104" t="n"/>
      <c r="AW94" s="104" t="n"/>
      <c r="AX94" s="104" t="n"/>
      <c r="AY94" s="104" t="n"/>
      <c r="AZ94" s="104" t="n"/>
      <c r="BA94" s="104" t="n"/>
      <c r="BB94" s="104" t="n"/>
      <c r="BC94" s="104" t="n"/>
      <c r="BD94" s="104" t="n"/>
      <c r="BE94" s="104" t="n"/>
      <c r="BF94" s="104" t="n"/>
      <c r="BG94" s="104" t="n"/>
      <c r="BH94" s="104" t="n"/>
      <c r="BI94" s="104" t="n"/>
      <c r="BJ94" s="104" t="n"/>
      <c r="BK94" s="104" t="n"/>
      <c r="BL94" s="104" t="n"/>
      <c r="BM94" s="104" t="n"/>
      <c r="BN94" s="104" t="n"/>
      <c r="BO94" s="104" t="n"/>
      <c r="BP94" s="104" t="n"/>
      <c r="BQ94" s="104" t="n"/>
      <c r="BR94" s="104" t="n"/>
      <c r="BS94" s="104" t="n"/>
      <c r="BT94" s="104" t="n"/>
      <c r="BU94" s="104" t="n"/>
      <c r="BV94" s="104" t="n"/>
      <c r="BW94" s="104" t="n"/>
    </row>
    <row r="95" ht="20" customHeight="1">
      <c r="B95" s="100" t="n">
        <v>89</v>
      </c>
      <c r="C95" s="65" t="n"/>
      <c r="D95" s="65" t="n"/>
      <c r="E95" s="65" t="n"/>
      <c r="F95" s="65" t="n"/>
      <c r="G95" s="101" t="n"/>
      <c r="H95" s="101" t="n"/>
      <c r="I95" s="81" t="n"/>
      <c r="J95" s="102">
        <f>IF(OR(D95="",ProjStart=""),"",MAX(ProjStart,IF(I95&lt;&gt;"",I95,0),IF(H95="",0,IFERROR(INDEX($L$6:L94,MATCH(H95,$B$6:B94,0))+1,0))))</f>
        <v/>
      </c>
      <c r="K95" s="101" t="n"/>
      <c r="L95" s="102">
        <f>IF(J95="","",J95+MAX(1,G95)+IF(K95="",0,K95)-1)</f>
        <v/>
      </c>
      <c r="M95" s="65" t="n"/>
      <c r="N95" s="81" t="n"/>
      <c r="O95" s="103">
        <f>IF(D95="","",COUNTIF($H$7:$H$156,B95))</f>
        <v/>
      </c>
      <c r="P95" s="72">
        <f>IF(D95="","",IF(AND(H95&lt;&gt;"",H95&gt;=B95),"⚠️ Predecessor must be above",IF(M95="Done","✓ Done",IF(Q95=3,"🔴 Late",IF(M95="In progress","In progress","")))))</f>
        <v/>
      </c>
      <c r="Q95" s="63">
        <f>IF(OR(D95="",L95=""),"",IF(M95="Done",2,IF(AsOf&gt;L95,3,1)))</f>
        <v/>
      </c>
      <c r="R95" s="63">
        <f>IF(OR(E95="",F95=""),0,IF(COUNTIFS($E$7:E95,E95,$F$7:F95,F95)=1,1,0))</f>
        <v/>
      </c>
      <c r="S95" s="63">
        <f>IF(R95=1,E95&amp;"|"&amp;SUMIFS($R$7:R95,$E$7:E95,E95),"")</f>
        <v/>
      </c>
      <c r="T95" s="85">
        <f>IF(Q95="","",IF(Q95=3,L95,IF(OR(M95="Not started",M95=""),J95,"")))</f>
        <v/>
      </c>
      <c r="U95" s="63">
        <f>IF(T95="","",IF(Q95=3,1,IF(T95="","",IF(T95&lt;AsOf,1,IF(T95&lt;=AsOf+AlertDays,2,IF(T95&lt;=AsOf+2*AlertDays,3,""))))))</f>
        <v/>
      </c>
      <c r="V95" s="63">
        <f>IF(U95="","",IF(Q95=3,"Late task: "&amp;D95,IF(T95&lt;AsOf,"Should have started: ","Starts soon: ")&amp;D95)&amp;IF(F95="",""," — "&amp;F95))</f>
        <v/>
      </c>
      <c r="X95" s="104" t="n"/>
      <c r="Y95" s="104" t="n"/>
      <c r="Z95" s="104" t="n"/>
      <c r="AA95" s="104" t="n"/>
      <c r="AB95" s="104" t="n"/>
      <c r="AC95" s="104" t="n"/>
      <c r="AD95" s="104" t="n"/>
      <c r="AE95" s="104" t="n"/>
      <c r="AF95" s="104" t="n"/>
      <c r="AG95" s="104" t="n"/>
      <c r="AH95" s="104" t="n"/>
      <c r="AI95" s="104" t="n"/>
      <c r="AJ95" s="104" t="n"/>
      <c r="AK95" s="104" t="n"/>
      <c r="AL95" s="104" t="n"/>
      <c r="AM95" s="104" t="n"/>
      <c r="AN95" s="104" t="n"/>
      <c r="AO95" s="104" t="n"/>
      <c r="AP95" s="104" t="n"/>
      <c r="AQ95" s="104" t="n"/>
      <c r="AR95" s="104" t="n"/>
      <c r="AS95" s="104" t="n"/>
      <c r="AT95" s="104" t="n"/>
      <c r="AU95" s="104" t="n"/>
      <c r="AV95" s="104" t="n"/>
      <c r="AW95" s="104" t="n"/>
      <c r="AX95" s="104" t="n"/>
      <c r="AY95" s="104" t="n"/>
      <c r="AZ95" s="104" t="n"/>
      <c r="BA95" s="104" t="n"/>
      <c r="BB95" s="104" t="n"/>
      <c r="BC95" s="104" t="n"/>
      <c r="BD95" s="104" t="n"/>
      <c r="BE95" s="104" t="n"/>
      <c r="BF95" s="104" t="n"/>
      <c r="BG95" s="104" t="n"/>
      <c r="BH95" s="104" t="n"/>
      <c r="BI95" s="104" t="n"/>
      <c r="BJ95" s="104" t="n"/>
      <c r="BK95" s="104" t="n"/>
      <c r="BL95" s="104" t="n"/>
      <c r="BM95" s="104" t="n"/>
      <c r="BN95" s="104" t="n"/>
      <c r="BO95" s="104" t="n"/>
      <c r="BP95" s="104" t="n"/>
      <c r="BQ95" s="104" t="n"/>
      <c r="BR95" s="104" t="n"/>
      <c r="BS95" s="104" t="n"/>
      <c r="BT95" s="104" t="n"/>
      <c r="BU95" s="104" t="n"/>
      <c r="BV95" s="104" t="n"/>
      <c r="BW95" s="104" t="n"/>
    </row>
    <row r="96" ht="20" customHeight="1">
      <c r="B96" s="100" t="n">
        <v>90</v>
      </c>
      <c r="C96" s="65" t="n"/>
      <c r="D96" s="65" t="n"/>
      <c r="E96" s="65" t="n"/>
      <c r="F96" s="65" t="n"/>
      <c r="G96" s="101" t="n"/>
      <c r="H96" s="101" t="n"/>
      <c r="I96" s="81" t="n"/>
      <c r="J96" s="102">
        <f>IF(OR(D96="",ProjStart=""),"",MAX(ProjStart,IF(I96&lt;&gt;"",I96,0),IF(H96="",0,IFERROR(INDEX($L$6:L95,MATCH(H96,$B$6:B95,0))+1,0))))</f>
        <v/>
      </c>
      <c r="K96" s="101" t="n"/>
      <c r="L96" s="102">
        <f>IF(J96="","",J96+MAX(1,G96)+IF(K96="",0,K96)-1)</f>
        <v/>
      </c>
      <c r="M96" s="65" t="n"/>
      <c r="N96" s="81" t="n"/>
      <c r="O96" s="103">
        <f>IF(D96="","",COUNTIF($H$7:$H$156,B96))</f>
        <v/>
      </c>
      <c r="P96" s="72">
        <f>IF(D96="","",IF(AND(H96&lt;&gt;"",H96&gt;=B96),"⚠️ Predecessor must be above",IF(M96="Done","✓ Done",IF(Q96=3,"🔴 Late",IF(M96="In progress","In progress","")))))</f>
        <v/>
      </c>
      <c r="Q96" s="63">
        <f>IF(OR(D96="",L96=""),"",IF(M96="Done",2,IF(AsOf&gt;L96,3,1)))</f>
        <v/>
      </c>
      <c r="R96" s="63">
        <f>IF(OR(E96="",F96=""),0,IF(COUNTIFS($E$7:E96,E96,$F$7:F96,F96)=1,1,0))</f>
        <v/>
      </c>
      <c r="S96" s="63">
        <f>IF(R96=1,E96&amp;"|"&amp;SUMIFS($R$7:R96,$E$7:E96,E96),"")</f>
        <v/>
      </c>
      <c r="T96" s="85">
        <f>IF(Q96="","",IF(Q96=3,L96,IF(OR(M96="Not started",M96=""),J96,"")))</f>
        <v/>
      </c>
      <c r="U96" s="63">
        <f>IF(T96="","",IF(Q96=3,1,IF(T96="","",IF(T96&lt;AsOf,1,IF(T96&lt;=AsOf+AlertDays,2,IF(T96&lt;=AsOf+2*AlertDays,3,""))))))</f>
        <v/>
      </c>
      <c r="V96" s="63">
        <f>IF(U96="","",IF(Q96=3,"Late task: "&amp;D96,IF(T96&lt;AsOf,"Should have started: ","Starts soon: ")&amp;D96)&amp;IF(F96="",""," — "&amp;F96))</f>
        <v/>
      </c>
      <c r="X96" s="104" t="n"/>
      <c r="Y96" s="104" t="n"/>
      <c r="Z96" s="104" t="n"/>
      <c r="AA96" s="104" t="n"/>
      <c r="AB96" s="104" t="n"/>
      <c r="AC96" s="104" t="n"/>
      <c r="AD96" s="104" t="n"/>
      <c r="AE96" s="104" t="n"/>
      <c r="AF96" s="104" t="n"/>
      <c r="AG96" s="104" t="n"/>
      <c r="AH96" s="104" t="n"/>
      <c r="AI96" s="104" t="n"/>
      <c r="AJ96" s="104" t="n"/>
      <c r="AK96" s="104" t="n"/>
      <c r="AL96" s="104" t="n"/>
      <c r="AM96" s="104" t="n"/>
      <c r="AN96" s="104" t="n"/>
      <c r="AO96" s="104" t="n"/>
      <c r="AP96" s="104" t="n"/>
      <c r="AQ96" s="104" t="n"/>
      <c r="AR96" s="104" t="n"/>
      <c r="AS96" s="104" t="n"/>
      <c r="AT96" s="104" t="n"/>
      <c r="AU96" s="104" t="n"/>
      <c r="AV96" s="104" t="n"/>
      <c r="AW96" s="104" t="n"/>
      <c r="AX96" s="104" t="n"/>
      <c r="AY96" s="104" t="n"/>
      <c r="AZ96" s="104" t="n"/>
      <c r="BA96" s="104" t="n"/>
      <c r="BB96" s="104" t="n"/>
      <c r="BC96" s="104" t="n"/>
      <c r="BD96" s="104" t="n"/>
      <c r="BE96" s="104" t="n"/>
      <c r="BF96" s="104" t="n"/>
      <c r="BG96" s="104" t="n"/>
      <c r="BH96" s="104" t="n"/>
      <c r="BI96" s="104" t="n"/>
      <c r="BJ96" s="104" t="n"/>
      <c r="BK96" s="104" t="n"/>
      <c r="BL96" s="104" t="n"/>
      <c r="BM96" s="104" t="n"/>
      <c r="BN96" s="104" t="n"/>
      <c r="BO96" s="104" t="n"/>
      <c r="BP96" s="104" t="n"/>
      <c r="BQ96" s="104" t="n"/>
      <c r="BR96" s="104" t="n"/>
      <c r="BS96" s="104" t="n"/>
      <c r="BT96" s="104" t="n"/>
      <c r="BU96" s="104" t="n"/>
      <c r="BV96" s="104" t="n"/>
      <c r="BW96" s="104" t="n"/>
    </row>
    <row r="97" ht="20" customHeight="1">
      <c r="B97" s="100" t="n">
        <v>91</v>
      </c>
      <c r="C97" s="65" t="n"/>
      <c r="D97" s="65" t="n"/>
      <c r="E97" s="65" t="n"/>
      <c r="F97" s="65" t="n"/>
      <c r="G97" s="101" t="n"/>
      <c r="H97" s="101" t="n"/>
      <c r="I97" s="81" t="n"/>
      <c r="J97" s="102">
        <f>IF(OR(D97="",ProjStart=""),"",MAX(ProjStart,IF(I97&lt;&gt;"",I97,0),IF(H97="",0,IFERROR(INDEX($L$6:L96,MATCH(H97,$B$6:B96,0))+1,0))))</f>
        <v/>
      </c>
      <c r="K97" s="101" t="n"/>
      <c r="L97" s="102">
        <f>IF(J97="","",J97+MAX(1,G97)+IF(K97="",0,K97)-1)</f>
        <v/>
      </c>
      <c r="M97" s="65" t="n"/>
      <c r="N97" s="81" t="n"/>
      <c r="O97" s="103">
        <f>IF(D97="","",COUNTIF($H$7:$H$156,B97))</f>
        <v/>
      </c>
      <c r="P97" s="72">
        <f>IF(D97="","",IF(AND(H97&lt;&gt;"",H97&gt;=B97),"⚠️ Predecessor must be above",IF(M97="Done","✓ Done",IF(Q97=3,"🔴 Late",IF(M97="In progress","In progress","")))))</f>
        <v/>
      </c>
      <c r="Q97" s="63">
        <f>IF(OR(D97="",L97=""),"",IF(M97="Done",2,IF(AsOf&gt;L97,3,1)))</f>
        <v/>
      </c>
      <c r="R97" s="63">
        <f>IF(OR(E97="",F97=""),0,IF(COUNTIFS($E$7:E97,E97,$F$7:F97,F97)=1,1,0))</f>
        <v/>
      </c>
      <c r="S97" s="63">
        <f>IF(R97=1,E97&amp;"|"&amp;SUMIFS($R$7:R97,$E$7:E97,E97),"")</f>
        <v/>
      </c>
      <c r="T97" s="85">
        <f>IF(Q97="","",IF(Q97=3,L97,IF(OR(M97="Not started",M97=""),J97,"")))</f>
        <v/>
      </c>
      <c r="U97" s="63">
        <f>IF(T97="","",IF(Q97=3,1,IF(T97="","",IF(T97&lt;AsOf,1,IF(T97&lt;=AsOf+AlertDays,2,IF(T97&lt;=AsOf+2*AlertDays,3,""))))))</f>
        <v/>
      </c>
      <c r="V97" s="63">
        <f>IF(U97="","",IF(Q97=3,"Late task: "&amp;D97,IF(T97&lt;AsOf,"Should have started: ","Starts soon: ")&amp;D97)&amp;IF(F97="",""," — "&amp;F97))</f>
        <v/>
      </c>
      <c r="X97" s="104" t="n"/>
      <c r="Y97" s="104" t="n"/>
      <c r="Z97" s="104" t="n"/>
      <c r="AA97" s="104" t="n"/>
      <c r="AB97" s="104" t="n"/>
      <c r="AC97" s="104" t="n"/>
      <c r="AD97" s="104" t="n"/>
      <c r="AE97" s="104" t="n"/>
      <c r="AF97" s="104" t="n"/>
      <c r="AG97" s="104" t="n"/>
      <c r="AH97" s="104" t="n"/>
      <c r="AI97" s="104" t="n"/>
      <c r="AJ97" s="104" t="n"/>
      <c r="AK97" s="104" t="n"/>
      <c r="AL97" s="104" t="n"/>
      <c r="AM97" s="104" t="n"/>
      <c r="AN97" s="104" t="n"/>
      <c r="AO97" s="104" t="n"/>
      <c r="AP97" s="104" t="n"/>
      <c r="AQ97" s="104" t="n"/>
      <c r="AR97" s="104" t="n"/>
      <c r="AS97" s="104" t="n"/>
      <c r="AT97" s="104" t="n"/>
      <c r="AU97" s="104" t="n"/>
      <c r="AV97" s="104" t="n"/>
      <c r="AW97" s="104" t="n"/>
      <c r="AX97" s="104" t="n"/>
      <c r="AY97" s="104" t="n"/>
      <c r="AZ97" s="104" t="n"/>
      <c r="BA97" s="104" t="n"/>
      <c r="BB97" s="104" t="n"/>
      <c r="BC97" s="104" t="n"/>
      <c r="BD97" s="104" t="n"/>
      <c r="BE97" s="104" t="n"/>
      <c r="BF97" s="104" t="n"/>
      <c r="BG97" s="104" t="n"/>
      <c r="BH97" s="104" t="n"/>
      <c r="BI97" s="104" t="n"/>
      <c r="BJ97" s="104" t="n"/>
      <c r="BK97" s="104" t="n"/>
      <c r="BL97" s="104" t="n"/>
      <c r="BM97" s="104" t="n"/>
      <c r="BN97" s="104" t="n"/>
      <c r="BO97" s="104" t="n"/>
      <c r="BP97" s="104" t="n"/>
      <c r="BQ97" s="104" t="n"/>
      <c r="BR97" s="104" t="n"/>
      <c r="BS97" s="104" t="n"/>
      <c r="BT97" s="104" t="n"/>
      <c r="BU97" s="104" t="n"/>
      <c r="BV97" s="104" t="n"/>
      <c r="BW97" s="104" t="n"/>
    </row>
    <row r="98" ht="20" customHeight="1">
      <c r="B98" s="100" t="n">
        <v>92</v>
      </c>
      <c r="C98" s="65" t="n"/>
      <c r="D98" s="65" t="n"/>
      <c r="E98" s="65" t="n"/>
      <c r="F98" s="65" t="n"/>
      <c r="G98" s="101" t="n"/>
      <c r="H98" s="101" t="n"/>
      <c r="I98" s="81" t="n"/>
      <c r="J98" s="102">
        <f>IF(OR(D98="",ProjStart=""),"",MAX(ProjStart,IF(I98&lt;&gt;"",I98,0),IF(H98="",0,IFERROR(INDEX($L$6:L97,MATCH(H98,$B$6:B97,0))+1,0))))</f>
        <v/>
      </c>
      <c r="K98" s="101" t="n"/>
      <c r="L98" s="102">
        <f>IF(J98="","",J98+MAX(1,G98)+IF(K98="",0,K98)-1)</f>
        <v/>
      </c>
      <c r="M98" s="65" t="n"/>
      <c r="N98" s="81" t="n"/>
      <c r="O98" s="103">
        <f>IF(D98="","",COUNTIF($H$7:$H$156,B98))</f>
        <v/>
      </c>
      <c r="P98" s="72">
        <f>IF(D98="","",IF(AND(H98&lt;&gt;"",H98&gt;=B98),"⚠️ Predecessor must be above",IF(M98="Done","✓ Done",IF(Q98=3,"🔴 Late",IF(M98="In progress","In progress","")))))</f>
        <v/>
      </c>
      <c r="Q98" s="63">
        <f>IF(OR(D98="",L98=""),"",IF(M98="Done",2,IF(AsOf&gt;L98,3,1)))</f>
        <v/>
      </c>
      <c r="R98" s="63">
        <f>IF(OR(E98="",F98=""),0,IF(COUNTIFS($E$7:E98,E98,$F$7:F98,F98)=1,1,0))</f>
        <v/>
      </c>
      <c r="S98" s="63">
        <f>IF(R98=1,E98&amp;"|"&amp;SUMIFS($R$7:R98,$E$7:E98,E98),"")</f>
        <v/>
      </c>
      <c r="T98" s="85">
        <f>IF(Q98="","",IF(Q98=3,L98,IF(OR(M98="Not started",M98=""),J98,"")))</f>
        <v/>
      </c>
      <c r="U98" s="63">
        <f>IF(T98="","",IF(Q98=3,1,IF(T98="","",IF(T98&lt;AsOf,1,IF(T98&lt;=AsOf+AlertDays,2,IF(T98&lt;=AsOf+2*AlertDays,3,""))))))</f>
        <v/>
      </c>
      <c r="V98" s="63">
        <f>IF(U98="","",IF(Q98=3,"Late task: "&amp;D98,IF(T98&lt;AsOf,"Should have started: ","Starts soon: ")&amp;D98)&amp;IF(F98="",""," — "&amp;F98))</f>
        <v/>
      </c>
      <c r="X98" s="104" t="n"/>
      <c r="Y98" s="104" t="n"/>
      <c r="Z98" s="104" t="n"/>
      <c r="AA98" s="104" t="n"/>
      <c r="AB98" s="104" t="n"/>
      <c r="AC98" s="104" t="n"/>
      <c r="AD98" s="104" t="n"/>
      <c r="AE98" s="104" t="n"/>
      <c r="AF98" s="104" t="n"/>
      <c r="AG98" s="104" t="n"/>
      <c r="AH98" s="104" t="n"/>
      <c r="AI98" s="104" t="n"/>
      <c r="AJ98" s="104" t="n"/>
      <c r="AK98" s="104" t="n"/>
      <c r="AL98" s="104" t="n"/>
      <c r="AM98" s="104" t="n"/>
      <c r="AN98" s="104" t="n"/>
      <c r="AO98" s="104" t="n"/>
      <c r="AP98" s="104" t="n"/>
      <c r="AQ98" s="104" t="n"/>
      <c r="AR98" s="104" t="n"/>
      <c r="AS98" s="104" t="n"/>
      <c r="AT98" s="104" t="n"/>
      <c r="AU98" s="104" t="n"/>
      <c r="AV98" s="104" t="n"/>
      <c r="AW98" s="104" t="n"/>
      <c r="AX98" s="104" t="n"/>
      <c r="AY98" s="104" t="n"/>
      <c r="AZ98" s="104" t="n"/>
      <c r="BA98" s="104" t="n"/>
      <c r="BB98" s="104" t="n"/>
      <c r="BC98" s="104" t="n"/>
      <c r="BD98" s="104" t="n"/>
      <c r="BE98" s="104" t="n"/>
      <c r="BF98" s="104" t="n"/>
      <c r="BG98" s="104" t="n"/>
      <c r="BH98" s="104" t="n"/>
      <c r="BI98" s="104" t="n"/>
      <c r="BJ98" s="104" t="n"/>
      <c r="BK98" s="104" t="n"/>
      <c r="BL98" s="104" t="n"/>
      <c r="BM98" s="104" t="n"/>
      <c r="BN98" s="104" t="n"/>
      <c r="BO98" s="104" t="n"/>
      <c r="BP98" s="104" t="n"/>
      <c r="BQ98" s="104" t="n"/>
      <c r="BR98" s="104" t="n"/>
      <c r="BS98" s="104" t="n"/>
      <c r="BT98" s="104" t="n"/>
      <c r="BU98" s="104" t="n"/>
      <c r="BV98" s="104" t="n"/>
      <c r="BW98" s="104" t="n"/>
    </row>
    <row r="99" ht="20" customHeight="1">
      <c r="B99" s="100" t="n">
        <v>93</v>
      </c>
      <c r="C99" s="65" t="n"/>
      <c r="D99" s="65" t="n"/>
      <c r="E99" s="65" t="n"/>
      <c r="F99" s="65" t="n"/>
      <c r="G99" s="101" t="n"/>
      <c r="H99" s="101" t="n"/>
      <c r="I99" s="81" t="n"/>
      <c r="J99" s="102">
        <f>IF(OR(D99="",ProjStart=""),"",MAX(ProjStart,IF(I99&lt;&gt;"",I99,0),IF(H99="",0,IFERROR(INDEX($L$6:L98,MATCH(H99,$B$6:B98,0))+1,0))))</f>
        <v/>
      </c>
      <c r="K99" s="101" t="n"/>
      <c r="L99" s="102">
        <f>IF(J99="","",J99+MAX(1,G99)+IF(K99="",0,K99)-1)</f>
        <v/>
      </c>
      <c r="M99" s="65" t="n"/>
      <c r="N99" s="81" t="n"/>
      <c r="O99" s="103">
        <f>IF(D99="","",COUNTIF($H$7:$H$156,B99))</f>
        <v/>
      </c>
      <c r="P99" s="72">
        <f>IF(D99="","",IF(AND(H99&lt;&gt;"",H99&gt;=B99),"⚠️ Predecessor must be above",IF(M99="Done","✓ Done",IF(Q99=3,"🔴 Late",IF(M99="In progress","In progress","")))))</f>
        <v/>
      </c>
      <c r="Q99" s="63">
        <f>IF(OR(D99="",L99=""),"",IF(M99="Done",2,IF(AsOf&gt;L99,3,1)))</f>
        <v/>
      </c>
      <c r="R99" s="63">
        <f>IF(OR(E99="",F99=""),0,IF(COUNTIFS($E$7:E99,E99,$F$7:F99,F99)=1,1,0))</f>
        <v/>
      </c>
      <c r="S99" s="63">
        <f>IF(R99=1,E99&amp;"|"&amp;SUMIFS($R$7:R99,$E$7:E99,E99),"")</f>
        <v/>
      </c>
      <c r="T99" s="85">
        <f>IF(Q99="","",IF(Q99=3,L99,IF(OR(M99="Not started",M99=""),J99,"")))</f>
        <v/>
      </c>
      <c r="U99" s="63">
        <f>IF(T99="","",IF(Q99=3,1,IF(T99="","",IF(T99&lt;AsOf,1,IF(T99&lt;=AsOf+AlertDays,2,IF(T99&lt;=AsOf+2*AlertDays,3,""))))))</f>
        <v/>
      </c>
      <c r="V99" s="63">
        <f>IF(U99="","",IF(Q99=3,"Late task: "&amp;D99,IF(T99&lt;AsOf,"Should have started: ","Starts soon: ")&amp;D99)&amp;IF(F99="",""," — "&amp;F99))</f>
        <v/>
      </c>
      <c r="X99" s="104" t="n"/>
      <c r="Y99" s="104" t="n"/>
      <c r="Z99" s="104" t="n"/>
      <c r="AA99" s="104" t="n"/>
      <c r="AB99" s="104" t="n"/>
      <c r="AC99" s="104" t="n"/>
      <c r="AD99" s="104" t="n"/>
      <c r="AE99" s="104" t="n"/>
      <c r="AF99" s="104" t="n"/>
      <c r="AG99" s="104" t="n"/>
      <c r="AH99" s="104" t="n"/>
      <c r="AI99" s="104" t="n"/>
      <c r="AJ99" s="104" t="n"/>
      <c r="AK99" s="104" t="n"/>
      <c r="AL99" s="104" t="n"/>
      <c r="AM99" s="104" t="n"/>
      <c r="AN99" s="104" t="n"/>
      <c r="AO99" s="104" t="n"/>
      <c r="AP99" s="104" t="n"/>
      <c r="AQ99" s="104" t="n"/>
      <c r="AR99" s="104" t="n"/>
      <c r="AS99" s="104" t="n"/>
      <c r="AT99" s="104" t="n"/>
      <c r="AU99" s="104" t="n"/>
      <c r="AV99" s="104" t="n"/>
      <c r="AW99" s="104" t="n"/>
      <c r="AX99" s="104" t="n"/>
      <c r="AY99" s="104" t="n"/>
      <c r="AZ99" s="104" t="n"/>
      <c r="BA99" s="104" t="n"/>
      <c r="BB99" s="104" t="n"/>
      <c r="BC99" s="104" t="n"/>
      <c r="BD99" s="104" t="n"/>
      <c r="BE99" s="104" t="n"/>
      <c r="BF99" s="104" t="n"/>
      <c r="BG99" s="104" t="n"/>
      <c r="BH99" s="104" t="n"/>
      <c r="BI99" s="104" t="n"/>
      <c r="BJ99" s="104" t="n"/>
      <c r="BK99" s="104" t="n"/>
      <c r="BL99" s="104" t="n"/>
      <c r="BM99" s="104" t="n"/>
      <c r="BN99" s="104" t="n"/>
      <c r="BO99" s="104" t="n"/>
      <c r="BP99" s="104" t="n"/>
      <c r="BQ99" s="104" t="n"/>
      <c r="BR99" s="104" t="n"/>
      <c r="BS99" s="104" t="n"/>
      <c r="BT99" s="104" t="n"/>
      <c r="BU99" s="104" t="n"/>
      <c r="BV99" s="104" t="n"/>
      <c r="BW99" s="104" t="n"/>
    </row>
    <row r="100" ht="20" customHeight="1">
      <c r="B100" s="100" t="n">
        <v>94</v>
      </c>
      <c r="C100" s="65" t="n"/>
      <c r="D100" s="65" t="n"/>
      <c r="E100" s="65" t="n"/>
      <c r="F100" s="65" t="n"/>
      <c r="G100" s="101" t="n"/>
      <c r="H100" s="101" t="n"/>
      <c r="I100" s="81" t="n"/>
      <c r="J100" s="102">
        <f>IF(OR(D100="",ProjStart=""),"",MAX(ProjStart,IF(I100&lt;&gt;"",I100,0),IF(H100="",0,IFERROR(INDEX($L$6:L99,MATCH(H100,$B$6:B99,0))+1,0))))</f>
        <v/>
      </c>
      <c r="K100" s="101" t="n"/>
      <c r="L100" s="102">
        <f>IF(J100="","",J100+MAX(1,G100)+IF(K100="",0,K100)-1)</f>
        <v/>
      </c>
      <c r="M100" s="65" t="n"/>
      <c r="N100" s="81" t="n"/>
      <c r="O100" s="103">
        <f>IF(D100="","",COUNTIF($H$7:$H$156,B100))</f>
        <v/>
      </c>
      <c r="P100" s="72">
        <f>IF(D100="","",IF(AND(H100&lt;&gt;"",H100&gt;=B100),"⚠️ Predecessor must be above",IF(M100="Done","✓ Done",IF(Q100=3,"🔴 Late",IF(M100="In progress","In progress","")))))</f>
        <v/>
      </c>
      <c r="Q100" s="63">
        <f>IF(OR(D100="",L100=""),"",IF(M100="Done",2,IF(AsOf&gt;L100,3,1)))</f>
        <v/>
      </c>
      <c r="R100" s="63">
        <f>IF(OR(E100="",F100=""),0,IF(COUNTIFS($E$7:E100,E100,$F$7:F100,F100)=1,1,0))</f>
        <v/>
      </c>
      <c r="S100" s="63">
        <f>IF(R100=1,E100&amp;"|"&amp;SUMIFS($R$7:R100,$E$7:E100,E100),"")</f>
        <v/>
      </c>
      <c r="T100" s="85">
        <f>IF(Q100="","",IF(Q100=3,L100,IF(OR(M100="Not started",M100=""),J100,"")))</f>
        <v/>
      </c>
      <c r="U100" s="63">
        <f>IF(T100="","",IF(Q100=3,1,IF(T100="","",IF(T100&lt;AsOf,1,IF(T100&lt;=AsOf+AlertDays,2,IF(T100&lt;=AsOf+2*AlertDays,3,""))))))</f>
        <v/>
      </c>
      <c r="V100" s="63">
        <f>IF(U100="","",IF(Q100=3,"Late task: "&amp;D100,IF(T100&lt;AsOf,"Should have started: ","Starts soon: ")&amp;D100)&amp;IF(F100="",""," — "&amp;F100))</f>
        <v/>
      </c>
      <c r="X100" s="104" t="n"/>
      <c r="Y100" s="104" t="n"/>
      <c r="Z100" s="104" t="n"/>
      <c r="AA100" s="104" t="n"/>
      <c r="AB100" s="104" t="n"/>
      <c r="AC100" s="104" t="n"/>
      <c r="AD100" s="104" t="n"/>
      <c r="AE100" s="104" t="n"/>
      <c r="AF100" s="104" t="n"/>
      <c r="AG100" s="104" t="n"/>
      <c r="AH100" s="104" t="n"/>
      <c r="AI100" s="104" t="n"/>
      <c r="AJ100" s="104" t="n"/>
      <c r="AK100" s="104" t="n"/>
      <c r="AL100" s="104" t="n"/>
      <c r="AM100" s="104" t="n"/>
      <c r="AN100" s="104" t="n"/>
      <c r="AO100" s="104" t="n"/>
      <c r="AP100" s="104" t="n"/>
      <c r="AQ100" s="104" t="n"/>
      <c r="AR100" s="104" t="n"/>
      <c r="AS100" s="104" t="n"/>
      <c r="AT100" s="104" t="n"/>
      <c r="AU100" s="104" t="n"/>
      <c r="AV100" s="104" t="n"/>
      <c r="AW100" s="104" t="n"/>
      <c r="AX100" s="104" t="n"/>
      <c r="AY100" s="104" t="n"/>
      <c r="AZ100" s="104" t="n"/>
      <c r="BA100" s="104" t="n"/>
      <c r="BB100" s="104" t="n"/>
      <c r="BC100" s="104" t="n"/>
      <c r="BD100" s="104" t="n"/>
      <c r="BE100" s="104" t="n"/>
      <c r="BF100" s="104" t="n"/>
      <c r="BG100" s="104" t="n"/>
      <c r="BH100" s="104" t="n"/>
      <c r="BI100" s="104" t="n"/>
      <c r="BJ100" s="104" t="n"/>
      <c r="BK100" s="104" t="n"/>
      <c r="BL100" s="104" t="n"/>
      <c r="BM100" s="104" t="n"/>
      <c r="BN100" s="104" t="n"/>
      <c r="BO100" s="104" t="n"/>
      <c r="BP100" s="104" t="n"/>
      <c r="BQ100" s="104" t="n"/>
      <c r="BR100" s="104" t="n"/>
      <c r="BS100" s="104" t="n"/>
      <c r="BT100" s="104" t="n"/>
      <c r="BU100" s="104" t="n"/>
      <c r="BV100" s="104" t="n"/>
      <c r="BW100" s="104" t="n"/>
    </row>
    <row r="101" ht="20" customHeight="1">
      <c r="B101" s="100" t="n">
        <v>95</v>
      </c>
      <c r="C101" s="65" t="n"/>
      <c r="D101" s="65" t="n"/>
      <c r="E101" s="65" t="n"/>
      <c r="F101" s="65" t="n"/>
      <c r="G101" s="101" t="n"/>
      <c r="H101" s="101" t="n"/>
      <c r="I101" s="81" t="n"/>
      <c r="J101" s="102">
        <f>IF(OR(D101="",ProjStart=""),"",MAX(ProjStart,IF(I101&lt;&gt;"",I101,0),IF(H101="",0,IFERROR(INDEX($L$6:L100,MATCH(H101,$B$6:B100,0))+1,0))))</f>
        <v/>
      </c>
      <c r="K101" s="101" t="n"/>
      <c r="L101" s="102">
        <f>IF(J101="","",J101+MAX(1,G101)+IF(K101="",0,K101)-1)</f>
        <v/>
      </c>
      <c r="M101" s="65" t="n"/>
      <c r="N101" s="81" t="n"/>
      <c r="O101" s="103">
        <f>IF(D101="","",COUNTIF($H$7:$H$156,B101))</f>
        <v/>
      </c>
      <c r="P101" s="72">
        <f>IF(D101="","",IF(AND(H101&lt;&gt;"",H101&gt;=B101),"⚠️ Predecessor must be above",IF(M101="Done","✓ Done",IF(Q101=3,"🔴 Late",IF(M101="In progress","In progress","")))))</f>
        <v/>
      </c>
      <c r="Q101" s="63">
        <f>IF(OR(D101="",L101=""),"",IF(M101="Done",2,IF(AsOf&gt;L101,3,1)))</f>
        <v/>
      </c>
      <c r="R101" s="63">
        <f>IF(OR(E101="",F101=""),0,IF(COUNTIFS($E$7:E101,E101,$F$7:F101,F101)=1,1,0))</f>
        <v/>
      </c>
      <c r="S101" s="63">
        <f>IF(R101=1,E101&amp;"|"&amp;SUMIFS($R$7:R101,$E$7:E101,E101),"")</f>
        <v/>
      </c>
      <c r="T101" s="85">
        <f>IF(Q101="","",IF(Q101=3,L101,IF(OR(M101="Not started",M101=""),J101,"")))</f>
        <v/>
      </c>
      <c r="U101" s="63">
        <f>IF(T101="","",IF(Q101=3,1,IF(T101="","",IF(T101&lt;AsOf,1,IF(T101&lt;=AsOf+AlertDays,2,IF(T101&lt;=AsOf+2*AlertDays,3,""))))))</f>
        <v/>
      </c>
      <c r="V101" s="63">
        <f>IF(U101="","",IF(Q101=3,"Late task: "&amp;D101,IF(T101&lt;AsOf,"Should have started: ","Starts soon: ")&amp;D101)&amp;IF(F101="",""," — "&amp;F101))</f>
        <v/>
      </c>
      <c r="X101" s="104" t="n"/>
      <c r="Y101" s="104" t="n"/>
      <c r="Z101" s="104" t="n"/>
      <c r="AA101" s="104" t="n"/>
      <c r="AB101" s="104" t="n"/>
      <c r="AC101" s="104" t="n"/>
      <c r="AD101" s="104" t="n"/>
      <c r="AE101" s="104" t="n"/>
      <c r="AF101" s="104" t="n"/>
      <c r="AG101" s="104" t="n"/>
      <c r="AH101" s="104" t="n"/>
      <c r="AI101" s="104" t="n"/>
      <c r="AJ101" s="104" t="n"/>
      <c r="AK101" s="104" t="n"/>
      <c r="AL101" s="104" t="n"/>
      <c r="AM101" s="104" t="n"/>
      <c r="AN101" s="104" t="n"/>
      <c r="AO101" s="104" t="n"/>
      <c r="AP101" s="104" t="n"/>
      <c r="AQ101" s="104" t="n"/>
      <c r="AR101" s="104" t="n"/>
      <c r="AS101" s="104" t="n"/>
      <c r="AT101" s="104" t="n"/>
      <c r="AU101" s="104" t="n"/>
      <c r="AV101" s="104" t="n"/>
      <c r="AW101" s="104" t="n"/>
      <c r="AX101" s="104" t="n"/>
      <c r="AY101" s="104" t="n"/>
      <c r="AZ101" s="104" t="n"/>
      <c r="BA101" s="104" t="n"/>
      <c r="BB101" s="104" t="n"/>
      <c r="BC101" s="104" t="n"/>
      <c r="BD101" s="104" t="n"/>
      <c r="BE101" s="104" t="n"/>
      <c r="BF101" s="104" t="n"/>
      <c r="BG101" s="104" t="n"/>
      <c r="BH101" s="104" t="n"/>
      <c r="BI101" s="104" t="n"/>
      <c r="BJ101" s="104" t="n"/>
      <c r="BK101" s="104" t="n"/>
      <c r="BL101" s="104" t="n"/>
      <c r="BM101" s="104" t="n"/>
      <c r="BN101" s="104" t="n"/>
      <c r="BO101" s="104" t="n"/>
      <c r="BP101" s="104" t="n"/>
      <c r="BQ101" s="104" t="n"/>
      <c r="BR101" s="104" t="n"/>
      <c r="BS101" s="104" t="n"/>
      <c r="BT101" s="104" t="n"/>
      <c r="BU101" s="104" t="n"/>
      <c r="BV101" s="104" t="n"/>
      <c r="BW101" s="104" t="n"/>
    </row>
    <row r="102" ht="20" customHeight="1">
      <c r="B102" s="100" t="n">
        <v>96</v>
      </c>
      <c r="C102" s="65" t="n"/>
      <c r="D102" s="65" t="n"/>
      <c r="E102" s="65" t="n"/>
      <c r="F102" s="65" t="n"/>
      <c r="G102" s="101" t="n"/>
      <c r="H102" s="101" t="n"/>
      <c r="I102" s="81" t="n"/>
      <c r="J102" s="102">
        <f>IF(OR(D102="",ProjStart=""),"",MAX(ProjStart,IF(I102&lt;&gt;"",I102,0),IF(H102="",0,IFERROR(INDEX($L$6:L101,MATCH(H102,$B$6:B101,0))+1,0))))</f>
        <v/>
      </c>
      <c r="K102" s="101" t="n"/>
      <c r="L102" s="102">
        <f>IF(J102="","",J102+MAX(1,G102)+IF(K102="",0,K102)-1)</f>
        <v/>
      </c>
      <c r="M102" s="65" t="n"/>
      <c r="N102" s="81" t="n"/>
      <c r="O102" s="103">
        <f>IF(D102="","",COUNTIF($H$7:$H$156,B102))</f>
        <v/>
      </c>
      <c r="P102" s="72">
        <f>IF(D102="","",IF(AND(H102&lt;&gt;"",H102&gt;=B102),"⚠️ Predecessor must be above",IF(M102="Done","✓ Done",IF(Q102=3,"🔴 Late",IF(M102="In progress","In progress","")))))</f>
        <v/>
      </c>
      <c r="Q102" s="63">
        <f>IF(OR(D102="",L102=""),"",IF(M102="Done",2,IF(AsOf&gt;L102,3,1)))</f>
        <v/>
      </c>
      <c r="R102" s="63">
        <f>IF(OR(E102="",F102=""),0,IF(COUNTIFS($E$7:E102,E102,$F$7:F102,F102)=1,1,0))</f>
        <v/>
      </c>
      <c r="S102" s="63">
        <f>IF(R102=1,E102&amp;"|"&amp;SUMIFS($R$7:R102,$E$7:E102,E102),"")</f>
        <v/>
      </c>
      <c r="T102" s="85">
        <f>IF(Q102="","",IF(Q102=3,L102,IF(OR(M102="Not started",M102=""),J102,"")))</f>
        <v/>
      </c>
      <c r="U102" s="63">
        <f>IF(T102="","",IF(Q102=3,1,IF(T102="","",IF(T102&lt;AsOf,1,IF(T102&lt;=AsOf+AlertDays,2,IF(T102&lt;=AsOf+2*AlertDays,3,""))))))</f>
        <v/>
      </c>
      <c r="V102" s="63">
        <f>IF(U102="","",IF(Q102=3,"Late task: "&amp;D102,IF(T102&lt;AsOf,"Should have started: ","Starts soon: ")&amp;D102)&amp;IF(F102="",""," — "&amp;F102))</f>
        <v/>
      </c>
      <c r="X102" s="104" t="n"/>
      <c r="Y102" s="104" t="n"/>
      <c r="Z102" s="104" t="n"/>
      <c r="AA102" s="104" t="n"/>
      <c r="AB102" s="104" t="n"/>
      <c r="AC102" s="104" t="n"/>
      <c r="AD102" s="104" t="n"/>
      <c r="AE102" s="104" t="n"/>
      <c r="AF102" s="104" t="n"/>
      <c r="AG102" s="104" t="n"/>
      <c r="AH102" s="104" t="n"/>
      <c r="AI102" s="104" t="n"/>
      <c r="AJ102" s="104" t="n"/>
      <c r="AK102" s="104" t="n"/>
      <c r="AL102" s="104" t="n"/>
      <c r="AM102" s="104" t="n"/>
      <c r="AN102" s="104" t="n"/>
      <c r="AO102" s="104" t="n"/>
      <c r="AP102" s="104" t="n"/>
      <c r="AQ102" s="104" t="n"/>
      <c r="AR102" s="104" t="n"/>
      <c r="AS102" s="104" t="n"/>
      <c r="AT102" s="104" t="n"/>
      <c r="AU102" s="104" t="n"/>
      <c r="AV102" s="104" t="n"/>
      <c r="AW102" s="104" t="n"/>
      <c r="AX102" s="104" t="n"/>
      <c r="AY102" s="104" t="n"/>
      <c r="AZ102" s="104" t="n"/>
      <c r="BA102" s="104" t="n"/>
      <c r="BB102" s="104" t="n"/>
      <c r="BC102" s="104" t="n"/>
      <c r="BD102" s="104" t="n"/>
      <c r="BE102" s="104" t="n"/>
      <c r="BF102" s="104" t="n"/>
      <c r="BG102" s="104" t="n"/>
      <c r="BH102" s="104" t="n"/>
      <c r="BI102" s="104" t="n"/>
      <c r="BJ102" s="104" t="n"/>
      <c r="BK102" s="104" t="n"/>
      <c r="BL102" s="104" t="n"/>
      <c r="BM102" s="104" t="n"/>
      <c r="BN102" s="104" t="n"/>
      <c r="BO102" s="104" t="n"/>
      <c r="BP102" s="104" t="n"/>
      <c r="BQ102" s="104" t="n"/>
      <c r="BR102" s="104" t="n"/>
      <c r="BS102" s="104" t="n"/>
      <c r="BT102" s="104" t="n"/>
      <c r="BU102" s="104" t="n"/>
      <c r="BV102" s="104" t="n"/>
      <c r="BW102" s="104" t="n"/>
    </row>
    <row r="103" ht="20" customHeight="1">
      <c r="B103" s="100" t="n">
        <v>97</v>
      </c>
      <c r="C103" s="65" t="n"/>
      <c r="D103" s="65" t="n"/>
      <c r="E103" s="65" t="n"/>
      <c r="F103" s="65" t="n"/>
      <c r="G103" s="101" t="n"/>
      <c r="H103" s="101" t="n"/>
      <c r="I103" s="81" t="n"/>
      <c r="J103" s="102">
        <f>IF(OR(D103="",ProjStart=""),"",MAX(ProjStart,IF(I103&lt;&gt;"",I103,0),IF(H103="",0,IFERROR(INDEX($L$6:L102,MATCH(H103,$B$6:B102,0))+1,0))))</f>
        <v/>
      </c>
      <c r="K103" s="101" t="n"/>
      <c r="L103" s="102">
        <f>IF(J103="","",J103+MAX(1,G103)+IF(K103="",0,K103)-1)</f>
        <v/>
      </c>
      <c r="M103" s="65" t="n"/>
      <c r="N103" s="81" t="n"/>
      <c r="O103" s="103">
        <f>IF(D103="","",COUNTIF($H$7:$H$156,B103))</f>
        <v/>
      </c>
      <c r="P103" s="72">
        <f>IF(D103="","",IF(AND(H103&lt;&gt;"",H103&gt;=B103),"⚠️ Predecessor must be above",IF(M103="Done","✓ Done",IF(Q103=3,"🔴 Late",IF(M103="In progress","In progress","")))))</f>
        <v/>
      </c>
      <c r="Q103" s="63">
        <f>IF(OR(D103="",L103=""),"",IF(M103="Done",2,IF(AsOf&gt;L103,3,1)))</f>
        <v/>
      </c>
      <c r="R103" s="63">
        <f>IF(OR(E103="",F103=""),0,IF(COUNTIFS($E$7:E103,E103,$F$7:F103,F103)=1,1,0))</f>
        <v/>
      </c>
      <c r="S103" s="63">
        <f>IF(R103=1,E103&amp;"|"&amp;SUMIFS($R$7:R103,$E$7:E103,E103),"")</f>
        <v/>
      </c>
      <c r="T103" s="85">
        <f>IF(Q103="","",IF(Q103=3,L103,IF(OR(M103="Not started",M103=""),J103,"")))</f>
        <v/>
      </c>
      <c r="U103" s="63">
        <f>IF(T103="","",IF(Q103=3,1,IF(T103="","",IF(T103&lt;AsOf,1,IF(T103&lt;=AsOf+AlertDays,2,IF(T103&lt;=AsOf+2*AlertDays,3,""))))))</f>
        <v/>
      </c>
      <c r="V103" s="63">
        <f>IF(U103="","",IF(Q103=3,"Late task: "&amp;D103,IF(T103&lt;AsOf,"Should have started: ","Starts soon: ")&amp;D103)&amp;IF(F103="",""," — "&amp;F103))</f>
        <v/>
      </c>
      <c r="X103" s="104" t="n"/>
      <c r="Y103" s="104" t="n"/>
      <c r="Z103" s="104" t="n"/>
      <c r="AA103" s="104" t="n"/>
      <c r="AB103" s="104" t="n"/>
      <c r="AC103" s="104" t="n"/>
      <c r="AD103" s="104" t="n"/>
      <c r="AE103" s="104" t="n"/>
      <c r="AF103" s="104" t="n"/>
      <c r="AG103" s="104" t="n"/>
      <c r="AH103" s="104" t="n"/>
      <c r="AI103" s="104" t="n"/>
      <c r="AJ103" s="104" t="n"/>
      <c r="AK103" s="104" t="n"/>
      <c r="AL103" s="104" t="n"/>
      <c r="AM103" s="104" t="n"/>
      <c r="AN103" s="104" t="n"/>
      <c r="AO103" s="104" t="n"/>
      <c r="AP103" s="104" t="n"/>
      <c r="AQ103" s="104" t="n"/>
      <c r="AR103" s="104" t="n"/>
      <c r="AS103" s="104" t="n"/>
      <c r="AT103" s="104" t="n"/>
      <c r="AU103" s="104" t="n"/>
      <c r="AV103" s="104" t="n"/>
      <c r="AW103" s="104" t="n"/>
      <c r="AX103" s="104" t="n"/>
      <c r="AY103" s="104" t="n"/>
      <c r="AZ103" s="104" t="n"/>
      <c r="BA103" s="104" t="n"/>
      <c r="BB103" s="104" t="n"/>
      <c r="BC103" s="104" t="n"/>
      <c r="BD103" s="104" t="n"/>
      <c r="BE103" s="104" t="n"/>
      <c r="BF103" s="104" t="n"/>
      <c r="BG103" s="104" t="n"/>
      <c r="BH103" s="104" t="n"/>
      <c r="BI103" s="104" t="n"/>
      <c r="BJ103" s="104" t="n"/>
      <c r="BK103" s="104" t="n"/>
      <c r="BL103" s="104" t="n"/>
      <c r="BM103" s="104" t="n"/>
      <c r="BN103" s="104" t="n"/>
      <c r="BO103" s="104" t="n"/>
      <c r="BP103" s="104" t="n"/>
      <c r="BQ103" s="104" t="n"/>
      <c r="BR103" s="104" t="n"/>
      <c r="BS103" s="104" t="n"/>
      <c r="BT103" s="104" t="n"/>
      <c r="BU103" s="104" t="n"/>
      <c r="BV103" s="104" t="n"/>
      <c r="BW103" s="104" t="n"/>
    </row>
    <row r="104" ht="20" customHeight="1">
      <c r="B104" s="100" t="n">
        <v>98</v>
      </c>
      <c r="C104" s="65" t="n"/>
      <c r="D104" s="65" t="n"/>
      <c r="E104" s="65" t="n"/>
      <c r="F104" s="65" t="n"/>
      <c r="G104" s="101" t="n"/>
      <c r="H104" s="101" t="n"/>
      <c r="I104" s="81" t="n"/>
      <c r="J104" s="102">
        <f>IF(OR(D104="",ProjStart=""),"",MAX(ProjStart,IF(I104&lt;&gt;"",I104,0),IF(H104="",0,IFERROR(INDEX($L$6:L103,MATCH(H104,$B$6:B103,0))+1,0))))</f>
        <v/>
      </c>
      <c r="K104" s="101" t="n"/>
      <c r="L104" s="102">
        <f>IF(J104="","",J104+MAX(1,G104)+IF(K104="",0,K104)-1)</f>
        <v/>
      </c>
      <c r="M104" s="65" t="n"/>
      <c r="N104" s="81" t="n"/>
      <c r="O104" s="103">
        <f>IF(D104="","",COUNTIF($H$7:$H$156,B104))</f>
        <v/>
      </c>
      <c r="P104" s="72">
        <f>IF(D104="","",IF(AND(H104&lt;&gt;"",H104&gt;=B104),"⚠️ Predecessor must be above",IF(M104="Done","✓ Done",IF(Q104=3,"🔴 Late",IF(M104="In progress","In progress","")))))</f>
        <v/>
      </c>
      <c r="Q104" s="63">
        <f>IF(OR(D104="",L104=""),"",IF(M104="Done",2,IF(AsOf&gt;L104,3,1)))</f>
        <v/>
      </c>
      <c r="R104" s="63">
        <f>IF(OR(E104="",F104=""),0,IF(COUNTIFS($E$7:E104,E104,$F$7:F104,F104)=1,1,0))</f>
        <v/>
      </c>
      <c r="S104" s="63">
        <f>IF(R104=1,E104&amp;"|"&amp;SUMIFS($R$7:R104,$E$7:E104,E104),"")</f>
        <v/>
      </c>
      <c r="T104" s="85">
        <f>IF(Q104="","",IF(Q104=3,L104,IF(OR(M104="Not started",M104=""),J104,"")))</f>
        <v/>
      </c>
      <c r="U104" s="63">
        <f>IF(T104="","",IF(Q104=3,1,IF(T104="","",IF(T104&lt;AsOf,1,IF(T104&lt;=AsOf+AlertDays,2,IF(T104&lt;=AsOf+2*AlertDays,3,""))))))</f>
        <v/>
      </c>
      <c r="V104" s="63">
        <f>IF(U104="","",IF(Q104=3,"Late task: "&amp;D104,IF(T104&lt;AsOf,"Should have started: ","Starts soon: ")&amp;D104)&amp;IF(F104="",""," — "&amp;F104))</f>
        <v/>
      </c>
      <c r="X104" s="104" t="n"/>
      <c r="Y104" s="104" t="n"/>
      <c r="Z104" s="104" t="n"/>
      <c r="AA104" s="104" t="n"/>
      <c r="AB104" s="104" t="n"/>
      <c r="AC104" s="104" t="n"/>
      <c r="AD104" s="104" t="n"/>
      <c r="AE104" s="104" t="n"/>
      <c r="AF104" s="104" t="n"/>
      <c r="AG104" s="104" t="n"/>
      <c r="AH104" s="104" t="n"/>
      <c r="AI104" s="104" t="n"/>
      <c r="AJ104" s="104" t="n"/>
      <c r="AK104" s="104" t="n"/>
      <c r="AL104" s="104" t="n"/>
      <c r="AM104" s="104" t="n"/>
      <c r="AN104" s="104" t="n"/>
      <c r="AO104" s="104" t="n"/>
      <c r="AP104" s="104" t="n"/>
      <c r="AQ104" s="104" t="n"/>
      <c r="AR104" s="104" t="n"/>
      <c r="AS104" s="104" t="n"/>
      <c r="AT104" s="104" t="n"/>
      <c r="AU104" s="104" t="n"/>
      <c r="AV104" s="104" t="n"/>
      <c r="AW104" s="104" t="n"/>
      <c r="AX104" s="104" t="n"/>
      <c r="AY104" s="104" t="n"/>
      <c r="AZ104" s="104" t="n"/>
      <c r="BA104" s="104" t="n"/>
      <c r="BB104" s="104" t="n"/>
      <c r="BC104" s="104" t="n"/>
      <c r="BD104" s="104" t="n"/>
      <c r="BE104" s="104" t="n"/>
      <c r="BF104" s="104" t="n"/>
      <c r="BG104" s="104" t="n"/>
      <c r="BH104" s="104" t="n"/>
      <c r="BI104" s="104" t="n"/>
      <c r="BJ104" s="104" t="n"/>
      <c r="BK104" s="104" t="n"/>
      <c r="BL104" s="104" t="n"/>
      <c r="BM104" s="104" t="n"/>
      <c r="BN104" s="104" t="n"/>
      <c r="BO104" s="104" t="n"/>
      <c r="BP104" s="104" t="n"/>
      <c r="BQ104" s="104" t="n"/>
      <c r="BR104" s="104" t="n"/>
      <c r="BS104" s="104" t="n"/>
      <c r="BT104" s="104" t="n"/>
      <c r="BU104" s="104" t="n"/>
      <c r="BV104" s="104" t="n"/>
      <c r="BW104" s="104" t="n"/>
    </row>
    <row r="105" ht="20" customHeight="1">
      <c r="B105" s="100" t="n">
        <v>99</v>
      </c>
      <c r="C105" s="65" t="n"/>
      <c r="D105" s="65" t="n"/>
      <c r="E105" s="65" t="n"/>
      <c r="F105" s="65" t="n"/>
      <c r="G105" s="101" t="n"/>
      <c r="H105" s="101" t="n"/>
      <c r="I105" s="81" t="n"/>
      <c r="J105" s="102">
        <f>IF(OR(D105="",ProjStart=""),"",MAX(ProjStart,IF(I105&lt;&gt;"",I105,0),IF(H105="",0,IFERROR(INDEX($L$6:L104,MATCH(H105,$B$6:B104,0))+1,0))))</f>
        <v/>
      </c>
      <c r="K105" s="101" t="n"/>
      <c r="L105" s="102">
        <f>IF(J105="","",J105+MAX(1,G105)+IF(K105="",0,K105)-1)</f>
        <v/>
      </c>
      <c r="M105" s="65" t="n"/>
      <c r="N105" s="81" t="n"/>
      <c r="O105" s="103">
        <f>IF(D105="","",COUNTIF($H$7:$H$156,B105))</f>
        <v/>
      </c>
      <c r="P105" s="72">
        <f>IF(D105="","",IF(AND(H105&lt;&gt;"",H105&gt;=B105),"⚠️ Predecessor must be above",IF(M105="Done","✓ Done",IF(Q105=3,"🔴 Late",IF(M105="In progress","In progress","")))))</f>
        <v/>
      </c>
      <c r="Q105" s="63">
        <f>IF(OR(D105="",L105=""),"",IF(M105="Done",2,IF(AsOf&gt;L105,3,1)))</f>
        <v/>
      </c>
      <c r="R105" s="63">
        <f>IF(OR(E105="",F105=""),0,IF(COUNTIFS($E$7:E105,E105,$F$7:F105,F105)=1,1,0))</f>
        <v/>
      </c>
      <c r="S105" s="63">
        <f>IF(R105=1,E105&amp;"|"&amp;SUMIFS($R$7:R105,$E$7:E105,E105),"")</f>
        <v/>
      </c>
      <c r="T105" s="85">
        <f>IF(Q105="","",IF(Q105=3,L105,IF(OR(M105="Not started",M105=""),J105,"")))</f>
        <v/>
      </c>
      <c r="U105" s="63">
        <f>IF(T105="","",IF(Q105=3,1,IF(T105="","",IF(T105&lt;AsOf,1,IF(T105&lt;=AsOf+AlertDays,2,IF(T105&lt;=AsOf+2*AlertDays,3,""))))))</f>
        <v/>
      </c>
      <c r="V105" s="63">
        <f>IF(U105="","",IF(Q105=3,"Late task: "&amp;D105,IF(T105&lt;AsOf,"Should have started: ","Starts soon: ")&amp;D105)&amp;IF(F105="",""," — "&amp;F105))</f>
        <v/>
      </c>
      <c r="X105" s="104" t="n"/>
      <c r="Y105" s="104" t="n"/>
      <c r="Z105" s="104" t="n"/>
      <c r="AA105" s="104" t="n"/>
      <c r="AB105" s="104" t="n"/>
      <c r="AC105" s="104" t="n"/>
      <c r="AD105" s="104" t="n"/>
      <c r="AE105" s="104" t="n"/>
      <c r="AF105" s="104" t="n"/>
      <c r="AG105" s="104" t="n"/>
      <c r="AH105" s="104" t="n"/>
      <c r="AI105" s="104" t="n"/>
      <c r="AJ105" s="104" t="n"/>
      <c r="AK105" s="104" t="n"/>
      <c r="AL105" s="104" t="n"/>
      <c r="AM105" s="104" t="n"/>
      <c r="AN105" s="104" t="n"/>
      <c r="AO105" s="104" t="n"/>
      <c r="AP105" s="104" t="n"/>
      <c r="AQ105" s="104" t="n"/>
      <c r="AR105" s="104" t="n"/>
      <c r="AS105" s="104" t="n"/>
      <c r="AT105" s="104" t="n"/>
      <c r="AU105" s="104" t="n"/>
      <c r="AV105" s="104" t="n"/>
      <c r="AW105" s="104" t="n"/>
      <c r="AX105" s="104" t="n"/>
      <c r="AY105" s="104" t="n"/>
      <c r="AZ105" s="104" t="n"/>
      <c r="BA105" s="104" t="n"/>
      <c r="BB105" s="104" t="n"/>
      <c r="BC105" s="104" t="n"/>
      <c r="BD105" s="104" t="n"/>
      <c r="BE105" s="104" t="n"/>
      <c r="BF105" s="104" t="n"/>
      <c r="BG105" s="104" t="n"/>
      <c r="BH105" s="104" t="n"/>
      <c r="BI105" s="104" t="n"/>
      <c r="BJ105" s="104" t="n"/>
      <c r="BK105" s="104" t="n"/>
      <c r="BL105" s="104" t="n"/>
      <c r="BM105" s="104" t="n"/>
      <c r="BN105" s="104" t="n"/>
      <c r="BO105" s="104" t="n"/>
      <c r="BP105" s="104" t="n"/>
      <c r="BQ105" s="104" t="n"/>
      <c r="BR105" s="104" t="n"/>
      <c r="BS105" s="104" t="n"/>
      <c r="BT105" s="104" t="n"/>
      <c r="BU105" s="104" t="n"/>
      <c r="BV105" s="104" t="n"/>
      <c r="BW105" s="104" t="n"/>
    </row>
    <row r="106" ht="20" customHeight="1">
      <c r="B106" s="100" t="n">
        <v>100</v>
      </c>
      <c r="C106" s="65" t="n"/>
      <c r="D106" s="65" t="n"/>
      <c r="E106" s="65" t="n"/>
      <c r="F106" s="65" t="n"/>
      <c r="G106" s="101" t="n"/>
      <c r="H106" s="101" t="n"/>
      <c r="I106" s="81" t="n"/>
      <c r="J106" s="102">
        <f>IF(OR(D106="",ProjStart=""),"",MAX(ProjStart,IF(I106&lt;&gt;"",I106,0),IF(H106="",0,IFERROR(INDEX($L$6:L105,MATCH(H106,$B$6:B105,0))+1,0))))</f>
        <v/>
      </c>
      <c r="K106" s="101" t="n"/>
      <c r="L106" s="102">
        <f>IF(J106="","",J106+MAX(1,G106)+IF(K106="",0,K106)-1)</f>
        <v/>
      </c>
      <c r="M106" s="65" t="n"/>
      <c r="N106" s="81" t="n"/>
      <c r="O106" s="103">
        <f>IF(D106="","",COUNTIF($H$7:$H$156,B106))</f>
        <v/>
      </c>
      <c r="P106" s="72">
        <f>IF(D106="","",IF(AND(H106&lt;&gt;"",H106&gt;=B106),"⚠️ Predecessor must be above",IF(M106="Done","✓ Done",IF(Q106=3,"🔴 Late",IF(M106="In progress","In progress","")))))</f>
        <v/>
      </c>
      <c r="Q106" s="63">
        <f>IF(OR(D106="",L106=""),"",IF(M106="Done",2,IF(AsOf&gt;L106,3,1)))</f>
        <v/>
      </c>
      <c r="R106" s="63">
        <f>IF(OR(E106="",F106=""),0,IF(COUNTIFS($E$7:E106,E106,$F$7:F106,F106)=1,1,0))</f>
        <v/>
      </c>
      <c r="S106" s="63">
        <f>IF(R106=1,E106&amp;"|"&amp;SUMIFS($R$7:R106,$E$7:E106,E106),"")</f>
        <v/>
      </c>
      <c r="T106" s="85">
        <f>IF(Q106="","",IF(Q106=3,L106,IF(OR(M106="Not started",M106=""),J106,"")))</f>
        <v/>
      </c>
      <c r="U106" s="63">
        <f>IF(T106="","",IF(Q106=3,1,IF(T106="","",IF(T106&lt;AsOf,1,IF(T106&lt;=AsOf+AlertDays,2,IF(T106&lt;=AsOf+2*AlertDays,3,""))))))</f>
        <v/>
      </c>
      <c r="V106" s="63">
        <f>IF(U106="","",IF(Q106=3,"Late task: "&amp;D106,IF(T106&lt;AsOf,"Should have started: ","Starts soon: ")&amp;D106)&amp;IF(F106="",""," — "&amp;F106))</f>
        <v/>
      </c>
      <c r="X106" s="104" t="n"/>
      <c r="Y106" s="104" t="n"/>
      <c r="Z106" s="104" t="n"/>
      <c r="AA106" s="104" t="n"/>
      <c r="AB106" s="104" t="n"/>
      <c r="AC106" s="104" t="n"/>
      <c r="AD106" s="104" t="n"/>
      <c r="AE106" s="104" t="n"/>
      <c r="AF106" s="104" t="n"/>
      <c r="AG106" s="104" t="n"/>
      <c r="AH106" s="104" t="n"/>
      <c r="AI106" s="104" t="n"/>
      <c r="AJ106" s="104" t="n"/>
      <c r="AK106" s="104" t="n"/>
      <c r="AL106" s="104" t="n"/>
      <c r="AM106" s="104" t="n"/>
      <c r="AN106" s="104" t="n"/>
      <c r="AO106" s="104" t="n"/>
      <c r="AP106" s="104" t="n"/>
      <c r="AQ106" s="104" t="n"/>
      <c r="AR106" s="104" t="n"/>
      <c r="AS106" s="104" t="n"/>
      <c r="AT106" s="104" t="n"/>
      <c r="AU106" s="104" t="n"/>
      <c r="AV106" s="104" t="n"/>
      <c r="AW106" s="104" t="n"/>
      <c r="AX106" s="104" t="n"/>
      <c r="AY106" s="104" t="n"/>
      <c r="AZ106" s="104" t="n"/>
      <c r="BA106" s="104" t="n"/>
      <c r="BB106" s="104" t="n"/>
      <c r="BC106" s="104" t="n"/>
      <c r="BD106" s="104" t="n"/>
      <c r="BE106" s="104" t="n"/>
      <c r="BF106" s="104" t="n"/>
      <c r="BG106" s="104" t="n"/>
      <c r="BH106" s="104" t="n"/>
      <c r="BI106" s="104" t="n"/>
      <c r="BJ106" s="104" t="n"/>
      <c r="BK106" s="104" t="n"/>
      <c r="BL106" s="104" t="n"/>
      <c r="BM106" s="104" t="n"/>
      <c r="BN106" s="104" t="n"/>
      <c r="BO106" s="104" t="n"/>
      <c r="BP106" s="104" t="n"/>
      <c r="BQ106" s="104" t="n"/>
      <c r="BR106" s="104" t="n"/>
      <c r="BS106" s="104" t="n"/>
      <c r="BT106" s="104" t="n"/>
      <c r="BU106" s="104" t="n"/>
      <c r="BV106" s="104" t="n"/>
      <c r="BW106" s="104" t="n"/>
    </row>
    <row r="107" ht="20" customHeight="1">
      <c r="B107" s="100" t="n">
        <v>101</v>
      </c>
      <c r="C107" s="65" t="n"/>
      <c r="D107" s="65" t="n"/>
      <c r="E107" s="65" t="n"/>
      <c r="F107" s="65" t="n"/>
      <c r="G107" s="101" t="n"/>
      <c r="H107" s="101" t="n"/>
      <c r="I107" s="81" t="n"/>
      <c r="J107" s="102">
        <f>IF(OR(D107="",ProjStart=""),"",MAX(ProjStart,IF(I107&lt;&gt;"",I107,0),IF(H107="",0,IFERROR(INDEX($L$6:L106,MATCH(H107,$B$6:B106,0))+1,0))))</f>
        <v/>
      </c>
      <c r="K107" s="101" t="n"/>
      <c r="L107" s="102">
        <f>IF(J107="","",J107+MAX(1,G107)+IF(K107="",0,K107)-1)</f>
        <v/>
      </c>
      <c r="M107" s="65" t="n"/>
      <c r="N107" s="81" t="n"/>
      <c r="O107" s="103">
        <f>IF(D107="","",COUNTIF($H$7:$H$156,B107))</f>
        <v/>
      </c>
      <c r="P107" s="72">
        <f>IF(D107="","",IF(AND(H107&lt;&gt;"",H107&gt;=B107),"⚠️ Predecessor must be above",IF(M107="Done","✓ Done",IF(Q107=3,"🔴 Late",IF(M107="In progress","In progress","")))))</f>
        <v/>
      </c>
      <c r="Q107" s="63">
        <f>IF(OR(D107="",L107=""),"",IF(M107="Done",2,IF(AsOf&gt;L107,3,1)))</f>
        <v/>
      </c>
      <c r="R107" s="63">
        <f>IF(OR(E107="",F107=""),0,IF(COUNTIFS($E$7:E107,E107,$F$7:F107,F107)=1,1,0))</f>
        <v/>
      </c>
      <c r="S107" s="63">
        <f>IF(R107=1,E107&amp;"|"&amp;SUMIFS($R$7:R107,$E$7:E107,E107),"")</f>
        <v/>
      </c>
      <c r="T107" s="85">
        <f>IF(Q107="","",IF(Q107=3,L107,IF(OR(M107="Not started",M107=""),J107,"")))</f>
        <v/>
      </c>
      <c r="U107" s="63">
        <f>IF(T107="","",IF(Q107=3,1,IF(T107="","",IF(T107&lt;AsOf,1,IF(T107&lt;=AsOf+AlertDays,2,IF(T107&lt;=AsOf+2*AlertDays,3,""))))))</f>
        <v/>
      </c>
      <c r="V107" s="63">
        <f>IF(U107="","",IF(Q107=3,"Late task: "&amp;D107,IF(T107&lt;AsOf,"Should have started: ","Starts soon: ")&amp;D107)&amp;IF(F107="",""," — "&amp;F107))</f>
        <v/>
      </c>
      <c r="X107" s="104" t="n"/>
      <c r="Y107" s="104" t="n"/>
      <c r="Z107" s="104" t="n"/>
      <c r="AA107" s="104" t="n"/>
      <c r="AB107" s="104" t="n"/>
      <c r="AC107" s="104" t="n"/>
      <c r="AD107" s="104" t="n"/>
      <c r="AE107" s="104" t="n"/>
      <c r="AF107" s="104" t="n"/>
      <c r="AG107" s="104" t="n"/>
      <c r="AH107" s="104" t="n"/>
      <c r="AI107" s="104" t="n"/>
      <c r="AJ107" s="104" t="n"/>
      <c r="AK107" s="104" t="n"/>
      <c r="AL107" s="104" t="n"/>
      <c r="AM107" s="104" t="n"/>
      <c r="AN107" s="104" t="n"/>
      <c r="AO107" s="104" t="n"/>
      <c r="AP107" s="104" t="n"/>
      <c r="AQ107" s="104" t="n"/>
      <c r="AR107" s="104" t="n"/>
      <c r="AS107" s="104" t="n"/>
      <c r="AT107" s="104" t="n"/>
      <c r="AU107" s="104" t="n"/>
      <c r="AV107" s="104" t="n"/>
      <c r="AW107" s="104" t="n"/>
      <c r="AX107" s="104" t="n"/>
      <c r="AY107" s="104" t="n"/>
      <c r="AZ107" s="104" t="n"/>
      <c r="BA107" s="104" t="n"/>
      <c r="BB107" s="104" t="n"/>
      <c r="BC107" s="104" t="n"/>
      <c r="BD107" s="104" t="n"/>
      <c r="BE107" s="104" t="n"/>
      <c r="BF107" s="104" t="n"/>
      <c r="BG107" s="104" t="n"/>
      <c r="BH107" s="104" t="n"/>
      <c r="BI107" s="104" t="n"/>
      <c r="BJ107" s="104" t="n"/>
      <c r="BK107" s="104" t="n"/>
      <c r="BL107" s="104" t="n"/>
      <c r="BM107" s="104" t="n"/>
      <c r="BN107" s="104" t="n"/>
      <c r="BO107" s="104" t="n"/>
      <c r="BP107" s="104" t="n"/>
      <c r="BQ107" s="104" t="n"/>
      <c r="BR107" s="104" t="n"/>
      <c r="BS107" s="104" t="n"/>
      <c r="BT107" s="104" t="n"/>
      <c r="BU107" s="104" t="n"/>
      <c r="BV107" s="104" t="n"/>
      <c r="BW107" s="104" t="n"/>
    </row>
    <row r="108" ht="20" customHeight="1">
      <c r="B108" s="100" t="n">
        <v>102</v>
      </c>
      <c r="C108" s="65" t="n"/>
      <c r="D108" s="65" t="n"/>
      <c r="E108" s="65" t="n"/>
      <c r="F108" s="65" t="n"/>
      <c r="G108" s="101" t="n"/>
      <c r="H108" s="101" t="n"/>
      <c r="I108" s="81" t="n"/>
      <c r="J108" s="102">
        <f>IF(OR(D108="",ProjStart=""),"",MAX(ProjStart,IF(I108&lt;&gt;"",I108,0),IF(H108="",0,IFERROR(INDEX($L$6:L107,MATCH(H108,$B$6:B107,0))+1,0))))</f>
        <v/>
      </c>
      <c r="K108" s="101" t="n"/>
      <c r="L108" s="102">
        <f>IF(J108="","",J108+MAX(1,G108)+IF(K108="",0,K108)-1)</f>
        <v/>
      </c>
      <c r="M108" s="65" t="n"/>
      <c r="N108" s="81" t="n"/>
      <c r="O108" s="103">
        <f>IF(D108="","",COUNTIF($H$7:$H$156,B108))</f>
        <v/>
      </c>
      <c r="P108" s="72">
        <f>IF(D108="","",IF(AND(H108&lt;&gt;"",H108&gt;=B108),"⚠️ Predecessor must be above",IF(M108="Done","✓ Done",IF(Q108=3,"🔴 Late",IF(M108="In progress","In progress","")))))</f>
        <v/>
      </c>
      <c r="Q108" s="63">
        <f>IF(OR(D108="",L108=""),"",IF(M108="Done",2,IF(AsOf&gt;L108,3,1)))</f>
        <v/>
      </c>
      <c r="R108" s="63">
        <f>IF(OR(E108="",F108=""),0,IF(COUNTIFS($E$7:E108,E108,$F$7:F108,F108)=1,1,0))</f>
        <v/>
      </c>
      <c r="S108" s="63">
        <f>IF(R108=1,E108&amp;"|"&amp;SUMIFS($R$7:R108,$E$7:E108,E108),"")</f>
        <v/>
      </c>
      <c r="T108" s="85">
        <f>IF(Q108="","",IF(Q108=3,L108,IF(OR(M108="Not started",M108=""),J108,"")))</f>
        <v/>
      </c>
      <c r="U108" s="63">
        <f>IF(T108="","",IF(Q108=3,1,IF(T108="","",IF(T108&lt;AsOf,1,IF(T108&lt;=AsOf+AlertDays,2,IF(T108&lt;=AsOf+2*AlertDays,3,""))))))</f>
        <v/>
      </c>
      <c r="V108" s="63">
        <f>IF(U108="","",IF(Q108=3,"Late task: "&amp;D108,IF(T108&lt;AsOf,"Should have started: ","Starts soon: ")&amp;D108)&amp;IF(F108="",""," — "&amp;F108))</f>
        <v/>
      </c>
      <c r="X108" s="104" t="n"/>
      <c r="Y108" s="104" t="n"/>
      <c r="Z108" s="104" t="n"/>
      <c r="AA108" s="104" t="n"/>
      <c r="AB108" s="104" t="n"/>
      <c r="AC108" s="104" t="n"/>
      <c r="AD108" s="104" t="n"/>
      <c r="AE108" s="104" t="n"/>
      <c r="AF108" s="104" t="n"/>
      <c r="AG108" s="104" t="n"/>
      <c r="AH108" s="104" t="n"/>
      <c r="AI108" s="104" t="n"/>
      <c r="AJ108" s="104" t="n"/>
      <c r="AK108" s="104" t="n"/>
      <c r="AL108" s="104" t="n"/>
      <c r="AM108" s="104" t="n"/>
      <c r="AN108" s="104" t="n"/>
      <c r="AO108" s="104" t="n"/>
      <c r="AP108" s="104" t="n"/>
      <c r="AQ108" s="104" t="n"/>
      <c r="AR108" s="104" t="n"/>
      <c r="AS108" s="104" t="n"/>
      <c r="AT108" s="104" t="n"/>
      <c r="AU108" s="104" t="n"/>
      <c r="AV108" s="104" t="n"/>
      <c r="AW108" s="104" t="n"/>
      <c r="AX108" s="104" t="n"/>
      <c r="AY108" s="104" t="n"/>
      <c r="AZ108" s="104" t="n"/>
      <c r="BA108" s="104" t="n"/>
      <c r="BB108" s="104" t="n"/>
      <c r="BC108" s="104" t="n"/>
      <c r="BD108" s="104" t="n"/>
      <c r="BE108" s="104" t="n"/>
      <c r="BF108" s="104" t="n"/>
      <c r="BG108" s="104" t="n"/>
      <c r="BH108" s="104" t="n"/>
      <c r="BI108" s="104" t="n"/>
      <c r="BJ108" s="104" t="n"/>
      <c r="BK108" s="104" t="n"/>
      <c r="BL108" s="104" t="n"/>
      <c r="BM108" s="104" t="n"/>
      <c r="BN108" s="104" t="n"/>
      <c r="BO108" s="104" t="n"/>
      <c r="BP108" s="104" t="n"/>
      <c r="BQ108" s="104" t="n"/>
      <c r="BR108" s="104" t="n"/>
      <c r="BS108" s="104" t="n"/>
      <c r="BT108" s="104" t="n"/>
      <c r="BU108" s="104" t="n"/>
      <c r="BV108" s="104" t="n"/>
      <c r="BW108" s="104" t="n"/>
    </row>
    <row r="109" ht="20" customHeight="1">
      <c r="B109" s="100" t="n">
        <v>103</v>
      </c>
      <c r="C109" s="65" t="n"/>
      <c r="D109" s="65" t="n"/>
      <c r="E109" s="65" t="n"/>
      <c r="F109" s="65" t="n"/>
      <c r="G109" s="101" t="n"/>
      <c r="H109" s="101" t="n"/>
      <c r="I109" s="81" t="n"/>
      <c r="J109" s="102">
        <f>IF(OR(D109="",ProjStart=""),"",MAX(ProjStart,IF(I109&lt;&gt;"",I109,0),IF(H109="",0,IFERROR(INDEX($L$6:L108,MATCH(H109,$B$6:B108,0))+1,0))))</f>
        <v/>
      </c>
      <c r="K109" s="101" t="n"/>
      <c r="L109" s="102">
        <f>IF(J109="","",J109+MAX(1,G109)+IF(K109="",0,K109)-1)</f>
        <v/>
      </c>
      <c r="M109" s="65" t="n"/>
      <c r="N109" s="81" t="n"/>
      <c r="O109" s="103">
        <f>IF(D109="","",COUNTIF($H$7:$H$156,B109))</f>
        <v/>
      </c>
      <c r="P109" s="72">
        <f>IF(D109="","",IF(AND(H109&lt;&gt;"",H109&gt;=B109),"⚠️ Predecessor must be above",IF(M109="Done","✓ Done",IF(Q109=3,"🔴 Late",IF(M109="In progress","In progress","")))))</f>
        <v/>
      </c>
      <c r="Q109" s="63">
        <f>IF(OR(D109="",L109=""),"",IF(M109="Done",2,IF(AsOf&gt;L109,3,1)))</f>
        <v/>
      </c>
      <c r="R109" s="63">
        <f>IF(OR(E109="",F109=""),0,IF(COUNTIFS($E$7:E109,E109,$F$7:F109,F109)=1,1,0))</f>
        <v/>
      </c>
      <c r="S109" s="63">
        <f>IF(R109=1,E109&amp;"|"&amp;SUMIFS($R$7:R109,$E$7:E109,E109),"")</f>
        <v/>
      </c>
      <c r="T109" s="85">
        <f>IF(Q109="","",IF(Q109=3,L109,IF(OR(M109="Not started",M109=""),J109,"")))</f>
        <v/>
      </c>
      <c r="U109" s="63">
        <f>IF(T109="","",IF(Q109=3,1,IF(T109="","",IF(T109&lt;AsOf,1,IF(T109&lt;=AsOf+AlertDays,2,IF(T109&lt;=AsOf+2*AlertDays,3,""))))))</f>
        <v/>
      </c>
      <c r="V109" s="63">
        <f>IF(U109="","",IF(Q109=3,"Late task: "&amp;D109,IF(T109&lt;AsOf,"Should have started: ","Starts soon: ")&amp;D109)&amp;IF(F109="",""," — "&amp;F109))</f>
        <v/>
      </c>
      <c r="X109" s="104" t="n"/>
      <c r="Y109" s="104" t="n"/>
      <c r="Z109" s="104" t="n"/>
      <c r="AA109" s="104" t="n"/>
      <c r="AB109" s="104" t="n"/>
      <c r="AC109" s="104" t="n"/>
      <c r="AD109" s="104" t="n"/>
      <c r="AE109" s="104" t="n"/>
      <c r="AF109" s="104" t="n"/>
      <c r="AG109" s="104" t="n"/>
      <c r="AH109" s="104" t="n"/>
      <c r="AI109" s="104" t="n"/>
      <c r="AJ109" s="104" t="n"/>
      <c r="AK109" s="104" t="n"/>
      <c r="AL109" s="104" t="n"/>
      <c r="AM109" s="104" t="n"/>
      <c r="AN109" s="104" t="n"/>
      <c r="AO109" s="104" t="n"/>
      <c r="AP109" s="104" t="n"/>
      <c r="AQ109" s="104" t="n"/>
      <c r="AR109" s="104" t="n"/>
      <c r="AS109" s="104" t="n"/>
      <c r="AT109" s="104" t="n"/>
      <c r="AU109" s="104" t="n"/>
      <c r="AV109" s="104" t="n"/>
      <c r="AW109" s="104" t="n"/>
      <c r="AX109" s="104" t="n"/>
      <c r="AY109" s="104" t="n"/>
      <c r="AZ109" s="104" t="n"/>
      <c r="BA109" s="104" t="n"/>
      <c r="BB109" s="104" t="n"/>
      <c r="BC109" s="104" t="n"/>
      <c r="BD109" s="104" t="n"/>
      <c r="BE109" s="104" t="n"/>
      <c r="BF109" s="104" t="n"/>
      <c r="BG109" s="104" t="n"/>
      <c r="BH109" s="104" t="n"/>
      <c r="BI109" s="104" t="n"/>
      <c r="BJ109" s="104" t="n"/>
      <c r="BK109" s="104" t="n"/>
      <c r="BL109" s="104" t="n"/>
      <c r="BM109" s="104" t="n"/>
      <c r="BN109" s="104" t="n"/>
      <c r="BO109" s="104" t="n"/>
      <c r="BP109" s="104" t="n"/>
      <c r="BQ109" s="104" t="n"/>
      <c r="BR109" s="104" t="n"/>
      <c r="BS109" s="104" t="n"/>
      <c r="BT109" s="104" t="n"/>
      <c r="BU109" s="104" t="n"/>
      <c r="BV109" s="104" t="n"/>
      <c r="BW109" s="104" t="n"/>
    </row>
    <row r="110" ht="20" customHeight="1">
      <c r="B110" s="100" t="n">
        <v>104</v>
      </c>
      <c r="C110" s="65" t="n"/>
      <c r="D110" s="65" t="n"/>
      <c r="E110" s="65" t="n"/>
      <c r="F110" s="65" t="n"/>
      <c r="G110" s="101" t="n"/>
      <c r="H110" s="101" t="n"/>
      <c r="I110" s="81" t="n"/>
      <c r="J110" s="102">
        <f>IF(OR(D110="",ProjStart=""),"",MAX(ProjStart,IF(I110&lt;&gt;"",I110,0),IF(H110="",0,IFERROR(INDEX($L$6:L109,MATCH(H110,$B$6:B109,0))+1,0))))</f>
        <v/>
      </c>
      <c r="K110" s="101" t="n"/>
      <c r="L110" s="102">
        <f>IF(J110="","",J110+MAX(1,G110)+IF(K110="",0,K110)-1)</f>
        <v/>
      </c>
      <c r="M110" s="65" t="n"/>
      <c r="N110" s="81" t="n"/>
      <c r="O110" s="103">
        <f>IF(D110="","",COUNTIF($H$7:$H$156,B110))</f>
        <v/>
      </c>
      <c r="P110" s="72">
        <f>IF(D110="","",IF(AND(H110&lt;&gt;"",H110&gt;=B110),"⚠️ Predecessor must be above",IF(M110="Done","✓ Done",IF(Q110=3,"🔴 Late",IF(M110="In progress","In progress","")))))</f>
        <v/>
      </c>
      <c r="Q110" s="63">
        <f>IF(OR(D110="",L110=""),"",IF(M110="Done",2,IF(AsOf&gt;L110,3,1)))</f>
        <v/>
      </c>
      <c r="R110" s="63">
        <f>IF(OR(E110="",F110=""),0,IF(COUNTIFS($E$7:E110,E110,$F$7:F110,F110)=1,1,0))</f>
        <v/>
      </c>
      <c r="S110" s="63">
        <f>IF(R110=1,E110&amp;"|"&amp;SUMIFS($R$7:R110,$E$7:E110,E110),"")</f>
        <v/>
      </c>
      <c r="T110" s="85">
        <f>IF(Q110="","",IF(Q110=3,L110,IF(OR(M110="Not started",M110=""),J110,"")))</f>
        <v/>
      </c>
      <c r="U110" s="63">
        <f>IF(T110="","",IF(Q110=3,1,IF(T110="","",IF(T110&lt;AsOf,1,IF(T110&lt;=AsOf+AlertDays,2,IF(T110&lt;=AsOf+2*AlertDays,3,""))))))</f>
        <v/>
      </c>
      <c r="V110" s="63">
        <f>IF(U110="","",IF(Q110=3,"Late task: "&amp;D110,IF(T110&lt;AsOf,"Should have started: ","Starts soon: ")&amp;D110)&amp;IF(F110="",""," — "&amp;F110))</f>
        <v/>
      </c>
      <c r="X110" s="104" t="n"/>
      <c r="Y110" s="104" t="n"/>
      <c r="Z110" s="104" t="n"/>
      <c r="AA110" s="104" t="n"/>
      <c r="AB110" s="104" t="n"/>
      <c r="AC110" s="104" t="n"/>
      <c r="AD110" s="104" t="n"/>
      <c r="AE110" s="104" t="n"/>
      <c r="AF110" s="104" t="n"/>
      <c r="AG110" s="104" t="n"/>
      <c r="AH110" s="104" t="n"/>
      <c r="AI110" s="104" t="n"/>
      <c r="AJ110" s="104" t="n"/>
      <c r="AK110" s="104" t="n"/>
      <c r="AL110" s="104" t="n"/>
      <c r="AM110" s="104" t="n"/>
      <c r="AN110" s="104" t="n"/>
      <c r="AO110" s="104" t="n"/>
      <c r="AP110" s="104" t="n"/>
      <c r="AQ110" s="104" t="n"/>
      <c r="AR110" s="104" t="n"/>
      <c r="AS110" s="104" t="n"/>
      <c r="AT110" s="104" t="n"/>
      <c r="AU110" s="104" t="n"/>
      <c r="AV110" s="104" t="n"/>
      <c r="AW110" s="104" t="n"/>
      <c r="AX110" s="104" t="n"/>
      <c r="AY110" s="104" t="n"/>
      <c r="AZ110" s="104" t="n"/>
      <c r="BA110" s="104" t="n"/>
      <c r="BB110" s="104" t="n"/>
      <c r="BC110" s="104" t="n"/>
      <c r="BD110" s="104" t="n"/>
      <c r="BE110" s="104" t="n"/>
      <c r="BF110" s="104" t="n"/>
      <c r="BG110" s="104" t="n"/>
      <c r="BH110" s="104" t="n"/>
      <c r="BI110" s="104" t="n"/>
      <c r="BJ110" s="104" t="n"/>
      <c r="BK110" s="104" t="n"/>
      <c r="BL110" s="104" t="n"/>
      <c r="BM110" s="104" t="n"/>
      <c r="BN110" s="104" t="n"/>
      <c r="BO110" s="104" t="n"/>
      <c r="BP110" s="104" t="n"/>
      <c r="BQ110" s="104" t="n"/>
      <c r="BR110" s="104" t="n"/>
      <c r="BS110" s="104" t="n"/>
      <c r="BT110" s="104" t="n"/>
      <c r="BU110" s="104" t="n"/>
      <c r="BV110" s="104" t="n"/>
      <c r="BW110" s="104" t="n"/>
    </row>
    <row r="111" ht="20" customHeight="1">
      <c r="B111" s="100" t="n">
        <v>105</v>
      </c>
      <c r="C111" s="65" t="n"/>
      <c r="D111" s="65" t="n"/>
      <c r="E111" s="65" t="n"/>
      <c r="F111" s="65" t="n"/>
      <c r="G111" s="101" t="n"/>
      <c r="H111" s="101" t="n"/>
      <c r="I111" s="81" t="n"/>
      <c r="J111" s="102">
        <f>IF(OR(D111="",ProjStart=""),"",MAX(ProjStart,IF(I111&lt;&gt;"",I111,0),IF(H111="",0,IFERROR(INDEX($L$6:L110,MATCH(H111,$B$6:B110,0))+1,0))))</f>
        <v/>
      </c>
      <c r="K111" s="101" t="n"/>
      <c r="L111" s="102">
        <f>IF(J111="","",J111+MAX(1,G111)+IF(K111="",0,K111)-1)</f>
        <v/>
      </c>
      <c r="M111" s="65" t="n"/>
      <c r="N111" s="81" t="n"/>
      <c r="O111" s="103">
        <f>IF(D111="","",COUNTIF($H$7:$H$156,B111))</f>
        <v/>
      </c>
      <c r="P111" s="72">
        <f>IF(D111="","",IF(AND(H111&lt;&gt;"",H111&gt;=B111),"⚠️ Predecessor must be above",IF(M111="Done","✓ Done",IF(Q111=3,"🔴 Late",IF(M111="In progress","In progress","")))))</f>
        <v/>
      </c>
      <c r="Q111" s="63">
        <f>IF(OR(D111="",L111=""),"",IF(M111="Done",2,IF(AsOf&gt;L111,3,1)))</f>
        <v/>
      </c>
      <c r="R111" s="63">
        <f>IF(OR(E111="",F111=""),0,IF(COUNTIFS($E$7:E111,E111,$F$7:F111,F111)=1,1,0))</f>
        <v/>
      </c>
      <c r="S111" s="63">
        <f>IF(R111=1,E111&amp;"|"&amp;SUMIFS($R$7:R111,$E$7:E111,E111),"")</f>
        <v/>
      </c>
      <c r="T111" s="85">
        <f>IF(Q111="","",IF(Q111=3,L111,IF(OR(M111="Not started",M111=""),J111,"")))</f>
        <v/>
      </c>
      <c r="U111" s="63">
        <f>IF(T111="","",IF(Q111=3,1,IF(T111="","",IF(T111&lt;AsOf,1,IF(T111&lt;=AsOf+AlertDays,2,IF(T111&lt;=AsOf+2*AlertDays,3,""))))))</f>
        <v/>
      </c>
      <c r="V111" s="63">
        <f>IF(U111="","",IF(Q111=3,"Late task: "&amp;D111,IF(T111&lt;AsOf,"Should have started: ","Starts soon: ")&amp;D111)&amp;IF(F111="",""," — "&amp;F111))</f>
        <v/>
      </c>
      <c r="X111" s="104" t="n"/>
      <c r="Y111" s="104" t="n"/>
      <c r="Z111" s="104" t="n"/>
      <c r="AA111" s="104" t="n"/>
      <c r="AB111" s="104" t="n"/>
      <c r="AC111" s="104" t="n"/>
      <c r="AD111" s="104" t="n"/>
      <c r="AE111" s="104" t="n"/>
      <c r="AF111" s="104" t="n"/>
      <c r="AG111" s="104" t="n"/>
      <c r="AH111" s="104" t="n"/>
      <c r="AI111" s="104" t="n"/>
      <c r="AJ111" s="104" t="n"/>
      <c r="AK111" s="104" t="n"/>
      <c r="AL111" s="104" t="n"/>
      <c r="AM111" s="104" t="n"/>
      <c r="AN111" s="104" t="n"/>
      <c r="AO111" s="104" t="n"/>
      <c r="AP111" s="104" t="n"/>
      <c r="AQ111" s="104" t="n"/>
      <c r="AR111" s="104" t="n"/>
      <c r="AS111" s="104" t="n"/>
      <c r="AT111" s="104" t="n"/>
      <c r="AU111" s="104" t="n"/>
      <c r="AV111" s="104" t="n"/>
      <c r="AW111" s="104" t="n"/>
      <c r="AX111" s="104" t="n"/>
      <c r="AY111" s="104" t="n"/>
      <c r="AZ111" s="104" t="n"/>
      <c r="BA111" s="104" t="n"/>
      <c r="BB111" s="104" t="n"/>
      <c r="BC111" s="104" t="n"/>
      <c r="BD111" s="104" t="n"/>
      <c r="BE111" s="104" t="n"/>
      <c r="BF111" s="104" t="n"/>
      <c r="BG111" s="104" t="n"/>
      <c r="BH111" s="104" t="n"/>
      <c r="BI111" s="104" t="n"/>
      <c r="BJ111" s="104" t="n"/>
      <c r="BK111" s="104" t="n"/>
      <c r="BL111" s="104" t="n"/>
      <c r="BM111" s="104" t="n"/>
      <c r="BN111" s="104" t="n"/>
      <c r="BO111" s="104" t="n"/>
      <c r="BP111" s="104" t="n"/>
      <c r="BQ111" s="104" t="n"/>
      <c r="BR111" s="104" t="n"/>
      <c r="BS111" s="104" t="n"/>
      <c r="BT111" s="104" t="n"/>
      <c r="BU111" s="104" t="n"/>
      <c r="BV111" s="104" t="n"/>
      <c r="BW111" s="104" t="n"/>
    </row>
    <row r="112" ht="20" customHeight="1">
      <c r="B112" s="100" t="n">
        <v>106</v>
      </c>
      <c r="C112" s="65" t="n"/>
      <c r="D112" s="65" t="n"/>
      <c r="E112" s="65" t="n"/>
      <c r="F112" s="65" t="n"/>
      <c r="G112" s="101" t="n"/>
      <c r="H112" s="101" t="n"/>
      <c r="I112" s="81" t="n"/>
      <c r="J112" s="102">
        <f>IF(OR(D112="",ProjStart=""),"",MAX(ProjStart,IF(I112&lt;&gt;"",I112,0),IF(H112="",0,IFERROR(INDEX($L$6:L111,MATCH(H112,$B$6:B111,0))+1,0))))</f>
        <v/>
      </c>
      <c r="K112" s="101" t="n"/>
      <c r="L112" s="102">
        <f>IF(J112="","",J112+MAX(1,G112)+IF(K112="",0,K112)-1)</f>
        <v/>
      </c>
      <c r="M112" s="65" t="n"/>
      <c r="N112" s="81" t="n"/>
      <c r="O112" s="103">
        <f>IF(D112="","",COUNTIF($H$7:$H$156,B112))</f>
        <v/>
      </c>
      <c r="P112" s="72">
        <f>IF(D112="","",IF(AND(H112&lt;&gt;"",H112&gt;=B112),"⚠️ Predecessor must be above",IF(M112="Done","✓ Done",IF(Q112=3,"🔴 Late",IF(M112="In progress","In progress","")))))</f>
        <v/>
      </c>
      <c r="Q112" s="63">
        <f>IF(OR(D112="",L112=""),"",IF(M112="Done",2,IF(AsOf&gt;L112,3,1)))</f>
        <v/>
      </c>
      <c r="R112" s="63">
        <f>IF(OR(E112="",F112=""),0,IF(COUNTIFS($E$7:E112,E112,$F$7:F112,F112)=1,1,0))</f>
        <v/>
      </c>
      <c r="S112" s="63">
        <f>IF(R112=1,E112&amp;"|"&amp;SUMIFS($R$7:R112,$E$7:E112,E112),"")</f>
        <v/>
      </c>
      <c r="T112" s="85">
        <f>IF(Q112="","",IF(Q112=3,L112,IF(OR(M112="Not started",M112=""),J112,"")))</f>
        <v/>
      </c>
      <c r="U112" s="63">
        <f>IF(T112="","",IF(Q112=3,1,IF(T112="","",IF(T112&lt;AsOf,1,IF(T112&lt;=AsOf+AlertDays,2,IF(T112&lt;=AsOf+2*AlertDays,3,""))))))</f>
        <v/>
      </c>
      <c r="V112" s="63">
        <f>IF(U112="","",IF(Q112=3,"Late task: "&amp;D112,IF(T112&lt;AsOf,"Should have started: ","Starts soon: ")&amp;D112)&amp;IF(F112="",""," — "&amp;F112))</f>
        <v/>
      </c>
      <c r="X112" s="104" t="n"/>
      <c r="Y112" s="104" t="n"/>
      <c r="Z112" s="104" t="n"/>
      <c r="AA112" s="104" t="n"/>
      <c r="AB112" s="104" t="n"/>
      <c r="AC112" s="104" t="n"/>
      <c r="AD112" s="104" t="n"/>
      <c r="AE112" s="104" t="n"/>
      <c r="AF112" s="104" t="n"/>
      <c r="AG112" s="104" t="n"/>
      <c r="AH112" s="104" t="n"/>
      <c r="AI112" s="104" t="n"/>
      <c r="AJ112" s="104" t="n"/>
      <c r="AK112" s="104" t="n"/>
      <c r="AL112" s="104" t="n"/>
      <c r="AM112" s="104" t="n"/>
      <c r="AN112" s="104" t="n"/>
      <c r="AO112" s="104" t="n"/>
      <c r="AP112" s="104" t="n"/>
      <c r="AQ112" s="104" t="n"/>
      <c r="AR112" s="104" t="n"/>
      <c r="AS112" s="104" t="n"/>
      <c r="AT112" s="104" t="n"/>
      <c r="AU112" s="104" t="n"/>
      <c r="AV112" s="104" t="n"/>
      <c r="AW112" s="104" t="n"/>
      <c r="AX112" s="104" t="n"/>
      <c r="AY112" s="104" t="n"/>
      <c r="AZ112" s="104" t="n"/>
      <c r="BA112" s="104" t="n"/>
      <c r="BB112" s="104" t="n"/>
      <c r="BC112" s="104" t="n"/>
      <c r="BD112" s="104" t="n"/>
      <c r="BE112" s="104" t="n"/>
      <c r="BF112" s="104" t="n"/>
      <c r="BG112" s="104" t="n"/>
      <c r="BH112" s="104" t="n"/>
      <c r="BI112" s="104" t="n"/>
      <c r="BJ112" s="104" t="n"/>
      <c r="BK112" s="104" t="n"/>
      <c r="BL112" s="104" t="n"/>
      <c r="BM112" s="104" t="n"/>
      <c r="BN112" s="104" t="n"/>
      <c r="BO112" s="104" t="n"/>
      <c r="BP112" s="104" t="n"/>
      <c r="BQ112" s="104" t="n"/>
      <c r="BR112" s="104" t="n"/>
      <c r="BS112" s="104" t="n"/>
      <c r="BT112" s="104" t="n"/>
      <c r="BU112" s="104" t="n"/>
      <c r="BV112" s="104" t="n"/>
      <c r="BW112" s="104" t="n"/>
    </row>
    <row r="113" ht="20" customHeight="1">
      <c r="B113" s="100" t="n">
        <v>107</v>
      </c>
      <c r="C113" s="65" t="n"/>
      <c r="D113" s="65" t="n"/>
      <c r="E113" s="65" t="n"/>
      <c r="F113" s="65" t="n"/>
      <c r="G113" s="101" t="n"/>
      <c r="H113" s="101" t="n"/>
      <c r="I113" s="81" t="n"/>
      <c r="J113" s="102">
        <f>IF(OR(D113="",ProjStart=""),"",MAX(ProjStart,IF(I113&lt;&gt;"",I113,0),IF(H113="",0,IFERROR(INDEX($L$6:L112,MATCH(H113,$B$6:B112,0))+1,0))))</f>
        <v/>
      </c>
      <c r="K113" s="101" t="n"/>
      <c r="L113" s="102">
        <f>IF(J113="","",J113+MAX(1,G113)+IF(K113="",0,K113)-1)</f>
        <v/>
      </c>
      <c r="M113" s="65" t="n"/>
      <c r="N113" s="81" t="n"/>
      <c r="O113" s="103">
        <f>IF(D113="","",COUNTIF($H$7:$H$156,B113))</f>
        <v/>
      </c>
      <c r="P113" s="72">
        <f>IF(D113="","",IF(AND(H113&lt;&gt;"",H113&gt;=B113),"⚠️ Predecessor must be above",IF(M113="Done","✓ Done",IF(Q113=3,"🔴 Late",IF(M113="In progress","In progress","")))))</f>
        <v/>
      </c>
      <c r="Q113" s="63">
        <f>IF(OR(D113="",L113=""),"",IF(M113="Done",2,IF(AsOf&gt;L113,3,1)))</f>
        <v/>
      </c>
      <c r="R113" s="63">
        <f>IF(OR(E113="",F113=""),0,IF(COUNTIFS($E$7:E113,E113,$F$7:F113,F113)=1,1,0))</f>
        <v/>
      </c>
      <c r="S113" s="63">
        <f>IF(R113=1,E113&amp;"|"&amp;SUMIFS($R$7:R113,$E$7:E113,E113),"")</f>
        <v/>
      </c>
      <c r="T113" s="85">
        <f>IF(Q113="","",IF(Q113=3,L113,IF(OR(M113="Not started",M113=""),J113,"")))</f>
        <v/>
      </c>
      <c r="U113" s="63">
        <f>IF(T113="","",IF(Q113=3,1,IF(T113="","",IF(T113&lt;AsOf,1,IF(T113&lt;=AsOf+AlertDays,2,IF(T113&lt;=AsOf+2*AlertDays,3,""))))))</f>
        <v/>
      </c>
      <c r="V113" s="63">
        <f>IF(U113="","",IF(Q113=3,"Late task: "&amp;D113,IF(T113&lt;AsOf,"Should have started: ","Starts soon: ")&amp;D113)&amp;IF(F113="",""," — "&amp;F113))</f>
        <v/>
      </c>
      <c r="X113" s="104" t="n"/>
      <c r="Y113" s="104" t="n"/>
      <c r="Z113" s="104" t="n"/>
      <c r="AA113" s="104" t="n"/>
      <c r="AB113" s="104" t="n"/>
      <c r="AC113" s="104" t="n"/>
      <c r="AD113" s="104" t="n"/>
      <c r="AE113" s="104" t="n"/>
      <c r="AF113" s="104" t="n"/>
      <c r="AG113" s="104" t="n"/>
      <c r="AH113" s="104" t="n"/>
      <c r="AI113" s="104" t="n"/>
      <c r="AJ113" s="104" t="n"/>
      <c r="AK113" s="104" t="n"/>
      <c r="AL113" s="104" t="n"/>
      <c r="AM113" s="104" t="n"/>
      <c r="AN113" s="104" t="n"/>
      <c r="AO113" s="104" t="n"/>
      <c r="AP113" s="104" t="n"/>
      <c r="AQ113" s="104" t="n"/>
      <c r="AR113" s="104" t="n"/>
      <c r="AS113" s="104" t="n"/>
      <c r="AT113" s="104" t="n"/>
      <c r="AU113" s="104" t="n"/>
      <c r="AV113" s="104" t="n"/>
      <c r="AW113" s="104" t="n"/>
      <c r="AX113" s="104" t="n"/>
      <c r="AY113" s="104" t="n"/>
      <c r="AZ113" s="104" t="n"/>
      <c r="BA113" s="104" t="n"/>
      <c r="BB113" s="104" t="n"/>
      <c r="BC113" s="104" t="n"/>
      <c r="BD113" s="104" t="n"/>
      <c r="BE113" s="104" t="n"/>
      <c r="BF113" s="104" t="n"/>
      <c r="BG113" s="104" t="n"/>
      <c r="BH113" s="104" t="n"/>
      <c r="BI113" s="104" t="n"/>
      <c r="BJ113" s="104" t="n"/>
      <c r="BK113" s="104" t="n"/>
      <c r="BL113" s="104" t="n"/>
      <c r="BM113" s="104" t="n"/>
      <c r="BN113" s="104" t="n"/>
      <c r="BO113" s="104" t="n"/>
      <c r="BP113" s="104" t="n"/>
      <c r="BQ113" s="104" t="n"/>
      <c r="BR113" s="104" t="n"/>
      <c r="BS113" s="104" t="n"/>
      <c r="BT113" s="104" t="n"/>
      <c r="BU113" s="104" t="n"/>
      <c r="BV113" s="104" t="n"/>
      <c r="BW113" s="104" t="n"/>
    </row>
    <row r="114" ht="20" customHeight="1">
      <c r="B114" s="100" t="n">
        <v>108</v>
      </c>
      <c r="C114" s="65" t="n"/>
      <c r="D114" s="65" t="n"/>
      <c r="E114" s="65" t="n"/>
      <c r="F114" s="65" t="n"/>
      <c r="G114" s="101" t="n"/>
      <c r="H114" s="101" t="n"/>
      <c r="I114" s="81" t="n"/>
      <c r="J114" s="102">
        <f>IF(OR(D114="",ProjStart=""),"",MAX(ProjStart,IF(I114&lt;&gt;"",I114,0),IF(H114="",0,IFERROR(INDEX($L$6:L113,MATCH(H114,$B$6:B113,0))+1,0))))</f>
        <v/>
      </c>
      <c r="K114" s="101" t="n"/>
      <c r="L114" s="102">
        <f>IF(J114="","",J114+MAX(1,G114)+IF(K114="",0,K114)-1)</f>
        <v/>
      </c>
      <c r="M114" s="65" t="n"/>
      <c r="N114" s="81" t="n"/>
      <c r="O114" s="103">
        <f>IF(D114="","",COUNTIF($H$7:$H$156,B114))</f>
        <v/>
      </c>
      <c r="P114" s="72">
        <f>IF(D114="","",IF(AND(H114&lt;&gt;"",H114&gt;=B114),"⚠️ Predecessor must be above",IF(M114="Done","✓ Done",IF(Q114=3,"🔴 Late",IF(M114="In progress","In progress","")))))</f>
        <v/>
      </c>
      <c r="Q114" s="63">
        <f>IF(OR(D114="",L114=""),"",IF(M114="Done",2,IF(AsOf&gt;L114,3,1)))</f>
        <v/>
      </c>
      <c r="R114" s="63">
        <f>IF(OR(E114="",F114=""),0,IF(COUNTIFS($E$7:E114,E114,$F$7:F114,F114)=1,1,0))</f>
        <v/>
      </c>
      <c r="S114" s="63">
        <f>IF(R114=1,E114&amp;"|"&amp;SUMIFS($R$7:R114,$E$7:E114,E114),"")</f>
        <v/>
      </c>
      <c r="T114" s="85">
        <f>IF(Q114="","",IF(Q114=3,L114,IF(OR(M114="Not started",M114=""),J114,"")))</f>
        <v/>
      </c>
      <c r="U114" s="63">
        <f>IF(T114="","",IF(Q114=3,1,IF(T114="","",IF(T114&lt;AsOf,1,IF(T114&lt;=AsOf+AlertDays,2,IF(T114&lt;=AsOf+2*AlertDays,3,""))))))</f>
        <v/>
      </c>
      <c r="V114" s="63">
        <f>IF(U114="","",IF(Q114=3,"Late task: "&amp;D114,IF(T114&lt;AsOf,"Should have started: ","Starts soon: ")&amp;D114)&amp;IF(F114="",""," — "&amp;F114))</f>
        <v/>
      </c>
      <c r="X114" s="104" t="n"/>
      <c r="Y114" s="104" t="n"/>
      <c r="Z114" s="104" t="n"/>
      <c r="AA114" s="104" t="n"/>
      <c r="AB114" s="104" t="n"/>
      <c r="AC114" s="104" t="n"/>
      <c r="AD114" s="104" t="n"/>
      <c r="AE114" s="104" t="n"/>
      <c r="AF114" s="104" t="n"/>
      <c r="AG114" s="104" t="n"/>
      <c r="AH114" s="104" t="n"/>
      <c r="AI114" s="104" t="n"/>
      <c r="AJ114" s="104" t="n"/>
      <c r="AK114" s="104" t="n"/>
      <c r="AL114" s="104" t="n"/>
      <c r="AM114" s="104" t="n"/>
      <c r="AN114" s="104" t="n"/>
      <c r="AO114" s="104" t="n"/>
      <c r="AP114" s="104" t="n"/>
      <c r="AQ114" s="104" t="n"/>
      <c r="AR114" s="104" t="n"/>
      <c r="AS114" s="104" t="n"/>
      <c r="AT114" s="104" t="n"/>
      <c r="AU114" s="104" t="n"/>
      <c r="AV114" s="104" t="n"/>
      <c r="AW114" s="104" t="n"/>
      <c r="AX114" s="104" t="n"/>
      <c r="AY114" s="104" t="n"/>
      <c r="AZ114" s="104" t="n"/>
      <c r="BA114" s="104" t="n"/>
      <c r="BB114" s="104" t="n"/>
      <c r="BC114" s="104" t="n"/>
      <c r="BD114" s="104" t="n"/>
      <c r="BE114" s="104" t="n"/>
      <c r="BF114" s="104" t="n"/>
      <c r="BG114" s="104" t="n"/>
      <c r="BH114" s="104" t="n"/>
      <c r="BI114" s="104" t="n"/>
      <c r="BJ114" s="104" t="n"/>
      <c r="BK114" s="104" t="n"/>
      <c r="BL114" s="104" t="n"/>
      <c r="BM114" s="104" t="n"/>
      <c r="BN114" s="104" t="n"/>
      <c r="BO114" s="104" t="n"/>
      <c r="BP114" s="104" t="n"/>
      <c r="BQ114" s="104" t="n"/>
      <c r="BR114" s="104" t="n"/>
      <c r="BS114" s="104" t="n"/>
      <c r="BT114" s="104" t="n"/>
      <c r="BU114" s="104" t="n"/>
      <c r="BV114" s="104" t="n"/>
      <c r="BW114" s="104" t="n"/>
    </row>
    <row r="115" ht="20" customHeight="1">
      <c r="B115" s="100" t="n">
        <v>109</v>
      </c>
      <c r="C115" s="65" t="n"/>
      <c r="D115" s="65" t="n"/>
      <c r="E115" s="65" t="n"/>
      <c r="F115" s="65" t="n"/>
      <c r="G115" s="101" t="n"/>
      <c r="H115" s="101" t="n"/>
      <c r="I115" s="81" t="n"/>
      <c r="J115" s="102">
        <f>IF(OR(D115="",ProjStart=""),"",MAX(ProjStart,IF(I115&lt;&gt;"",I115,0),IF(H115="",0,IFERROR(INDEX($L$6:L114,MATCH(H115,$B$6:B114,0))+1,0))))</f>
        <v/>
      </c>
      <c r="K115" s="101" t="n"/>
      <c r="L115" s="102">
        <f>IF(J115="","",J115+MAX(1,G115)+IF(K115="",0,K115)-1)</f>
        <v/>
      </c>
      <c r="M115" s="65" t="n"/>
      <c r="N115" s="81" t="n"/>
      <c r="O115" s="103">
        <f>IF(D115="","",COUNTIF($H$7:$H$156,B115))</f>
        <v/>
      </c>
      <c r="P115" s="72">
        <f>IF(D115="","",IF(AND(H115&lt;&gt;"",H115&gt;=B115),"⚠️ Predecessor must be above",IF(M115="Done","✓ Done",IF(Q115=3,"🔴 Late",IF(M115="In progress","In progress","")))))</f>
        <v/>
      </c>
      <c r="Q115" s="63">
        <f>IF(OR(D115="",L115=""),"",IF(M115="Done",2,IF(AsOf&gt;L115,3,1)))</f>
        <v/>
      </c>
      <c r="R115" s="63">
        <f>IF(OR(E115="",F115=""),0,IF(COUNTIFS($E$7:E115,E115,$F$7:F115,F115)=1,1,0))</f>
        <v/>
      </c>
      <c r="S115" s="63">
        <f>IF(R115=1,E115&amp;"|"&amp;SUMIFS($R$7:R115,$E$7:E115,E115),"")</f>
        <v/>
      </c>
      <c r="T115" s="85">
        <f>IF(Q115="","",IF(Q115=3,L115,IF(OR(M115="Not started",M115=""),J115,"")))</f>
        <v/>
      </c>
      <c r="U115" s="63">
        <f>IF(T115="","",IF(Q115=3,1,IF(T115="","",IF(T115&lt;AsOf,1,IF(T115&lt;=AsOf+AlertDays,2,IF(T115&lt;=AsOf+2*AlertDays,3,""))))))</f>
        <v/>
      </c>
      <c r="V115" s="63">
        <f>IF(U115="","",IF(Q115=3,"Late task: "&amp;D115,IF(T115&lt;AsOf,"Should have started: ","Starts soon: ")&amp;D115)&amp;IF(F115="",""," — "&amp;F115))</f>
        <v/>
      </c>
      <c r="X115" s="104" t="n"/>
      <c r="Y115" s="104" t="n"/>
      <c r="Z115" s="104" t="n"/>
      <c r="AA115" s="104" t="n"/>
      <c r="AB115" s="104" t="n"/>
      <c r="AC115" s="104" t="n"/>
      <c r="AD115" s="104" t="n"/>
      <c r="AE115" s="104" t="n"/>
      <c r="AF115" s="104" t="n"/>
      <c r="AG115" s="104" t="n"/>
      <c r="AH115" s="104" t="n"/>
      <c r="AI115" s="104" t="n"/>
      <c r="AJ115" s="104" t="n"/>
      <c r="AK115" s="104" t="n"/>
      <c r="AL115" s="104" t="n"/>
      <c r="AM115" s="104" t="n"/>
      <c r="AN115" s="104" t="n"/>
      <c r="AO115" s="104" t="n"/>
      <c r="AP115" s="104" t="n"/>
      <c r="AQ115" s="104" t="n"/>
      <c r="AR115" s="104" t="n"/>
      <c r="AS115" s="104" t="n"/>
      <c r="AT115" s="104" t="n"/>
      <c r="AU115" s="104" t="n"/>
      <c r="AV115" s="104" t="n"/>
      <c r="AW115" s="104" t="n"/>
      <c r="AX115" s="104" t="n"/>
      <c r="AY115" s="104" t="n"/>
      <c r="AZ115" s="104" t="n"/>
      <c r="BA115" s="104" t="n"/>
      <c r="BB115" s="104" t="n"/>
      <c r="BC115" s="104" t="n"/>
      <c r="BD115" s="104" t="n"/>
      <c r="BE115" s="104" t="n"/>
      <c r="BF115" s="104" t="n"/>
      <c r="BG115" s="104" t="n"/>
      <c r="BH115" s="104" t="n"/>
      <c r="BI115" s="104" t="n"/>
      <c r="BJ115" s="104" t="n"/>
      <c r="BK115" s="104" t="n"/>
      <c r="BL115" s="104" t="n"/>
      <c r="BM115" s="104" t="n"/>
      <c r="BN115" s="104" t="n"/>
      <c r="BO115" s="104" t="n"/>
      <c r="BP115" s="104" t="n"/>
      <c r="BQ115" s="104" t="n"/>
      <c r="BR115" s="104" t="n"/>
      <c r="BS115" s="104" t="n"/>
      <c r="BT115" s="104" t="n"/>
      <c r="BU115" s="104" t="n"/>
      <c r="BV115" s="104" t="n"/>
      <c r="BW115" s="104" t="n"/>
    </row>
    <row r="116" ht="20" customHeight="1">
      <c r="B116" s="100" t="n">
        <v>110</v>
      </c>
      <c r="C116" s="65" t="n"/>
      <c r="D116" s="65" t="n"/>
      <c r="E116" s="65" t="n"/>
      <c r="F116" s="65" t="n"/>
      <c r="G116" s="101" t="n"/>
      <c r="H116" s="101" t="n"/>
      <c r="I116" s="81" t="n"/>
      <c r="J116" s="102">
        <f>IF(OR(D116="",ProjStart=""),"",MAX(ProjStart,IF(I116&lt;&gt;"",I116,0),IF(H116="",0,IFERROR(INDEX($L$6:L115,MATCH(H116,$B$6:B115,0))+1,0))))</f>
        <v/>
      </c>
      <c r="K116" s="101" t="n"/>
      <c r="L116" s="102">
        <f>IF(J116="","",J116+MAX(1,G116)+IF(K116="",0,K116)-1)</f>
        <v/>
      </c>
      <c r="M116" s="65" t="n"/>
      <c r="N116" s="81" t="n"/>
      <c r="O116" s="103">
        <f>IF(D116="","",COUNTIF($H$7:$H$156,B116))</f>
        <v/>
      </c>
      <c r="P116" s="72">
        <f>IF(D116="","",IF(AND(H116&lt;&gt;"",H116&gt;=B116),"⚠️ Predecessor must be above",IF(M116="Done","✓ Done",IF(Q116=3,"🔴 Late",IF(M116="In progress","In progress","")))))</f>
        <v/>
      </c>
      <c r="Q116" s="63">
        <f>IF(OR(D116="",L116=""),"",IF(M116="Done",2,IF(AsOf&gt;L116,3,1)))</f>
        <v/>
      </c>
      <c r="R116" s="63">
        <f>IF(OR(E116="",F116=""),0,IF(COUNTIFS($E$7:E116,E116,$F$7:F116,F116)=1,1,0))</f>
        <v/>
      </c>
      <c r="S116" s="63">
        <f>IF(R116=1,E116&amp;"|"&amp;SUMIFS($R$7:R116,$E$7:E116,E116),"")</f>
        <v/>
      </c>
      <c r="T116" s="85">
        <f>IF(Q116="","",IF(Q116=3,L116,IF(OR(M116="Not started",M116=""),J116,"")))</f>
        <v/>
      </c>
      <c r="U116" s="63">
        <f>IF(T116="","",IF(Q116=3,1,IF(T116="","",IF(T116&lt;AsOf,1,IF(T116&lt;=AsOf+AlertDays,2,IF(T116&lt;=AsOf+2*AlertDays,3,""))))))</f>
        <v/>
      </c>
      <c r="V116" s="63">
        <f>IF(U116="","",IF(Q116=3,"Late task: "&amp;D116,IF(T116&lt;AsOf,"Should have started: ","Starts soon: ")&amp;D116)&amp;IF(F116="",""," — "&amp;F116))</f>
        <v/>
      </c>
      <c r="X116" s="104" t="n"/>
      <c r="Y116" s="104" t="n"/>
      <c r="Z116" s="104" t="n"/>
      <c r="AA116" s="104" t="n"/>
      <c r="AB116" s="104" t="n"/>
      <c r="AC116" s="104" t="n"/>
      <c r="AD116" s="104" t="n"/>
      <c r="AE116" s="104" t="n"/>
      <c r="AF116" s="104" t="n"/>
      <c r="AG116" s="104" t="n"/>
      <c r="AH116" s="104" t="n"/>
      <c r="AI116" s="104" t="n"/>
      <c r="AJ116" s="104" t="n"/>
      <c r="AK116" s="104" t="n"/>
      <c r="AL116" s="104" t="n"/>
      <c r="AM116" s="104" t="n"/>
      <c r="AN116" s="104" t="n"/>
      <c r="AO116" s="104" t="n"/>
      <c r="AP116" s="104" t="n"/>
      <c r="AQ116" s="104" t="n"/>
      <c r="AR116" s="104" t="n"/>
      <c r="AS116" s="104" t="n"/>
      <c r="AT116" s="104" t="n"/>
      <c r="AU116" s="104" t="n"/>
      <c r="AV116" s="104" t="n"/>
      <c r="AW116" s="104" t="n"/>
      <c r="AX116" s="104" t="n"/>
      <c r="AY116" s="104" t="n"/>
      <c r="AZ116" s="104" t="n"/>
      <c r="BA116" s="104" t="n"/>
      <c r="BB116" s="104" t="n"/>
      <c r="BC116" s="104" t="n"/>
      <c r="BD116" s="104" t="n"/>
      <c r="BE116" s="104" t="n"/>
      <c r="BF116" s="104" t="n"/>
      <c r="BG116" s="104" t="n"/>
      <c r="BH116" s="104" t="n"/>
      <c r="BI116" s="104" t="n"/>
      <c r="BJ116" s="104" t="n"/>
      <c r="BK116" s="104" t="n"/>
      <c r="BL116" s="104" t="n"/>
      <c r="BM116" s="104" t="n"/>
      <c r="BN116" s="104" t="n"/>
      <c r="BO116" s="104" t="n"/>
      <c r="BP116" s="104" t="n"/>
      <c r="BQ116" s="104" t="n"/>
      <c r="BR116" s="104" t="n"/>
      <c r="BS116" s="104" t="n"/>
      <c r="BT116" s="104" t="n"/>
      <c r="BU116" s="104" t="n"/>
      <c r="BV116" s="104" t="n"/>
      <c r="BW116" s="104" t="n"/>
    </row>
    <row r="117" ht="20" customHeight="1">
      <c r="B117" s="100" t="n">
        <v>111</v>
      </c>
      <c r="C117" s="65" t="n"/>
      <c r="D117" s="65" t="n"/>
      <c r="E117" s="65" t="n"/>
      <c r="F117" s="65" t="n"/>
      <c r="G117" s="101" t="n"/>
      <c r="H117" s="101" t="n"/>
      <c r="I117" s="81" t="n"/>
      <c r="J117" s="102">
        <f>IF(OR(D117="",ProjStart=""),"",MAX(ProjStart,IF(I117&lt;&gt;"",I117,0),IF(H117="",0,IFERROR(INDEX($L$6:L116,MATCH(H117,$B$6:B116,0))+1,0))))</f>
        <v/>
      </c>
      <c r="K117" s="101" t="n"/>
      <c r="L117" s="102">
        <f>IF(J117="","",J117+MAX(1,G117)+IF(K117="",0,K117)-1)</f>
        <v/>
      </c>
      <c r="M117" s="65" t="n"/>
      <c r="N117" s="81" t="n"/>
      <c r="O117" s="103">
        <f>IF(D117="","",COUNTIF($H$7:$H$156,B117))</f>
        <v/>
      </c>
      <c r="P117" s="72">
        <f>IF(D117="","",IF(AND(H117&lt;&gt;"",H117&gt;=B117),"⚠️ Predecessor must be above",IF(M117="Done","✓ Done",IF(Q117=3,"🔴 Late",IF(M117="In progress","In progress","")))))</f>
        <v/>
      </c>
      <c r="Q117" s="63">
        <f>IF(OR(D117="",L117=""),"",IF(M117="Done",2,IF(AsOf&gt;L117,3,1)))</f>
        <v/>
      </c>
      <c r="R117" s="63">
        <f>IF(OR(E117="",F117=""),0,IF(COUNTIFS($E$7:E117,E117,$F$7:F117,F117)=1,1,0))</f>
        <v/>
      </c>
      <c r="S117" s="63">
        <f>IF(R117=1,E117&amp;"|"&amp;SUMIFS($R$7:R117,$E$7:E117,E117),"")</f>
        <v/>
      </c>
      <c r="T117" s="85">
        <f>IF(Q117="","",IF(Q117=3,L117,IF(OR(M117="Not started",M117=""),J117,"")))</f>
        <v/>
      </c>
      <c r="U117" s="63">
        <f>IF(T117="","",IF(Q117=3,1,IF(T117="","",IF(T117&lt;AsOf,1,IF(T117&lt;=AsOf+AlertDays,2,IF(T117&lt;=AsOf+2*AlertDays,3,""))))))</f>
        <v/>
      </c>
      <c r="V117" s="63">
        <f>IF(U117="","",IF(Q117=3,"Late task: "&amp;D117,IF(T117&lt;AsOf,"Should have started: ","Starts soon: ")&amp;D117)&amp;IF(F117="",""," — "&amp;F117))</f>
        <v/>
      </c>
      <c r="X117" s="104" t="n"/>
      <c r="Y117" s="104" t="n"/>
      <c r="Z117" s="104" t="n"/>
      <c r="AA117" s="104" t="n"/>
      <c r="AB117" s="104" t="n"/>
      <c r="AC117" s="104" t="n"/>
      <c r="AD117" s="104" t="n"/>
      <c r="AE117" s="104" t="n"/>
      <c r="AF117" s="104" t="n"/>
      <c r="AG117" s="104" t="n"/>
      <c r="AH117" s="104" t="n"/>
      <c r="AI117" s="104" t="n"/>
      <c r="AJ117" s="104" t="n"/>
      <c r="AK117" s="104" t="n"/>
      <c r="AL117" s="104" t="n"/>
      <c r="AM117" s="104" t="n"/>
      <c r="AN117" s="104" t="n"/>
      <c r="AO117" s="104" t="n"/>
      <c r="AP117" s="104" t="n"/>
      <c r="AQ117" s="104" t="n"/>
      <c r="AR117" s="104" t="n"/>
      <c r="AS117" s="104" t="n"/>
      <c r="AT117" s="104" t="n"/>
      <c r="AU117" s="104" t="n"/>
      <c r="AV117" s="104" t="n"/>
      <c r="AW117" s="104" t="n"/>
      <c r="AX117" s="104" t="n"/>
      <c r="AY117" s="104" t="n"/>
      <c r="AZ117" s="104" t="n"/>
      <c r="BA117" s="104" t="n"/>
      <c r="BB117" s="104" t="n"/>
      <c r="BC117" s="104" t="n"/>
      <c r="BD117" s="104" t="n"/>
      <c r="BE117" s="104" t="n"/>
      <c r="BF117" s="104" t="n"/>
      <c r="BG117" s="104" t="n"/>
      <c r="BH117" s="104" t="n"/>
      <c r="BI117" s="104" t="n"/>
      <c r="BJ117" s="104" t="n"/>
      <c r="BK117" s="104" t="n"/>
      <c r="BL117" s="104" t="n"/>
      <c r="BM117" s="104" t="n"/>
      <c r="BN117" s="104" t="n"/>
      <c r="BO117" s="104" t="n"/>
      <c r="BP117" s="104" t="n"/>
      <c r="BQ117" s="104" t="n"/>
      <c r="BR117" s="104" t="n"/>
      <c r="BS117" s="104" t="n"/>
      <c r="BT117" s="104" t="n"/>
      <c r="BU117" s="104" t="n"/>
      <c r="BV117" s="104" t="n"/>
      <c r="BW117" s="104" t="n"/>
    </row>
    <row r="118" ht="20" customHeight="1">
      <c r="B118" s="100" t="n">
        <v>112</v>
      </c>
      <c r="C118" s="65" t="n"/>
      <c r="D118" s="65" t="n"/>
      <c r="E118" s="65" t="n"/>
      <c r="F118" s="65" t="n"/>
      <c r="G118" s="101" t="n"/>
      <c r="H118" s="101" t="n"/>
      <c r="I118" s="81" t="n"/>
      <c r="J118" s="102">
        <f>IF(OR(D118="",ProjStart=""),"",MAX(ProjStart,IF(I118&lt;&gt;"",I118,0),IF(H118="",0,IFERROR(INDEX($L$6:L117,MATCH(H118,$B$6:B117,0))+1,0))))</f>
        <v/>
      </c>
      <c r="K118" s="101" t="n"/>
      <c r="L118" s="102">
        <f>IF(J118="","",J118+MAX(1,G118)+IF(K118="",0,K118)-1)</f>
        <v/>
      </c>
      <c r="M118" s="65" t="n"/>
      <c r="N118" s="81" t="n"/>
      <c r="O118" s="103">
        <f>IF(D118="","",COUNTIF($H$7:$H$156,B118))</f>
        <v/>
      </c>
      <c r="P118" s="72">
        <f>IF(D118="","",IF(AND(H118&lt;&gt;"",H118&gt;=B118),"⚠️ Predecessor must be above",IF(M118="Done","✓ Done",IF(Q118=3,"🔴 Late",IF(M118="In progress","In progress","")))))</f>
        <v/>
      </c>
      <c r="Q118" s="63">
        <f>IF(OR(D118="",L118=""),"",IF(M118="Done",2,IF(AsOf&gt;L118,3,1)))</f>
        <v/>
      </c>
      <c r="R118" s="63">
        <f>IF(OR(E118="",F118=""),0,IF(COUNTIFS($E$7:E118,E118,$F$7:F118,F118)=1,1,0))</f>
        <v/>
      </c>
      <c r="S118" s="63">
        <f>IF(R118=1,E118&amp;"|"&amp;SUMIFS($R$7:R118,$E$7:E118,E118),"")</f>
        <v/>
      </c>
      <c r="T118" s="85">
        <f>IF(Q118="","",IF(Q118=3,L118,IF(OR(M118="Not started",M118=""),J118,"")))</f>
        <v/>
      </c>
      <c r="U118" s="63">
        <f>IF(T118="","",IF(Q118=3,1,IF(T118="","",IF(T118&lt;AsOf,1,IF(T118&lt;=AsOf+AlertDays,2,IF(T118&lt;=AsOf+2*AlertDays,3,""))))))</f>
        <v/>
      </c>
      <c r="V118" s="63">
        <f>IF(U118="","",IF(Q118=3,"Late task: "&amp;D118,IF(T118&lt;AsOf,"Should have started: ","Starts soon: ")&amp;D118)&amp;IF(F118="",""," — "&amp;F118))</f>
        <v/>
      </c>
      <c r="X118" s="104" t="n"/>
      <c r="Y118" s="104" t="n"/>
      <c r="Z118" s="104" t="n"/>
      <c r="AA118" s="104" t="n"/>
      <c r="AB118" s="104" t="n"/>
      <c r="AC118" s="104" t="n"/>
      <c r="AD118" s="104" t="n"/>
      <c r="AE118" s="104" t="n"/>
      <c r="AF118" s="104" t="n"/>
      <c r="AG118" s="104" t="n"/>
      <c r="AH118" s="104" t="n"/>
      <c r="AI118" s="104" t="n"/>
      <c r="AJ118" s="104" t="n"/>
      <c r="AK118" s="104" t="n"/>
      <c r="AL118" s="104" t="n"/>
      <c r="AM118" s="104" t="n"/>
      <c r="AN118" s="104" t="n"/>
      <c r="AO118" s="104" t="n"/>
      <c r="AP118" s="104" t="n"/>
      <c r="AQ118" s="104" t="n"/>
      <c r="AR118" s="104" t="n"/>
      <c r="AS118" s="104" t="n"/>
      <c r="AT118" s="104" t="n"/>
      <c r="AU118" s="104" t="n"/>
      <c r="AV118" s="104" t="n"/>
      <c r="AW118" s="104" t="n"/>
      <c r="AX118" s="104" t="n"/>
      <c r="AY118" s="104" t="n"/>
      <c r="AZ118" s="104" t="n"/>
      <c r="BA118" s="104" t="n"/>
      <c r="BB118" s="104" t="n"/>
      <c r="BC118" s="104" t="n"/>
      <c r="BD118" s="104" t="n"/>
      <c r="BE118" s="104" t="n"/>
      <c r="BF118" s="104" t="n"/>
      <c r="BG118" s="104" t="n"/>
      <c r="BH118" s="104" t="n"/>
      <c r="BI118" s="104" t="n"/>
      <c r="BJ118" s="104" t="n"/>
      <c r="BK118" s="104" t="n"/>
      <c r="BL118" s="104" t="n"/>
      <c r="BM118" s="104" t="n"/>
      <c r="BN118" s="104" t="n"/>
      <c r="BO118" s="104" t="n"/>
      <c r="BP118" s="104" t="n"/>
      <c r="BQ118" s="104" t="n"/>
      <c r="BR118" s="104" t="n"/>
      <c r="BS118" s="104" t="n"/>
      <c r="BT118" s="104" t="n"/>
      <c r="BU118" s="104" t="n"/>
      <c r="BV118" s="104" t="n"/>
      <c r="BW118" s="104" t="n"/>
    </row>
    <row r="119" ht="20" customHeight="1">
      <c r="B119" s="100" t="n">
        <v>113</v>
      </c>
      <c r="C119" s="65" t="n"/>
      <c r="D119" s="65" t="n"/>
      <c r="E119" s="65" t="n"/>
      <c r="F119" s="65" t="n"/>
      <c r="G119" s="101" t="n"/>
      <c r="H119" s="101" t="n"/>
      <c r="I119" s="81" t="n"/>
      <c r="J119" s="102">
        <f>IF(OR(D119="",ProjStart=""),"",MAX(ProjStart,IF(I119&lt;&gt;"",I119,0),IF(H119="",0,IFERROR(INDEX($L$6:L118,MATCH(H119,$B$6:B118,0))+1,0))))</f>
        <v/>
      </c>
      <c r="K119" s="101" t="n"/>
      <c r="L119" s="102">
        <f>IF(J119="","",J119+MAX(1,G119)+IF(K119="",0,K119)-1)</f>
        <v/>
      </c>
      <c r="M119" s="65" t="n"/>
      <c r="N119" s="81" t="n"/>
      <c r="O119" s="103">
        <f>IF(D119="","",COUNTIF($H$7:$H$156,B119))</f>
        <v/>
      </c>
      <c r="P119" s="72">
        <f>IF(D119="","",IF(AND(H119&lt;&gt;"",H119&gt;=B119),"⚠️ Predecessor must be above",IF(M119="Done","✓ Done",IF(Q119=3,"🔴 Late",IF(M119="In progress","In progress","")))))</f>
        <v/>
      </c>
      <c r="Q119" s="63">
        <f>IF(OR(D119="",L119=""),"",IF(M119="Done",2,IF(AsOf&gt;L119,3,1)))</f>
        <v/>
      </c>
      <c r="R119" s="63">
        <f>IF(OR(E119="",F119=""),0,IF(COUNTIFS($E$7:E119,E119,$F$7:F119,F119)=1,1,0))</f>
        <v/>
      </c>
      <c r="S119" s="63">
        <f>IF(R119=1,E119&amp;"|"&amp;SUMIFS($R$7:R119,$E$7:E119,E119),"")</f>
        <v/>
      </c>
      <c r="T119" s="85">
        <f>IF(Q119="","",IF(Q119=3,L119,IF(OR(M119="Not started",M119=""),J119,"")))</f>
        <v/>
      </c>
      <c r="U119" s="63">
        <f>IF(T119="","",IF(Q119=3,1,IF(T119="","",IF(T119&lt;AsOf,1,IF(T119&lt;=AsOf+AlertDays,2,IF(T119&lt;=AsOf+2*AlertDays,3,""))))))</f>
        <v/>
      </c>
      <c r="V119" s="63">
        <f>IF(U119="","",IF(Q119=3,"Late task: "&amp;D119,IF(T119&lt;AsOf,"Should have started: ","Starts soon: ")&amp;D119)&amp;IF(F119="",""," — "&amp;F119))</f>
        <v/>
      </c>
      <c r="X119" s="104" t="n"/>
      <c r="Y119" s="104" t="n"/>
      <c r="Z119" s="104" t="n"/>
      <c r="AA119" s="104" t="n"/>
      <c r="AB119" s="104" t="n"/>
      <c r="AC119" s="104" t="n"/>
      <c r="AD119" s="104" t="n"/>
      <c r="AE119" s="104" t="n"/>
      <c r="AF119" s="104" t="n"/>
      <c r="AG119" s="104" t="n"/>
      <c r="AH119" s="104" t="n"/>
      <c r="AI119" s="104" t="n"/>
      <c r="AJ119" s="104" t="n"/>
      <c r="AK119" s="104" t="n"/>
      <c r="AL119" s="104" t="n"/>
      <c r="AM119" s="104" t="n"/>
      <c r="AN119" s="104" t="n"/>
      <c r="AO119" s="104" t="n"/>
      <c r="AP119" s="104" t="n"/>
      <c r="AQ119" s="104" t="n"/>
      <c r="AR119" s="104" t="n"/>
      <c r="AS119" s="104" t="n"/>
      <c r="AT119" s="104" t="n"/>
      <c r="AU119" s="104" t="n"/>
      <c r="AV119" s="104" t="n"/>
      <c r="AW119" s="104" t="n"/>
      <c r="AX119" s="104" t="n"/>
      <c r="AY119" s="104" t="n"/>
      <c r="AZ119" s="104" t="n"/>
      <c r="BA119" s="104" t="n"/>
      <c r="BB119" s="104" t="n"/>
      <c r="BC119" s="104" t="n"/>
      <c r="BD119" s="104" t="n"/>
      <c r="BE119" s="104" t="n"/>
      <c r="BF119" s="104" t="n"/>
      <c r="BG119" s="104" t="n"/>
      <c r="BH119" s="104" t="n"/>
      <c r="BI119" s="104" t="n"/>
      <c r="BJ119" s="104" t="n"/>
      <c r="BK119" s="104" t="n"/>
      <c r="BL119" s="104" t="n"/>
      <c r="BM119" s="104" t="n"/>
      <c r="BN119" s="104" t="n"/>
      <c r="BO119" s="104" t="n"/>
      <c r="BP119" s="104" t="n"/>
      <c r="BQ119" s="104" t="n"/>
      <c r="BR119" s="104" t="n"/>
      <c r="BS119" s="104" t="n"/>
      <c r="BT119" s="104" t="n"/>
      <c r="BU119" s="104" t="n"/>
      <c r="BV119" s="104" t="n"/>
      <c r="BW119" s="104" t="n"/>
    </row>
    <row r="120" ht="20" customHeight="1">
      <c r="B120" s="100" t="n">
        <v>114</v>
      </c>
      <c r="C120" s="65" t="n"/>
      <c r="D120" s="65" t="n"/>
      <c r="E120" s="65" t="n"/>
      <c r="F120" s="65" t="n"/>
      <c r="G120" s="101" t="n"/>
      <c r="H120" s="101" t="n"/>
      <c r="I120" s="81" t="n"/>
      <c r="J120" s="102">
        <f>IF(OR(D120="",ProjStart=""),"",MAX(ProjStart,IF(I120&lt;&gt;"",I120,0),IF(H120="",0,IFERROR(INDEX($L$6:L119,MATCH(H120,$B$6:B119,0))+1,0))))</f>
        <v/>
      </c>
      <c r="K120" s="101" t="n"/>
      <c r="L120" s="102">
        <f>IF(J120="","",J120+MAX(1,G120)+IF(K120="",0,K120)-1)</f>
        <v/>
      </c>
      <c r="M120" s="65" t="n"/>
      <c r="N120" s="81" t="n"/>
      <c r="O120" s="103">
        <f>IF(D120="","",COUNTIF($H$7:$H$156,B120))</f>
        <v/>
      </c>
      <c r="P120" s="72">
        <f>IF(D120="","",IF(AND(H120&lt;&gt;"",H120&gt;=B120),"⚠️ Predecessor must be above",IF(M120="Done","✓ Done",IF(Q120=3,"🔴 Late",IF(M120="In progress","In progress","")))))</f>
        <v/>
      </c>
      <c r="Q120" s="63">
        <f>IF(OR(D120="",L120=""),"",IF(M120="Done",2,IF(AsOf&gt;L120,3,1)))</f>
        <v/>
      </c>
      <c r="R120" s="63">
        <f>IF(OR(E120="",F120=""),0,IF(COUNTIFS($E$7:E120,E120,$F$7:F120,F120)=1,1,0))</f>
        <v/>
      </c>
      <c r="S120" s="63">
        <f>IF(R120=1,E120&amp;"|"&amp;SUMIFS($R$7:R120,$E$7:E120,E120),"")</f>
        <v/>
      </c>
      <c r="T120" s="85">
        <f>IF(Q120="","",IF(Q120=3,L120,IF(OR(M120="Not started",M120=""),J120,"")))</f>
        <v/>
      </c>
      <c r="U120" s="63">
        <f>IF(T120="","",IF(Q120=3,1,IF(T120="","",IF(T120&lt;AsOf,1,IF(T120&lt;=AsOf+AlertDays,2,IF(T120&lt;=AsOf+2*AlertDays,3,""))))))</f>
        <v/>
      </c>
      <c r="V120" s="63">
        <f>IF(U120="","",IF(Q120=3,"Late task: "&amp;D120,IF(T120&lt;AsOf,"Should have started: ","Starts soon: ")&amp;D120)&amp;IF(F120="",""," — "&amp;F120))</f>
        <v/>
      </c>
      <c r="X120" s="104" t="n"/>
      <c r="Y120" s="104" t="n"/>
      <c r="Z120" s="104" t="n"/>
      <c r="AA120" s="104" t="n"/>
      <c r="AB120" s="104" t="n"/>
      <c r="AC120" s="104" t="n"/>
      <c r="AD120" s="104" t="n"/>
      <c r="AE120" s="104" t="n"/>
      <c r="AF120" s="104" t="n"/>
      <c r="AG120" s="104" t="n"/>
      <c r="AH120" s="104" t="n"/>
      <c r="AI120" s="104" t="n"/>
      <c r="AJ120" s="104" t="n"/>
      <c r="AK120" s="104" t="n"/>
      <c r="AL120" s="104" t="n"/>
      <c r="AM120" s="104" t="n"/>
      <c r="AN120" s="104" t="n"/>
      <c r="AO120" s="104" t="n"/>
      <c r="AP120" s="104" t="n"/>
      <c r="AQ120" s="104" t="n"/>
      <c r="AR120" s="104" t="n"/>
      <c r="AS120" s="104" t="n"/>
      <c r="AT120" s="104" t="n"/>
      <c r="AU120" s="104" t="n"/>
      <c r="AV120" s="104" t="n"/>
      <c r="AW120" s="104" t="n"/>
      <c r="AX120" s="104" t="n"/>
      <c r="AY120" s="104" t="n"/>
      <c r="AZ120" s="104" t="n"/>
      <c r="BA120" s="104" t="n"/>
      <c r="BB120" s="104" t="n"/>
      <c r="BC120" s="104" t="n"/>
      <c r="BD120" s="104" t="n"/>
      <c r="BE120" s="104" t="n"/>
      <c r="BF120" s="104" t="n"/>
      <c r="BG120" s="104" t="n"/>
      <c r="BH120" s="104" t="n"/>
      <c r="BI120" s="104" t="n"/>
      <c r="BJ120" s="104" t="n"/>
      <c r="BK120" s="104" t="n"/>
      <c r="BL120" s="104" t="n"/>
      <c r="BM120" s="104" t="n"/>
      <c r="BN120" s="104" t="n"/>
      <c r="BO120" s="104" t="n"/>
      <c r="BP120" s="104" t="n"/>
      <c r="BQ120" s="104" t="n"/>
      <c r="BR120" s="104" t="n"/>
      <c r="BS120" s="104" t="n"/>
      <c r="BT120" s="104" t="n"/>
      <c r="BU120" s="104" t="n"/>
      <c r="BV120" s="104" t="n"/>
      <c r="BW120" s="104" t="n"/>
    </row>
    <row r="121" ht="20" customHeight="1">
      <c r="B121" s="100" t="n">
        <v>115</v>
      </c>
      <c r="C121" s="65" t="n"/>
      <c r="D121" s="65" t="n"/>
      <c r="E121" s="65" t="n"/>
      <c r="F121" s="65" t="n"/>
      <c r="G121" s="101" t="n"/>
      <c r="H121" s="101" t="n"/>
      <c r="I121" s="81" t="n"/>
      <c r="J121" s="102">
        <f>IF(OR(D121="",ProjStart=""),"",MAX(ProjStart,IF(I121&lt;&gt;"",I121,0),IF(H121="",0,IFERROR(INDEX($L$6:L120,MATCH(H121,$B$6:B120,0))+1,0))))</f>
        <v/>
      </c>
      <c r="K121" s="101" t="n"/>
      <c r="L121" s="102">
        <f>IF(J121="","",J121+MAX(1,G121)+IF(K121="",0,K121)-1)</f>
        <v/>
      </c>
      <c r="M121" s="65" t="n"/>
      <c r="N121" s="81" t="n"/>
      <c r="O121" s="103">
        <f>IF(D121="","",COUNTIF($H$7:$H$156,B121))</f>
        <v/>
      </c>
      <c r="P121" s="72">
        <f>IF(D121="","",IF(AND(H121&lt;&gt;"",H121&gt;=B121),"⚠️ Predecessor must be above",IF(M121="Done","✓ Done",IF(Q121=3,"🔴 Late",IF(M121="In progress","In progress","")))))</f>
        <v/>
      </c>
      <c r="Q121" s="63">
        <f>IF(OR(D121="",L121=""),"",IF(M121="Done",2,IF(AsOf&gt;L121,3,1)))</f>
        <v/>
      </c>
      <c r="R121" s="63">
        <f>IF(OR(E121="",F121=""),0,IF(COUNTIFS($E$7:E121,E121,$F$7:F121,F121)=1,1,0))</f>
        <v/>
      </c>
      <c r="S121" s="63">
        <f>IF(R121=1,E121&amp;"|"&amp;SUMIFS($R$7:R121,$E$7:E121,E121),"")</f>
        <v/>
      </c>
      <c r="T121" s="85">
        <f>IF(Q121="","",IF(Q121=3,L121,IF(OR(M121="Not started",M121=""),J121,"")))</f>
        <v/>
      </c>
      <c r="U121" s="63">
        <f>IF(T121="","",IF(Q121=3,1,IF(T121="","",IF(T121&lt;AsOf,1,IF(T121&lt;=AsOf+AlertDays,2,IF(T121&lt;=AsOf+2*AlertDays,3,""))))))</f>
        <v/>
      </c>
      <c r="V121" s="63">
        <f>IF(U121="","",IF(Q121=3,"Late task: "&amp;D121,IF(T121&lt;AsOf,"Should have started: ","Starts soon: ")&amp;D121)&amp;IF(F121="",""," — "&amp;F121))</f>
        <v/>
      </c>
      <c r="X121" s="104" t="n"/>
      <c r="Y121" s="104" t="n"/>
      <c r="Z121" s="104" t="n"/>
      <c r="AA121" s="104" t="n"/>
      <c r="AB121" s="104" t="n"/>
      <c r="AC121" s="104" t="n"/>
      <c r="AD121" s="104" t="n"/>
      <c r="AE121" s="104" t="n"/>
      <c r="AF121" s="104" t="n"/>
      <c r="AG121" s="104" t="n"/>
      <c r="AH121" s="104" t="n"/>
      <c r="AI121" s="104" t="n"/>
      <c r="AJ121" s="104" t="n"/>
      <c r="AK121" s="104" t="n"/>
      <c r="AL121" s="104" t="n"/>
      <c r="AM121" s="104" t="n"/>
      <c r="AN121" s="104" t="n"/>
      <c r="AO121" s="104" t="n"/>
      <c r="AP121" s="104" t="n"/>
      <c r="AQ121" s="104" t="n"/>
      <c r="AR121" s="104" t="n"/>
      <c r="AS121" s="104" t="n"/>
      <c r="AT121" s="104" t="n"/>
      <c r="AU121" s="104" t="n"/>
      <c r="AV121" s="104" t="n"/>
      <c r="AW121" s="104" t="n"/>
      <c r="AX121" s="104" t="n"/>
      <c r="AY121" s="104" t="n"/>
      <c r="AZ121" s="104" t="n"/>
      <c r="BA121" s="104" t="n"/>
      <c r="BB121" s="104" t="n"/>
      <c r="BC121" s="104" t="n"/>
      <c r="BD121" s="104" t="n"/>
      <c r="BE121" s="104" t="n"/>
      <c r="BF121" s="104" t="n"/>
      <c r="BG121" s="104" t="n"/>
      <c r="BH121" s="104" t="n"/>
      <c r="BI121" s="104" t="n"/>
      <c r="BJ121" s="104" t="n"/>
      <c r="BK121" s="104" t="n"/>
      <c r="BL121" s="104" t="n"/>
      <c r="BM121" s="104" t="n"/>
      <c r="BN121" s="104" t="n"/>
      <c r="BO121" s="104" t="n"/>
      <c r="BP121" s="104" t="n"/>
      <c r="BQ121" s="104" t="n"/>
      <c r="BR121" s="104" t="n"/>
      <c r="BS121" s="104" t="n"/>
      <c r="BT121" s="104" t="n"/>
      <c r="BU121" s="104" t="n"/>
      <c r="BV121" s="104" t="n"/>
      <c r="BW121" s="104" t="n"/>
    </row>
    <row r="122" ht="20" customHeight="1">
      <c r="B122" s="100" t="n">
        <v>116</v>
      </c>
      <c r="C122" s="65" t="n"/>
      <c r="D122" s="65" t="n"/>
      <c r="E122" s="65" t="n"/>
      <c r="F122" s="65" t="n"/>
      <c r="G122" s="101" t="n"/>
      <c r="H122" s="101" t="n"/>
      <c r="I122" s="81" t="n"/>
      <c r="J122" s="102">
        <f>IF(OR(D122="",ProjStart=""),"",MAX(ProjStart,IF(I122&lt;&gt;"",I122,0),IF(H122="",0,IFERROR(INDEX($L$6:L121,MATCH(H122,$B$6:B121,0))+1,0))))</f>
        <v/>
      </c>
      <c r="K122" s="101" t="n"/>
      <c r="L122" s="102">
        <f>IF(J122="","",J122+MAX(1,G122)+IF(K122="",0,K122)-1)</f>
        <v/>
      </c>
      <c r="M122" s="65" t="n"/>
      <c r="N122" s="81" t="n"/>
      <c r="O122" s="103">
        <f>IF(D122="","",COUNTIF($H$7:$H$156,B122))</f>
        <v/>
      </c>
      <c r="P122" s="72">
        <f>IF(D122="","",IF(AND(H122&lt;&gt;"",H122&gt;=B122),"⚠️ Predecessor must be above",IF(M122="Done","✓ Done",IF(Q122=3,"🔴 Late",IF(M122="In progress","In progress","")))))</f>
        <v/>
      </c>
      <c r="Q122" s="63">
        <f>IF(OR(D122="",L122=""),"",IF(M122="Done",2,IF(AsOf&gt;L122,3,1)))</f>
        <v/>
      </c>
      <c r="R122" s="63">
        <f>IF(OR(E122="",F122=""),0,IF(COUNTIFS($E$7:E122,E122,$F$7:F122,F122)=1,1,0))</f>
        <v/>
      </c>
      <c r="S122" s="63">
        <f>IF(R122=1,E122&amp;"|"&amp;SUMIFS($R$7:R122,$E$7:E122,E122),"")</f>
        <v/>
      </c>
      <c r="T122" s="85">
        <f>IF(Q122="","",IF(Q122=3,L122,IF(OR(M122="Not started",M122=""),J122,"")))</f>
        <v/>
      </c>
      <c r="U122" s="63">
        <f>IF(T122="","",IF(Q122=3,1,IF(T122="","",IF(T122&lt;AsOf,1,IF(T122&lt;=AsOf+AlertDays,2,IF(T122&lt;=AsOf+2*AlertDays,3,""))))))</f>
        <v/>
      </c>
      <c r="V122" s="63">
        <f>IF(U122="","",IF(Q122=3,"Late task: "&amp;D122,IF(T122&lt;AsOf,"Should have started: ","Starts soon: ")&amp;D122)&amp;IF(F122="",""," — "&amp;F122))</f>
        <v/>
      </c>
      <c r="X122" s="104" t="n"/>
      <c r="Y122" s="104" t="n"/>
      <c r="Z122" s="104" t="n"/>
      <c r="AA122" s="104" t="n"/>
      <c r="AB122" s="104" t="n"/>
      <c r="AC122" s="104" t="n"/>
      <c r="AD122" s="104" t="n"/>
      <c r="AE122" s="104" t="n"/>
      <c r="AF122" s="104" t="n"/>
      <c r="AG122" s="104" t="n"/>
      <c r="AH122" s="104" t="n"/>
      <c r="AI122" s="104" t="n"/>
      <c r="AJ122" s="104" t="n"/>
      <c r="AK122" s="104" t="n"/>
      <c r="AL122" s="104" t="n"/>
      <c r="AM122" s="104" t="n"/>
      <c r="AN122" s="104" t="n"/>
      <c r="AO122" s="104" t="n"/>
      <c r="AP122" s="104" t="n"/>
      <c r="AQ122" s="104" t="n"/>
      <c r="AR122" s="104" t="n"/>
      <c r="AS122" s="104" t="n"/>
      <c r="AT122" s="104" t="n"/>
      <c r="AU122" s="104" t="n"/>
      <c r="AV122" s="104" t="n"/>
      <c r="AW122" s="104" t="n"/>
      <c r="AX122" s="104" t="n"/>
      <c r="AY122" s="104" t="n"/>
      <c r="AZ122" s="104" t="n"/>
      <c r="BA122" s="104" t="n"/>
      <c r="BB122" s="104" t="n"/>
      <c r="BC122" s="104" t="n"/>
      <c r="BD122" s="104" t="n"/>
      <c r="BE122" s="104" t="n"/>
      <c r="BF122" s="104" t="n"/>
      <c r="BG122" s="104" t="n"/>
      <c r="BH122" s="104" t="n"/>
      <c r="BI122" s="104" t="n"/>
      <c r="BJ122" s="104" t="n"/>
      <c r="BK122" s="104" t="n"/>
      <c r="BL122" s="104" t="n"/>
      <c r="BM122" s="104" t="n"/>
      <c r="BN122" s="104" t="n"/>
      <c r="BO122" s="104" t="n"/>
      <c r="BP122" s="104" t="n"/>
      <c r="BQ122" s="104" t="n"/>
      <c r="BR122" s="104" t="n"/>
      <c r="BS122" s="104" t="n"/>
      <c r="BT122" s="104" t="n"/>
      <c r="BU122" s="104" t="n"/>
      <c r="BV122" s="104" t="n"/>
      <c r="BW122" s="104" t="n"/>
    </row>
    <row r="123" ht="20" customHeight="1">
      <c r="B123" s="100" t="n">
        <v>117</v>
      </c>
      <c r="C123" s="65" t="n"/>
      <c r="D123" s="65" t="n"/>
      <c r="E123" s="65" t="n"/>
      <c r="F123" s="65" t="n"/>
      <c r="G123" s="101" t="n"/>
      <c r="H123" s="101" t="n"/>
      <c r="I123" s="81" t="n"/>
      <c r="J123" s="102">
        <f>IF(OR(D123="",ProjStart=""),"",MAX(ProjStart,IF(I123&lt;&gt;"",I123,0),IF(H123="",0,IFERROR(INDEX($L$6:L122,MATCH(H123,$B$6:B122,0))+1,0))))</f>
        <v/>
      </c>
      <c r="K123" s="101" t="n"/>
      <c r="L123" s="102">
        <f>IF(J123="","",J123+MAX(1,G123)+IF(K123="",0,K123)-1)</f>
        <v/>
      </c>
      <c r="M123" s="65" t="n"/>
      <c r="N123" s="81" t="n"/>
      <c r="O123" s="103">
        <f>IF(D123="","",COUNTIF($H$7:$H$156,B123))</f>
        <v/>
      </c>
      <c r="P123" s="72">
        <f>IF(D123="","",IF(AND(H123&lt;&gt;"",H123&gt;=B123),"⚠️ Predecessor must be above",IF(M123="Done","✓ Done",IF(Q123=3,"🔴 Late",IF(M123="In progress","In progress","")))))</f>
        <v/>
      </c>
      <c r="Q123" s="63">
        <f>IF(OR(D123="",L123=""),"",IF(M123="Done",2,IF(AsOf&gt;L123,3,1)))</f>
        <v/>
      </c>
      <c r="R123" s="63">
        <f>IF(OR(E123="",F123=""),0,IF(COUNTIFS($E$7:E123,E123,$F$7:F123,F123)=1,1,0))</f>
        <v/>
      </c>
      <c r="S123" s="63">
        <f>IF(R123=1,E123&amp;"|"&amp;SUMIFS($R$7:R123,$E$7:E123,E123),"")</f>
        <v/>
      </c>
      <c r="T123" s="85">
        <f>IF(Q123="","",IF(Q123=3,L123,IF(OR(M123="Not started",M123=""),J123,"")))</f>
        <v/>
      </c>
      <c r="U123" s="63">
        <f>IF(T123="","",IF(Q123=3,1,IF(T123="","",IF(T123&lt;AsOf,1,IF(T123&lt;=AsOf+AlertDays,2,IF(T123&lt;=AsOf+2*AlertDays,3,""))))))</f>
        <v/>
      </c>
      <c r="V123" s="63">
        <f>IF(U123="","",IF(Q123=3,"Late task: "&amp;D123,IF(T123&lt;AsOf,"Should have started: ","Starts soon: ")&amp;D123)&amp;IF(F123="",""," — "&amp;F123))</f>
        <v/>
      </c>
      <c r="X123" s="104" t="n"/>
      <c r="Y123" s="104" t="n"/>
      <c r="Z123" s="104" t="n"/>
      <c r="AA123" s="104" t="n"/>
      <c r="AB123" s="104" t="n"/>
      <c r="AC123" s="104" t="n"/>
      <c r="AD123" s="104" t="n"/>
      <c r="AE123" s="104" t="n"/>
      <c r="AF123" s="104" t="n"/>
      <c r="AG123" s="104" t="n"/>
      <c r="AH123" s="104" t="n"/>
      <c r="AI123" s="104" t="n"/>
      <c r="AJ123" s="104" t="n"/>
      <c r="AK123" s="104" t="n"/>
      <c r="AL123" s="104" t="n"/>
      <c r="AM123" s="104" t="n"/>
      <c r="AN123" s="104" t="n"/>
      <c r="AO123" s="104" t="n"/>
      <c r="AP123" s="104" t="n"/>
      <c r="AQ123" s="104" t="n"/>
      <c r="AR123" s="104" t="n"/>
      <c r="AS123" s="104" t="n"/>
      <c r="AT123" s="104" t="n"/>
      <c r="AU123" s="104" t="n"/>
      <c r="AV123" s="104" t="n"/>
      <c r="AW123" s="104" t="n"/>
      <c r="AX123" s="104" t="n"/>
      <c r="AY123" s="104" t="n"/>
      <c r="AZ123" s="104" t="n"/>
      <c r="BA123" s="104" t="n"/>
      <c r="BB123" s="104" t="n"/>
      <c r="BC123" s="104" t="n"/>
      <c r="BD123" s="104" t="n"/>
      <c r="BE123" s="104" t="n"/>
      <c r="BF123" s="104" t="n"/>
      <c r="BG123" s="104" t="n"/>
      <c r="BH123" s="104" t="n"/>
      <c r="BI123" s="104" t="n"/>
      <c r="BJ123" s="104" t="n"/>
      <c r="BK123" s="104" t="n"/>
      <c r="BL123" s="104" t="n"/>
      <c r="BM123" s="104" t="n"/>
      <c r="BN123" s="104" t="n"/>
      <c r="BO123" s="104" t="n"/>
      <c r="BP123" s="104" t="n"/>
      <c r="BQ123" s="104" t="n"/>
      <c r="BR123" s="104" t="n"/>
      <c r="BS123" s="104" t="n"/>
      <c r="BT123" s="104" t="n"/>
      <c r="BU123" s="104" t="n"/>
      <c r="BV123" s="104" t="n"/>
      <c r="BW123" s="104" t="n"/>
    </row>
    <row r="124" ht="20" customHeight="1">
      <c r="B124" s="100" t="n">
        <v>118</v>
      </c>
      <c r="C124" s="65" t="n"/>
      <c r="D124" s="65" t="n"/>
      <c r="E124" s="65" t="n"/>
      <c r="F124" s="65" t="n"/>
      <c r="G124" s="101" t="n"/>
      <c r="H124" s="101" t="n"/>
      <c r="I124" s="81" t="n"/>
      <c r="J124" s="102">
        <f>IF(OR(D124="",ProjStart=""),"",MAX(ProjStart,IF(I124&lt;&gt;"",I124,0),IF(H124="",0,IFERROR(INDEX($L$6:L123,MATCH(H124,$B$6:B123,0))+1,0))))</f>
        <v/>
      </c>
      <c r="K124" s="101" t="n"/>
      <c r="L124" s="102">
        <f>IF(J124="","",J124+MAX(1,G124)+IF(K124="",0,K124)-1)</f>
        <v/>
      </c>
      <c r="M124" s="65" t="n"/>
      <c r="N124" s="81" t="n"/>
      <c r="O124" s="103">
        <f>IF(D124="","",COUNTIF($H$7:$H$156,B124))</f>
        <v/>
      </c>
      <c r="P124" s="72">
        <f>IF(D124="","",IF(AND(H124&lt;&gt;"",H124&gt;=B124),"⚠️ Predecessor must be above",IF(M124="Done","✓ Done",IF(Q124=3,"🔴 Late",IF(M124="In progress","In progress","")))))</f>
        <v/>
      </c>
      <c r="Q124" s="63">
        <f>IF(OR(D124="",L124=""),"",IF(M124="Done",2,IF(AsOf&gt;L124,3,1)))</f>
        <v/>
      </c>
      <c r="R124" s="63">
        <f>IF(OR(E124="",F124=""),0,IF(COUNTIFS($E$7:E124,E124,$F$7:F124,F124)=1,1,0))</f>
        <v/>
      </c>
      <c r="S124" s="63">
        <f>IF(R124=1,E124&amp;"|"&amp;SUMIFS($R$7:R124,$E$7:E124,E124),"")</f>
        <v/>
      </c>
      <c r="T124" s="85">
        <f>IF(Q124="","",IF(Q124=3,L124,IF(OR(M124="Not started",M124=""),J124,"")))</f>
        <v/>
      </c>
      <c r="U124" s="63">
        <f>IF(T124="","",IF(Q124=3,1,IF(T124="","",IF(T124&lt;AsOf,1,IF(T124&lt;=AsOf+AlertDays,2,IF(T124&lt;=AsOf+2*AlertDays,3,""))))))</f>
        <v/>
      </c>
      <c r="V124" s="63">
        <f>IF(U124="","",IF(Q124=3,"Late task: "&amp;D124,IF(T124&lt;AsOf,"Should have started: ","Starts soon: ")&amp;D124)&amp;IF(F124="",""," — "&amp;F124))</f>
        <v/>
      </c>
      <c r="X124" s="104" t="n"/>
      <c r="Y124" s="104" t="n"/>
      <c r="Z124" s="104" t="n"/>
      <c r="AA124" s="104" t="n"/>
      <c r="AB124" s="104" t="n"/>
      <c r="AC124" s="104" t="n"/>
      <c r="AD124" s="104" t="n"/>
      <c r="AE124" s="104" t="n"/>
      <c r="AF124" s="104" t="n"/>
      <c r="AG124" s="104" t="n"/>
      <c r="AH124" s="104" t="n"/>
      <c r="AI124" s="104" t="n"/>
      <c r="AJ124" s="104" t="n"/>
      <c r="AK124" s="104" t="n"/>
      <c r="AL124" s="104" t="n"/>
      <c r="AM124" s="104" t="n"/>
      <c r="AN124" s="104" t="n"/>
      <c r="AO124" s="104" t="n"/>
      <c r="AP124" s="104" t="n"/>
      <c r="AQ124" s="104" t="n"/>
      <c r="AR124" s="104" t="n"/>
      <c r="AS124" s="104" t="n"/>
      <c r="AT124" s="104" t="n"/>
      <c r="AU124" s="104" t="n"/>
      <c r="AV124" s="104" t="n"/>
      <c r="AW124" s="104" t="n"/>
      <c r="AX124" s="104" t="n"/>
      <c r="AY124" s="104" t="n"/>
      <c r="AZ124" s="104" t="n"/>
      <c r="BA124" s="104" t="n"/>
      <c r="BB124" s="104" t="n"/>
      <c r="BC124" s="104" t="n"/>
      <c r="BD124" s="104" t="n"/>
      <c r="BE124" s="104" t="n"/>
      <c r="BF124" s="104" t="n"/>
      <c r="BG124" s="104" t="n"/>
      <c r="BH124" s="104" t="n"/>
      <c r="BI124" s="104" t="n"/>
      <c r="BJ124" s="104" t="n"/>
      <c r="BK124" s="104" t="n"/>
      <c r="BL124" s="104" t="n"/>
      <c r="BM124" s="104" t="n"/>
      <c r="BN124" s="104" t="n"/>
      <c r="BO124" s="104" t="n"/>
      <c r="BP124" s="104" t="n"/>
      <c r="BQ124" s="104" t="n"/>
      <c r="BR124" s="104" t="n"/>
      <c r="BS124" s="104" t="n"/>
      <c r="BT124" s="104" t="n"/>
      <c r="BU124" s="104" t="n"/>
      <c r="BV124" s="104" t="n"/>
      <c r="BW124" s="104" t="n"/>
    </row>
    <row r="125" ht="20" customHeight="1">
      <c r="B125" s="100" t="n">
        <v>119</v>
      </c>
      <c r="C125" s="65" t="n"/>
      <c r="D125" s="65" t="n"/>
      <c r="E125" s="65" t="n"/>
      <c r="F125" s="65" t="n"/>
      <c r="G125" s="101" t="n"/>
      <c r="H125" s="101" t="n"/>
      <c r="I125" s="81" t="n"/>
      <c r="J125" s="102">
        <f>IF(OR(D125="",ProjStart=""),"",MAX(ProjStart,IF(I125&lt;&gt;"",I125,0),IF(H125="",0,IFERROR(INDEX($L$6:L124,MATCH(H125,$B$6:B124,0))+1,0))))</f>
        <v/>
      </c>
      <c r="K125" s="101" t="n"/>
      <c r="L125" s="102">
        <f>IF(J125="","",J125+MAX(1,G125)+IF(K125="",0,K125)-1)</f>
        <v/>
      </c>
      <c r="M125" s="65" t="n"/>
      <c r="N125" s="81" t="n"/>
      <c r="O125" s="103">
        <f>IF(D125="","",COUNTIF($H$7:$H$156,B125))</f>
        <v/>
      </c>
      <c r="P125" s="72">
        <f>IF(D125="","",IF(AND(H125&lt;&gt;"",H125&gt;=B125),"⚠️ Predecessor must be above",IF(M125="Done","✓ Done",IF(Q125=3,"🔴 Late",IF(M125="In progress","In progress","")))))</f>
        <v/>
      </c>
      <c r="Q125" s="63">
        <f>IF(OR(D125="",L125=""),"",IF(M125="Done",2,IF(AsOf&gt;L125,3,1)))</f>
        <v/>
      </c>
      <c r="R125" s="63">
        <f>IF(OR(E125="",F125=""),0,IF(COUNTIFS($E$7:E125,E125,$F$7:F125,F125)=1,1,0))</f>
        <v/>
      </c>
      <c r="S125" s="63">
        <f>IF(R125=1,E125&amp;"|"&amp;SUMIFS($R$7:R125,$E$7:E125,E125),"")</f>
        <v/>
      </c>
      <c r="T125" s="85">
        <f>IF(Q125="","",IF(Q125=3,L125,IF(OR(M125="Not started",M125=""),J125,"")))</f>
        <v/>
      </c>
      <c r="U125" s="63">
        <f>IF(T125="","",IF(Q125=3,1,IF(T125="","",IF(T125&lt;AsOf,1,IF(T125&lt;=AsOf+AlertDays,2,IF(T125&lt;=AsOf+2*AlertDays,3,""))))))</f>
        <v/>
      </c>
      <c r="V125" s="63">
        <f>IF(U125="","",IF(Q125=3,"Late task: "&amp;D125,IF(T125&lt;AsOf,"Should have started: ","Starts soon: ")&amp;D125)&amp;IF(F125="",""," — "&amp;F125))</f>
        <v/>
      </c>
      <c r="X125" s="104" t="n"/>
      <c r="Y125" s="104" t="n"/>
      <c r="Z125" s="104" t="n"/>
      <c r="AA125" s="104" t="n"/>
      <c r="AB125" s="104" t="n"/>
      <c r="AC125" s="104" t="n"/>
      <c r="AD125" s="104" t="n"/>
      <c r="AE125" s="104" t="n"/>
      <c r="AF125" s="104" t="n"/>
      <c r="AG125" s="104" t="n"/>
      <c r="AH125" s="104" t="n"/>
      <c r="AI125" s="104" t="n"/>
      <c r="AJ125" s="104" t="n"/>
      <c r="AK125" s="104" t="n"/>
      <c r="AL125" s="104" t="n"/>
      <c r="AM125" s="104" t="n"/>
      <c r="AN125" s="104" t="n"/>
      <c r="AO125" s="104" t="n"/>
      <c r="AP125" s="104" t="n"/>
      <c r="AQ125" s="104" t="n"/>
      <c r="AR125" s="104" t="n"/>
      <c r="AS125" s="104" t="n"/>
      <c r="AT125" s="104" t="n"/>
      <c r="AU125" s="104" t="n"/>
      <c r="AV125" s="104" t="n"/>
      <c r="AW125" s="104" t="n"/>
      <c r="AX125" s="104" t="n"/>
      <c r="AY125" s="104" t="n"/>
      <c r="AZ125" s="104" t="n"/>
      <c r="BA125" s="104" t="n"/>
      <c r="BB125" s="104" t="n"/>
      <c r="BC125" s="104" t="n"/>
      <c r="BD125" s="104" t="n"/>
      <c r="BE125" s="104" t="n"/>
      <c r="BF125" s="104" t="n"/>
      <c r="BG125" s="104" t="n"/>
      <c r="BH125" s="104" t="n"/>
      <c r="BI125" s="104" t="n"/>
      <c r="BJ125" s="104" t="n"/>
      <c r="BK125" s="104" t="n"/>
      <c r="BL125" s="104" t="n"/>
      <c r="BM125" s="104" t="n"/>
      <c r="BN125" s="104" t="n"/>
      <c r="BO125" s="104" t="n"/>
      <c r="BP125" s="104" t="n"/>
      <c r="BQ125" s="104" t="n"/>
      <c r="BR125" s="104" t="n"/>
      <c r="BS125" s="104" t="n"/>
      <c r="BT125" s="104" t="n"/>
      <c r="BU125" s="104" t="n"/>
      <c r="BV125" s="104" t="n"/>
      <c r="BW125" s="104" t="n"/>
    </row>
    <row r="126" ht="20" customHeight="1">
      <c r="B126" s="100" t="n">
        <v>120</v>
      </c>
      <c r="C126" s="65" t="n"/>
      <c r="D126" s="65" t="n"/>
      <c r="E126" s="65" t="n"/>
      <c r="F126" s="65" t="n"/>
      <c r="G126" s="101" t="n"/>
      <c r="H126" s="101" t="n"/>
      <c r="I126" s="81" t="n"/>
      <c r="J126" s="102">
        <f>IF(OR(D126="",ProjStart=""),"",MAX(ProjStart,IF(I126&lt;&gt;"",I126,0),IF(H126="",0,IFERROR(INDEX($L$6:L125,MATCH(H126,$B$6:B125,0))+1,0))))</f>
        <v/>
      </c>
      <c r="K126" s="101" t="n"/>
      <c r="L126" s="102">
        <f>IF(J126="","",J126+MAX(1,G126)+IF(K126="",0,K126)-1)</f>
        <v/>
      </c>
      <c r="M126" s="65" t="n"/>
      <c r="N126" s="81" t="n"/>
      <c r="O126" s="103">
        <f>IF(D126="","",COUNTIF($H$7:$H$156,B126))</f>
        <v/>
      </c>
      <c r="P126" s="72">
        <f>IF(D126="","",IF(AND(H126&lt;&gt;"",H126&gt;=B126),"⚠️ Predecessor must be above",IF(M126="Done","✓ Done",IF(Q126=3,"🔴 Late",IF(M126="In progress","In progress","")))))</f>
        <v/>
      </c>
      <c r="Q126" s="63">
        <f>IF(OR(D126="",L126=""),"",IF(M126="Done",2,IF(AsOf&gt;L126,3,1)))</f>
        <v/>
      </c>
      <c r="R126" s="63">
        <f>IF(OR(E126="",F126=""),0,IF(COUNTIFS($E$7:E126,E126,$F$7:F126,F126)=1,1,0))</f>
        <v/>
      </c>
      <c r="S126" s="63">
        <f>IF(R126=1,E126&amp;"|"&amp;SUMIFS($R$7:R126,$E$7:E126,E126),"")</f>
        <v/>
      </c>
      <c r="T126" s="85">
        <f>IF(Q126="","",IF(Q126=3,L126,IF(OR(M126="Not started",M126=""),J126,"")))</f>
        <v/>
      </c>
      <c r="U126" s="63">
        <f>IF(T126="","",IF(Q126=3,1,IF(T126="","",IF(T126&lt;AsOf,1,IF(T126&lt;=AsOf+AlertDays,2,IF(T126&lt;=AsOf+2*AlertDays,3,""))))))</f>
        <v/>
      </c>
      <c r="V126" s="63">
        <f>IF(U126="","",IF(Q126=3,"Late task: "&amp;D126,IF(T126&lt;AsOf,"Should have started: ","Starts soon: ")&amp;D126)&amp;IF(F126="",""," — "&amp;F126))</f>
        <v/>
      </c>
      <c r="X126" s="104" t="n"/>
      <c r="Y126" s="104" t="n"/>
      <c r="Z126" s="104" t="n"/>
      <c r="AA126" s="104" t="n"/>
      <c r="AB126" s="104" t="n"/>
      <c r="AC126" s="104" t="n"/>
      <c r="AD126" s="104" t="n"/>
      <c r="AE126" s="104" t="n"/>
      <c r="AF126" s="104" t="n"/>
      <c r="AG126" s="104" t="n"/>
      <c r="AH126" s="104" t="n"/>
      <c r="AI126" s="104" t="n"/>
      <c r="AJ126" s="104" t="n"/>
      <c r="AK126" s="104" t="n"/>
      <c r="AL126" s="104" t="n"/>
      <c r="AM126" s="104" t="n"/>
      <c r="AN126" s="104" t="n"/>
      <c r="AO126" s="104" t="n"/>
      <c r="AP126" s="104" t="n"/>
      <c r="AQ126" s="104" t="n"/>
      <c r="AR126" s="104" t="n"/>
      <c r="AS126" s="104" t="n"/>
      <c r="AT126" s="104" t="n"/>
      <c r="AU126" s="104" t="n"/>
      <c r="AV126" s="104" t="n"/>
      <c r="AW126" s="104" t="n"/>
      <c r="AX126" s="104" t="n"/>
      <c r="AY126" s="104" t="n"/>
      <c r="AZ126" s="104" t="n"/>
      <c r="BA126" s="104" t="n"/>
      <c r="BB126" s="104" t="n"/>
      <c r="BC126" s="104" t="n"/>
      <c r="BD126" s="104" t="n"/>
      <c r="BE126" s="104" t="n"/>
      <c r="BF126" s="104" t="n"/>
      <c r="BG126" s="104" t="n"/>
      <c r="BH126" s="104" t="n"/>
      <c r="BI126" s="104" t="n"/>
      <c r="BJ126" s="104" t="n"/>
      <c r="BK126" s="104" t="n"/>
      <c r="BL126" s="104" t="n"/>
      <c r="BM126" s="104" t="n"/>
      <c r="BN126" s="104" t="n"/>
      <c r="BO126" s="104" t="n"/>
      <c r="BP126" s="104" t="n"/>
      <c r="BQ126" s="104" t="n"/>
      <c r="BR126" s="104" t="n"/>
      <c r="BS126" s="104" t="n"/>
      <c r="BT126" s="104" t="n"/>
      <c r="BU126" s="104" t="n"/>
      <c r="BV126" s="104" t="n"/>
      <c r="BW126" s="104" t="n"/>
    </row>
    <row r="127" ht="20" customHeight="1">
      <c r="B127" s="100" t="n">
        <v>121</v>
      </c>
      <c r="C127" s="65" t="n"/>
      <c r="D127" s="65" t="n"/>
      <c r="E127" s="65" t="n"/>
      <c r="F127" s="65" t="n"/>
      <c r="G127" s="101" t="n"/>
      <c r="H127" s="101" t="n"/>
      <c r="I127" s="81" t="n"/>
      <c r="J127" s="102">
        <f>IF(OR(D127="",ProjStart=""),"",MAX(ProjStart,IF(I127&lt;&gt;"",I127,0),IF(H127="",0,IFERROR(INDEX($L$6:L126,MATCH(H127,$B$6:B126,0))+1,0))))</f>
        <v/>
      </c>
      <c r="K127" s="101" t="n"/>
      <c r="L127" s="102">
        <f>IF(J127="","",J127+MAX(1,G127)+IF(K127="",0,K127)-1)</f>
        <v/>
      </c>
      <c r="M127" s="65" t="n"/>
      <c r="N127" s="81" t="n"/>
      <c r="O127" s="103">
        <f>IF(D127="","",COUNTIF($H$7:$H$156,B127))</f>
        <v/>
      </c>
      <c r="P127" s="72">
        <f>IF(D127="","",IF(AND(H127&lt;&gt;"",H127&gt;=B127),"⚠️ Predecessor must be above",IF(M127="Done","✓ Done",IF(Q127=3,"🔴 Late",IF(M127="In progress","In progress","")))))</f>
        <v/>
      </c>
      <c r="Q127" s="63">
        <f>IF(OR(D127="",L127=""),"",IF(M127="Done",2,IF(AsOf&gt;L127,3,1)))</f>
        <v/>
      </c>
      <c r="R127" s="63">
        <f>IF(OR(E127="",F127=""),0,IF(COUNTIFS($E$7:E127,E127,$F$7:F127,F127)=1,1,0))</f>
        <v/>
      </c>
      <c r="S127" s="63">
        <f>IF(R127=1,E127&amp;"|"&amp;SUMIFS($R$7:R127,$E$7:E127,E127),"")</f>
        <v/>
      </c>
      <c r="T127" s="85">
        <f>IF(Q127="","",IF(Q127=3,L127,IF(OR(M127="Not started",M127=""),J127,"")))</f>
        <v/>
      </c>
      <c r="U127" s="63">
        <f>IF(T127="","",IF(Q127=3,1,IF(T127="","",IF(T127&lt;AsOf,1,IF(T127&lt;=AsOf+AlertDays,2,IF(T127&lt;=AsOf+2*AlertDays,3,""))))))</f>
        <v/>
      </c>
      <c r="V127" s="63">
        <f>IF(U127="","",IF(Q127=3,"Late task: "&amp;D127,IF(T127&lt;AsOf,"Should have started: ","Starts soon: ")&amp;D127)&amp;IF(F127="",""," — "&amp;F127))</f>
        <v/>
      </c>
      <c r="X127" s="104" t="n"/>
      <c r="Y127" s="104" t="n"/>
      <c r="Z127" s="104" t="n"/>
      <c r="AA127" s="104" t="n"/>
      <c r="AB127" s="104" t="n"/>
      <c r="AC127" s="104" t="n"/>
      <c r="AD127" s="104" t="n"/>
      <c r="AE127" s="104" t="n"/>
      <c r="AF127" s="104" t="n"/>
      <c r="AG127" s="104" t="n"/>
      <c r="AH127" s="104" t="n"/>
      <c r="AI127" s="104" t="n"/>
      <c r="AJ127" s="104" t="n"/>
      <c r="AK127" s="104" t="n"/>
      <c r="AL127" s="104" t="n"/>
      <c r="AM127" s="104" t="n"/>
      <c r="AN127" s="104" t="n"/>
      <c r="AO127" s="104" t="n"/>
      <c r="AP127" s="104" t="n"/>
      <c r="AQ127" s="104" t="n"/>
      <c r="AR127" s="104" t="n"/>
      <c r="AS127" s="104" t="n"/>
      <c r="AT127" s="104" t="n"/>
      <c r="AU127" s="104" t="n"/>
      <c r="AV127" s="104" t="n"/>
      <c r="AW127" s="104" t="n"/>
      <c r="AX127" s="104" t="n"/>
      <c r="AY127" s="104" t="n"/>
      <c r="AZ127" s="104" t="n"/>
      <c r="BA127" s="104" t="n"/>
      <c r="BB127" s="104" t="n"/>
      <c r="BC127" s="104" t="n"/>
      <c r="BD127" s="104" t="n"/>
      <c r="BE127" s="104" t="n"/>
      <c r="BF127" s="104" t="n"/>
      <c r="BG127" s="104" t="n"/>
      <c r="BH127" s="104" t="n"/>
      <c r="BI127" s="104" t="n"/>
      <c r="BJ127" s="104" t="n"/>
      <c r="BK127" s="104" t="n"/>
      <c r="BL127" s="104" t="n"/>
      <c r="BM127" s="104" t="n"/>
      <c r="BN127" s="104" t="n"/>
      <c r="BO127" s="104" t="n"/>
      <c r="BP127" s="104" t="n"/>
      <c r="BQ127" s="104" t="n"/>
      <c r="BR127" s="104" t="n"/>
      <c r="BS127" s="104" t="n"/>
      <c r="BT127" s="104" t="n"/>
      <c r="BU127" s="104" t="n"/>
      <c r="BV127" s="104" t="n"/>
      <c r="BW127" s="104" t="n"/>
    </row>
    <row r="128" ht="20" customHeight="1">
      <c r="B128" s="100" t="n">
        <v>122</v>
      </c>
      <c r="C128" s="65" t="n"/>
      <c r="D128" s="65" t="n"/>
      <c r="E128" s="65" t="n"/>
      <c r="F128" s="65" t="n"/>
      <c r="G128" s="101" t="n"/>
      <c r="H128" s="101" t="n"/>
      <c r="I128" s="81" t="n"/>
      <c r="J128" s="102">
        <f>IF(OR(D128="",ProjStart=""),"",MAX(ProjStart,IF(I128&lt;&gt;"",I128,0),IF(H128="",0,IFERROR(INDEX($L$6:L127,MATCH(H128,$B$6:B127,0))+1,0))))</f>
        <v/>
      </c>
      <c r="K128" s="101" t="n"/>
      <c r="L128" s="102">
        <f>IF(J128="","",J128+MAX(1,G128)+IF(K128="",0,K128)-1)</f>
        <v/>
      </c>
      <c r="M128" s="65" t="n"/>
      <c r="N128" s="81" t="n"/>
      <c r="O128" s="103">
        <f>IF(D128="","",COUNTIF($H$7:$H$156,B128))</f>
        <v/>
      </c>
      <c r="P128" s="72">
        <f>IF(D128="","",IF(AND(H128&lt;&gt;"",H128&gt;=B128),"⚠️ Predecessor must be above",IF(M128="Done","✓ Done",IF(Q128=3,"🔴 Late",IF(M128="In progress","In progress","")))))</f>
        <v/>
      </c>
      <c r="Q128" s="63">
        <f>IF(OR(D128="",L128=""),"",IF(M128="Done",2,IF(AsOf&gt;L128,3,1)))</f>
        <v/>
      </c>
      <c r="R128" s="63">
        <f>IF(OR(E128="",F128=""),0,IF(COUNTIFS($E$7:E128,E128,$F$7:F128,F128)=1,1,0))</f>
        <v/>
      </c>
      <c r="S128" s="63">
        <f>IF(R128=1,E128&amp;"|"&amp;SUMIFS($R$7:R128,$E$7:E128,E128),"")</f>
        <v/>
      </c>
      <c r="T128" s="85">
        <f>IF(Q128="","",IF(Q128=3,L128,IF(OR(M128="Not started",M128=""),J128,"")))</f>
        <v/>
      </c>
      <c r="U128" s="63">
        <f>IF(T128="","",IF(Q128=3,1,IF(T128="","",IF(T128&lt;AsOf,1,IF(T128&lt;=AsOf+AlertDays,2,IF(T128&lt;=AsOf+2*AlertDays,3,""))))))</f>
        <v/>
      </c>
      <c r="V128" s="63">
        <f>IF(U128="","",IF(Q128=3,"Late task: "&amp;D128,IF(T128&lt;AsOf,"Should have started: ","Starts soon: ")&amp;D128)&amp;IF(F128="",""," — "&amp;F128))</f>
        <v/>
      </c>
      <c r="X128" s="104" t="n"/>
      <c r="Y128" s="104" t="n"/>
      <c r="Z128" s="104" t="n"/>
      <c r="AA128" s="104" t="n"/>
      <c r="AB128" s="104" t="n"/>
      <c r="AC128" s="104" t="n"/>
      <c r="AD128" s="104" t="n"/>
      <c r="AE128" s="104" t="n"/>
      <c r="AF128" s="104" t="n"/>
      <c r="AG128" s="104" t="n"/>
      <c r="AH128" s="104" t="n"/>
      <c r="AI128" s="104" t="n"/>
      <c r="AJ128" s="104" t="n"/>
      <c r="AK128" s="104" t="n"/>
      <c r="AL128" s="104" t="n"/>
      <c r="AM128" s="104" t="n"/>
      <c r="AN128" s="104" t="n"/>
      <c r="AO128" s="104" t="n"/>
      <c r="AP128" s="104" t="n"/>
      <c r="AQ128" s="104" t="n"/>
      <c r="AR128" s="104" t="n"/>
      <c r="AS128" s="104" t="n"/>
      <c r="AT128" s="104" t="n"/>
      <c r="AU128" s="104" t="n"/>
      <c r="AV128" s="104" t="n"/>
      <c r="AW128" s="104" t="n"/>
      <c r="AX128" s="104" t="n"/>
      <c r="AY128" s="104" t="n"/>
      <c r="AZ128" s="104" t="n"/>
      <c r="BA128" s="104" t="n"/>
      <c r="BB128" s="104" t="n"/>
      <c r="BC128" s="104" t="n"/>
      <c r="BD128" s="104" t="n"/>
      <c r="BE128" s="104" t="n"/>
      <c r="BF128" s="104" t="n"/>
      <c r="BG128" s="104" t="n"/>
      <c r="BH128" s="104" t="n"/>
      <c r="BI128" s="104" t="n"/>
      <c r="BJ128" s="104" t="n"/>
      <c r="BK128" s="104" t="n"/>
      <c r="BL128" s="104" t="n"/>
      <c r="BM128" s="104" t="n"/>
      <c r="BN128" s="104" t="n"/>
      <c r="BO128" s="104" t="n"/>
      <c r="BP128" s="104" t="n"/>
      <c r="BQ128" s="104" t="n"/>
      <c r="BR128" s="104" t="n"/>
      <c r="BS128" s="104" t="n"/>
      <c r="BT128" s="104" t="n"/>
      <c r="BU128" s="104" t="n"/>
      <c r="BV128" s="104" t="n"/>
      <c r="BW128" s="104" t="n"/>
    </row>
    <row r="129" ht="20" customHeight="1">
      <c r="B129" s="100" t="n">
        <v>123</v>
      </c>
      <c r="C129" s="65" t="n"/>
      <c r="D129" s="65" t="n"/>
      <c r="E129" s="65" t="n"/>
      <c r="F129" s="65" t="n"/>
      <c r="G129" s="101" t="n"/>
      <c r="H129" s="101" t="n"/>
      <c r="I129" s="81" t="n"/>
      <c r="J129" s="102">
        <f>IF(OR(D129="",ProjStart=""),"",MAX(ProjStart,IF(I129&lt;&gt;"",I129,0),IF(H129="",0,IFERROR(INDEX($L$6:L128,MATCH(H129,$B$6:B128,0))+1,0))))</f>
        <v/>
      </c>
      <c r="K129" s="101" t="n"/>
      <c r="L129" s="102">
        <f>IF(J129="","",J129+MAX(1,G129)+IF(K129="",0,K129)-1)</f>
        <v/>
      </c>
      <c r="M129" s="65" t="n"/>
      <c r="N129" s="81" t="n"/>
      <c r="O129" s="103">
        <f>IF(D129="","",COUNTIF($H$7:$H$156,B129))</f>
        <v/>
      </c>
      <c r="P129" s="72">
        <f>IF(D129="","",IF(AND(H129&lt;&gt;"",H129&gt;=B129),"⚠️ Predecessor must be above",IF(M129="Done","✓ Done",IF(Q129=3,"🔴 Late",IF(M129="In progress","In progress","")))))</f>
        <v/>
      </c>
      <c r="Q129" s="63">
        <f>IF(OR(D129="",L129=""),"",IF(M129="Done",2,IF(AsOf&gt;L129,3,1)))</f>
        <v/>
      </c>
      <c r="R129" s="63">
        <f>IF(OR(E129="",F129=""),0,IF(COUNTIFS($E$7:E129,E129,$F$7:F129,F129)=1,1,0))</f>
        <v/>
      </c>
      <c r="S129" s="63">
        <f>IF(R129=1,E129&amp;"|"&amp;SUMIFS($R$7:R129,$E$7:E129,E129),"")</f>
        <v/>
      </c>
      <c r="T129" s="85">
        <f>IF(Q129="","",IF(Q129=3,L129,IF(OR(M129="Not started",M129=""),J129,"")))</f>
        <v/>
      </c>
      <c r="U129" s="63">
        <f>IF(T129="","",IF(Q129=3,1,IF(T129="","",IF(T129&lt;AsOf,1,IF(T129&lt;=AsOf+AlertDays,2,IF(T129&lt;=AsOf+2*AlertDays,3,""))))))</f>
        <v/>
      </c>
      <c r="V129" s="63">
        <f>IF(U129="","",IF(Q129=3,"Late task: "&amp;D129,IF(T129&lt;AsOf,"Should have started: ","Starts soon: ")&amp;D129)&amp;IF(F129="",""," — "&amp;F129))</f>
        <v/>
      </c>
      <c r="X129" s="104" t="n"/>
      <c r="Y129" s="104" t="n"/>
      <c r="Z129" s="104" t="n"/>
      <c r="AA129" s="104" t="n"/>
      <c r="AB129" s="104" t="n"/>
      <c r="AC129" s="104" t="n"/>
      <c r="AD129" s="104" t="n"/>
      <c r="AE129" s="104" t="n"/>
      <c r="AF129" s="104" t="n"/>
      <c r="AG129" s="104" t="n"/>
      <c r="AH129" s="104" t="n"/>
      <c r="AI129" s="104" t="n"/>
      <c r="AJ129" s="104" t="n"/>
      <c r="AK129" s="104" t="n"/>
      <c r="AL129" s="104" t="n"/>
      <c r="AM129" s="104" t="n"/>
      <c r="AN129" s="104" t="n"/>
      <c r="AO129" s="104" t="n"/>
      <c r="AP129" s="104" t="n"/>
      <c r="AQ129" s="104" t="n"/>
      <c r="AR129" s="104" t="n"/>
      <c r="AS129" s="104" t="n"/>
      <c r="AT129" s="104" t="n"/>
      <c r="AU129" s="104" t="n"/>
      <c r="AV129" s="104" t="n"/>
      <c r="AW129" s="104" t="n"/>
      <c r="AX129" s="104" t="n"/>
      <c r="AY129" s="104" t="n"/>
      <c r="AZ129" s="104" t="n"/>
      <c r="BA129" s="104" t="n"/>
      <c r="BB129" s="104" t="n"/>
      <c r="BC129" s="104" t="n"/>
      <c r="BD129" s="104" t="n"/>
      <c r="BE129" s="104" t="n"/>
      <c r="BF129" s="104" t="n"/>
      <c r="BG129" s="104" t="n"/>
      <c r="BH129" s="104" t="n"/>
      <c r="BI129" s="104" t="n"/>
      <c r="BJ129" s="104" t="n"/>
      <c r="BK129" s="104" t="n"/>
      <c r="BL129" s="104" t="n"/>
      <c r="BM129" s="104" t="n"/>
      <c r="BN129" s="104" t="n"/>
      <c r="BO129" s="104" t="n"/>
      <c r="BP129" s="104" t="n"/>
      <c r="BQ129" s="104" t="n"/>
      <c r="BR129" s="104" t="n"/>
      <c r="BS129" s="104" t="n"/>
      <c r="BT129" s="104" t="n"/>
      <c r="BU129" s="104" t="n"/>
      <c r="BV129" s="104" t="n"/>
      <c r="BW129" s="104" t="n"/>
    </row>
    <row r="130" ht="20" customHeight="1">
      <c r="B130" s="100" t="n">
        <v>124</v>
      </c>
      <c r="C130" s="65" t="n"/>
      <c r="D130" s="65" t="n"/>
      <c r="E130" s="65" t="n"/>
      <c r="F130" s="65" t="n"/>
      <c r="G130" s="101" t="n"/>
      <c r="H130" s="101" t="n"/>
      <c r="I130" s="81" t="n"/>
      <c r="J130" s="102">
        <f>IF(OR(D130="",ProjStart=""),"",MAX(ProjStart,IF(I130&lt;&gt;"",I130,0),IF(H130="",0,IFERROR(INDEX($L$6:L129,MATCH(H130,$B$6:B129,0))+1,0))))</f>
        <v/>
      </c>
      <c r="K130" s="101" t="n"/>
      <c r="L130" s="102">
        <f>IF(J130="","",J130+MAX(1,G130)+IF(K130="",0,K130)-1)</f>
        <v/>
      </c>
      <c r="M130" s="65" t="n"/>
      <c r="N130" s="81" t="n"/>
      <c r="O130" s="103">
        <f>IF(D130="","",COUNTIF($H$7:$H$156,B130))</f>
        <v/>
      </c>
      <c r="P130" s="72">
        <f>IF(D130="","",IF(AND(H130&lt;&gt;"",H130&gt;=B130),"⚠️ Predecessor must be above",IF(M130="Done","✓ Done",IF(Q130=3,"🔴 Late",IF(M130="In progress","In progress","")))))</f>
        <v/>
      </c>
      <c r="Q130" s="63">
        <f>IF(OR(D130="",L130=""),"",IF(M130="Done",2,IF(AsOf&gt;L130,3,1)))</f>
        <v/>
      </c>
      <c r="R130" s="63">
        <f>IF(OR(E130="",F130=""),0,IF(COUNTIFS($E$7:E130,E130,$F$7:F130,F130)=1,1,0))</f>
        <v/>
      </c>
      <c r="S130" s="63">
        <f>IF(R130=1,E130&amp;"|"&amp;SUMIFS($R$7:R130,$E$7:E130,E130),"")</f>
        <v/>
      </c>
      <c r="T130" s="85">
        <f>IF(Q130="","",IF(Q130=3,L130,IF(OR(M130="Not started",M130=""),J130,"")))</f>
        <v/>
      </c>
      <c r="U130" s="63">
        <f>IF(T130="","",IF(Q130=3,1,IF(T130="","",IF(T130&lt;AsOf,1,IF(T130&lt;=AsOf+AlertDays,2,IF(T130&lt;=AsOf+2*AlertDays,3,""))))))</f>
        <v/>
      </c>
      <c r="V130" s="63">
        <f>IF(U130="","",IF(Q130=3,"Late task: "&amp;D130,IF(T130&lt;AsOf,"Should have started: ","Starts soon: ")&amp;D130)&amp;IF(F130="",""," — "&amp;F130))</f>
        <v/>
      </c>
      <c r="X130" s="104" t="n"/>
      <c r="Y130" s="104" t="n"/>
      <c r="Z130" s="104" t="n"/>
      <c r="AA130" s="104" t="n"/>
      <c r="AB130" s="104" t="n"/>
      <c r="AC130" s="104" t="n"/>
      <c r="AD130" s="104" t="n"/>
      <c r="AE130" s="104" t="n"/>
      <c r="AF130" s="104" t="n"/>
      <c r="AG130" s="104" t="n"/>
      <c r="AH130" s="104" t="n"/>
      <c r="AI130" s="104" t="n"/>
      <c r="AJ130" s="104" t="n"/>
      <c r="AK130" s="104" t="n"/>
      <c r="AL130" s="104" t="n"/>
      <c r="AM130" s="104" t="n"/>
      <c r="AN130" s="104" t="n"/>
      <c r="AO130" s="104" t="n"/>
      <c r="AP130" s="104" t="n"/>
      <c r="AQ130" s="104" t="n"/>
      <c r="AR130" s="104" t="n"/>
      <c r="AS130" s="104" t="n"/>
      <c r="AT130" s="104" t="n"/>
      <c r="AU130" s="104" t="n"/>
      <c r="AV130" s="104" t="n"/>
      <c r="AW130" s="104" t="n"/>
      <c r="AX130" s="104" t="n"/>
      <c r="AY130" s="104" t="n"/>
      <c r="AZ130" s="104" t="n"/>
      <c r="BA130" s="104" t="n"/>
      <c r="BB130" s="104" t="n"/>
      <c r="BC130" s="104" t="n"/>
      <c r="BD130" s="104" t="n"/>
      <c r="BE130" s="104" t="n"/>
      <c r="BF130" s="104" t="n"/>
      <c r="BG130" s="104" t="n"/>
      <c r="BH130" s="104" t="n"/>
      <c r="BI130" s="104" t="n"/>
      <c r="BJ130" s="104" t="n"/>
      <c r="BK130" s="104" t="n"/>
      <c r="BL130" s="104" t="n"/>
      <c r="BM130" s="104" t="n"/>
      <c r="BN130" s="104" t="n"/>
      <c r="BO130" s="104" t="n"/>
      <c r="BP130" s="104" t="n"/>
      <c r="BQ130" s="104" t="n"/>
      <c r="BR130" s="104" t="n"/>
      <c r="BS130" s="104" t="n"/>
      <c r="BT130" s="104" t="n"/>
      <c r="BU130" s="104" t="n"/>
      <c r="BV130" s="104" t="n"/>
      <c r="BW130" s="104" t="n"/>
    </row>
    <row r="131" ht="20" customHeight="1">
      <c r="B131" s="100" t="n">
        <v>125</v>
      </c>
      <c r="C131" s="65" t="n"/>
      <c r="D131" s="65" t="n"/>
      <c r="E131" s="65" t="n"/>
      <c r="F131" s="65" t="n"/>
      <c r="G131" s="101" t="n"/>
      <c r="H131" s="101" t="n"/>
      <c r="I131" s="81" t="n"/>
      <c r="J131" s="102">
        <f>IF(OR(D131="",ProjStart=""),"",MAX(ProjStart,IF(I131&lt;&gt;"",I131,0),IF(H131="",0,IFERROR(INDEX($L$6:L130,MATCH(H131,$B$6:B130,0))+1,0))))</f>
        <v/>
      </c>
      <c r="K131" s="101" t="n"/>
      <c r="L131" s="102">
        <f>IF(J131="","",J131+MAX(1,G131)+IF(K131="",0,K131)-1)</f>
        <v/>
      </c>
      <c r="M131" s="65" t="n"/>
      <c r="N131" s="81" t="n"/>
      <c r="O131" s="103">
        <f>IF(D131="","",COUNTIF($H$7:$H$156,B131))</f>
        <v/>
      </c>
      <c r="P131" s="72">
        <f>IF(D131="","",IF(AND(H131&lt;&gt;"",H131&gt;=B131),"⚠️ Predecessor must be above",IF(M131="Done","✓ Done",IF(Q131=3,"🔴 Late",IF(M131="In progress","In progress","")))))</f>
        <v/>
      </c>
      <c r="Q131" s="63">
        <f>IF(OR(D131="",L131=""),"",IF(M131="Done",2,IF(AsOf&gt;L131,3,1)))</f>
        <v/>
      </c>
      <c r="R131" s="63">
        <f>IF(OR(E131="",F131=""),0,IF(COUNTIFS($E$7:E131,E131,$F$7:F131,F131)=1,1,0))</f>
        <v/>
      </c>
      <c r="S131" s="63">
        <f>IF(R131=1,E131&amp;"|"&amp;SUMIFS($R$7:R131,$E$7:E131,E131),"")</f>
        <v/>
      </c>
      <c r="T131" s="85">
        <f>IF(Q131="","",IF(Q131=3,L131,IF(OR(M131="Not started",M131=""),J131,"")))</f>
        <v/>
      </c>
      <c r="U131" s="63">
        <f>IF(T131="","",IF(Q131=3,1,IF(T131="","",IF(T131&lt;AsOf,1,IF(T131&lt;=AsOf+AlertDays,2,IF(T131&lt;=AsOf+2*AlertDays,3,""))))))</f>
        <v/>
      </c>
      <c r="V131" s="63">
        <f>IF(U131="","",IF(Q131=3,"Late task: "&amp;D131,IF(T131&lt;AsOf,"Should have started: ","Starts soon: ")&amp;D131)&amp;IF(F131="",""," — "&amp;F131))</f>
        <v/>
      </c>
      <c r="X131" s="104" t="n"/>
      <c r="Y131" s="104" t="n"/>
      <c r="Z131" s="104" t="n"/>
      <c r="AA131" s="104" t="n"/>
      <c r="AB131" s="104" t="n"/>
      <c r="AC131" s="104" t="n"/>
      <c r="AD131" s="104" t="n"/>
      <c r="AE131" s="104" t="n"/>
      <c r="AF131" s="104" t="n"/>
      <c r="AG131" s="104" t="n"/>
      <c r="AH131" s="104" t="n"/>
      <c r="AI131" s="104" t="n"/>
      <c r="AJ131" s="104" t="n"/>
      <c r="AK131" s="104" t="n"/>
      <c r="AL131" s="104" t="n"/>
      <c r="AM131" s="104" t="n"/>
      <c r="AN131" s="104" t="n"/>
      <c r="AO131" s="104" t="n"/>
      <c r="AP131" s="104" t="n"/>
      <c r="AQ131" s="104" t="n"/>
      <c r="AR131" s="104" t="n"/>
      <c r="AS131" s="104" t="n"/>
      <c r="AT131" s="104" t="n"/>
      <c r="AU131" s="104" t="n"/>
      <c r="AV131" s="104" t="n"/>
      <c r="AW131" s="104" t="n"/>
      <c r="AX131" s="104" t="n"/>
      <c r="AY131" s="104" t="n"/>
      <c r="AZ131" s="104" t="n"/>
      <c r="BA131" s="104" t="n"/>
      <c r="BB131" s="104" t="n"/>
      <c r="BC131" s="104" t="n"/>
      <c r="BD131" s="104" t="n"/>
      <c r="BE131" s="104" t="n"/>
      <c r="BF131" s="104" t="n"/>
      <c r="BG131" s="104" t="n"/>
      <c r="BH131" s="104" t="n"/>
      <c r="BI131" s="104" t="n"/>
      <c r="BJ131" s="104" t="n"/>
      <c r="BK131" s="104" t="n"/>
      <c r="BL131" s="104" t="n"/>
      <c r="BM131" s="104" t="n"/>
      <c r="BN131" s="104" t="n"/>
      <c r="BO131" s="104" t="n"/>
      <c r="BP131" s="104" t="n"/>
      <c r="BQ131" s="104" t="n"/>
      <c r="BR131" s="104" t="n"/>
      <c r="BS131" s="104" t="n"/>
      <c r="BT131" s="104" t="n"/>
      <c r="BU131" s="104" t="n"/>
      <c r="BV131" s="104" t="n"/>
      <c r="BW131" s="104" t="n"/>
    </row>
    <row r="132" ht="20" customHeight="1">
      <c r="B132" s="100" t="n">
        <v>126</v>
      </c>
      <c r="C132" s="65" t="n"/>
      <c r="D132" s="65" t="n"/>
      <c r="E132" s="65" t="n"/>
      <c r="F132" s="65" t="n"/>
      <c r="G132" s="101" t="n"/>
      <c r="H132" s="101" t="n"/>
      <c r="I132" s="81" t="n"/>
      <c r="J132" s="102">
        <f>IF(OR(D132="",ProjStart=""),"",MAX(ProjStart,IF(I132&lt;&gt;"",I132,0),IF(H132="",0,IFERROR(INDEX($L$6:L131,MATCH(H132,$B$6:B131,0))+1,0))))</f>
        <v/>
      </c>
      <c r="K132" s="101" t="n"/>
      <c r="L132" s="102">
        <f>IF(J132="","",J132+MAX(1,G132)+IF(K132="",0,K132)-1)</f>
        <v/>
      </c>
      <c r="M132" s="65" t="n"/>
      <c r="N132" s="81" t="n"/>
      <c r="O132" s="103">
        <f>IF(D132="","",COUNTIF($H$7:$H$156,B132))</f>
        <v/>
      </c>
      <c r="P132" s="72">
        <f>IF(D132="","",IF(AND(H132&lt;&gt;"",H132&gt;=B132),"⚠️ Predecessor must be above",IF(M132="Done","✓ Done",IF(Q132=3,"🔴 Late",IF(M132="In progress","In progress","")))))</f>
        <v/>
      </c>
      <c r="Q132" s="63">
        <f>IF(OR(D132="",L132=""),"",IF(M132="Done",2,IF(AsOf&gt;L132,3,1)))</f>
        <v/>
      </c>
      <c r="R132" s="63">
        <f>IF(OR(E132="",F132=""),0,IF(COUNTIFS($E$7:E132,E132,$F$7:F132,F132)=1,1,0))</f>
        <v/>
      </c>
      <c r="S132" s="63">
        <f>IF(R132=1,E132&amp;"|"&amp;SUMIFS($R$7:R132,$E$7:E132,E132),"")</f>
        <v/>
      </c>
      <c r="T132" s="85">
        <f>IF(Q132="","",IF(Q132=3,L132,IF(OR(M132="Not started",M132=""),J132,"")))</f>
        <v/>
      </c>
      <c r="U132" s="63">
        <f>IF(T132="","",IF(Q132=3,1,IF(T132="","",IF(T132&lt;AsOf,1,IF(T132&lt;=AsOf+AlertDays,2,IF(T132&lt;=AsOf+2*AlertDays,3,""))))))</f>
        <v/>
      </c>
      <c r="V132" s="63">
        <f>IF(U132="","",IF(Q132=3,"Late task: "&amp;D132,IF(T132&lt;AsOf,"Should have started: ","Starts soon: ")&amp;D132)&amp;IF(F132="",""," — "&amp;F132))</f>
        <v/>
      </c>
      <c r="X132" s="104" t="n"/>
      <c r="Y132" s="104" t="n"/>
      <c r="Z132" s="104" t="n"/>
      <c r="AA132" s="104" t="n"/>
      <c r="AB132" s="104" t="n"/>
      <c r="AC132" s="104" t="n"/>
      <c r="AD132" s="104" t="n"/>
      <c r="AE132" s="104" t="n"/>
      <c r="AF132" s="104" t="n"/>
      <c r="AG132" s="104" t="n"/>
      <c r="AH132" s="104" t="n"/>
      <c r="AI132" s="104" t="n"/>
      <c r="AJ132" s="104" t="n"/>
      <c r="AK132" s="104" t="n"/>
      <c r="AL132" s="104" t="n"/>
      <c r="AM132" s="104" t="n"/>
      <c r="AN132" s="104" t="n"/>
      <c r="AO132" s="104" t="n"/>
      <c r="AP132" s="104" t="n"/>
      <c r="AQ132" s="104" t="n"/>
      <c r="AR132" s="104" t="n"/>
      <c r="AS132" s="104" t="n"/>
      <c r="AT132" s="104" t="n"/>
      <c r="AU132" s="104" t="n"/>
      <c r="AV132" s="104" t="n"/>
      <c r="AW132" s="104" t="n"/>
      <c r="AX132" s="104" t="n"/>
      <c r="AY132" s="104" t="n"/>
      <c r="AZ132" s="104" t="n"/>
      <c r="BA132" s="104" t="n"/>
      <c r="BB132" s="104" t="n"/>
      <c r="BC132" s="104" t="n"/>
      <c r="BD132" s="104" t="n"/>
      <c r="BE132" s="104" t="n"/>
      <c r="BF132" s="104" t="n"/>
      <c r="BG132" s="104" t="n"/>
      <c r="BH132" s="104" t="n"/>
      <c r="BI132" s="104" t="n"/>
      <c r="BJ132" s="104" t="n"/>
      <c r="BK132" s="104" t="n"/>
      <c r="BL132" s="104" t="n"/>
      <c r="BM132" s="104" t="n"/>
      <c r="BN132" s="104" t="n"/>
      <c r="BO132" s="104" t="n"/>
      <c r="BP132" s="104" t="n"/>
      <c r="BQ132" s="104" t="n"/>
      <c r="BR132" s="104" t="n"/>
      <c r="BS132" s="104" t="n"/>
      <c r="BT132" s="104" t="n"/>
      <c r="BU132" s="104" t="n"/>
      <c r="BV132" s="104" t="n"/>
      <c r="BW132" s="104" t="n"/>
    </row>
    <row r="133" ht="20" customHeight="1">
      <c r="B133" s="100" t="n">
        <v>127</v>
      </c>
      <c r="C133" s="65" t="n"/>
      <c r="D133" s="65" t="n"/>
      <c r="E133" s="65" t="n"/>
      <c r="F133" s="65" t="n"/>
      <c r="G133" s="101" t="n"/>
      <c r="H133" s="101" t="n"/>
      <c r="I133" s="81" t="n"/>
      <c r="J133" s="102">
        <f>IF(OR(D133="",ProjStart=""),"",MAX(ProjStart,IF(I133&lt;&gt;"",I133,0),IF(H133="",0,IFERROR(INDEX($L$6:L132,MATCH(H133,$B$6:B132,0))+1,0))))</f>
        <v/>
      </c>
      <c r="K133" s="101" t="n"/>
      <c r="L133" s="102">
        <f>IF(J133="","",J133+MAX(1,G133)+IF(K133="",0,K133)-1)</f>
        <v/>
      </c>
      <c r="M133" s="65" t="n"/>
      <c r="N133" s="81" t="n"/>
      <c r="O133" s="103">
        <f>IF(D133="","",COUNTIF($H$7:$H$156,B133))</f>
        <v/>
      </c>
      <c r="P133" s="72">
        <f>IF(D133="","",IF(AND(H133&lt;&gt;"",H133&gt;=B133),"⚠️ Predecessor must be above",IF(M133="Done","✓ Done",IF(Q133=3,"🔴 Late",IF(M133="In progress","In progress","")))))</f>
        <v/>
      </c>
      <c r="Q133" s="63">
        <f>IF(OR(D133="",L133=""),"",IF(M133="Done",2,IF(AsOf&gt;L133,3,1)))</f>
        <v/>
      </c>
      <c r="R133" s="63">
        <f>IF(OR(E133="",F133=""),0,IF(COUNTIFS($E$7:E133,E133,$F$7:F133,F133)=1,1,0))</f>
        <v/>
      </c>
      <c r="S133" s="63">
        <f>IF(R133=1,E133&amp;"|"&amp;SUMIFS($R$7:R133,$E$7:E133,E133),"")</f>
        <v/>
      </c>
      <c r="T133" s="85">
        <f>IF(Q133="","",IF(Q133=3,L133,IF(OR(M133="Not started",M133=""),J133,"")))</f>
        <v/>
      </c>
      <c r="U133" s="63">
        <f>IF(T133="","",IF(Q133=3,1,IF(T133="","",IF(T133&lt;AsOf,1,IF(T133&lt;=AsOf+AlertDays,2,IF(T133&lt;=AsOf+2*AlertDays,3,""))))))</f>
        <v/>
      </c>
      <c r="V133" s="63">
        <f>IF(U133="","",IF(Q133=3,"Late task: "&amp;D133,IF(T133&lt;AsOf,"Should have started: ","Starts soon: ")&amp;D133)&amp;IF(F133="",""," — "&amp;F133))</f>
        <v/>
      </c>
      <c r="X133" s="104" t="n"/>
      <c r="Y133" s="104" t="n"/>
      <c r="Z133" s="104" t="n"/>
      <c r="AA133" s="104" t="n"/>
      <c r="AB133" s="104" t="n"/>
      <c r="AC133" s="104" t="n"/>
      <c r="AD133" s="104" t="n"/>
      <c r="AE133" s="104" t="n"/>
      <c r="AF133" s="104" t="n"/>
      <c r="AG133" s="104" t="n"/>
      <c r="AH133" s="104" t="n"/>
      <c r="AI133" s="104" t="n"/>
      <c r="AJ133" s="104" t="n"/>
      <c r="AK133" s="104" t="n"/>
      <c r="AL133" s="104" t="n"/>
      <c r="AM133" s="104" t="n"/>
      <c r="AN133" s="104" t="n"/>
      <c r="AO133" s="104" t="n"/>
      <c r="AP133" s="104" t="n"/>
      <c r="AQ133" s="104" t="n"/>
      <c r="AR133" s="104" t="n"/>
      <c r="AS133" s="104" t="n"/>
      <c r="AT133" s="104" t="n"/>
      <c r="AU133" s="104" t="n"/>
      <c r="AV133" s="104" t="n"/>
      <c r="AW133" s="104" t="n"/>
      <c r="AX133" s="104" t="n"/>
      <c r="AY133" s="104" t="n"/>
      <c r="AZ133" s="104" t="n"/>
      <c r="BA133" s="104" t="n"/>
      <c r="BB133" s="104" t="n"/>
      <c r="BC133" s="104" t="n"/>
      <c r="BD133" s="104" t="n"/>
      <c r="BE133" s="104" t="n"/>
      <c r="BF133" s="104" t="n"/>
      <c r="BG133" s="104" t="n"/>
      <c r="BH133" s="104" t="n"/>
      <c r="BI133" s="104" t="n"/>
      <c r="BJ133" s="104" t="n"/>
      <c r="BK133" s="104" t="n"/>
      <c r="BL133" s="104" t="n"/>
      <c r="BM133" s="104" t="n"/>
      <c r="BN133" s="104" t="n"/>
      <c r="BO133" s="104" t="n"/>
      <c r="BP133" s="104" t="n"/>
      <c r="BQ133" s="104" t="n"/>
      <c r="BR133" s="104" t="n"/>
      <c r="BS133" s="104" t="n"/>
      <c r="BT133" s="104" t="n"/>
      <c r="BU133" s="104" t="n"/>
      <c r="BV133" s="104" t="n"/>
      <c r="BW133" s="104" t="n"/>
    </row>
    <row r="134" ht="20" customHeight="1">
      <c r="B134" s="100" t="n">
        <v>128</v>
      </c>
      <c r="C134" s="65" t="n"/>
      <c r="D134" s="65" t="n"/>
      <c r="E134" s="65" t="n"/>
      <c r="F134" s="65" t="n"/>
      <c r="G134" s="101" t="n"/>
      <c r="H134" s="101" t="n"/>
      <c r="I134" s="81" t="n"/>
      <c r="J134" s="102">
        <f>IF(OR(D134="",ProjStart=""),"",MAX(ProjStart,IF(I134&lt;&gt;"",I134,0),IF(H134="",0,IFERROR(INDEX($L$6:L133,MATCH(H134,$B$6:B133,0))+1,0))))</f>
        <v/>
      </c>
      <c r="K134" s="101" t="n"/>
      <c r="L134" s="102">
        <f>IF(J134="","",J134+MAX(1,G134)+IF(K134="",0,K134)-1)</f>
        <v/>
      </c>
      <c r="M134" s="65" t="n"/>
      <c r="N134" s="81" t="n"/>
      <c r="O134" s="103">
        <f>IF(D134="","",COUNTIF($H$7:$H$156,B134))</f>
        <v/>
      </c>
      <c r="P134" s="72">
        <f>IF(D134="","",IF(AND(H134&lt;&gt;"",H134&gt;=B134),"⚠️ Predecessor must be above",IF(M134="Done","✓ Done",IF(Q134=3,"🔴 Late",IF(M134="In progress","In progress","")))))</f>
        <v/>
      </c>
      <c r="Q134" s="63">
        <f>IF(OR(D134="",L134=""),"",IF(M134="Done",2,IF(AsOf&gt;L134,3,1)))</f>
        <v/>
      </c>
      <c r="R134" s="63">
        <f>IF(OR(E134="",F134=""),0,IF(COUNTIFS($E$7:E134,E134,$F$7:F134,F134)=1,1,0))</f>
        <v/>
      </c>
      <c r="S134" s="63">
        <f>IF(R134=1,E134&amp;"|"&amp;SUMIFS($R$7:R134,$E$7:E134,E134),"")</f>
        <v/>
      </c>
      <c r="T134" s="85">
        <f>IF(Q134="","",IF(Q134=3,L134,IF(OR(M134="Not started",M134=""),J134,"")))</f>
        <v/>
      </c>
      <c r="U134" s="63">
        <f>IF(T134="","",IF(Q134=3,1,IF(T134="","",IF(T134&lt;AsOf,1,IF(T134&lt;=AsOf+AlertDays,2,IF(T134&lt;=AsOf+2*AlertDays,3,""))))))</f>
        <v/>
      </c>
      <c r="V134" s="63">
        <f>IF(U134="","",IF(Q134=3,"Late task: "&amp;D134,IF(T134&lt;AsOf,"Should have started: ","Starts soon: ")&amp;D134)&amp;IF(F134="",""," — "&amp;F134))</f>
        <v/>
      </c>
      <c r="X134" s="104" t="n"/>
      <c r="Y134" s="104" t="n"/>
      <c r="Z134" s="104" t="n"/>
      <c r="AA134" s="104" t="n"/>
      <c r="AB134" s="104" t="n"/>
      <c r="AC134" s="104" t="n"/>
      <c r="AD134" s="104" t="n"/>
      <c r="AE134" s="104" t="n"/>
      <c r="AF134" s="104" t="n"/>
      <c r="AG134" s="104" t="n"/>
      <c r="AH134" s="104" t="n"/>
      <c r="AI134" s="104" t="n"/>
      <c r="AJ134" s="104" t="n"/>
      <c r="AK134" s="104" t="n"/>
      <c r="AL134" s="104" t="n"/>
      <c r="AM134" s="104" t="n"/>
      <c r="AN134" s="104" t="n"/>
      <c r="AO134" s="104" t="n"/>
      <c r="AP134" s="104" t="n"/>
      <c r="AQ134" s="104" t="n"/>
      <c r="AR134" s="104" t="n"/>
      <c r="AS134" s="104" t="n"/>
      <c r="AT134" s="104" t="n"/>
      <c r="AU134" s="104" t="n"/>
      <c r="AV134" s="104" t="n"/>
      <c r="AW134" s="104" t="n"/>
      <c r="AX134" s="104" t="n"/>
      <c r="AY134" s="104" t="n"/>
      <c r="AZ134" s="104" t="n"/>
      <c r="BA134" s="104" t="n"/>
      <c r="BB134" s="104" t="n"/>
      <c r="BC134" s="104" t="n"/>
      <c r="BD134" s="104" t="n"/>
      <c r="BE134" s="104" t="n"/>
      <c r="BF134" s="104" t="n"/>
      <c r="BG134" s="104" t="n"/>
      <c r="BH134" s="104" t="n"/>
      <c r="BI134" s="104" t="n"/>
      <c r="BJ134" s="104" t="n"/>
      <c r="BK134" s="104" t="n"/>
      <c r="BL134" s="104" t="n"/>
      <c r="BM134" s="104" t="n"/>
      <c r="BN134" s="104" t="n"/>
      <c r="BO134" s="104" t="n"/>
      <c r="BP134" s="104" t="n"/>
      <c r="BQ134" s="104" t="n"/>
      <c r="BR134" s="104" t="n"/>
      <c r="BS134" s="104" t="n"/>
      <c r="BT134" s="104" t="n"/>
      <c r="BU134" s="104" t="n"/>
      <c r="BV134" s="104" t="n"/>
      <c r="BW134" s="104" t="n"/>
    </row>
    <row r="135" ht="20" customHeight="1">
      <c r="B135" s="100" t="n">
        <v>129</v>
      </c>
      <c r="C135" s="65" t="n"/>
      <c r="D135" s="65" t="n"/>
      <c r="E135" s="65" t="n"/>
      <c r="F135" s="65" t="n"/>
      <c r="G135" s="101" t="n"/>
      <c r="H135" s="101" t="n"/>
      <c r="I135" s="81" t="n"/>
      <c r="J135" s="102">
        <f>IF(OR(D135="",ProjStart=""),"",MAX(ProjStart,IF(I135&lt;&gt;"",I135,0),IF(H135="",0,IFERROR(INDEX($L$6:L134,MATCH(H135,$B$6:B134,0))+1,0))))</f>
        <v/>
      </c>
      <c r="K135" s="101" t="n"/>
      <c r="L135" s="102">
        <f>IF(J135="","",J135+MAX(1,G135)+IF(K135="",0,K135)-1)</f>
        <v/>
      </c>
      <c r="M135" s="65" t="n"/>
      <c r="N135" s="81" t="n"/>
      <c r="O135" s="103">
        <f>IF(D135="","",COUNTIF($H$7:$H$156,B135))</f>
        <v/>
      </c>
      <c r="P135" s="72">
        <f>IF(D135="","",IF(AND(H135&lt;&gt;"",H135&gt;=B135),"⚠️ Predecessor must be above",IF(M135="Done","✓ Done",IF(Q135=3,"🔴 Late",IF(M135="In progress","In progress","")))))</f>
        <v/>
      </c>
      <c r="Q135" s="63">
        <f>IF(OR(D135="",L135=""),"",IF(M135="Done",2,IF(AsOf&gt;L135,3,1)))</f>
        <v/>
      </c>
      <c r="R135" s="63">
        <f>IF(OR(E135="",F135=""),0,IF(COUNTIFS($E$7:E135,E135,$F$7:F135,F135)=1,1,0))</f>
        <v/>
      </c>
      <c r="S135" s="63">
        <f>IF(R135=1,E135&amp;"|"&amp;SUMIFS($R$7:R135,$E$7:E135,E135),"")</f>
        <v/>
      </c>
      <c r="T135" s="85">
        <f>IF(Q135="","",IF(Q135=3,L135,IF(OR(M135="Not started",M135=""),J135,"")))</f>
        <v/>
      </c>
      <c r="U135" s="63">
        <f>IF(T135="","",IF(Q135=3,1,IF(T135="","",IF(T135&lt;AsOf,1,IF(T135&lt;=AsOf+AlertDays,2,IF(T135&lt;=AsOf+2*AlertDays,3,""))))))</f>
        <v/>
      </c>
      <c r="V135" s="63">
        <f>IF(U135="","",IF(Q135=3,"Late task: "&amp;D135,IF(T135&lt;AsOf,"Should have started: ","Starts soon: ")&amp;D135)&amp;IF(F135="",""," — "&amp;F135))</f>
        <v/>
      </c>
      <c r="X135" s="104" t="n"/>
      <c r="Y135" s="104" t="n"/>
      <c r="Z135" s="104" t="n"/>
      <c r="AA135" s="104" t="n"/>
      <c r="AB135" s="104" t="n"/>
      <c r="AC135" s="104" t="n"/>
      <c r="AD135" s="104" t="n"/>
      <c r="AE135" s="104" t="n"/>
      <c r="AF135" s="104" t="n"/>
      <c r="AG135" s="104" t="n"/>
      <c r="AH135" s="104" t="n"/>
      <c r="AI135" s="104" t="n"/>
      <c r="AJ135" s="104" t="n"/>
      <c r="AK135" s="104" t="n"/>
      <c r="AL135" s="104" t="n"/>
      <c r="AM135" s="104" t="n"/>
      <c r="AN135" s="104" t="n"/>
      <c r="AO135" s="104" t="n"/>
      <c r="AP135" s="104" t="n"/>
      <c r="AQ135" s="104" t="n"/>
      <c r="AR135" s="104" t="n"/>
      <c r="AS135" s="104" t="n"/>
      <c r="AT135" s="104" t="n"/>
      <c r="AU135" s="104" t="n"/>
      <c r="AV135" s="104" t="n"/>
      <c r="AW135" s="104" t="n"/>
      <c r="AX135" s="104" t="n"/>
      <c r="AY135" s="104" t="n"/>
      <c r="AZ135" s="104" t="n"/>
      <c r="BA135" s="104" t="n"/>
      <c r="BB135" s="104" t="n"/>
      <c r="BC135" s="104" t="n"/>
      <c r="BD135" s="104" t="n"/>
      <c r="BE135" s="104" t="n"/>
      <c r="BF135" s="104" t="n"/>
      <c r="BG135" s="104" t="n"/>
      <c r="BH135" s="104" t="n"/>
      <c r="BI135" s="104" t="n"/>
      <c r="BJ135" s="104" t="n"/>
      <c r="BK135" s="104" t="n"/>
      <c r="BL135" s="104" t="n"/>
      <c r="BM135" s="104" t="n"/>
      <c r="BN135" s="104" t="n"/>
      <c r="BO135" s="104" t="n"/>
      <c r="BP135" s="104" t="n"/>
      <c r="BQ135" s="104" t="n"/>
      <c r="BR135" s="104" t="n"/>
      <c r="BS135" s="104" t="n"/>
      <c r="BT135" s="104" t="n"/>
      <c r="BU135" s="104" t="n"/>
      <c r="BV135" s="104" t="n"/>
      <c r="BW135" s="104" t="n"/>
    </row>
    <row r="136" ht="20" customHeight="1">
      <c r="B136" s="100" t="n">
        <v>130</v>
      </c>
      <c r="C136" s="65" t="n"/>
      <c r="D136" s="65" t="n"/>
      <c r="E136" s="65" t="n"/>
      <c r="F136" s="65" t="n"/>
      <c r="G136" s="101" t="n"/>
      <c r="H136" s="101" t="n"/>
      <c r="I136" s="81" t="n"/>
      <c r="J136" s="102">
        <f>IF(OR(D136="",ProjStart=""),"",MAX(ProjStart,IF(I136&lt;&gt;"",I136,0),IF(H136="",0,IFERROR(INDEX($L$6:L135,MATCH(H136,$B$6:B135,0))+1,0))))</f>
        <v/>
      </c>
      <c r="K136" s="101" t="n"/>
      <c r="L136" s="102">
        <f>IF(J136="","",J136+MAX(1,G136)+IF(K136="",0,K136)-1)</f>
        <v/>
      </c>
      <c r="M136" s="65" t="n"/>
      <c r="N136" s="81" t="n"/>
      <c r="O136" s="103">
        <f>IF(D136="","",COUNTIF($H$7:$H$156,B136))</f>
        <v/>
      </c>
      <c r="P136" s="72">
        <f>IF(D136="","",IF(AND(H136&lt;&gt;"",H136&gt;=B136),"⚠️ Predecessor must be above",IF(M136="Done","✓ Done",IF(Q136=3,"🔴 Late",IF(M136="In progress","In progress","")))))</f>
        <v/>
      </c>
      <c r="Q136" s="63">
        <f>IF(OR(D136="",L136=""),"",IF(M136="Done",2,IF(AsOf&gt;L136,3,1)))</f>
        <v/>
      </c>
      <c r="R136" s="63">
        <f>IF(OR(E136="",F136=""),0,IF(COUNTIFS($E$7:E136,E136,$F$7:F136,F136)=1,1,0))</f>
        <v/>
      </c>
      <c r="S136" s="63">
        <f>IF(R136=1,E136&amp;"|"&amp;SUMIFS($R$7:R136,$E$7:E136,E136),"")</f>
        <v/>
      </c>
      <c r="T136" s="85">
        <f>IF(Q136="","",IF(Q136=3,L136,IF(OR(M136="Not started",M136=""),J136,"")))</f>
        <v/>
      </c>
      <c r="U136" s="63">
        <f>IF(T136="","",IF(Q136=3,1,IF(T136="","",IF(T136&lt;AsOf,1,IF(T136&lt;=AsOf+AlertDays,2,IF(T136&lt;=AsOf+2*AlertDays,3,""))))))</f>
        <v/>
      </c>
      <c r="V136" s="63">
        <f>IF(U136="","",IF(Q136=3,"Late task: "&amp;D136,IF(T136&lt;AsOf,"Should have started: ","Starts soon: ")&amp;D136)&amp;IF(F136="",""," — "&amp;F136))</f>
        <v/>
      </c>
      <c r="X136" s="104" t="n"/>
      <c r="Y136" s="104" t="n"/>
      <c r="Z136" s="104" t="n"/>
      <c r="AA136" s="104" t="n"/>
      <c r="AB136" s="104" t="n"/>
      <c r="AC136" s="104" t="n"/>
      <c r="AD136" s="104" t="n"/>
      <c r="AE136" s="104" t="n"/>
      <c r="AF136" s="104" t="n"/>
      <c r="AG136" s="104" t="n"/>
      <c r="AH136" s="104" t="n"/>
      <c r="AI136" s="104" t="n"/>
      <c r="AJ136" s="104" t="n"/>
      <c r="AK136" s="104" t="n"/>
      <c r="AL136" s="104" t="n"/>
      <c r="AM136" s="104" t="n"/>
      <c r="AN136" s="104" t="n"/>
      <c r="AO136" s="104" t="n"/>
      <c r="AP136" s="104" t="n"/>
      <c r="AQ136" s="104" t="n"/>
      <c r="AR136" s="104" t="n"/>
      <c r="AS136" s="104" t="n"/>
      <c r="AT136" s="104" t="n"/>
      <c r="AU136" s="104" t="n"/>
      <c r="AV136" s="104" t="n"/>
      <c r="AW136" s="104" t="n"/>
      <c r="AX136" s="104" t="n"/>
      <c r="AY136" s="104" t="n"/>
      <c r="AZ136" s="104" t="n"/>
      <c r="BA136" s="104" t="n"/>
      <c r="BB136" s="104" t="n"/>
      <c r="BC136" s="104" t="n"/>
      <c r="BD136" s="104" t="n"/>
      <c r="BE136" s="104" t="n"/>
      <c r="BF136" s="104" t="n"/>
      <c r="BG136" s="104" t="n"/>
      <c r="BH136" s="104" t="n"/>
      <c r="BI136" s="104" t="n"/>
      <c r="BJ136" s="104" t="n"/>
      <c r="BK136" s="104" t="n"/>
      <c r="BL136" s="104" t="n"/>
      <c r="BM136" s="104" t="n"/>
      <c r="BN136" s="104" t="n"/>
      <c r="BO136" s="104" t="n"/>
      <c r="BP136" s="104" t="n"/>
      <c r="BQ136" s="104" t="n"/>
      <c r="BR136" s="104" t="n"/>
      <c r="BS136" s="104" t="n"/>
      <c r="BT136" s="104" t="n"/>
      <c r="BU136" s="104" t="n"/>
      <c r="BV136" s="104" t="n"/>
      <c r="BW136" s="104" t="n"/>
    </row>
    <row r="137" ht="20" customHeight="1">
      <c r="B137" s="100" t="n">
        <v>131</v>
      </c>
      <c r="C137" s="65" t="n"/>
      <c r="D137" s="65" t="n"/>
      <c r="E137" s="65" t="n"/>
      <c r="F137" s="65" t="n"/>
      <c r="G137" s="101" t="n"/>
      <c r="H137" s="101" t="n"/>
      <c r="I137" s="81" t="n"/>
      <c r="J137" s="102">
        <f>IF(OR(D137="",ProjStart=""),"",MAX(ProjStart,IF(I137&lt;&gt;"",I137,0),IF(H137="",0,IFERROR(INDEX($L$6:L136,MATCH(H137,$B$6:B136,0))+1,0))))</f>
        <v/>
      </c>
      <c r="K137" s="101" t="n"/>
      <c r="L137" s="102">
        <f>IF(J137="","",J137+MAX(1,G137)+IF(K137="",0,K137)-1)</f>
        <v/>
      </c>
      <c r="M137" s="65" t="n"/>
      <c r="N137" s="81" t="n"/>
      <c r="O137" s="103">
        <f>IF(D137="","",COUNTIF($H$7:$H$156,B137))</f>
        <v/>
      </c>
      <c r="P137" s="72">
        <f>IF(D137="","",IF(AND(H137&lt;&gt;"",H137&gt;=B137),"⚠️ Predecessor must be above",IF(M137="Done","✓ Done",IF(Q137=3,"🔴 Late",IF(M137="In progress","In progress","")))))</f>
        <v/>
      </c>
      <c r="Q137" s="63">
        <f>IF(OR(D137="",L137=""),"",IF(M137="Done",2,IF(AsOf&gt;L137,3,1)))</f>
        <v/>
      </c>
      <c r="R137" s="63">
        <f>IF(OR(E137="",F137=""),0,IF(COUNTIFS($E$7:E137,E137,$F$7:F137,F137)=1,1,0))</f>
        <v/>
      </c>
      <c r="S137" s="63">
        <f>IF(R137=1,E137&amp;"|"&amp;SUMIFS($R$7:R137,$E$7:E137,E137),"")</f>
        <v/>
      </c>
      <c r="T137" s="85">
        <f>IF(Q137="","",IF(Q137=3,L137,IF(OR(M137="Not started",M137=""),J137,"")))</f>
        <v/>
      </c>
      <c r="U137" s="63">
        <f>IF(T137="","",IF(Q137=3,1,IF(T137="","",IF(T137&lt;AsOf,1,IF(T137&lt;=AsOf+AlertDays,2,IF(T137&lt;=AsOf+2*AlertDays,3,""))))))</f>
        <v/>
      </c>
      <c r="V137" s="63">
        <f>IF(U137="","",IF(Q137=3,"Late task: "&amp;D137,IF(T137&lt;AsOf,"Should have started: ","Starts soon: ")&amp;D137)&amp;IF(F137="",""," — "&amp;F137))</f>
        <v/>
      </c>
      <c r="X137" s="104" t="n"/>
      <c r="Y137" s="104" t="n"/>
      <c r="Z137" s="104" t="n"/>
      <c r="AA137" s="104" t="n"/>
      <c r="AB137" s="104" t="n"/>
      <c r="AC137" s="104" t="n"/>
      <c r="AD137" s="104" t="n"/>
      <c r="AE137" s="104" t="n"/>
      <c r="AF137" s="104" t="n"/>
      <c r="AG137" s="104" t="n"/>
      <c r="AH137" s="104" t="n"/>
      <c r="AI137" s="104" t="n"/>
      <c r="AJ137" s="104" t="n"/>
      <c r="AK137" s="104" t="n"/>
      <c r="AL137" s="104" t="n"/>
      <c r="AM137" s="104" t="n"/>
      <c r="AN137" s="104" t="n"/>
      <c r="AO137" s="104" t="n"/>
      <c r="AP137" s="104" t="n"/>
      <c r="AQ137" s="104" t="n"/>
      <c r="AR137" s="104" t="n"/>
      <c r="AS137" s="104" t="n"/>
      <c r="AT137" s="104" t="n"/>
      <c r="AU137" s="104" t="n"/>
      <c r="AV137" s="104" t="n"/>
      <c r="AW137" s="104" t="n"/>
      <c r="AX137" s="104" t="n"/>
      <c r="AY137" s="104" t="n"/>
      <c r="AZ137" s="104" t="n"/>
      <c r="BA137" s="104" t="n"/>
      <c r="BB137" s="104" t="n"/>
      <c r="BC137" s="104" t="n"/>
      <c r="BD137" s="104" t="n"/>
      <c r="BE137" s="104" t="n"/>
      <c r="BF137" s="104" t="n"/>
      <c r="BG137" s="104" t="n"/>
      <c r="BH137" s="104" t="n"/>
      <c r="BI137" s="104" t="n"/>
      <c r="BJ137" s="104" t="n"/>
      <c r="BK137" s="104" t="n"/>
      <c r="BL137" s="104" t="n"/>
      <c r="BM137" s="104" t="n"/>
      <c r="BN137" s="104" t="n"/>
      <c r="BO137" s="104" t="n"/>
      <c r="BP137" s="104" t="n"/>
      <c r="BQ137" s="104" t="n"/>
      <c r="BR137" s="104" t="n"/>
      <c r="BS137" s="104" t="n"/>
      <c r="BT137" s="104" t="n"/>
      <c r="BU137" s="104" t="n"/>
      <c r="BV137" s="104" t="n"/>
      <c r="BW137" s="104" t="n"/>
    </row>
    <row r="138" ht="20" customHeight="1">
      <c r="B138" s="100" t="n">
        <v>132</v>
      </c>
      <c r="C138" s="65" t="n"/>
      <c r="D138" s="65" t="n"/>
      <c r="E138" s="65" t="n"/>
      <c r="F138" s="65" t="n"/>
      <c r="G138" s="101" t="n"/>
      <c r="H138" s="101" t="n"/>
      <c r="I138" s="81" t="n"/>
      <c r="J138" s="102">
        <f>IF(OR(D138="",ProjStart=""),"",MAX(ProjStart,IF(I138&lt;&gt;"",I138,0),IF(H138="",0,IFERROR(INDEX($L$6:L137,MATCH(H138,$B$6:B137,0))+1,0))))</f>
        <v/>
      </c>
      <c r="K138" s="101" t="n"/>
      <c r="L138" s="102">
        <f>IF(J138="","",J138+MAX(1,G138)+IF(K138="",0,K138)-1)</f>
        <v/>
      </c>
      <c r="M138" s="65" t="n"/>
      <c r="N138" s="81" t="n"/>
      <c r="O138" s="103">
        <f>IF(D138="","",COUNTIF($H$7:$H$156,B138))</f>
        <v/>
      </c>
      <c r="P138" s="72">
        <f>IF(D138="","",IF(AND(H138&lt;&gt;"",H138&gt;=B138),"⚠️ Predecessor must be above",IF(M138="Done","✓ Done",IF(Q138=3,"🔴 Late",IF(M138="In progress","In progress","")))))</f>
        <v/>
      </c>
      <c r="Q138" s="63">
        <f>IF(OR(D138="",L138=""),"",IF(M138="Done",2,IF(AsOf&gt;L138,3,1)))</f>
        <v/>
      </c>
      <c r="R138" s="63">
        <f>IF(OR(E138="",F138=""),0,IF(COUNTIFS($E$7:E138,E138,$F$7:F138,F138)=1,1,0))</f>
        <v/>
      </c>
      <c r="S138" s="63">
        <f>IF(R138=1,E138&amp;"|"&amp;SUMIFS($R$7:R138,$E$7:E138,E138),"")</f>
        <v/>
      </c>
      <c r="T138" s="85">
        <f>IF(Q138="","",IF(Q138=3,L138,IF(OR(M138="Not started",M138=""),J138,"")))</f>
        <v/>
      </c>
      <c r="U138" s="63">
        <f>IF(T138="","",IF(Q138=3,1,IF(T138="","",IF(T138&lt;AsOf,1,IF(T138&lt;=AsOf+AlertDays,2,IF(T138&lt;=AsOf+2*AlertDays,3,""))))))</f>
        <v/>
      </c>
      <c r="V138" s="63">
        <f>IF(U138="","",IF(Q138=3,"Late task: "&amp;D138,IF(T138&lt;AsOf,"Should have started: ","Starts soon: ")&amp;D138)&amp;IF(F138="",""," — "&amp;F138))</f>
        <v/>
      </c>
      <c r="X138" s="104" t="n"/>
      <c r="Y138" s="104" t="n"/>
      <c r="Z138" s="104" t="n"/>
      <c r="AA138" s="104" t="n"/>
      <c r="AB138" s="104" t="n"/>
      <c r="AC138" s="104" t="n"/>
      <c r="AD138" s="104" t="n"/>
      <c r="AE138" s="104" t="n"/>
      <c r="AF138" s="104" t="n"/>
      <c r="AG138" s="104" t="n"/>
      <c r="AH138" s="104" t="n"/>
      <c r="AI138" s="104" t="n"/>
      <c r="AJ138" s="104" t="n"/>
      <c r="AK138" s="104" t="n"/>
      <c r="AL138" s="104" t="n"/>
      <c r="AM138" s="104" t="n"/>
      <c r="AN138" s="104" t="n"/>
      <c r="AO138" s="104" t="n"/>
      <c r="AP138" s="104" t="n"/>
      <c r="AQ138" s="104" t="n"/>
      <c r="AR138" s="104" t="n"/>
      <c r="AS138" s="104" t="n"/>
      <c r="AT138" s="104" t="n"/>
      <c r="AU138" s="104" t="n"/>
      <c r="AV138" s="104" t="n"/>
      <c r="AW138" s="104" t="n"/>
      <c r="AX138" s="104" t="n"/>
      <c r="AY138" s="104" t="n"/>
      <c r="AZ138" s="104" t="n"/>
      <c r="BA138" s="104" t="n"/>
      <c r="BB138" s="104" t="n"/>
      <c r="BC138" s="104" t="n"/>
      <c r="BD138" s="104" t="n"/>
      <c r="BE138" s="104" t="n"/>
      <c r="BF138" s="104" t="n"/>
      <c r="BG138" s="104" t="n"/>
      <c r="BH138" s="104" t="n"/>
      <c r="BI138" s="104" t="n"/>
      <c r="BJ138" s="104" t="n"/>
      <c r="BK138" s="104" t="n"/>
      <c r="BL138" s="104" t="n"/>
      <c r="BM138" s="104" t="n"/>
      <c r="BN138" s="104" t="n"/>
      <c r="BO138" s="104" t="n"/>
      <c r="BP138" s="104" t="n"/>
      <c r="BQ138" s="104" t="n"/>
      <c r="BR138" s="104" t="n"/>
      <c r="BS138" s="104" t="n"/>
      <c r="BT138" s="104" t="n"/>
      <c r="BU138" s="104" t="n"/>
      <c r="BV138" s="104" t="n"/>
      <c r="BW138" s="104" t="n"/>
    </row>
    <row r="139" ht="20" customHeight="1">
      <c r="B139" s="100" t="n">
        <v>133</v>
      </c>
      <c r="C139" s="65" t="n"/>
      <c r="D139" s="65" t="n"/>
      <c r="E139" s="65" t="n"/>
      <c r="F139" s="65" t="n"/>
      <c r="G139" s="101" t="n"/>
      <c r="H139" s="101" t="n"/>
      <c r="I139" s="81" t="n"/>
      <c r="J139" s="102">
        <f>IF(OR(D139="",ProjStart=""),"",MAX(ProjStart,IF(I139&lt;&gt;"",I139,0),IF(H139="",0,IFERROR(INDEX($L$6:L138,MATCH(H139,$B$6:B138,0))+1,0))))</f>
        <v/>
      </c>
      <c r="K139" s="101" t="n"/>
      <c r="L139" s="102">
        <f>IF(J139="","",J139+MAX(1,G139)+IF(K139="",0,K139)-1)</f>
        <v/>
      </c>
      <c r="M139" s="65" t="n"/>
      <c r="N139" s="81" t="n"/>
      <c r="O139" s="103">
        <f>IF(D139="","",COUNTIF($H$7:$H$156,B139))</f>
        <v/>
      </c>
      <c r="P139" s="72">
        <f>IF(D139="","",IF(AND(H139&lt;&gt;"",H139&gt;=B139),"⚠️ Predecessor must be above",IF(M139="Done","✓ Done",IF(Q139=3,"🔴 Late",IF(M139="In progress","In progress","")))))</f>
        <v/>
      </c>
      <c r="Q139" s="63">
        <f>IF(OR(D139="",L139=""),"",IF(M139="Done",2,IF(AsOf&gt;L139,3,1)))</f>
        <v/>
      </c>
      <c r="R139" s="63">
        <f>IF(OR(E139="",F139=""),0,IF(COUNTIFS($E$7:E139,E139,$F$7:F139,F139)=1,1,0))</f>
        <v/>
      </c>
      <c r="S139" s="63">
        <f>IF(R139=1,E139&amp;"|"&amp;SUMIFS($R$7:R139,$E$7:E139,E139),"")</f>
        <v/>
      </c>
      <c r="T139" s="85">
        <f>IF(Q139="","",IF(Q139=3,L139,IF(OR(M139="Not started",M139=""),J139,"")))</f>
        <v/>
      </c>
      <c r="U139" s="63">
        <f>IF(T139="","",IF(Q139=3,1,IF(T139="","",IF(T139&lt;AsOf,1,IF(T139&lt;=AsOf+AlertDays,2,IF(T139&lt;=AsOf+2*AlertDays,3,""))))))</f>
        <v/>
      </c>
      <c r="V139" s="63">
        <f>IF(U139="","",IF(Q139=3,"Late task: "&amp;D139,IF(T139&lt;AsOf,"Should have started: ","Starts soon: ")&amp;D139)&amp;IF(F139="",""," — "&amp;F139))</f>
        <v/>
      </c>
      <c r="X139" s="104" t="n"/>
      <c r="Y139" s="104" t="n"/>
      <c r="Z139" s="104" t="n"/>
      <c r="AA139" s="104" t="n"/>
      <c r="AB139" s="104" t="n"/>
      <c r="AC139" s="104" t="n"/>
      <c r="AD139" s="104" t="n"/>
      <c r="AE139" s="104" t="n"/>
      <c r="AF139" s="104" t="n"/>
      <c r="AG139" s="104" t="n"/>
      <c r="AH139" s="104" t="n"/>
      <c r="AI139" s="104" t="n"/>
      <c r="AJ139" s="104" t="n"/>
      <c r="AK139" s="104" t="n"/>
      <c r="AL139" s="104" t="n"/>
      <c r="AM139" s="104" t="n"/>
      <c r="AN139" s="104" t="n"/>
      <c r="AO139" s="104" t="n"/>
      <c r="AP139" s="104" t="n"/>
      <c r="AQ139" s="104" t="n"/>
      <c r="AR139" s="104" t="n"/>
      <c r="AS139" s="104" t="n"/>
      <c r="AT139" s="104" t="n"/>
      <c r="AU139" s="104" t="n"/>
      <c r="AV139" s="104" t="n"/>
      <c r="AW139" s="104" t="n"/>
      <c r="AX139" s="104" t="n"/>
      <c r="AY139" s="104" t="n"/>
      <c r="AZ139" s="104" t="n"/>
      <c r="BA139" s="104" t="n"/>
      <c r="BB139" s="104" t="n"/>
      <c r="BC139" s="104" t="n"/>
      <c r="BD139" s="104" t="n"/>
      <c r="BE139" s="104" t="n"/>
      <c r="BF139" s="104" t="n"/>
      <c r="BG139" s="104" t="n"/>
      <c r="BH139" s="104" t="n"/>
      <c r="BI139" s="104" t="n"/>
      <c r="BJ139" s="104" t="n"/>
      <c r="BK139" s="104" t="n"/>
      <c r="BL139" s="104" t="n"/>
      <c r="BM139" s="104" t="n"/>
      <c r="BN139" s="104" t="n"/>
      <c r="BO139" s="104" t="n"/>
      <c r="BP139" s="104" t="n"/>
      <c r="BQ139" s="104" t="n"/>
      <c r="BR139" s="104" t="n"/>
      <c r="BS139" s="104" t="n"/>
      <c r="BT139" s="104" t="n"/>
      <c r="BU139" s="104" t="n"/>
      <c r="BV139" s="104" t="n"/>
      <c r="BW139" s="104" t="n"/>
    </row>
    <row r="140" ht="20" customHeight="1">
      <c r="B140" s="100" t="n">
        <v>134</v>
      </c>
      <c r="C140" s="65" t="n"/>
      <c r="D140" s="65" t="n"/>
      <c r="E140" s="65" t="n"/>
      <c r="F140" s="65" t="n"/>
      <c r="G140" s="101" t="n"/>
      <c r="H140" s="101" t="n"/>
      <c r="I140" s="81" t="n"/>
      <c r="J140" s="102">
        <f>IF(OR(D140="",ProjStart=""),"",MAX(ProjStart,IF(I140&lt;&gt;"",I140,0),IF(H140="",0,IFERROR(INDEX($L$6:L139,MATCH(H140,$B$6:B139,0))+1,0))))</f>
        <v/>
      </c>
      <c r="K140" s="101" t="n"/>
      <c r="L140" s="102">
        <f>IF(J140="","",J140+MAX(1,G140)+IF(K140="",0,K140)-1)</f>
        <v/>
      </c>
      <c r="M140" s="65" t="n"/>
      <c r="N140" s="81" t="n"/>
      <c r="O140" s="103">
        <f>IF(D140="","",COUNTIF($H$7:$H$156,B140))</f>
        <v/>
      </c>
      <c r="P140" s="72">
        <f>IF(D140="","",IF(AND(H140&lt;&gt;"",H140&gt;=B140),"⚠️ Predecessor must be above",IF(M140="Done","✓ Done",IF(Q140=3,"🔴 Late",IF(M140="In progress","In progress","")))))</f>
        <v/>
      </c>
      <c r="Q140" s="63">
        <f>IF(OR(D140="",L140=""),"",IF(M140="Done",2,IF(AsOf&gt;L140,3,1)))</f>
        <v/>
      </c>
      <c r="R140" s="63">
        <f>IF(OR(E140="",F140=""),0,IF(COUNTIFS($E$7:E140,E140,$F$7:F140,F140)=1,1,0))</f>
        <v/>
      </c>
      <c r="S140" s="63">
        <f>IF(R140=1,E140&amp;"|"&amp;SUMIFS($R$7:R140,$E$7:E140,E140),"")</f>
        <v/>
      </c>
      <c r="T140" s="85">
        <f>IF(Q140="","",IF(Q140=3,L140,IF(OR(M140="Not started",M140=""),J140,"")))</f>
        <v/>
      </c>
      <c r="U140" s="63">
        <f>IF(T140="","",IF(Q140=3,1,IF(T140="","",IF(T140&lt;AsOf,1,IF(T140&lt;=AsOf+AlertDays,2,IF(T140&lt;=AsOf+2*AlertDays,3,""))))))</f>
        <v/>
      </c>
      <c r="V140" s="63">
        <f>IF(U140="","",IF(Q140=3,"Late task: "&amp;D140,IF(T140&lt;AsOf,"Should have started: ","Starts soon: ")&amp;D140)&amp;IF(F140="",""," — "&amp;F140))</f>
        <v/>
      </c>
      <c r="X140" s="104" t="n"/>
      <c r="Y140" s="104" t="n"/>
      <c r="Z140" s="104" t="n"/>
      <c r="AA140" s="104" t="n"/>
      <c r="AB140" s="104" t="n"/>
      <c r="AC140" s="104" t="n"/>
      <c r="AD140" s="104" t="n"/>
      <c r="AE140" s="104" t="n"/>
      <c r="AF140" s="104" t="n"/>
      <c r="AG140" s="104" t="n"/>
      <c r="AH140" s="104" t="n"/>
      <c r="AI140" s="104" t="n"/>
      <c r="AJ140" s="104" t="n"/>
      <c r="AK140" s="104" t="n"/>
      <c r="AL140" s="104" t="n"/>
      <c r="AM140" s="104" t="n"/>
      <c r="AN140" s="104" t="n"/>
      <c r="AO140" s="104" t="n"/>
      <c r="AP140" s="104" t="n"/>
      <c r="AQ140" s="104" t="n"/>
      <c r="AR140" s="104" t="n"/>
      <c r="AS140" s="104" t="n"/>
      <c r="AT140" s="104" t="n"/>
      <c r="AU140" s="104" t="n"/>
      <c r="AV140" s="104" t="n"/>
      <c r="AW140" s="104" t="n"/>
      <c r="AX140" s="104" t="n"/>
      <c r="AY140" s="104" t="n"/>
      <c r="AZ140" s="104" t="n"/>
      <c r="BA140" s="104" t="n"/>
      <c r="BB140" s="104" t="n"/>
      <c r="BC140" s="104" t="n"/>
      <c r="BD140" s="104" t="n"/>
      <c r="BE140" s="104" t="n"/>
      <c r="BF140" s="104" t="n"/>
      <c r="BG140" s="104" t="n"/>
      <c r="BH140" s="104" t="n"/>
      <c r="BI140" s="104" t="n"/>
      <c r="BJ140" s="104" t="n"/>
      <c r="BK140" s="104" t="n"/>
      <c r="BL140" s="104" t="n"/>
      <c r="BM140" s="104" t="n"/>
      <c r="BN140" s="104" t="n"/>
      <c r="BO140" s="104" t="n"/>
      <c r="BP140" s="104" t="n"/>
      <c r="BQ140" s="104" t="n"/>
      <c r="BR140" s="104" t="n"/>
      <c r="BS140" s="104" t="n"/>
      <c r="BT140" s="104" t="n"/>
      <c r="BU140" s="104" t="n"/>
      <c r="BV140" s="104" t="n"/>
      <c r="BW140" s="104" t="n"/>
    </row>
    <row r="141" ht="20" customHeight="1">
      <c r="B141" s="100" t="n">
        <v>135</v>
      </c>
      <c r="C141" s="65" t="n"/>
      <c r="D141" s="65" t="n"/>
      <c r="E141" s="65" t="n"/>
      <c r="F141" s="65" t="n"/>
      <c r="G141" s="101" t="n"/>
      <c r="H141" s="101" t="n"/>
      <c r="I141" s="81" t="n"/>
      <c r="J141" s="102">
        <f>IF(OR(D141="",ProjStart=""),"",MAX(ProjStart,IF(I141&lt;&gt;"",I141,0),IF(H141="",0,IFERROR(INDEX($L$6:L140,MATCH(H141,$B$6:B140,0))+1,0))))</f>
        <v/>
      </c>
      <c r="K141" s="101" t="n"/>
      <c r="L141" s="102">
        <f>IF(J141="","",J141+MAX(1,G141)+IF(K141="",0,K141)-1)</f>
        <v/>
      </c>
      <c r="M141" s="65" t="n"/>
      <c r="N141" s="81" t="n"/>
      <c r="O141" s="103">
        <f>IF(D141="","",COUNTIF($H$7:$H$156,B141))</f>
        <v/>
      </c>
      <c r="P141" s="72">
        <f>IF(D141="","",IF(AND(H141&lt;&gt;"",H141&gt;=B141),"⚠️ Predecessor must be above",IF(M141="Done","✓ Done",IF(Q141=3,"🔴 Late",IF(M141="In progress","In progress","")))))</f>
        <v/>
      </c>
      <c r="Q141" s="63">
        <f>IF(OR(D141="",L141=""),"",IF(M141="Done",2,IF(AsOf&gt;L141,3,1)))</f>
        <v/>
      </c>
      <c r="R141" s="63">
        <f>IF(OR(E141="",F141=""),0,IF(COUNTIFS($E$7:E141,E141,$F$7:F141,F141)=1,1,0))</f>
        <v/>
      </c>
      <c r="S141" s="63">
        <f>IF(R141=1,E141&amp;"|"&amp;SUMIFS($R$7:R141,$E$7:E141,E141),"")</f>
        <v/>
      </c>
      <c r="T141" s="85">
        <f>IF(Q141="","",IF(Q141=3,L141,IF(OR(M141="Not started",M141=""),J141,"")))</f>
        <v/>
      </c>
      <c r="U141" s="63">
        <f>IF(T141="","",IF(Q141=3,1,IF(T141="","",IF(T141&lt;AsOf,1,IF(T141&lt;=AsOf+AlertDays,2,IF(T141&lt;=AsOf+2*AlertDays,3,""))))))</f>
        <v/>
      </c>
      <c r="V141" s="63">
        <f>IF(U141="","",IF(Q141=3,"Late task: "&amp;D141,IF(T141&lt;AsOf,"Should have started: ","Starts soon: ")&amp;D141)&amp;IF(F141="",""," — "&amp;F141))</f>
        <v/>
      </c>
      <c r="X141" s="104" t="n"/>
      <c r="Y141" s="104" t="n"/>
      <c r="Z141" s="104" t="n"/>
      <c r="AA141" s="104" t="n"/>
      <c r="AB141" s="104" t="n"/>
      <c r="AC141" s="104" t="n"/>
      <c r="AD141" s="104" t="n"/>
      <c r="AE141" s="104" t="n"/>
      <c r="AF141" s="104" t="n"/>
      <c r="AG141" s="104" t="n"/>
      <c r="AH141" s="104" t="n"/>
      <c r="AI141" s="104" t="n"/>
      <c r="AJ141" s="104" t="n"/>
      <c r="AK141" s="104" t="n"/>
      <c r="AL141" s="104" t="n"/>
      <c r="AM141" s="104" t="n"/>
      <c r="AN141" s="104" t="n"/>
      <c r="AO141" s="104" t="n"/>
      <c r="AP141" s="104" t="n"/>
      <c r="AQ141" s="104" t="n"/>
      <c r="AR141" s="104" t="n"/>
      <c r="AS141" s="104" t="n"/>
      <c r="AT141" s="104" t="n"/>
      <c r="AU141" s="104" t="n"/>
      <c r="AV141" s="104" t="n"/>
      <c r="AW141" s="104" t="n"/>
      <c r="AX141" s="104" t="n"/>
      <c r="AY141" s="104" t="n"/>
      <c r="AZ141" s="104" t="n"/>
      <c r="BA141" s="104" t="n"/>
      <c r="BB141" s="104" t="n"/>
      <c r="BC141" s="104" t="n"/>
      <c r="BD141" s="104" t="n"/>
      <c r="BE141" s="104" t="n"/>
      <c r="BF141" s="104" t="n"/>
      <c r="BG141" s="104" t="n"/>
      <c r="BH141" s="104" t="n"/>
      <c r="BI141" s="104" t="n"/>
      <c r="BJ141" s="104" t="n"/>
      <c r="BK141" s="104" t="n"/>
      <c r="BL141" s="104" t="n"/>
      <c r="BM141" s="104" t="n"/>
      <c r="BN141" s="104" t="n"/>
      <c r="BO141" s="104" t="n"/>
      <c r="BP141" s="104" t="n"/>
      <c r="BQ141" s="104" t="n"/>
      <c r="BR141" s="104" t="n"/>
      <c r="BS141" s="104" t="n"/>
      <c r="BT141" s="104" t="n"/>
      <c r="BU141" s="104" t="n"/>
      <c r="BV141" s="104" t="n"/>
      <c r="BW141" s="104" t="n"/>
    </row>
    <row r="142" ht="20" customHeight="1">
      <c r="B142" s="100" t="n">
        <v>136</v>
      </c>
      <c r="C142" s="65" t="n"/>
      <c r="D142" s="65" t="n"/>
      <c r="E142" s="65" t="n"/>
      <c r="F142" s="65" t="n"/>
      <c r="G142" s="101" t="n"/>
      <c r="H142" s="101" t="n"/>
      <c r="I142" s="81" t="n"/>
      <c r="J142" s="102">
        <f>IF(OR(D142="",ProjStart=""),"",MAX(ProjStart,IF(I142&lt;&gt;"",I142,0),IF(H142="",0,IFERROR(INDEX($L$6:L141,MATCH(H142,$B$6:B141,0))+1,0))))</f>
        <v/>
      </c>
      <c r="K142" s="101" t="n"/>
      <c r="L142" s="102">
        <f>IF(J142="","",J142+MAX(1,G142)+IF(K142="",0,K142)-1)</f>
        <v/>
      </c>
      <c r="M142" s="65" t="n"/>
      <c r="N142" s="81" t="n"/>
      <c r="O142" s="103">
        <f>IF(D142="","",COUNTIF($H$7:$H$156,B142))</f>
        <v/>
      </c>
      <c r="P142" s="72">
        <f>IF(D142="","",IF(AND(H142&lt;&gt;"",H142&gt;=B142),"⚠️ Predecessor must be above",IF(M142="Done","✓ Done",IF(Q142=3,"🔴 Late",IF(M142="In progress","In progress","")))))</f>
        <v/>
      </c>
      <c r="Q142" s="63">
        <f>IF(OR(D142="",L142=""),"",IF(M142="Done",2,IF(AsOf&gt;L142,3,1)))</f>
        <v/>
      </c>
      <c r="R142" s="63">
        <f>IF(OR(E142="",F142=""),0,IF(COUNTIFS($E$7:E142,E142,$F$7:F142,F142)=1,1,0))</f>
        <v/>
      </c>
      <c r="S142" s="63">
        <f>IF(R142=1,E142&amp;"|"&amp;SUMIFS($R$7:R142,$E$7:E142,E142),"")</f>
        <v/>
      </c>
      <c r="T142" s="85">
        <f>IF(Q142="","",IF(Q142=3,L142,IF(OR(M142="Not started",M142=""),J142,"")))</f>
        <v/>
      </c>
      <c r="U142" s="63">
        <f>IF(T142="","",IF(Q142=3,1,IF(T142="","",IF(T142&lt;AsOf,1,IF(T142&lt;=AsOf+AlertDays,2,IF(T142&lt;=AsOf+2*AlertDays,3,""))))))</f>
        <v/>
      </c>
      <c r="V142" s="63">
        <f>IF(U142="","",IF(Q142=3,"Late task: "&amp;D142,IF(T142&lt;AsOf,"Should have started: ","Starts soon: ")&amp;D142)&amp;IF(F142="",""," — "&amp;F142))</f>
        <v/>
      </c>
      <c r="X142" s="104" t="n"/>
      <c r="Y142" s="104" t="n"/>
      <c r="Z142" s="104" t="n"/>
      <c r="AA142" s="104" t="n"/>
      <c r="AB142" s="104" t="n"/>
      <c r="AC142" s="104" t="n"/>
      <c r="AD142" s="104" t="n"/>
      <c r="AE142" s="104" t="n"/>
      <c r="AF142" s="104" t="n"/>
      <c r="AG142" s="104" t="n"/>
      <c r="AH142" s="104" t="n"/>
      <c r="AI142" s="104" t="n"/>
      <c r="AJ142" s="104" t="n"/>
      <c r="AK142" s="104" t="n"/>
      <c r="AL142" s="104" t="n"/>
      <c r="AM142" s="104" t="n"/>
      <c r="AN142" s="104" t="n"/>
      <c r="AO142" s="104" t="n"/>
      <c r="AP142" s="104" t="n"/>
      <c r="AQ142" s="104" t="n"/>
      <c r="AR142" s="104" t="n"/>
      <c r="AS142" s="104" t="n"/>
      <c r="AT142" s="104" t="n"/>
      <c r="AU142" s="104" t="n"/>
      <c r="AV142" s="104" t="n"/>
      <c r="AW142" s="104" t="n"/>
      <c r="AX142" s="104" t="n"/>
      <c r="AY142" s="104" t="n"/>
      <c r="AZ142" s="104" t="n"/>
      <c r="BA142" s="104" t="n"/>
      <c r="BB142" s="104" t="n"/>
      <c r="BC142" s="104" t="n"/>
      <c r="BD142" s="104" t="n"/>
      <c r="BE142" s="104" t="n"/>
      <c r="BF142" s="104" t="n"/>
      <c r="BG142" s="104" t="n"/>
      <c r="BH142" s="104" t="n"/>
      <c r="BI142" s="104" t="n"/>
      <c r="BJ142" s="104" t="n"/>
      <c r="BK142" s="104" t="n"/>
      <c r="BL142" s="104" t="n"/>
      <c r="BM142" s="104" t="n"/>
      <c r="BN142" s="104" t="n"/>
      <c r="BO142" s="104" t="n"/>
      <c r="BP142" s="104" t="n"/>
      <c r="BQ142" s="104" t="n"/>
      <c r="BR142" s="104" t="n"/>
      <c r="BS142" s="104" t="n"/>
      <c r="BT142" s="104" t="n"/>
      <c r="BU142" s="104" t="n"/>
      <c r="BV142" s="104" t="n"/>
      <c r="BW142" s="104" t="n"/>
    </row>
    <row r="143" ht="20" customHeight="1">
      <c r="B143" s="100" t="n">
        <v>137</v>
      </c>
      <c r="C143" s="65" t="n"/>
      <c r="D143" s="65" t="n"/>
      <c r="E143" s="65" t="n"/>
      <c r="F143" s="65" t="n"/>
      <c r="G143" s="101" t="n"/>
      <c r="H143" s="101" t="n"/>
      <c r="I143" s="81" t="n"/>
      <c r="J143" s="102">
        <f>IF(OR(D143="",ProjStart=""),"",MAX(ProjStart,IF(I143&lt;&gt;"",I143,0),IF(H143="",0,IFERROR(INDEX($L$6:L142,MATCH(H143,$B$6:B142,0))+1,0))))</f>
        <v/>
      </c>
      <c r="K143" s="101" t="n"/>
      <c r="L143" s="102">
        <f>IF(J143="","",J143+MAX(1,G143)+IF(K143="",0,K143)-1)</f>
        <v/>
      </c>
      <c r="M143" s="65" t="n"/>
      <c r="N143" s="81" t="n"/>
      <c r="O143" s="103">
        <f>IF(D143="","",COUNTIF($H$7:$H$156,B143))</f>
        <v/>
      </c>
      <c r="P143" s="72">
        <f>IF(D143="","",IF(AND(H143&lt;&gt;"",H143&gt;=B143),"⚠️ Predecessor must be above",IF(M143="Done","✓ Done",IF(Q143=3,"🔴 Late",IF(M143="In progress","In progress","")))))</f>
        <v/>
      </c>
      <c r="Q143" s="63">
        <f>IF(OR(D143="",L143=""),"",IF(M143="Done",2,IF(AsOf&gt;L143,3,1)))</f>
        <v/>
      </c>
      <c r="R143" s="63">
        <f>IF(OR(E143="",F143=""),0,IF(COUNTIFS($E$7:E143,E143,$F$7:F143,F143)=1,1,0))</f>
        <v/>
      </c>
      <c r="S143" s="63">
        <f>IF(R143=1,E143&amp;"|"&amp;SUMIFS($R$7:R143,$E$7:E143,E143),"")</f>
        <v/>
      </c>
      <c r="T143" s="85">
        <f>IF(Q143="","",IF(Q143=3,L143,IF(OR(M143="Not started",M143=""),J143,"")))</f>
        <v/>
      </c>
      <c r="U143" s="63">
        <f>IF(T143="","",IF(Q143=3,1,IF(T143="","",IF(T143&lt;AsOf,1,IF(T143&lt;=AsOf+AlertDays,2,IF(T143&lt;=AsOf+2*AlertDays,3,""))))))</f>
        <v/>
      </c>
      <c r="V143" s="63">
        <f>IF(U143="","",IF(Q143=3,"Late task: "&amp;D143,IF(T143&lt;AsOf,"Should have started: ","Starts soon: ")&amp;D143)&amp;IF(F143="",""," — "&amp;F143))</f>
        <v/>
      </c>
      <c r="X143" s="104" t="n"/>
      <c r="Y143" s="104" t="n"/>
      <c r="Z143" s="104" t="n"/>
      <c r="AA143" s="104" t="n"/>
      <c r="AB143" s="104" t="n"/>
      <c r="AC143" s="104" t="n"/>
      <c r="AD143" s="104" t="n"/>
      <c r="AE143" s="104" t="n"/>
      <c r="AF143" s="104" t="n"/>
      <c r="AG143" s="104" t="n"/>
      <c r="AH143" s="104" t="n"/>
      <c r="AI143" s="104" t="n"/>
      <c r="AJ143" s="104" t="n"/>
      <c r="AK143" s="104" t="n"/>
      <c r="AL143" s="104" t="n"/>
      <c r="AM143" s="104" t="n"/>
      <c r="AN143" s="104" t="n"/>
      <c r="AO143" s="104" t="n"/>
      <c r="AP143" s="104" t="n"/>
      <c r="AQ143" s="104" t="n"/>
      <c r="AR143" s="104" t="n"/>
      <c r="AS143" s="104" t="n"/>
      <c r="AT143" s="104" t="n"/>
      <c r="AU143" s="104" t="n"/>
      <c r="AV143" s="104" t="n"/>
      <c r="AW143" s="104" t="n"/>
      <c r="AX143" s="104" t="n"/>
      <c r="AY143" s="104" t="n"/>
      <c r="AZ143" s="104" t="n"/>
      <c r="BA143" s="104" t="n"/>
      <c r="BB143" s="104" t="n"/>
      <c r="BC143" s="104" t="n"/>
      <c r="BD143" s="104" t="n"/>
      <c r="BE143" s="104" t="n"/>
      <c r="BF143" s="104" t="n"/>
      <c r="BG143" s="104" t="n"/>
      <c r="BH143" s="104" t="n"/>
      <c r="BI143" s="104" t="n"/>
      <c r="BJ143" s="104" t="n"/>
      <c r="BK143" s="104" t="n"/>
      <c r="BL143" s="104" t="n"/>
      <c r="BM143" s="104" t="n"/>
      <c r="BN143" s="104" t="n"/>
      <c r="BO143" s="104" t="n"/>
      <c r="BP143" s="104" t="n"/>
      <c r="BQ143" s="104" t="n"/>
      <c r="BR143" s="104" t="n"/>
      <c r="BS143" s="104" t="n"/>
      <c r="BT143" s="104" t="n"/>
      <c r="BU143" s="104" t="n"/>
      <c r="BV143" s="104" t="n"/>
      <c r="BW143" s="104" t="n"/>
    </row>
    <row r="144" ht="20" customHeight="1">
      <c r="B144" s="100" t="n">
        <v>138</v>
      </c>
      <c r="C144" s="65" t="n"/>
      <c r="D144" s="65" t="n"/>
      <c r="E144" s="65" t="n"/>
      <c r="F144" s="65" t="n"/>
      <c r="G144" s="101" t="n"/>
      <c r="H144" s="101" t="n"/>
      <c r="I144" s="81" t="n"/>
      <c r="J144" s="102">
        <f>IF(OR(D144="",ProjStart=""),"",MAX(ProjStart,IF(I144&lt;&gt;"",I144,0),IF(H144="",0,IFERROR(INDEX($L$6:L143,MATCH(H144,$B$6:B143,0))+1,0))))</f>
        <v/>
      </c>
      <c r="K144" s="101" t="n"/>
      <c r="L144" s="102">
        <f>IF(J144="","",J144+MAX(1,G144)+IF(K144="",0,K144)-1)</f>
        <v/>
      </c>
      <c r="M144" s="65" t="n"/>
      <c r="N144" s="81" t="n"/>
      <c r="O144" s="103">
        <f>IF(D144="","",COUNTIF($H$7:$H$156,B144))</f>
        <v/>
      </c>
      <c r="P144" s="72">
        <f>IF(D144="","",IF(AND(H144&lt;&gt;"",H144&gt;=B144),"⚠️ Predecessor must be above",IF(M144="Done","✓ Done",IF(Q144=3,"🔴 Late",IF(M144="In progress","In progress","")))))</f>
        <v/>
      </c>
      <c r="Q144" s="63">
        <f>IF(OR(D144="",L144=""),"",IF(M144="Done",2,IF(AsOf&gt;L144,3,1)))</f>
        <v/>
      </c>
      <c r="R144" s="63">
        <f>IF(OR(E144="",F144=""),0,IF(COUNTIFS($E$7:E144,E144,$F$7:F144,F144)=1,1,0))</f>
        <v/>
      </c>
      <c r="S144" s="63">
        <f>IF(R144=1,E144&amp;"|"&amp;SUMIFS($R$7:R144,$E$7:E144,E144),"")</f>
        <v/>
      </c>
      <c r="T144" s="85">
        <f>IF(Q144="","",IF(Q144=3,L144,IF(OR(M144="Not started",M144=""),J144,"")))</f>
        <v/>
      </c>
      <c r="U144" s="63">
        <f>IF(T144="","",IF(Q144=3,1,IF(T144="","",IF(T144&lt;AsOf,1,IF(T144&lt;=AsOf+AlertDays,2,IF(T144&lt;=AsOf+2*AlertDays,3,""))))))</f>
        <v/>
      </c>
      <c r="V144" s="63">
        <f>IF(U144="","",IF(Q144=3,"Late task: "&amp;D144,IF(T144&lt;AsOf,"Should have started: ","Starts soon: ")&amp;D144)&amp;IF(F144="",""," — "&amp;F144))</f>
        <v/>
      </c>
      <c r="X144" s="104" t="n"/>
      <c r="Y144" s="104" t="n"/>
      <c r="Z144" s="104" t="n"/>
      <c r="AA144" s="104" t="n"/>
      <c r="AB144" s="104" t="n"/>
      <c r="AC144" s="104" t="n"/>
      <c r="AD144" s="104" t="n"/>
      <c r="AE144" s="104" t="n"/>
      <c r="AF144" s="104" t="n"/>
      <c r="AG144" s="104" t="n"/>
      <c r="AH144" s="104" t="n"/>
      <c r="AI144" s="104" t="n"/>
      <c r="AJ144" s="104" t="n"/>
      <c r="AK144" s="104" t="n"/>
      <c r="AL144" s="104" t="n"/>
      <c r="AM144" s="104" t="n"/>
      <c r="AN144" s="104" t="n"/>
      <c r="AO144" s="104" t="n"/>
      <c r="AP144" s="104" t="n"/>
      <c r="AQ144" s="104" t="n"/>
      <c r="AR144" s="104" t="n"/>
      <c r="AS144" s="104" t="n"/>
      <c r="AT144" s="104" t="n"/>
      <c r="AU144" s="104" t="n"/>
      <c r="AV144" s="104" t="n"/>
      <c r="AW144" s="104" t="n"/>
      <c r="AX144" s="104" t="n"/>
      <c r="AY144" s="104" t="n"/>
      <c r="AZ144" s="104" t="n"/>
      <c r="BA144" s="104" t="n"/>
      <c r="BB144" s="104" t="n"/>
      <c r="BC144" s="104" t="n"/>
      <c r="BD144" s="104" t="n"/>
      <c r="BE144" s="104" t="n"/>
      <c r="BF144" s="104" t="n"/>
      <c r="BG144" s="104" t="n"/>
      <c r="BH144" s="104" t="n"/>
      <c r="BI144" s="104" t="n"/>
      <c r="BJ144" s="104" t="n"/>
      <c r="BK144" s="104" t="n"/>
      <c r="BL144" s="104" t="n"/>
      <c r="BM144" s="104" t="n"/>
      <c r="BN144" s="104" t="n"/>
      <c r="BO144" s="104" t="n"/>
      <c r="BP144" s="104" t="n"/>
      <c r="BQ144" s="104" t="n"/>
      <c r="BR144" s="104" t="n"/>
      <c r="BS144" s="104" t="n"/>
      <c r="BT144" s="104" t="n"/>
      <c r="BU144" s="104" t="n"/>
      <c r="BV144" s="104" t="n"/>
      <c r="BW144" s="104" t="n"/>
    </row>
    <row r="145" ht="20" customHeight="1">
      <c r="B145" s="100" t="n">
        <v>139</v>
      </c>
      <c r="C145" s="65" t="n"/>
      <c r="D145" s="65" t="n"/>
      <c r="E145" s="65" t="n"/>
      <c r="F145" s="65" t="n"/>
      <c r="G145" s="101" t="n"/>
      <c r="H145" s="101" t="n"/>
      <c r="I145" s="81" t="n"/>
      <c r="J145" s="102">
        <f>IF(OR(D145="",ProjStart=""),"",MAX(ProjStart,IF(I145&lt;&gt;"",I145,0),IF(H145="",0,IFERROR(INDEX($L$6:L144,MATCH(H145,$B$6:B144,0))+1,0))))</f>
        <v/>
      </c>
      <c r="K145" s="101" t="n"/>
      <c r="L145" s="102">
        <f>IF(J145="","",J145+MAX(1,G145)+IF(K145="",0,K145)-1)</f>
        <v/>
      </c>
      <c r="M145" s="65" t="n"/>
      <c r="N145" s="81" t="n"/>
      <c r="O145" s="103">
        <f>IF(D145="","",COUNTIF($H$7:$H$156,B145))</f>
        <v/>
      </c>
      <c r="P145" s="72">
        <f>IF(D145="","",IF(AND(H145&lt;&gt;"",H145&gt;=B145),"⚠️ Predecessor must be above",IF(M145="Done","✓ Done",IF(Q145=3,"🔴 Late",IF(M145="In progress","In progress","")))))</f>
        <v/>
      </c>
      <c r="Q145" s="63">
        <f>IF(OR(D145="",L145=""),"",IF(M145="Done",2,IF(AsOf&gt;L145,3,1)))</f>
        <v/>
      </c>
      <c r="R145" s="63">
        <f>IF(OR(E145="",F145=""),0,IF(COUNTIFS($E$7:E145,E145,$F$7:F145,F145)=1,1,0))</f>
        <v/>
      </c>
      <c r="S145" s="63">
        <f>IF(R145=1,E145&amp;"|"&amp;SUMIFS($R$7:R145,$E$7:E145,E145),"")</f>
        <v/>
      </c>
      <c r="T145" s="85">
        <f>IF(Q145="","",IF(Q145=3,L145,IF(OR(M145="Not started",M145=""),J145,"")))</f>
        <v/>
      </c>
      <c r="U145" s="63">
        <f>IF(T145="","",IF(Q145=3,1,IF(T145="","",IF(T145&lt;AsOf,1,IF(T145&lt;=AsOf+AlertDays,2,IF(T145&lt;=AsOf+2*AlertDays,3,""))))))</f>
        <v/>
      </c>
      <c r="V145" s="63">
        <f>IF(U145="","",IF(Q145=3,"Late task: "&amp;D145,IF(T145&lt;AsOf,"Should have started: ","Starts soon: ")&amp;D145)&amp;IF(F145="",""," — "&amp;F145))</f>
        <v/>
      </c>
      <c r="X145" s="104" t="n"/>
      <c r="Y145" s="104" t="n"/>
      <c r="Z145" s="104" t="n"/>
      <c r="AA145" s="104" t="n"/>
      <c r="AB145" s="104" t="n"/>
      <c r="AC145" s="104" t="n"/>
      <c r="AD145" s="104" t="n"/>
      <c r="AE145" s="104" t="n"/>
      <c r="AF145" s="104" t="n"/>
      <c r="AG145" s="104" t="n"/>
      <c r="AH145" s="104" t="n"/>
      <c r="AI145" s="104" t="n"/>
      <c r="AJ145" s="104" t="n"/>
      <c r="AK145" s="104" t="n"/>
      <c r="AL145" s="104" t="n"/>
      <c r="AM145" s="104" t="n"/>
      <c r="AN145" s="104" t="n"/>
      <c r="AO145" s="104" t="n"/>
      <c r="AP145" s="104" t="n"/>
      <c r="AQ145" s="104" t="n"/>
      <c r="AR145" s="104" t="n"/>
      <c r="AS145" s="104" t="n"/>
      <c r="AT145" s="104" t="n"/>
      <c r="AU145" s="104" t="n"/>
      <c r="AV145" s="104" t="n"/>
      <c r="AW145" s="104" t="n"/>
      <c r="AX145" s="104" t="n"/>
      <c r="AY145" s="104" t="n"/>
      <c r="AZ145" s="104" t="n"/>
      <c r="BA145" s="104" t="n"/>
      <c r="BB145" s="104" t="n"/>
      <c r="BC145" s="104" t="n"/>
      <c r="BD145" s="104" t="n"/>
      <c r="BE145" s="104" t="n"/>
      <c r="BF145" s="104" t="n"/>
      <c r="BG145" s="104" t="n"/>
      <c r="BH145" s="104" t="n"/>
      <c r="BI145" s="104" t="n"/>
      <c r="BJ145" s="104" t="n"/>
      <c r="BK145" s="104" t="n"/>
      <c r="BL145" s="104" t="n"/>
      <c r="BM145" s="104" t="n"/>
      <c r="BN145" s="104" t="n"/>
      <c r="BO145" s="104" t="n"/>
      <c r="BP145" s="104" t="n"/>
      <c r="BQ145" s="104" t="n"/>
      <c r="BR145" s="104" t="n"/>
      <c r="BS145" s="104" t="n"/>
      <c r="BT145" s="104" t="n"/>
      <c r="BU145" s="104" t="n"/>
      <c r="BV145" s="104" t="n"/>
      <c r="BW145" s="104" t="n"/>
    </row>
    <row r="146" ht="20" customHeight="1">
      <c r="B146" s="100" t="n">
        <v>140</v>
      </c>
      <c r="C146" s="65" t="n"/>
      <c r="D146" s="65" t="n"/>
      <c r="E146" s="65" t="n"/>
      <c r="F146" s="65" t="n"/>
      <c r="G146" s="101" t="n"/>
      <c r="H146" s="101" t="n"/>
      <c r="I146" s="81" t="n"/>
      <c r="J146" s="102">
        <f>IF(OR(D146="",ProjStart=""),"",MAX(ProjStart,IF(I146&lt;&gt;"",I146,0),IF(H146="",0,IFERROR(INDEX($L$6:L145,MATCH(H146,$B$6:B145,0))+1,0))))</f>
        <v/>
      </c>
      <c r="K146" s="101" t="n"/>
      <c r="L146" s="102">
        <f>IF(J146="","",J146+MAX(1,G146)+IF(K146="",0,K146)-1)</f>
        <v/>
      </c>
      <c r="M146" s="65" t="n"/>
      <c r="N146" s="81" t="n"/>
      <c r="O146" s="103">
        <f>IF(D146="","",COUNTIF($H$7:$H$156,B146))</f>
        <v/>
      </c>
      <c r="P146" s="72">
        <f>IF(D146="","",IF(AND(H146&lt;&gt;"",H146&gt;=B146),"⚠️ Predecessor must be above",IF(M146="Done","✓ Done",IF(Q146=3,"🔴 Late",IF(M146="In progress","In progress","")))))</f>
        <v/>
      </c>
      <c r="Q146" s="63">
        <f>IF(OR(D146="",L146=""),"",IF(M146="Done",2,IF(AsOf&gt;L146,3,1)))</f>
        <v/>
      </c>
      <c r="R146" s="63">
        <f>IF(OR(E146="",F146=""),0,IF(COUNTIFS($E$7:E146,E146,$F$7:F146,F146)=1,1,0))</f>
        <v/>
      </c>
      <c r="S146" s="63">
        <f>IF(R146=1,E146&amp;"|"&amp;SUMIFS($R$7:R146,$E$7:E146,E146),"")</f>
        <v/>
      </c>
      <c r="T146" s="85">
        <f>IF(Q146="","",IF(Q146=3,L146,IF(OR(M146="Not started",M146=""),J146,"")))</f>
        <v/>
      </c>
      <c r="U146" s="63">
        <f>IF(T146="","",IF(Q146=3,1,IF(T146="","",IF(T146&lt;AsOf,1,IF(T146&lt;=AsOf+AlertDays,2,IF(T146&lt;=AsOf+2*AlertDays,3,""))))))</f>
        <v/>
      </c>
      <c r="V146" s="63">
        <f>IF(U146="","",IF(Q146=3,"Late task: "&amp;D146,IF(T146&lt;AsOf,"Should have started: ","Starts soon: ")&amp;D146)&amp;IF(F146="",""," — "&amp;F146))</f>
        <v/>
      </c>
      <c r="X146" s="104" t="n"/>
      <c r="Y146" s="104" t="n"/>
      <c r="Z146" s="104" t="n"/>
      <c r="AA146" s="104" t="n"/>
      <c r="AB146" s="104" t="n"/>
      <c r="AC146" s="104" t="n"/>
      <c r="AD146" s="104" t="n"/>
      <c r="AE146" s="104" t="n"/>
      <c r="AF146" s="104" t="n"/>
      <c r="AG146" s="104" t="n"/>
      <c r="AH146" s="104" t="n"/>
      <c r="AI146" s="104" t="n"/>
      <c r="AJ146" s="104" t="n"/>
      <c r="AK146" s="104" t="n"/>
      <c r="AL146" s="104" t="n"/>
      <c r="AM146" s="104" t="n"/>
      <c r="AN146" s="104" t="n"/>
      <c r="AO146" s="104" t="n"/>
      <c r="AP146" s="104" t="n"/>
      <c r="AQ146" s="104" t="n"/>
      <c r="AR146" s="104" t="n"/>
      <c r="AS146" s="104" t="n"/>
      <c r="AT146" s="104" t="n"/>
      <c r="AU146" s="104" t="n"/>
      <c r="AV146" s="104" t="n"/>
      <c r="AW146" s="104" t="n"/>
      <c r="AX146" s="104" t="n"/>
      <c r="AY146" s="104" t="n"/>
      <c r="AZ146" s="104" t="n"/>
      <c r="BA146" s="104" t="n"/>
      <c r="BB146" s="104" t="n"/>
      <c r="BC146" s="104" t="n"/>
      <c r="BD146" s="104" t="n"/>
      <c r="BE146" s="104" t="n"/>
      <c r="BF146" s="104" t="n"/>
      <c r="BG146" s="104" t="n"/>
      <c r="BH146" s="104" t="n"/>
      <c r="BI146" s="104" t="n"/>
      <c r="BJ146" s="104" t="n"/>
      <c r="BK146" s="104" t="n"/>
      <c r="BL146" s="104" t="n"/>
      <c r="BM146" s="104" t="n"/>
      <c r="BN146" s="104" t="n"/>
      <c r="BO146" s="104" t="n"/>
      <c r="BP146" s="104" t="n"/>
      <c r="BQ146" s="104" t="n"/>
      <c r="BR146" s="104" t="n"/>
      <c r="BS146" s="104" t="n"/>
      <c r="BT146" s="104" t="n"/>
      <c r="BU146" s="104" t="n"/>
      <c r="BV146" s="104" t="n"/>
      <c r="BW146" s="104" t="n"/>
    </row>
    <row r="147" ht="20" customHeight="1">
      <c r="B147" s="100" t="n">
        <v>141</v>
      </c>
      <c r="C147" s="65" t="n"/>
      <c r="D147" s="65" t="n"/>
      <c r="E147" s="65" t="n"/>
      <c r="F147" s="65" t="n"/>
      <c r="G147" s="101" t="n"/>
      <c r="H147" s="101" t="n"/>
      <c r="I147" s="81" t="n"/>
      <c r="J147" s="102">
        <f>IF(OR(D147="",ProjStart=""),"",MAX(ProjStart,IF(I147&lt;&gt;"",I147,0),IF(H147="",0,IFERROR(INDEX($L$6:L146,MATCH(H147,$B$6:B146,0))+1,0))))</f>
        <v/>
      </c>
      <c r="K147" s="101" t="n"/>
      <c r="L147" s="102">
        <f>IF(J147="","",J147+MAX(1,G147)+IF(K147="",0,K147)-1)</f>
        <v/>
      </c>
      <c r="M147" s="65" t="n"/>
      <c r="N147" s="81" t="n"/>
      <c r="O147" s="103">
        <f>IF(D147="","",COUNTIF($H$7:$H$156,B147))</f>
        <v/>
      </c>
      <c r="P147" s="72">
        <f>IF(D147="","",IF(AND(H147&lt;&gt;"",H147&gt;=B147),"⚠️ Predecessor must be above",IF(M147="Done","✓ Done",IF(Q147=3,"🔴 Late",IF(M147="In progress","In progress","")))))</f>
        <v/>
      </c>
      <c r="Q147" s="63">
        <f>IF(OR(D147="",L147=""),"",IF(M147="Done",2,IF(AsOf&gt;L147,3,1)))</f>
        <v/>
      </c>
      <c r="R147" s="63">
        <f>IF(OR(E147="",F147=""),0,IF(COUNTIFS($E$7:E147,E147,$F$7:F147,F147)=1,1,0))</f>
        <v/>
      </c>
      <c r="S147" s="63">
        <f>IF(R147=1,E147&amp;"|"&amp;SUMIFS($R$7:R147,$E$7:E147,E147),"")</f>
        <v/>
      </c>
      <c r="T147" s="85">
        <f>IF(Q147="","",IF(Q147=3,L147,IF(OR(M147="Not started",M147=""),J147,"")))</f>
        <v/>
      </c>
      <c r="U147" s="63">
        <f>IF(T147="","",IF(Q147=3,1,IF(T147="","",IF(T147&lt;AsOf,1,IF(T147&lt;=AsOf+AlertDays,2,IF(T147&lt;=AsOf+2*AlertDays,3,""))))))</f>
        <v/>
      </c>
      <c r="V147" s="63">
        <f>IF(U147="","",IF(Q147=3,"Late task: "&amp;D147,IF(T147&lt;AsOf,"Should have started: ","Starts soon: ")&amp;D147)&amp;IF(F147="",""," — "&amp;F147))</f>
        <v/>
      </c>
      <c r="X147" s="104" t="n"/>
      <c r="Y147" s="104" t="n"/>
      <c r="Z147" s="104" t="n"/>
      <c r="AA147" s="104" t="n"/>
      <c r="AB147" s="104" t="n"/>
      <c r="AC147" s="104" t="n"/>
      <c r="AD147" s="104" t="n"/>
      <c r="AE147" s="104" t="n"/>
      <c r="AF147" s="104" t="n"/>
      <c r="AG147" s="104" t="n"/>
      <c r="AH147" s="104" t="n"/>
      <c r="AI147" s="104" t="n"/>
      <c r="AJ147" s="104" t="n"/>
      <c r="AK147" s="104" t="n"/>
      <c r="AL147" s="104" t="n"/>
      <c r="AM147" s="104" t="n"/>
      <c r="AN147" s="104" t="n"/>
      <c r="AO147" s="104" t="n"/>
      <c r="AP147" s="104" t="n"/>
      <c r="AQ147" s="104" t="n"/>
      <c r="AR147" s="104" t="n"/>
      <c r="AS147" s="104" t="n"/>
      <c r="AT147" s="104" t="n"/>
      <c r="AU147" s="104" t="n"/>
      <c r="AV147" s="104" t="n"/>
      <c r="AW147" s="104" t="n"/>
      <c r="AX147" s="104" t="n"/>
      <c r="AY147" s="104" t="n"/>
      <c r="AZ147" s="104" t="n"/>
      <c r="BA147" s="104" t="n"/>
      <c r="BB147" s="104" t="n"/>
      <c r="BC147" s="104" t="n"/>
      <c r="BD147" s="104" t="n"/>
      <c r="BE147" s="104" t="n"/>
      <c r="BF147" s="104" t="n"/>
      <c r="BG147" s="104" t="n"/>
      <c r="BH147" s="104" t="n"/>
      <c r="BI147" s="104" t="n"/>
      <c r="BJ147" s="104" t="n"/>
      <c r="BK147" s="104" t="n"/>
      <c r="BL147" s="104" t="n"/>
      <c r="BM147" s="104" t="n"/>
      <c r="BN147" s="104" t="n"/>
      <c r="BO147" s="104" t="n"/>
      <c r="BP147" s="104" t="n"/>
      <c r="BQ147" s="104" t="n"/>
      <c r="BR147" s="104" t="n"/>
      <c r="BS147" s="104" t="n"/>
      <c r="BT147" s="104" t="n"/>
      <c r="BU147" s="104" t="n"/>
      <c r="BV147" s="104" t="n"/>
      <c r="BW147" s="104" t="n"/>
    </row>
    <row r="148" ht="20" customHeight="1">
      <c r="B148" s="100" t="n">
        <v>142</v>
      </c>
      <c r="C148" s="65" t="n"/>
      <c r="D148" s="65" t="n"/>
      <c r="E148" s="65" t="n"/>
      <c r="F148" s="65" t="n"/>
      <c r="G148" s="101" t="n"/>
      <c r="H148" s="101" t="n"/>
      <c r="I148" s="81" t="n"/>
      <c r="J148" s="102">
        <f>IF(OR(D148="",ProjStart=""),"",MAX(ProjStart,IF(I148&lt;&gt;"",I148,0),IF(H148="",0,IFERROR(INDEX($L$6:L147,MATCH(H148,$B$6:B147,0))+1,0))))</f>
        <v/>
      </c>
      <c r="K148" s="101" t="n"/>
      <c r="L148" s="102">
        <f>IF(J148="","",J148+MAX(1,G148)+IF(K148="",0,K148)-1)</f>
        <v/>
      </c>
      <c r="M148" s="65" t="n"/>
      <c r="N148" s="81" t="n"/>
      <c r="O148" s="103">
        <f>IF(D148="","",COUNTIF($H$7:$H$156,B148))</f>
        <v/>
      </c>
      <c r="P148" s="72">
        <f>IF(D148="","",IF(AND(H148&lt;&gt;"",H148&gt;=B148),"⚠️ Predecessor must be above",IF(M148="Done","✓ Done",IF(Q148=3,"🔴 Late",IF(M148="In progress","In progress","")))))</f>
        <v/>
      </c>
      <c r="Q148" s="63">
        <f>IF(OR(D148="",L148=""),"",IF(M148="Done",2,IF(AsOf&gt;L148,3,1)))</f>
        <v/>
      </c>
      <c r="R148" s="63">
        <f>IF(OR(E148="",F148=""),0,IF(COUNTIFS($E$7:E148,E148,$F$7:F148,F148)=1,1,0))</f>
        <v/>
      </c>
      <c r="S148" s="63">
        <f>IF(R148=1,E148&amp;"|"&amp;SUMIFS($R$7:R148,$E$7:E148,E148),"")</f>
        <v/>
      </c>
      <c r="T148" s="85">
        <f>IF(Q148="","",IF(Q148=3,L148,IF(OR(M148="Not started",M148=""),J148,"")))</f>
        <v/>
      </c>
      <c r="U148" s="63">
        <f>IF(T148="","",IF(Q148=3,1,IF(T148="","",IF(T148&lt;AsOf,1,IF(T148&lt;=AsOf+AlertDays,2,IF(T148&lt;=AsOf+2*AlertDays,3,""))))))</f>
        <v/>
      </c>
      <c r="V148" s="63">
        <f>IF(U148="","",IF(Q148=3,"Late task: "&amp;D148,IF(T148&lt;AsOf,"Should have started: ","Starts soon: ")&amp;D148)&amp;IF(F148="",""," — "&amp;F148))</f>
        <v/>
      </c>
      <c r="X148" s="104" t="n"/>
      <c r="Y148" s="104" t="n"/>
      <c r="Z148" s="104" t="n"/>
      <c r="AA148" s="104" t="n"/>
      <c r="AB148" s="104" t="n"/>
      <c r="AC148" s="104" t="n"/>
      <c r="AD148" s="104" t="n"/>
      <c r="AE148" s="104" t="n"/>
      <c r="AF148" s="104" t="n"/>
      <c r="AG148" s="104" t="n"/>
      <c r="AH148" s="104" t="n"/>
      <c r="AI148" s="104" t="n"/>
      <c r="AJ148" s="104" t="n"/>
      <c r="AK148" s="104" t="n"/>
      <c r="AL148" s="104" t="n"/>
      <c r="AM148" s="104" t="n"/>
      <c r="AN148" s="104" t="n"/>
      <c r="AO148" s="104" t="n"/>
      <c r="AP148" s="104" t="n"/>
      <c r="AQ148" s="104" t="n"/>
      <c r="AR148" s="104" t="n"/>
      <c r="AS148" s="104" t="n"/>
      <c r="AT148" s="104" t="n"/>
      <c r="AU148" s="104" t="n"/>
      <c r="AV148" s="104" t="n"/>
      <c r="AW148" s="104" t="n"/>
      <c r="AX148" s="104" t="n"/>
      <c r="AY148" s="104" t="n"/>
      <c r="AZ148" s="104" t="n"/>
      <c r="BA148" s="104" t="n"/>
      <c r="BB148" s="104" t="n"/>
      <c r="BC148" s="104" t="n"/>
      <c r="BD148" s="104" t="n"/>
      <c r="BE148" s="104" t="n"/>
      <c r="BF148" s="104" t="n"/>
      <c r="BG148" s="104" t="n"/>
      <c r="BH148" s="104" t="n"/>
      <c r="BI148" s="104" t="n"/>
      <c r="BJ148" s="104" t="n"/>
      <c r="BK148" s="104" t="n"/>
      <c r="BL148" s="104" t="n"/>
      <c r="BM148" s="104" t="n"/>
      <c r="BN148" s="104" t="n"/>
      <c r="BO148" s="104" t="n"/>
      <c r="BP148" s="104" t="n"/>
      <c r="BQ148" s="104" t="n"/>
      <c r="BR148" s="104" t="n"/>
      <c r="BS148" s="104" t="n"/>
      <c r="BT148" s="104" t="n"/>
      <c r="BU148" s="104" t="n"/>
      <c r="BV148" s="104" t="n"/>
      <c r="BW148" s="104" t="n"/>
    </row>
    <row r="149" ht="20" customHeight="1">
      <c r="B149" s="100" t="n">
        <v>143</v>
      </c>
      <c r="C149" s="65" t="n"/>
      <c r="D149" s="65" t="n"/>
      <c r="E149" s="65" t="n"/>
      <c r="F149" s="65" t="n"/>
      <c r="G149" s="101" t="n"/>
      <c r="H149" s="101" t="n"/>
      <c r="I149" s="81" t="n"/>
      <c r="J149" s="102">
        <f>IF(OR(D149="",ProjStart=""),"",MAX(ProjStart,IF(I149&lt;&gt;"",I149,0),IF(H149="",0,IFERROR(INDEX($L$6:L148,MATCH(H149,$B$6:B148,0))+1,0))))</f>
        <v/>
      </c>
      <c r="K149" s="101" t="n"/>
      <c r="L149" s="102">
        <f>IF(J149="","",J149+MAX(1,G149)+IF(K149="",0,K149)-1)</f>
        <v/>
      </c>
      <c r="M149" s="65" t="n"/>
      <c r="N149" s="81" t="n"/>
      <c r="O149" s="103">
        <f>IF(D149="","",COUNTIF($H$7:$H$156,B149))</f>
        <v/>
      </c>
      <c r="P149" s="72">
        <f>IF(D149="","",IF(AND(H149&lt;&gt;"",H149&gt;=B149),"⚠️ Predecessor must be above",IF(M149="Done","✓ Done",IF(Q149=3,"🔴 Late",IF(M149="In progress","In progress","")))))</f>
        <v/>
      </c>
      <c r="Q149" s="63">
        <f>IF(OR(D149="",L149=""),"",IF(M149="Done",2,IF(AsOf&gt;L149,3,1)))</f>
        <v/>
      </c>
      <c r="R149" s="63">
        <f>IF(OR(E149="",F149=""),0,IF(COUNTIFS($E$7:E149,E149,$F$7:F149,F149)=1,1,0))</f>
        <v/>
      </c>
      <c r="S149" s="63">
        <f>IF(R149=1,E149&amp;"|"&amp;SUMIFS($R$7:R149,$E$7:E149,E149),"")</f>
        <v/>
      </c>
      <c r="T149" s="85">
        <f>IF(Q149="","",IF(Q149=3,L149,IF(OR(M149="Not started",M149=""),J149,"")))</f>
        <v/>
      </c>
      <c r="U149" s="63">
        <f>IF(T149="","",IF(Q149=3,1,IF(T149="","",IF(T149&lt;AsOf,1,IF(T149&lt;=AsOf+AlertDays,2,IF(T149&lt;=AsOf+2*AlertDays,3,""))))))</f>
        <v/>
      </c>
      <c r="V149" s="63">
        <f>IF(U149="","",IF(Q149=3,"Late task: "&amp;D149,IF(T149&lt;AsOf,"Should have started: ","Starts soon: ")&amp;D149)&amp;IF(F149="",""," — "&amp;F149))</f>
        <v/>
      </c>
      <c r="X149" s="104" t="n"/>
      <c r="Y149" s="104" t="n"/>
      <c r="Z149" s="104" t="n"/>
      <c r="AA149" s="104" t="n"/>
      <c r="AB149" s="104" t="n"/>
      <c r="AC149" s="104" t="n"/>
      <c r="AD149" s="104" t="n"/>
      <c r="AE149" s="104" t="n"/>
      <c r="AF149" s="104" t="n"/>
      <c r="AG149" s="104" t="n"/>
      <c r="AH149" s="104" t="n"/>
      <c r="AI149" s="104" t="n"/>
      <c r="AJ149" s="104" t="n"/>
      <c r="AK149" s="104" t="n"/>
      <c r="AL149" s="104" t="n"/>
      <c r="AM149" s="104" t="n"/>
      <c r="AN149" s="104" t="n"/>
      <c r="AO149" s="104" t="n"/>
      <c r="AP149" s="104" t="n"/>
      <c r="AQ149" s="104" t="n"/>
      <c r="AR149" s="104" t="n"/>
      <c r="AS149" s="104" t="n"/>
      <c r="AT149" s="104" t="n"/>
      <c r="AU149" s="104" t="n"/>
      <c r="AV149" s="104" t="n"/>
      <c r="AW149" s="104" t="n"/>
      <c r="AX149" s="104" t="n"/>
      <c r="AY149" s="104" t="n"/>
      <c r="AZ149" s="104" t="n"/>
      <c r="BA149" s="104" t="n"/>
      <c r="BB149" s="104" t="n"/>
      <c r="BC149" s="104" t="n"/>
      <c r="BD149" s="104" t="n"/>
      <c r="BE149" s="104" t="n"/>
      <c r="BF149" s="104" t="n"/>
      <c r="BG149" s="104" t="n"/>
      <c r="BH149" s="104" t="n"/>
      <c r="BI149" s="104" t="n"/>
      <c r="BJ149" s="104" t="n"/>
      <c r="BK149" s="104" t="n"/>
      <c r="BL149" s="104" t="n"/>
      <c r="BM149" s="104" t="n"/>
      <c r="BN149" s="104" t="n"/>
      <c r="BO149" s="104" t="n"/>
      <c r="BP149" s="104" t="n"/>
      <c r="BQ149" s="104" t="n"/>
      <c r="BR149" s="104" t="n"/>
      <c r="BS149" s="104" t="n"/>
      <c r="BT149" s="104" t="n"/>
      <c r="BU149" s="104" t="n"/>
      <c r="BV149" s="104" t="n"/>
      <c r="BW149" s="104" t="n"/>
    </row>
    <row r="150" ht="20" customHeight="1">
      <c r="B150" s="100" t="n">
        <v>144</v>
      </c>
      <c r="C150" s="65" t="n"/>
      <c r="D150" s="65" t="n"/>
      <c r="E150" s="65" t="n"/>
      <c r="F150" s="65" t="n"/>
      <c r="G150" s="101" t="n"/>
      <c r="H150" s="101" t="n"/>
      <c r="I150" s="81" t="n"/>
      <c r="J150" s="102">
        <f>IF(OR(D150="",ProjStart=""),"",MAX(ProjStart,IF(I150&lt;&gt;"",I150,0),IF(H150="",0,IFERROR(INDEX($L$6:L149,MATCH(H150,$B$6:B149,0))+1,0))))</f>
        <v/>
      </c>
      <c r="K150" s="101" t="n"/>
      <c r="L150" s="102">
        <f>IF(J150="","",J150+MAX(1,G150)+IF(K150="",0,K150)-1)</f>
        <v/>
      </c>
      <c r="M150" s="65" t="n"/>
      <c r="N150" s="81" t="n"/>
      <c r="O150" s="103">
        <f>IF(D150="","",COUNTIF($H$7:$H$156,B150))</f>
        <v/>
      </c>
      <c r="P150" s="72">
        <f>IF(D150="","",IF(AND(H150&lt;&gt;"",H150&gt;=B150),"⚠️ Predecessor must be above",IF(M150="Done","✓ Done",IF(Q150=3,"🔴 Late",IF(M150="In progress","In progress","")))))</f>
        <v/>
      </c>
      <c r="Q150" s="63">
        <f>IF(OR(D150="",L150=""),"",IF(M150="Done",2,IF(AsOf&gt;L150,3,1)))</f>
        <v/>
      </c>
      <c r="R150" s="63">
        <f>IF(OR(E150="",F150=""),0,IF(COUNTIFS($E$7:E150,E150,$F$7:F150,F150)=1,1,0))</f>
        <v/>
      </c>
      <c r="S150" s="63">
        <f>IF(R150=1,E150&amp;"|"&amp;SUMIFS($R$7:R150,$E$7:E150,E150),"")</f>
        <v/>
      </c>
      <c r="T150" s="85">
        <f>IF(Q150="","",IF(Q150=3,L150,IF(OR(M150="Not started",M150=""),J150,"")))</f>
        <v/>
      </c>
      <c r="U150" s="63">
        <f>IF(T150="","",IF(Q150=3,1,IF(T150="","",IF(T150&lt;AsOf,1,IF(T150&lt;=AsOf+AlertDays,2,IF(T150&lt;=AsOf+2*AlertDays,3,""))))))</f>
        <v/>
      </c>
      <c r="V150" s="63">
        <f>IF(U150="","",IF(Q150=3,"Late task: "&amp;D150,IF(T150&lt;AsOf,"Should have started: ","Starts soon: ")&amp;D150)&amp;IF(F150="",""," — "&amp;F150))</f>
        <v/>
      </c>
      <c r="X150" s="104" t="n"/>
      <c r="Y150" s="104" t="n"/>
      <c r="Z150" s="104" t="n"/>
      <c r="AA150" s="104" t="n"/>
      <c r="AB150" s="104" t="n"/>
      <c r="AC150" s="104" t="n"/>
      <c r="AD150" s="104" t="n"/>
      <c r="AE150" s="104" t="n"/>
      <c r="AF150" s="104" t="n"/>
      <c r="AG150" s="104" t="n"/>
      <c r="AH150" s="104" t="n"/>
      <c r="AI150" s="104" t="n"/>
      <c r="AJ150" s="104" t="n"/>
      <c r="AK150" s="104" t="n"/>
      <c r="AL150" s="104" t="n"/>
      <c r="AM150" s="104" t="n"/>
      <c r="AN150" s="104" t="n"/>
      <c r="AO150" s="104" t="n"/>
      <c r="AP150" s="104" t="n"/>
      <c r="AQ150" s="104" t="n"/>
      <c r="AR150" s="104" t="n"/>
      <c r="AS150" s="104" t="n"/>
      <c r="AT150" s="104" t="n"/>
      <c r="AU150" s="104" t="n"/>
      <c r="AV150" s="104" t="n"/>
      <c r="AW150" s="104" t="n"/>
      <c r="AX150" s="104" t="n"/>
      <c r="AY150" s="104" t="n"/>
      <c r="AZ150" s="104" t="n"/>
      <c r="BA150" s="104" t="n"/>
      <c r="BB150" s="104" t="n"/>
      <c r="BC150" s="104" t="n"/>
      <c r="BD150" s="104" t="n"/>
      <c r="BE150" s="104" t="n"/>
      <c r="BF150" s="104" t="n"/>
      <c r="BG150" s="104" t="n"/>
      <c r="BH150" s="104" t="n"/>
      <c r="BI150" s="104" t="n"/>
      <c r="BJ150" s="104" t="n"/>
      <c r="BK150" s="104" t="n"/>
      <c r="BL150" s="104" t="n"/>
      <c r="BM150" s="104" t="n"/>
      <c r="BN150" s="104" t="n"/>
      <c r="BO150" s="104" t="n"/>
      <c r="BP150" s="104" t="n"/>
      <c r="BQ150" s="104" t="n"/>
      <c r="BR150" s="104" t="n"/>
      <c r="BS150" s="104" t="n"/>
      <c r="BT150" s="104" t="n"/>
      <c r="BU150" s="104" t="n"/>
      <c r="BV150" s="104" t="n"/>
      <c r="BW150" s="104" t="n"/>
    </row>
    <row r="151" ht="20" customHeight="1">
      <c r="B151" s="100" t="n">
        <v>145</v>
      </c>
      <c r="C151" s="65" t="n"/>
      <c r="D151" s="65" t="n"/>
      <c r="E151" s="65" t="n"/>
      <c r="F151" s="65" t="n"/>
      <c r="G151" s="101" t="n"/>
      <c r="H151" s="101" t="n"/>
      <c r="I151" s="81" t="n"/>
      <c r="J151" s="102">
        <f>IF(OR(D151="",ProjStart=""),"",MAX(ProjStart,IF(I151&lt;&gt;"",I151,0),IF(H151="",0,IFERROR(INDEX($L$6:L150,MATCH(H151,$B$6:B150,0))+1,0))))</f>
        <v/>
      </c>
      <c r="K151" s="101" t="n"/>
      <c r="L151" s="102">
        <f>IF(J151="","",J151+MAX(1,G151)+IF(K151="",0,K151)-1)</f>
        <v/>
      </c>
      <c r="M151" s="65" t="n"/>
      <c r="N151" s="81" t="n"/>
      <c r="O151" s="103">
        <f>IF(D151="","",COUNTIF($H$7:$H$156,B151))</f>
        <v/>
      </c>
      <c r="P151" s="72">
        <f>IF(D151="","",IF(AND(H151&lt;&gt;"",H151&gt;=B151),"⚠️ Predecessor must be above",IF(M151="Done","✓ Done",IF(Q151=3,"🔴 Late",IF(M151="In progress","In progress","")))))</f>
        <v/>
      </c>
      <c r="Q151" s="63">
        <f>IF(OR(D151="",L151=""),"",IF(M151="Done",2,IF(AsOf&gt;L151,3,1)))</f>
        <v/>
      </c>
      <c r="R151" s="63">
        <f>IF(OR(E151="",F151=""),0,IF(COUNTIFS($E$7:E151,E151,$F$7:F151,F151)=1,1,0))</f>
        <v/>
      </c>
      <c r="S151" s="63">
        <f>IF(R151=1,E151&amp;"|"&amp;SUMIFS($R$7:R151,$E$7:E151,E151),"")</f>
        <v/>
      </c>
      <c r="T151" s="85">
        <f>IF(Q151="","",IF(Q151=3,L151,IF(OR(M151="Not started",M151=""),J151,"")))</f>
        <v/>
      </c>
      <c r="U151" s="63">
        <f>IF(T151="","",IF(Q151=3,1,IF(T151="","",IF(T151&lt;AsOf,1,IF(T151&lt;=AsOf+AlertDays,2,IF(T151&lt;=AsOf+2*AlertDays,3,""))))))</f>
        <v/>
      </c>
      <c r="V151" s="63">
        <f>IF(U151="","",IF(Q151=3,"Late task: "&amp;D151,IF(T151&lt;AsOf,"Should have started: ","Starts soon: ")&amp;D151)&amp;IF(F151="",""," — "&amp;F151))</f>
        <v/>
      </c>
      <c r="X151" s="104" t="n"/>
      <c r="Y151" s="104" t="n"/>
      <c r="Z151" s="104" t="n"/>
      <c r="AA151" s="104" t="n"/>
      <c r="AB151" s="104" t="n"/>
      <c r="AC151" s="104" t="n"/>
      <c r="AD151" s="104" t="n"/>
      <c r="AE151" s="104" t="n"/>
      <c r="AF151" s="104" t="n"/>
      <c r="AG151" s="104" t="n"/>
      <c r="AH151" s="104" t="n"/>
      <c r="AI151" s="104" t="n"/>
      <c r="AJ151" s="104" t="n"/>
      <c r="AK151" s="104" t="n"/>
      <c r="AL151" s="104" t="n"/>
      <c r="AM151" s="104" t="n"/>
      <c r="AN151" s="104" t="n"/>
      <c r="AO151" s="104" t="n"/>
      <c r="AP151" s="104" t="n"/>
      <c r="AQ151" s="104" t="n"/>
      <c r="AR151" s="104" t="n"/>
      <c r="AS151" s="104" t="n"/>
      <c r="AT151" s="104" t="n"/>
      <c r="AU151" s="104" t="n"/>
      <c r="AV151" s="104" t="n"/>
      <c r="AW151" s="104" t="n"/>
      <c r="AX151" s="104" t="n"/>
      <c r="AY151" s="104" t="n"/>
      <c r="AZ151" s="104" t="n"/>
      <c r="BA151" s="104" t="n"/>
      <c r="BB151" s="104" t="n"/>
      <c r="BC151" s="104" t="n"/>
      <c r="BD151" s="104" t="n"/>
      <c r="BE151" s="104" t="n"/>
      <c r="BF151" s="104" t="n"/>
      <c r="BG151" s="104" t="n"/>
      <c r="BH151" s="104" t="n"/>
      <c r="BI151" s="104" t="n"/>
      <c r="BJ151" s="104" t="n"/>
      <c r="BK151" s="104" t="n"/>
      <c r="BL151" s="104" t="n"/>
      <c r="BM151" s="104" t="n"/>
      <c r="BN151" s="104" t="n"/>
      <c r="BO151" s="104" t="n"/>
      <c r="BP151" s="104" t="n"/>
      <c r="BQ151" s="104" t="n"/>
      <c r="BR151" s="104" t="n"/>
      <c r="BS151" s="104" t="n"/>
      <c r="BT151" s="104" t="n"/>
      <c r="BU151" s="104" t="n"/>
      <c r="BV151" s="104" t="n"/>
      <c r="BW151" s="104" t="n"/>
    </row>
    <row r="152" ht="20" customHeight="1">
      <c r="B152" s="100" t="n">
        <v>146</v>
      </c>
      <c r="C152" s="65" t="n"/>
      <c r="D152" s="65" t="n"/>
      <c r="E152" s="65" t="n"/>
      <c r="F152" s="65" t="n"/>
      <c r="G152" s="101" t="n"/>
      <c r="H152" s="101" t="n"/>
      <c r="I152" s="81" t="n"/>
      <c r="J152" s="102">
        <f>IF(OR(D152="",ProjStart=""),"",MAX(ProjStart,IF(I152&lt;&gt;"",I152,0),IF(H152="",0,IFERROR(INDEX($L$6:L151,MATCH(H152,$B$6:B151,0))+1,0))))</f>
        <v/>
      </c>
      <c r="K152" s="101" t="n"/>
      <c r="L152" s="102">
        <f>IF(J152="","",J152+MAX(1,G152)+IF(K152="",0,K152)-1)</f>
        <v/>
      </c>
      <c r="M152" s="65" t="n"/>
      <c r="N152" s="81" t="n"/>
      <c r="O152" s="103">
        <f>IF(D152="","",COUNTIF($H$7:$H$156,B152))</f>
        <v/>
      </c>
      <c r="P152" s="72">
        <f>IF(D152="","",IF(AND(H152&lt;&gt;"",H152&gt;=B152),"⚠️ Predecessor must be above",IF(M152="Done","✓ Done",IF(Q152=3,"🔴 Late",IF(M152="In progress","In progress","")))))</f>
        <v/>
      </c>
      <c r="Q152" s="63">
        <f>IF(OR(D152="",L152=""),"",IF(M152="Done",2,IF(AsOf&gt;L152,3,1)))</f>
        <v/>
      </c>
      <c r="R152" s="63">
        <f>IF(OR(E152="",F152=""),0,IF(COUNTIFS($E$7:E152,E152,$F$7:F152,F152)=1,1,0))</f>
        <v/>
      </c>
      <c r="S152" s="63">
        <f>IF(R152=1,E152&amp;"|"&amp;SUMIFS($R$7:R152,$E$7:E152,E152),"")</f>
        <v/>
      </c>
      <c r="T152" s="85">
        <f>IF(Q152="","",IF(Q152=3,L152,IF(OR(M152="Not started",M152=""),J152,"")))</f>
        <v/>
      </c>
      <c r="U152" s="63">
        <f>IF(T152="","",IF(Q152=3,1,IF(T152="","",IF(T152&lt;AsOf,1,IF(T152&lt;=AsOf+AlertDays,2,IF(T152&lt;=AsOf+2*AlertDays,3,""))))))</f>
        <v/>
      </c>
      <c r="V152" s="63">
        <f>IF(U152="","",IF(Q152=3,"Late task: "&amp;D152,IF(T152&lt;AsOf,"Should have started: ","Starts soon: ")&amp;D152)&amp;IF(F152="",""," — "&amp;F152))</f>
        <v/>
      </c>
      <c r="X152" s="104" t="n"/>
      <c r="Y152" s="104" t="n"/>
      <c r="Z152" s="104" t="n"/>
      <c r="AA152" s="104" t="n"/>
      <c r="AB152" s="104" t="n"/>
      <c r="AC152" s="104" t="n"/>
      <c r="AD152" s="104" t="n"/>
      <c r="AE152" s="104" t="n"/>
      <c r="AF152" s="104" t="n"/>
      <c r="AG152" s="104" t="n"/>
      <c r="AH152" s="104" t="n"/>
      <c r="AI152" s="104" t="n"/>
      <c r="AJ152" s="104" t="n"/>
      <c r="AK152" s="104" t="n"/>
      <c r="AL152" s="104" t="n"/>
      <c r="AM152" s="104" t="n"/>
      <c r="AN152" s="104" t="n"/>
      <c r="AO152" s="104" t="n"/>
      <c r="AP152" s="104" t="n"/>
      <c r="AQ152" s="104" t="n"/>
      <c r="AR152" s="104" t="n"/>
      <c r="AS152" s="104" t="n"/>
      <c r="AT152" s="104" t="n"/>
      <c r="AU152" s="104" t="n"/>
      <c r="AV152" s="104" t="n"/>
      <c r="AW152" s="104" t="n"/>
      <c r="AX152" s="104" t="n"/>
      <c r="AY152" s="104" t="n"/>
      <c r="AZ152" s="104" t="n"/>
      <c r="BA152" s="104" t="n"/>
      <c r="BB152" s="104" t="n"/>
      <c r="BC152" s="104" t="n"/>
      <c r="BD152" s="104" t="n"/>
      <c r="BE152" s="104" t="n"/>
      <c r="BF152" s="104" t="n"/>
      <c r="BG152" s="104" t="n"/>
      <c r="BH152" s="104" t="n"/>
      <c r="BI152" s="104" t="n"/>
      <c r="BJ152" s="104" t="n"/>
      <c r="BK152" s="104" t="n"/>
      <c r="BL152" s="104" t="n"/>
      <c r="BM152" s="104" t="n"/>
      <c r="BN152" s="104" t="n"/>
      <c r="BO152" s="104" t="n"/>
      <c r="BP152" s="104" t="n"/>
      <c r="BQ152" s="104" t="n"/>
      <c r="BR152" s="104" t="n"/>
      <c r="BS152" s="104" t="n"/>
      <c r="BT152" s="104" t="n"/>
      <c r="BU152" s="104" t="n"/>
      <c r="BV152" s="104" t="n"/>
      <c r="BW152" s="104" t="n"/>
    </row>
    <row r="153" ht="20" customHeight="1">
      <c r="B153" s="100" t="n">
        <v>147</v>
      </c>
      <c r="C153" s="65" t="n"/>
      <c r="D153" s="65" t="n"/>
      <c r="E153" s="65" t="n"/>
      <c r="F153" s="65" t="n"/>
      <c r="G153" s="101" t="n"/>
      <c r="H153" s="101" t="n"/>
      <c r="I153" s="81" t="n"/>
      <c r="J153" s="102">
        <f>IF(OR(D153="",ProjStart=""),"",MAX(ProjStart,IF(I153&lt;&gt;"",I153,0),IF(H153="",0,IFERROR(INDEX($L$6:L152,MATCH(H153,$B$6:B152,0))+1,0))))</f>
        <v/>
      </c>
      <c r="K153" s="101" t="n"/>
      <c r="L153" s="102">
        <f>IF(J153="","",J153+MAX(1,G153)+IF(K153="",0,K153)-1)</f>
        <v/>
      </c>
      <c r="M153" s="65" t="n"/>
      <c r="N153" s="81" t="n"/>
      <c r="O153" s="103">
        <f>IF(D153="","",COUNTIF($H$7:$H$156,B153))</f>
        <v/>
      </c>
      <c r="P153" s="72">
        <f>IF(D153="","",IF(AND(H153&lt;&gt;"",H153&gt;=B153),"⚠️ Predecessor must be above",IF(M153="Done","✓ Done",IF(Q153=3,"🔴 Late",IF(M153="In progress","In progress","")))))</f>
        <v/>
      </c>
      <c r="Q153" s="63">
        <f>IF(OR(D153="",L153=""),"",IF(M153="Done",2,IF(AsOf&gt;L153,3,1)))</f>
        <v/>
      </c>
      <c r="R153" s="63">
        <f>IF(OR(E153="",F153=""),0,IF(COUNTIFS($E$7:E153,E153,$F$7:F153,F153)=1,1,0))</f>
        <v/>
      </c>
      <c r="S153" s="63">
        <f>IF(R153=1,E153&amp;"|"&amp;SUMIFS($R$7:R153,$E$7:E153,E153),"")</f>
        <v/>
      </c>
      <c r="T153" s="85">
        <f>IF(Q153="","",IF(Q153=3,L153,IF(OR(M153="Not started",M153=""),J153,"")))</f>
        <v/>
      </c>
      <c r="U153" s="63">
        <f>IF(T153="","",IF(Q153=3,1,IF(T153="","",IF(T153&lt;AsOf,1,IF(T153&lt;=AsOf+AlertDays,2,IF(T153&lt;=AsOf+2*AlertDays,3,""))))))</f>
        <v/>
      </c>
      <c r="V153" s="63">
        <f>IF(U153="","",IF(Q153=3,"Late task: "&amp;D153,IF(T153&lt;AsOf,"Should have started: ","Starts soon: ")&amp;D153)&amp;IF(F153="",""," — "&amp;F153))</f>
        <v/>
      </c>
      <c r="X153" s="104" t="n"/>
      <c r="Y153" s="104" t="n"/>
      <c r="Z153" s="104" t="n"/>
      <c r="AA153" s="104" t="n"/>
      <c r="AB153" s="104" t="n"/>
      <c r="AC153" s="104" t="n"/>
      <c r="AD153" s="104" t="n"/>
      <c r="AE153" s="104" t="n"/>
      <c r="AF153" s="104" t="n"/>
      <c r="AG153" s="104" t="n"/>
      <c r="AH153" s="104" t="n"/>
      <c r="AI153" s="104" t="n"/>
      <c r="AJ153" s="104" t="n"/>
      <c r="AK153" s="104" t="n"/>
      <c r="AL153" s="104" t="n"/>
      <c r="AM153" s="104" t="n"/>
      <c r="AN153" s="104" t="n"/>
      <c r="AO153" s="104" t="n"/>
      <c r="AP153" s="104" t="n"/>
      <c r="AQ153" s="104" t="n"/>
      <c r="AR153" s="104" t="n"/>
      <c r="AS153" s="104" t="n"/>
      <c r="AT153" s="104" t="n"/>
      <c r="AU153" s="104" t="n"/>
      <c r="AV153" s="104" t="n"/>
      <c r="AW153" s="104" t="n"/>
      <c r="AX153" s="104" t="n"/>
      <c r="AY153" s="104" t="n"/>
      <c r="AZ153" s="104" t="n"/>
      <c r="BA153" s="104" t="n"/>
      <c r="BB153" s="104" t="n"/>
      <c r="BC153" s="104" t="n"/>
      <c r="BD153" s="104" t="n"/>
      <c r="BE153" s="104" t="n"/>
      <c r="BF153" s="104" t="n"/>
      <c r="BG153" s="104" t="n"/>
      <c r="BH153" s="104" t="n"/>
      <c r="BI153" s="104" t="n"/>
      <c r="BJ153" s="104" t="n"/>
      <c r="BK153" s="104" t="n"/>
      <c r="BL153" s="104" t="n"/>
      <c r="BM153" s="104" t="n"/>
      <c r="BN153" s="104" t="n"/>
      <c r="BO153" s="104" t="n"/>
      <c r="BP153" s="104" t="n"/>
      <c r="BQ153" s="104" t="n"/>
      <c r="BR153" s="104" t="n"/>
      <c r="BS153" s="104" t="n"/>
      <c r="BT153" s="104" t="n"/>
      <c r="BU153" s="104" t="n"/>
      <c r="BV153" s="104" t="n"/>
      <c r="BW153" s="104" t="n"/>
    </row>
    <row r="154" ht="20" customHeight="1">
      <c r="B154" s="100" t="n">
        <v>148</v>
      </c>
      <c r="C154" s="65" t="n"/>
      <c r="D154" s="65" t="n"/>
      <c r="E154" s="65" t="n"/>
      <c r="F154" s="65" t="n"/>
      <c r="G154" s="101" t="n"/>
      <c r="H154" s="101" t="n"/>
      <c r="I154" s="81" t="n"/>
      <c r="J154" s="102">
        <f>IF(OR(D154="",ProjStart=""),"",MAX(ProjStart,IF(I154&lt;&gt;"",I154,0),IF(H154="",0,IFERROR(INDEX($L$6:L153,MATCH(H154,$B$6:B153,0))+1,0))))</f>
        <v/>
      </c>
      <c r="K154" s="101" t="n"/>
      <c r="L154" s="102">
        <f>IF(J154="","",J154+MAX(1,G154)+IF(K154="",0,K154)-1)</f>
        <v/>
      </c>
      <c r="M154" s="65" t="n"/>
      <c r="N154" s="81" t="n"/>
      <c r="O154" s="103">
        <f>IF(D154="","",COUNTIF($H$7:$H$156,B154))</f>
        <v/>
      </c>
      <c r="P154" s="72">
        <f>IF(D154="","",IF(AND(H154&lt;&gt;"",H154&gt;=B154),"⚠️ Predecessor must be above",IF(M154="Done","✓ Done",IF(Q154=3,"🔴 Late",IF(M154="In progress","In progress","")))))</f>
        <v/>
      </c>
      <c r="Q154" s="63">
        <f>IF(OR(D154="",L154=""),"",IF(M154="Done",2,IF(AsOf&gt;L154,3,1)))</f>
        <v/>
      </c>
      <c r="R154" s="63">
        <f>IF(OR(E154="",F154=""),0,IF(COUNTIFS($E$7:E154,E154,$F$7:F154,F154)=1,1,0))</f>
        <v/>
      </c>
      <c r="S154" s="63">
        <f>IF(R154=1,E154&amp;"|"&amp;SUMIFS($R$7:R154,$E$7:E154,E154),"")</f>
        <v/>
      </c>
      <c r="T154" s="85">
        <f>IF(Q154="","",IF(Q154=3,L154,IF(OR(M154="Not started",M154=""),J154,"")))</f>
        <v/>
      </c>
      <c r="U154" s="63">
        <f>IF(T154="","",IF(Q154=3,1,IF(T154="","",IF(T154&lt;AsOf,1,IF(T154&lt;=AsOf+AlertDays,2,IF(T154&lt;=AsOf+2*AlertDays,3,""))))))</f>
        <v/>
      </c>
      <c r="V154" s="63">
        <f>IF(U154="","",IF(Q154=3,"Late task: "&amp;D154,IF(T154&lt;AsOf,"Should have started: ","Starts soon: ")&amp;D154)&amp;IF(F154="",""," — "&amp;F154))</f>
        <v/>
      </c>
      <c r="X154" s="104" t="n"/>
      <c r="Y154" s="104" t="n"/>
      <c r="Z154" s="104" t="n"/>
      <c r="AA154" s="104" t="n"/>
      <c r="AB154" s="104" t="n"/>
      <c r="AC154" s="104" t="n"/>
      <c r="AD154" s="104" t="n"/>
      <c r="AE154" s="104" t="n"/>
      <c r="AF154" s="104" t="n"/>
      <c r="AG154" s="104" t="n"/>
      <c r="AH154" s="104" t="n"/>
      <c r="AI154" s="104" t="n"/>
      <c r="AJ154" s="104" t="n"/>
      <c r="AK154" s="104" t="n"/>
      <c r="AL154" s="104" t="n"/>
      <c r="AM154" s="104" t="n"/>
      <c r="AN154" s="104" t="n"/>
      <c r="AO154" s="104" t="n"/>
      <c r="AP154" s="104" t="n"/>
      <c r="AQ154" s="104" t="n"/>
      <c r="AR154" s="104" t="n"/>
      <c r="AS154" s="104" t="n"/>
      <c r="AT154" s="104" t="n"/>
      <c r="AU154" s="104" t="n"/>
      <c r="AV154" s="104" t="n"/>
      <c r="AW154" s="104" t="n"/>
      <c r="AX154" s="104" t="n"/>
      <c r="AY154" s="104" t="n"/>
      <c r="AZ154" s="104" t="n"/>
      <c r="BA154" s="104" t="n"/>
      <c r="BB154" s="104" t="n"/>
      <c r="BC154" s="104" t="n"/>
      <c r="BD154" s="104" t="n"/>
      <c r="BE154" s="104" t="n"/>
      <c r="BF154" s="104" t="n"/>
      <c r="BG154" s="104" t="n"/>
      <c r="BH154" s="104" t="n"/>
      <c r="BI154" s="104" t="n"/>
      <c r="BJ154" s="104" t="n"/>
      <c r="BK154" s="104" t="n"/>
      <c r="BL154" s="104" t="n"/>
      <c r="BM154" s="104" t="n"/>
      <c r="BN154" s="104" t="n"/>
      <c r="BO154" s="104" t="n"/>
      <c r="BP154" s="104" t="n"/>
      <c r="BQ154" s="104" t="n"/>
      <c r="BR154" s="104" t="n"/>
      <c r="BS154" s="104" t="n"/>
      <c r="BT154" s="104" t="n"/>
      <c r="BU154" s="104" t="n"/>
      <c r="BV154" s="104" t="n"/>
      <c r="BW154" s="104" t="n"/>
    </row>
    <row r="155" ht="20" customHeight="1">
      <c r="B155" s="100" t="n">
        <v>149</v>
      </c>
      <c r="C155" s="65" t="n"/>
      <c r="D155" s="65" t="n"/>
      <c r="E155" s="65" t="n"/>
      <c r="F155" s="65" t="n"/>
      <c r="G155" s="101" t="n"/>
      <c r="H155" s="101" t="n"/>
      <c r="I155" s="81" t="n"/>
      <c r="J155" s="102">
        <f>IF(OR(D155="",ProjStart=""),"",MAX(ProjStart,IF(I155&lt;&gt;"",I155,0),IF(H155="",0,IFERROR(INDEX($L$6:L154,MATCH(H155,$B$6:B154,0))+1,0))))</f>
        <v/>
      </c>
      <c r="K155" s="101" t="n"/>
      <c r="L155" s="102">
        <f>IF(J155="","",J155+MAX(1,G155)+IF(K155="",0,K155)-1)</f>
        <v/>
      </c>
      <c r="M155" s="65" t="n"/>
      <c r="N155" s="81" t="n"/>
      <c r="O155" s="103">
        <f>IF(D155="","",COUNTIF($H$7:$H$156,B155))</f>
        <v/>
      </c>
      <c r="P155" s="72">
        <f>IF(D155="","",IF(AND(H155&lt;&gt;"",H155&gt;=B155),"⚠️ Predecessor must be above",IF(M155="Done","✓ Done",IF(Q155=3,"🔴 Late",IF(M155="In progress","In progress","")))))</f>
        <v/>
      </c>
      <c r="Q155" s="63">
        <f>IF(OR(D155="",L155=""),"",IF(M155="Done",2,IF(AsOf&gt;L155,3,1)))</f>
        <v/>
      </c>
      <c r="R155" s="63">
        <f>IF(OR(E155="",F155=""),0,IF(COUNTIFS($E$7:E155,E155,$F$7:F155,F155)=1,1,0))</f>
        <v/>
      </c>
      <c r="S155" s="63">
        <f>IF(R155=1,E155&amp;"|"&amp;SUMIFS($R$7:R155,$E$7:E155,E155),"")</f>
        <v/>
      </c>
      <c r="T155" s="85">
        <f>IF(Q155="","",IF(Q155=3,L155,IF(OR(M155="Not started",M155=""),J155,"")))</f>
        <v/>
      </c>
      <c r="U155" s="63">
        <f>IF(T155="","",IF(Q155=3,1,IF(T155="","",IF(T155&lt;AsOf,1,IF(T155&lt;=AsOf+AlertDays,2,IF(T155&lt;=AsOf+2*AlertDays,3,""))))))</f>
        <v/>
      </c>
      <c r="V155" s="63">
        <f>IF(U155="","",IF(Q155=3,"Late task: "&amp;D155,IF(T155&lt;AsOf,"Should have started: ","Starts soon: ")&amp;D155)&amp;IF(F155="",""," — "&amp;F155))</f>
        <v/>
      </c>
      <c r="X155" s="104" t="n"/>
      <c r="Y155" s="104" t="n"/>
      <c r="Z155" s="104" t="n"/>
      <c r="AA155" s="104" t="n"/>
      <c r="AB155" s="104" t="n"/>
      <c r="AC155" s="104" t="n"/>
      <c r="AD155" s="104" t="n"/>
      <c r="AE155" s="104" t="n"/>
      <c r="AF155" s="104" t="n"/>
      <c r="AG155" s="104" t="n"/>
      <c r="AH155" s="104" t="n"/>
      <c r="AI155" s="104" t="n"/>
      <c r="AJ155" s="104" t="n"/>
      <c r="AK155" s="104" t="n"/>
      <c r="AL155" s="104" t="n"/>
      <c r="AM155" s="104" t="n"/>
      <c r="AN155" s="104" t="n"/>
      <c r="AO155" s="104" t="n"/>
      <c r="AP155" s="104" t="n"/>
      <c r="AQ155" s="104" t="n"/>
      <c r="AR155" s="104" t="n"/>
      <c r="AS155" s="104" t="n"/>
      <c r="AT155" s="104" t="n"/>
      <c r="AU155" s="104" t="n"/>
      <c r="AV155" s="104" t="n"/>
      <c r="AW155" s="104" t="n"/>
      <c r="AX155" s="104" t="n"/>
      <c r="AY155" s="104" t="n"/>
      <c r="AZ155" s="104" t="n"/>
      <c r="BA155" s="104" t="n"/>
      <c r="BB155" s="104" t="n"/>
      <c r="BC155" s="104" t="n"/>
      <c r="BD155" s="104" t="n"/>
      <c r="BE155" s="104" t="n"/>
      <c r="BF155" s="104" t="n"/>
      <c r="BG155" s="104" t="n"/>
      <c r="BH155" s="104" t="n"/>
      <c r="BI155" s="104" t="n"/>
      <c r="BJ155" s="104" t="n"/>
      <c r="BK155" s="104" t="n"/>
      <c r="BL155" s="104" t="n"/>
      <c r="BM155" s="104" t="n"/>
      <c r="BN155" s="104" t="n"/>
      <c r="BO155" s="104" t="n"/>
      <c r="BP155" s="104" t="n"/>
      <c r="BQ155" s="104" t="n"/>
      <c r="BR155" s="104" t="n"/>
      <c r="BS155" s="104" t="n"/>
      <c r="BT155" s="104" t="n"/>
      <c r="BU155" s="104" t="n"/>
      <c r="BV155" s="104" t="n"/>
      <c r="BW155" s="104" t="n"/>
    </row>
    <row r="156" ht="20" customHeight="1">
      <c r="B156" s="100" t="n">
        <v>150</v>
      </c>
      <c r="C156" s="65" t="n"/>
      <c r="D156" s="65" t="n"/>
      <c r="E156" s="65" t="n"/>
      <c r="F156" s="65" t="n"/>
      <c r="G156" s="101" t="n"/>
      <c r="H156" s="101" t="n"/>
      <c r="I156" s="81" t="n"/>
      <c r="J156" s="102">
        <f>IF(OR(D156="",ProjStart=""),"",MAX(ProjStart,IF(I156&lt;&gt;"",I156,0),IF(H156="",0,IFERROR(INDEX($L$6:L155,MATCH(H156,$B$6:B155,0))+1,0))))</f>
        <v/>
      </c>
      <c r="K156" s="101" t="n"/>
      <c r="L156" s="102">
        <f>IF(J156="","",J156+MAX(1,G156)+IF(K156="",0,K156)-1)</f>
        <v/>
      </c>
      <c r="M156" s="65" t="n"/>
      <c r="N156" s="81" t="n"/>
      <c r="O156" s="103">
        <f>IF(D156="","",COUNTIF($H$7:$H$156,B156))</f>
        <v/>
      </c>
      <c r="P156" s="72">
        <f>IF(D156="","",IF(AND(H156&lt;&gt;"",H156&gt;=B156),"⚠️ Predecessor must be above",IF(M156="Done","✓ Done",IF(Q156=3,"🔴 Late",IF(M156="In progress","In progress","")))))</f>
        <v/>
      </c>
      <c r="Q156" s="63">
        <f>IF(OR(D156="",L156=""),"",IF(M156="Done",2,IF(AsOf&gt;L156,3,1)))</f>
        <v/>
      </c>
      <c r="R156" s="63">
        <f>IF(OR(E156="",F156=""),0,IF(COUNTIFS($E$7:E156,E156,$F$7:F156,F156)=1,1,0))</f>
        <v/>
      </c>
      <c r="S156" s="63">
        <f>IF(R156=1,E156&amp;"|"&amp;SUMIFS($R$7:R156,$E$7:E156,E156),"")</f>
        <v/>
      </c>
      <c r="T156" s="85">
        <f>IF(Q156="","",IF(Q156=3,L156,IF(OR(M156="Not started",M156=""),J156,"")))</f>
        <v/>
      </c>
      <c r="U156" s="63">
        <f>IF(T156="","",IF(Q156=3,1,IF(T156="","",IF(T156&lt;AsOf,1,IF(T156&lt;=AsOf+AlertDays,2,IF(T156&lt;=AsOf+2*AlertDays,3,""))))))</f>
        <v/>
      </c>
      <c r="V156" s="63">
        <f>IF(U156="","",IF(Q156=3,"Late task: "&amp;D156,IF(T156&lt;AsOf,"Should have started: ","Starts soon: ")&amp;D156)&amp;IF(F156="",""," — "&amp;F156))</f>
        <v/>
      </c>
      <c r="X156" s="104" t="n"/>
      <c r="Y156" s="104" t="n"/>
      <c r="Z156" s="104" t="n"/>
      <c r="AA156" s="104" t="n"/>
      <c r="AB156" s="104" t="n"/>
      <c r="AC156" s="104" t="n"/>
      <c r="AD156" s="104" t="n"/>
      <c r="AE156" s="104" t="n"/>
      <c r="AF156" s="104" t="n"/>
      <c r="AG156" s="104" t="n"/>
      <c r="AH156" s="104" t="n"/>
      <c r="AI156" s="104" t="n"/>
      <c r="AJ156" s="104" t="n"/>
      <c r="AK156" s="104" t="n"/>
      <c r="AL156" s="104" t="n"/>
      <c r="AM156" s="104" t="n"/>
      <c r="AN156" s="104" t="n"/>
      <c r="AO156" s="104" t="n"/>
      <c r="AP156" s="104" t="n"/>
      <c r="AQ156" s="104" t="n"/>
      <c r="AR156" s="104" t="n"/>
      <c r="AS156" s="104" t="n"/>
      <c r="AT156" s="104" t="n"/>
      <c r="AU156" s="104" t="n"/>
      <c r="AV156" s="104" t="n"/>
      <c r="AW156" s="104" t="n"/>
      <c r="AX156" s="104" t="n"/>
      <c r="AY156" s="104" t="n"/>
      <c r="AZ156" s="104" t="n"/>
      <c r="BA156" s="104" t="n"/>
      <c r="BB156" s="104" t="n"/>
      <c r="BC156" s="104" t="n"/>
      <c r="BD156" s="104" t="n"/>
      <c r="BE156" s="104" t="n"/>
      <c r="BF156" s="104" t="n"/>
      <c r="BG156" s="104" t="n"/>
      <c r="BH156" s="104" t="n"/>
      <c r="BI156" s="104" t="n"/>
      <c r="BJ156" s="104" t="n"/>
      <c r="BK156" s="104" t="n"/>
      <c r="BL156" s="104" t="n"/>
      <c r="BM156" s="104" t="n"/>
      <c r="BN156" s="104" t="n"/>
      <c r="BO156" s="104" t="n"/>
      <c r="BP156" s="104" t="n"/>
      <c r="BQ156" s="104" t="n"/>
      <c r="BR156" s="104" t="n"/>
      <c r="BS156" s="104" t="n"/>
      <c r="BT156" s="104" t="n"/>
      <c r="BU156" s="104" t="n"/>
      <c r="BV156" s="104" t="n"/>
      <c r="BW156" s="104" t="n"/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3">
    <mergeCell ref="G4:H4"/>
    <mergeCell ref="E4:F4"/>
    <mergeCell ref="I4:L4"/>
  </mergeCells>
  <conditionalFormatting sqref="X7:BW156">
    <cfRule type="expression" priority="1" dxfId="6" stopIfTrue="1">
      <formula>AND(AND(X$6&lt;&gt;"",$J7&lt;&gt;"",$J7&lt;=X$6+6,$L7&gt;=X$6),$Q7=3)</formula>
    </cfRule>
    <cfRule type="expression" priority="2" dxfId="7" stopIfTrue="1">
      <formula>AND(AND(X$6&lt;&gt;"",$J7&lt;&gt;"",$J7&lt;=X$6+6,$L7&gt;=X$6),$Q7=2)</formula>
    </cfRule>
    <cfRule type="expression" priority="3" dxfId="8" stopIfTrue="1">
      <formula>AND(X$6&lt;&gt;"",$J7&lt;&gt;"",$J7&lt;=X$6+6,$L7&gt;=X$6)</formula>
    </cfRule>
    <cfRule type="expression" priority="4" dxfId="9" stopIfTrue="0">
      <formula>AND(X$6&lt;&gt;"",$R$4&gt;=X$6,$R$4&lt;X$6+7)</formula>
    </cfRule>
  </conditionalFormatting>
  <conditionalFormatting sqref="X6:BW6">
    <cfRule type="expression" priority="5" dxfId="10" stopIfTrue="0">
      <formula>AND(X$6&lt;&gt;"",$R$4&gt;=X$6,$R$4&lt;X$6+7)</formula>
    </cfRule>
  </conditionalFormatting>
  <conditionalFormatting sqref="P7:P156">
    <cfRule type="expression" priority="6" dxfId="0" stopIfTrue="0">
      <formula>$Q7=3</formula>
    </cfRule>
    <cfRule type="expression" priority="7" dxfId="3" stopIfTrue="0">
      <formula>$Q7=2</formula>
    </cfRule>
    <cfRule type="expression" priority="8" dxfId="0" stopIfTrue="0">
      <formula>LEFT(P7,1)="⚠"</formula>
    </cfRule>
  </conditionalFormatting>
  <dataValidations count="4">
    <dataValidation sqref="C7:C156" showDropDown="0" showInputMessage="0" showErrorMessage="1" allowBlank="1" errorTitle="Renovation OS" error="Please pick a value from the dropdown list." type="list">
      <formula1>='Lists'!$G$2:$G$4</formula1>
    </dataValidation>
    <dataValidation sqref="E7:E156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F7:F156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M7:M156" showDropDown="0" showInputMessage="0" showErrorMessage="1" allowBlank="1" errorTitle="Renovation OS" error="Please pick a value from the dropdown list." type="list">
      <formula1>='Lists'!$H$2:$H$4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7B00"/>
    <outlinePr summaryBelow="1" summaryRight="1"/>
    <pageSetUpPr/>
  </sheetPr>
  <dimension ref="A1:V20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11" customWidth="1" min="3" max="3"/>
    <col width="12" customWidth="1" min="4" max="4"/>
    <col width="14" customWidth="1" min="5" max="5"/>
    <col width="34" customWidth="1" min="6" max="6"/>
    <col width="20" customWidth="1" min="7" max="7"/>
    <col width="10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2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B1" s="1" t="inlineStr">
        <is>
          <t>🛠️ Issues &amp; Punch List</t>
        </is>
      </c>
    </row>
    <row r="2" ht="20" customHeight="1">
      <c r="B2" s="2" t="inlineStr">
        <is>
          <t>What this tab does: every problem found on site and every snag for the final punch list — with who fixes it, by when, and what it may cost.</t>
        </is>
      </c>
    </row>
    <row r="3">
      <c r="B3" s="3" t="inlineStr">
        <is>
          <t>© 2026 Hang Nguyen — Renovation OS. Licensed to the original purchaser for personal use only. Do not share, copy, resell or redistribute.</t>
        </is>
      </c>
    </row>
    <row r="4">
      <c r="B4" s="27" t="inlineStr">
        <is>
          <t>Open — High</t>
        </is>
      </c>
      <c r="D4" s="27" t="inlineStr">
        <is>
          <t>Open — Medium</t>
        </is>
      </c>
      <c r="F4" s="27" t="inlineStr">
        <is>
          <t>Open — Low</t>
        </is>
      </c>
      <c r="G4" s="27" t="inlineStr">
        <is>
          <t>Open punch items</t>
        </is>
      </c>
      <c r="I4" s="61">
        <f>"Est. cost of open issues ("&amp;CurSym&amp;")"</f>
        <v/>
      </c>
    </row>
    <row r="5" ht="30" customHeight="1">
      <c r="B5" s="105">
        <f>COUNTIFS($O$8:$O$207,1,$H$8:$H$207,"High")</f>
        <v/>
      </c>
      <c r="D5" s="105">
        <f>COUNTIFS($O$8:$O$207,1,$H$8:$H$207,"Medium")</f>
        <v/>
      </c>
      <c r="F5" s="105">
        <f>COUNTIFS($O$8:$O$207,1,$H$8:$H$207,"Low")</f>
        <v/>
      </c>
      <c r="G5" s="105">
        <f>SUM($V$8:$V$207)</f>
        <v/>
      </c>
      <c r="I5" s="106">
        <f>IssuesOpenCost</f>
        <v/>
      </c>
    </row>
    <row r="6"/>
    <row r="7" ht="32" customHeight="1">
      <c r="B7" s="53" t="inlineStr">
        <is>
          <t>#</t>
        </is>
      </c>
      <c r="C7" s="53" t="inlineStr">
        <is>
          <t>Type</t>
        </is>
      </c>
      <c r="D7" s="53" t="inlineStr">
        <is>
          <t>Date found</t>
        </is>
      </c>
      <c r="E7" s="53" t="inlineStr">
        <is>
          <t>Room</t>
        </is>
      </c>
      <c r="F7" s="53" t="inlineStr">
        <is>
          <t>Description</t>
        </is>
      </c>
      <c r="G7" s="53" t="inlineStr">
        <is>
          <t>Responsible</t>
        </is>
      </c>
      <c r="H7" s="53" t="inlineStr">
        <is>
          <t>Severity</t>
        </is>
      </c>
      <c r="I7" s="62">
        <f>"Estimated cost ("&amp;CurSym&amp;")"</f>
        <v/>
      </c>
      <c r="J7" s="53" t="inlineStr">
        <is>
          <t>Next action</t>
        </is>
      </c>
      <c r="K7" s="53" t="inlineStr">
        <is>
          <t>Action date</t>
        </is>
      </c>
      <c r="L7" s="53" t="inlineStr">
        <is>
          <t>Status</t>
        </is>
      </c>
      <c r="M7" s="53" t="inlineStr">
        <is>
          <t>Resolved date</t>
        </is>
      </c>
      <c r="N7" s="53" t="inlineStr">
        <is>
          <t>Photo link</t>
        </is>
      </c>
      <c r="O7" s="64" t="inlineStr">
        <is>
          <t>open</t>
        </is>
      </c>
      <c r="P7" s="64" t="inlineStr">
        <is>
          <t>lvl</t>
        </is>
      </c>
      <c r="Q7" s="64" t="inlineStr">
        <is>
          <t>due</t>
        </is>
      </c>
      <c r="R7" s="64" t="inlineStr">
        <is>
          <t>pri</t>
        </is>
      </c>
      <c r="S7" s="64" t="inlineStr">
        <is>
          <t>text</t>
        </is>
      </c>
      <c r="T7" s="64" t="inlineStr">
        <is>
          <t>open_cost</t>
        </is>
      </c>
      <c r="U7" s="64" t="inlineStr">
        <is>
          <t>open_high</t>
        </is>
      </c>
      <c r="V7" s="64" t="inlineStr">
        <is>
          <t>open_punch</t>
        </is>
      </c>
    </row>
    <row r="8" ht="24" customHeight="1">
      <c r="B8" s="100" t="n">
        <v>1</v>
      </c>
      <c r="C8" s="65" t="inlineStr">
        <is>
          <t>Issue</t>
        </is>
      </c>
      <c r="D8" s="81" t="n">
        <v>46156</v>
      </c>
      <c r="E8" s="65" t="inlineStr">
        <is>
          <t>Living room</t>
        </is>
      </c>
      <c r="F8" s="88" t="inlineStr">
        <is>
          <t>Rotten joist found under living room floor</t>
        </is>
      </c>
      <c r="G8" s="65" t="inlineStr">
        <is>
          <t>Solid Structures Ltd</t>
        </is>
      </c>
      <c r="H8" s="67" t="inlineStr">
        <is>
          <t>High</t>
        </is>
      </c>
      <c r="I8" s="66" t="n">
        <v>1800</v>
      </c>
      <c r="J8" s="88" t="inlineStr">
        <is>
          <t>Engineer to confirm repair method</t>
        </is>
      </c>
      <c r="K8" s="81" t="n">
        <v>46185</v>
      </c>
      <c r="L8" s="65" t="inlineStr">
        <is>
          <t>Open</t>
        </is>
      </c>
      <c r="M8" s="81" t="n"/>
      <c r="N8" s="65" t="n"/>
      <c r="O8" s="63">
        <f>IF(AND(F8&lt;&gt;"",L8&lt;&gt;"Resolved"),1,0)</f>
        <v/>
      </c>
      <c r="P8" s="63">
        <f>IF(F8="","",IF(O8=0,0,IF(H8="High",2,1)))</f>
        <v/>
      </c>
      <c r="Q8" s="85">
        <f>IF(O8=1,IF(K8&lt;&gt;"",K8,IF(H8="High",AsOf,"")),"")</f>
        <v/>
      </c>
      <c r="R8" s="63">
        <f>IF(Q8="","",IF(H8="High",1,IF(Q8="","",IF(Q8&lt;AsOf,1,IF(Q8&lt;=AsOf+AlertDays,2,IF(Q8&lt;=AsOf+2*AlertDays,3,""))))))</f>
        <v/>
      </c>
      <c r="S8" s="63">
        <f>IF(R8="","",IF(H8="High","High-severity issue: ",IF(C8="Punch item","Punch item: ","Issue action due: "))&amp;F8&amp;IF(J8="",""," → "&amp;J8))</f>
        <v/>
      </c>
      <c r="T8" s="63">
        <f>IF(O8=1,IF(I8="",0,I8),0)</f>
        <v/>
      </c>
      <c r="U8" s="63">
        <f>IF(AND(O8=1,H8="High"),1,0)</f>
        <v/>
      </c>
      <c r="V8" s="63">
        <f>IF(AND(O8=1,C8="Punch item"),1,0)</f>
        <v/>
      </c>
    </row>
    <row r="9" ht="24" customHeight="1">
      <c r="B9" s="100" t="n">
        <v>2</v>
      </c>
      <c r="C9" s="65" t="inlineStr">
        <is>
          <t>Issue</t>
        </is>
      </c>
      <c r="D9" s="81" t="n">
        <v>46176</v>
      </c>
      <c r="E9" s="65" t="inlineStr">
        <is>
          <t>Bathroom 1</t>
        </is>
      </c>
      <c r="F9" s="88" t="inlineStr">
        <is>
          <t>Waste pipe routed through planned shower niche</t>
        </is>
      </c>
      <c r="G9" s="65" t="inlineStr">
        <is>
          <t>FlowRight Plumbing</t>
        </is>
      </c>
      <c r="H9" s="67" t="inlineStr">
        <is>
          <t>Medium</t>
        </is>
      </c>
      <c r="I9" s="66" t="n">
        <v>350</v>
      </c>
      <c r="J9" s="88" t="inlineStr">
        <is>
          <t>Site meeting to agree re-route</t>
        </is>
      </c>
      <c r="K9" s="81" t="n">
        <v>46190</v>
      </c>
      <c r="L9" s="65" t="inlineStr">
        <is>
          <t>In progress</t>
        </is>
      </c>
      <c r="M9" s="81" t="n"/>
      <c r="N9" s="65" t="n"/>
      <c r="O9" s="63">
        <f>IF(AND(F9&lt;&gt;"",L9&lt;&gt;"Resolved"),1,0)</f>
        <v/>
      </c>
      <c r="P9" s="63">
        <f>IF(F9="","",IF(O9=0,0,IF(H9="High",2,1)))</f>
        <v/>
      </c>
      <c r="Q9" s="85">
        <f>IF(O9=1,IF(K9&lt;&gt;"",K9,IF(H9="High",AsOf,"")),"")</f>
        <v/>
      </c>
      <c r="R9" s="63">
        <f>IF(Q9="","",IF(H9="High",1,IF(Q9="","",IF(Q9&lt;AsOf,1,IF(Q9&lt;=AsOf+AlertDays,2,IF(Q9&lt;=AsOf+2*AlertDays,3,""))))))</f>
        <v/>
      </c>
      <c r="S9" s="63">
        <f>IF(R9="","",IF(H9="High","High-severity issue: ",IF(C9="Punch item","Punch item: ","Issue action due: "))&amp;F9&amp;IF(J9="",""," → "&amp;J9))</f>
        <v/>
      </c>
      <c r="T9" s="63">
        <f>IF(O9=1,IF(I9="",0,I9),0)</f>
        <v/>
      </c>
      <c r="U9" s="63">
        <f>IF(AND(O9=1,H9="High"),1,0)</f>
        <v/>
      </c>
      <c r="V9" s="63">
        <f>IF(AND(O9=1,C9="Punch item"),1,0)</f>
        <v/>
      </c>
    </row>
    <row r="10" ht="24" customHeight="1">
      <c r="B10" s="100" t="n">
        <v>3</v>
      </c>
      <c r="C10" s="65" t="inlineStr">
        <is>
          <t>Issue</t>
        </is>
      </c>
      <c r="D10" s="81" t="n">
        <v>46183</v>
      </c>
      <c r="E10" s="65" t="inlineStr">
        <is>
          <t>Kitchen</t>
        </is>
      </c>
      <c r="F10" s="88" t="inlineStr">
        <is>
          <t>Socket positions don't match kitchen plan</t>
        </is>
      </c>
      <c r="G10" s="65" t="inlineStr">
        <is>
          <t>Bright Spark Electric</t>
        </is>
      </c>
      <c r="H10" s="67" t="inlineStr">
        <is>
          <t>Medium</t>
        </is>
      </c>
      <c r="I10" s="66" t="n">
        <v>250</v>
      </c>
      <c r="J10" s="88" t="inlineStr">
        <is>
          <t>Send marked-up plan to electrician</t>
        </is>
      </c>
      <c r="K10" s="81" t="n">
        <v>46184</v>
      </c>
      <c r="L10" s="65" t="inlineStr">
        <is>
          <t>Open</t>
        </is>
      </c>
      <c r="M10" s="81" t="n"/>
      <c r="N10" s="65" t="n"/>
      <c r="O10" s="63">
        <f>IF(AND(F10&lt;&gt;"",L10&lt;&gt;"Resolved"),1,0)</f>
        <v/>
      </c>
      <c r="P10" s="63">
        <f>IF(F10="","",IF(O10=0,0,IF(H10="High",2,1)))</f>
        <v/>
      </c>
      <c r="Q10" s="85">
        <f>IF(O10=1,IF(K10&lt;&gt;"",K10,IF(H10="High",AsOf,"")),"")</f>
        <v/>
      </c>
      <c r="R10" s="63">
        <f>IF(Q10="","",IF(H10="High",1,IF(Q10="","",IF(Q10&lt;AsOf,1,IF(Q10&lt;=AsOf+AlertDays,2,IF(Q10&lt;=AsOf+2*AlertDays,3,""))))))</f>
        <v/>
      </c>
      <c r="S10" s="63">
        <f>IF(R10="","",IF(H10="High","High-severity issue: ",IF(C10="Punch item","Punch item: ","Issue action due: "))&amp;F10&amp;IF(J10="",""," → "&amp;J10))</f>
        <v/>
      </c>
      <c r="T10" s="63">
        <f>IF(O10=1,IF(I10="",0,I10),0)</f>
        <v/>
      </c>
      <c r="U10" s="63">
        <f>IF(AND(O10=1,H10="High"),1,0)</f>
        <v/>
      </c>
      <c r="V10" s="63">
        <f>IF(AND(O10=1,C10="Punch item"),1,0)</f>
        <v/>
      </c>
    </row>
    <row r="11" ht="24" customHeight="1">
      <c r="B11" s="100" t="n">
        <v>4</v>
      </c>
      <c r="C11" s="65" t="inlineStr">
        <is>
          <t>Punch item</t>
        </is>
      </c>
      <c r="D11" s="81" t="n">
        <v>46151</v>
      </c>
      <c r="E11" s="65" t="inlineStr">
        <is>
          <t>Master bedroom</t>
        </is>
      </c>
      <c r="F11" s="88" t="inlineStr">
        <is>
          <t>Window handle loose</t>
        </is>
      </c>
      <c r="G11" s="65" t="inlineStr">
        <is>
          <t>ClearView Windows</t>
        </is>
      </c>
      <c r="H11" s="67" t="inlineStr">
        <is>
          <t>Low</t>
        </is>
      </c>
      <c r="I11" s="66" t="n">
        <v>0</v>
      </c>
      <c r="J11" s="88" t="inlineStr">
        <is>
          <t>Fix at final visit</t>
        </is>
      </c>
      <c r="K11" s="81" t="n">
        <v>46193</v>
      </c>
      <c r="L11" s="65" t="inlineStr">
        <is>
          <t>Open</t>
        </is>
      </c>
      <c r="M11" s="81" t="n"/>
      <c r="N11" s="65" t="n"/>
      <c r="O11" s="63">
        <f>IF(AND(F11&lt;&gt;"",L11&lt;&gt;"Resolved"),1,0)</f>
        <v/>
      </c>
      <c r="P11" s="63">
        <f>IF(F11="","",IF(O11=0,0,IF(H11="High",2,1)))</f>
        <v/>
      </c>
      <c r="Q11" s="85">
        <f>IF(O11=1,IF(K11&lt;&gt;"",K11,IF(H11="High",AsOf,"")),"")</f>
        <v/>
      </c>
      <c r="R11" s="63">
        <f>IF(Q11="","",IF(H11="High",1,IF(Q11="","",IF(Q11&lt;AsOf,1,IF(Q11&lt;=AsOf+AlertDays,2,IF(Q11&lt;=AsOf+2*AlertDays,3,""))))))</f>
        <v/>
      </c>
      <c r="S11" s="63">
        <f>IF(R11="","",IF(H11="High","High-severity issue: ",IF(C11="Punch item","Punch item: ","Issue action due: "))&amp;F11&amp;IF(J11="",""," → "&amp;J11))</f>
        <v/>
      </c>
      <c r="T11" s="63">
        <f>IF(O11=1,IF(I11="",0,I11),0)</f>
        <v/>
      </c>
      <c r="U11" s="63">
        <f>IF(AND(O11=1,H11="High"),1,0)</f>
        <v/>
      </c>
      <c r="V11" s="63">
        <f>IF(AND(O11=1,C11="Punch item"),1,0)</f>
        <v/>
      </c>
    </row>
    <row r="12" ht="24" customHeight="1">
      <c r="B12" s="100" t="n">
        <v>5</v>
      </c>
      <c r="C12" s="65" t="inlineStr">
        <is>
          <t>Punch item</t>
        </is>
      </c>
      <c r="D12" s="81" t="n">
        <v>46188</v>
      </c>
      <c r="E12" s="65" t="inlineStr">
        <is>
          <t>Living room</t>
        </is>
      </c>
      <c r="F12" s="88" t="inlineStr">
        <is>
          <t>Scratch on new sliding door frame</t>
        </is>
      </c>
      <c r="G12" s="65" t="inlineStr">
        <is>
          <t>ClearView Windows</t>
        </is>
      </c>
      <c r="H12" s="67" t="inlineStr">
        <is>
          <t>Low</t>
        </is>
      </c>
      <c r="I12" s="66" t="n">
        <v>0</v>
      </c>
      <c r="J12" s="88" t="inlineStr">
        <is>
          <t>Touch-up at final visit</t>
        </is>
      </c>
      <c r="K12" s="81" t="n">
        <v>46199</v>
      </c>
      <c r="L12" s="65" t="inlineStr">
        <is>
          <t>Open</t>
        </is>
      </c>
      <c r="M12" s="81" t="n"/>
      <c r="N12" s="65" t="n"/>
      <c r="O12" s="63">
        <f>IF(AND(F12&lt;&gt;"",L12&lt;&gt;"Resolved"),1,0)</f>
        <v/>
      </c>
      <c r="P12" s="63">
        <f>IF(F12="","",IF(O12=0,0,IF(H12="High",2,1)))</f>
        <v/>
      </c>
      <c r="Q12" s="85">
        <f>IF(O12=1,IF(K12&lt;&gt;"",K12,IF(H12="High",AsOf,"")),"")</f>
        <v/>
      </c>
      <c r="R12" s="63">
        <f>IF(Q12="","",IF(H12="High",1,IF(Q12="","",IF(Q12&lt;AsOf,1,IF(Q12&lt;=AsOf+AlertDays,2,IF(Q12&lt;=AsOf+2*AlertDays,3,""))))))</f>
        <v/>
      </c>
      <c r="S12" s="63">
        <f>IF(R12="","",IF(H12="High","High-severity issue: ",IF(C12="Punch item","Punch item: ","Issue action due: "))&amp;F12&amp;IF(J12="",""," → "&amp;J12))</f>
        <v/>
      </c>
      <c r="T12" s="63">
        <f>IF(O12=1,IF(I12="",0,I12),0)</f>
        <v/>
      </c>
      <c r="U12" s="63">
        <f>IF(AND(O12=1,H12="High"),1,0)</f>
        <v/>
      </c>
      <c r="V12" s="63">
        <f>IF(AND(O12=1,C12="Punch item"),1,0)</f>
        <v/>
      </c>
    </row>
    <row r="13" ht="24" customHeight="1">
      <c r="B13" s="100" t="n">
        <v>6</v>
      </c>
      <c r="C13" s="65" t="inlineStr">
        <is>
          <t>Issue</t>
        </is>
      </c>
      <c r="D13" s="81" t="n">
        <v>46134</v>
      </c>
      <c r="E13" s="65" t="inlineStr">
        <is>
          <t>Whole house</t>
        </is>
      </c>
      <c r="F13" s="88" t="inlineStr">
        <is>
          <t>Asbestos in old floor tiles</t>
        </is>
      </c>
      <c r="G13" s="65" t="inlineStr">
        <is>
          <t>Hansen Demolition</t>
        </is>
      </c>
      <c r="H13" s="67" t="inlineStr">
        <is>
          <t>High</t>
        </is>
      </c>
      <c r="I13" s="66" t="n">
        <v>1100</v>
      </c>
      <c r="J13" s="88" t="inlineStr">
        <is>
          <t>Licensed removal</t>
        </is>
      </c>
      <c r="K13" s="81" t="n">
        <v>46137</v>
      </c>
      <c r="L13" s="65" t="inlineStr">
        <is>
          <t>Resolved</t>
        </is>
      </c>
      <c r="M13" s="81" t="n">
        <v>46140</v>
      </c>
      <c r="N13" s="65" t="n"/>
      <c r="O13" s="63">
        <f>IF(AND(F13&lt;&gt;"",L13&lt;&gt;"Resolved"),1,0)</f>
        <v/>
      </c>
      <c r="P13" s="63">
        <f>IF(F13="","",IF(O13=0,0,IF(H13="High",2,1)))</f>
        <v/>
      </c>
      <c r="Q13" s="85">
        <f>IF(O13=1,IF(K13&lt;&gt;"",K13,IF(H13="High",AsOf,"")),"")</f>
        <v/>
      </c>
      <c r="R13" s="63">
        <f>IF(Q13="","",IF(H13="High",1,IF(Q13="","",IF(Q13&lt;AsOf,1,IF(Q13&lt;=AsOf+AlertDays,2,IF(Q13&lt;=AsOf+2*AlertDays,3,""))))))</f>
        <v/>
      </c>
      <c r="S13" s="63">
        <f>IF(R13="","",IF(H13="High","High-severity issue: ",IF(C13="Punch item","Punch item: ","Issue action due: "))&amp;F13&amp;IF(J13="",""," → "&amp;J13))</f>
        <v/>
      </c>
      <c r="T13" s="63">
        <f>IF(O13=1,IF(I13="",0,I13),0)</f>
        <v/>
      </c>
      <c r="U13" s="63">
        <f>IF(AND(O13=1,H13="High"),1,0)</f>
        <v/>
      </c>
      <c r="V13" s="63">
        <f>IF(AND(O13=1,C13="Punch item"),1,0)</f>
        <v/>
      </c>
    </row>
    <row r="14" ht="24" customHeight="1">
      <c r="B14" s="100" t="n">
        <v>7</v>
      </c>
      <c r="C14" s="65" t="inlineStr">
        <is>
          <t>Issue</t>
        </is>
      </c>
      <c r="D14" s="81" t="n">
        <v>46147</v>
      </c>
      <c r="E14" s="65" t="inlineStr">
        <is>
          <t>Exterior</t>
        </is>
      </c>
      <c r="F14" s="88" t="inlineStr">
        <is>
          <t>Skip blocking neighbour's driveway</t>
        </is>
      </c>
      <c r="G14" s="65" t="inlineStr">
        <is>
          <t>Hansen Demolition</t>
        </is>
      </c>
      <c r="H14" s="67" t="inlineStr">
        <is>
          <t>Low</t>
        </is>
      </c>
      <c r="I14" s="66" t="n">
        <v>0</v>
      </c>
      <c r="J14" s="88" t="inlineStr">
        <is>
          <t>Move skip</t>
        </is>
      </c>
      <c r="K14" s="81" t="n">
        <v>46148</v>
      </c>
      <c r="L14" s="65" t="inlineStr">
        <is>
          <t>Resolved</t>
        </is>
      </c>
      <c r="M14" s="81" t="n">
        <v>46148</v>
      </c>
      <c r="N14" s="65" t="n"/>
      <c r="O14" s="63">
        <f>IF(AND(F14&lt;&gt;"",L14&lt;&gt;"Resolved"),1,0)</f>
        <v/>
      </c>
      <c r="P14" s="63">
        <f>IF(F14="","",IF(O14=0,0,IF(H14="High",2,1)))</f>
        <v/>
      </c>
      <c r="Q14" s="85">
        <f>IF(O14=1,IF(K14&lt;&gt;"",K14,IF(H14="High",AsOf,"")),"")</f>
        <v/>
      </c>
      <c r="R14" s="63">
        <f>IF(Q14="","",IF(H14="High",1,IF(Q14="","",IF(Q14&lt;AsOf,1,IF(Q14&lt;=AsOf+AlertDays,2,IF(Q14&lt;=AsOf+2*AlertDays,3,""))))))</f>
        <v/>
      </c>
      <c r="S14" s="63">
        <f>IF(R14="","",IF(H14="High","High-severity issue: ",IF(C14="Punch item","Punch item: ","Issue action due: "))&amp;F14&amp;IF(J14="",""," → "&amp;J14))</f>
        <v/>
      </c>
      <c r="T14" s="63">
        <f>IF(O14=1,IF(I14="",0,I14),0)</f>
        <v/>
      </c>
      <c r="U14" s="63">
        <f>IF(AND(O14=1,H14="High"),1,0)</f>
        <v/>
      </c>
      <c r="V14" s="63">
        <f>IF(AND(O14=1,C14="Punch item"),1,0)</f>
        <v/>
      </c>
    </row>
    <row r="15" ht="24" customHeight="1">
      <c r="B15" s="100" t="n">
        <v>8</v>
      </c>
      <c r="C15" s="65" t="n"/>
      <c r="D15" s="81" t="n"/>
      <c r="E15" s="65" t="n"/>
      <c r="F15" s="88" t="n"/>
      <c r="G15" s="65" t="n"/>
      <c r="H15" s="67" t="n"/>
      <c r="I15" s="66" t="n"/>
      <c r="J15" s="88" t="n"/>
      <c r="K15" s="81" t="n"/>
      <c r="L15" s="65" t="n"/>
      <c r="M15" s="81" t="n"/>
      <c r="N15" s="65" t="n"/>
      <c r="O15" s="63">
        <f>IF(AND(F15&lt;&gt;"",L15&lt;&gt;"Resolved"),1,0)</f>
        <v/>
      </c>
      <c r="P15" s="63">
        <f>IF(F15="","",IF(O15=0,0,IF(H15="High",2,1)))</f>
        <v/>
      </c>
      <c r="Q15" s="85">
        <f>IF(O15=1,IF(K15&lt;&gt;"",K15,IF(H15="High",AsOf,"")),"")</f>
        <v/>
      </c>
      <c r="R15" s="63">
        <f>IF(Q15="","",IF(H15="High",1,IF(Q15="","",IF(Q15&lt;AsOf,1,IF(Q15&lt;=AsOf+AlertDays,2,IF(Q15&lt;=AsOf+2*AlertDays,3,""))))))</f>
        <v/>
      </c>
      <c r="S15" s="63">
        <f>IF(R15="","",IF(H15="High","High-severity issue: ",IF(C15="Punch item","Punch item: ","Issue action due: "))&amp;F15&amp;IF(J15="",""," → "&amp;J15))</f>
        <v/>
      </c>
      <c r="T15" s="63">
        <f>IF(O15=1,IF(I15="",0,I15),0)</f>
        <v/>
      </c>
      <c r="U15" s="63">
        <f>IF(AND(O15=1,H15="High"),1,0)</f>
        <v/>
      </c>
      <c r="V15" s="63">
        <f>IF(AND(O15=1,C15="Punch item"),1,0)</f>
        <v/>
      </c>
    </row>
    <row r="16" ht="24" customHeight="1">
      <c r="B16" s="100" t="n">
        <v>9</v>
      </c>
      <c r="C16" s="65" t="n"/>
      <c r="D16" s="81" t="n"/>
      <c r="E16" s="65" t="n"/>
      <c r="F16" s="88" t="n"/>
      <c r="G16" s="65" t="n"/>
      <c r="H16" s="67" t="n"/>
      <c r="I16" s="66" t="n"/>
      <c r="J16" s="88" t="n"/>
      <c r="K16" s="81" t="n"/>
      <c r="L16" s="65" t="n"/>
      <c r="M16" s="81" t="n"/>
      <c r="N16" s="65" t="n"/>
      <c r="O16" s="63">
        <f>IF(AND(F16&lt;&gt;"",L16&lt;&gt;"Resolved"),1,0)</f>
        <v/>
      </c>
      <c r="P16" s="63">
        <f>IF(F16="","",IF(O16=0,0,IF(H16="High",2,1)))</f>
        <v/>
      </c>
      <c r="Q16" s="85">
        <f>IF(O16=1,IF(K16&lt;&gt;"",K16,IF(H16="High",AsOf,"")),"")</f>
        <v/>
      </c>
      <c r="R16" s="63">
        <f>IF(Q16="","",IF(H16="High",1,IF(Q16="","",IF(Q16&lt;AsOf,1,IF(Q16&lt;=AsOf+AlertDays,2,IF(Q16&lt;=AsOf+2*AlertDays,3,""))))))</f>
        <v/>
      </c>
      <c r="S16" s="63">
        <f>IF(R16="","",IF(H16="High","High-severity issue: ",IF(C16="Punch item","Punch item: ","Issue action due: "))&amp;F16&amp;IF(J16="",""," → "&amp;J16))</f>
        <v/>
      </c>
      <c r="T16" s="63">
        <f>IF(O16=1,IF(I16="",0,I16),0)</f>
        <v/>
      </c>
      <c r="U16" s="63">
        <f>IF(AND(O16=1,H16="High"),1,0)</f>
        <v/>
      </c>
      <c r="V16" s="63">
        <f>IF(AND(O16=1,C16="Punch item"),1,0)</f>
        <v/>
      </c>
    </row>
    <row r="17" ht="24" customHeight="1">
      <c r="B17" s="100" t="n">
        <v>10</v>
      </c>
      <c r="C17" s="65" t="n"/>
      <c r="D17" s="81" t="n"/>
      <c r="E17" s="65" t="n"/>
      <c r="F17" s="88" t="n"/>
      <c r="G17" s="65" t="n"/>
      <c r="H17" s="67" t="n"/>
      <c r="I17" s="66" t="n"/>
      <c r="J17" s="88" t="n"/>
      <c r="K17" s="81" t="n"/>
      <c r="L17" s="65" t="n"/>
      <c r="M17" s="81" t="n"/>
      <c r="N17" s="65" t="n"/>
      <c r="O17" s="63">
        <f>IF(AND(F17&lt;&gt;"",L17&lt;&gt;"Resolved"),1,0)</f>
        <v/>
      </c>
      <c r="P17" s="63">
        <f>IF(F17="","",IF(O17=0,0,IF(H17="High",2,1)))</f>
        <v/>
      </c>
      <c r="Q17" s="85">
        <f>IF(O17=1,IF(K17&lt;&gt;"",K17,IF(H17="High",AsOf,"")),"")</f>
        <v/>
      </c>
      <c r="R17" s="63">
        <f>IF(Q17="","",IF(H17="High",1,IF(Q17="","",IF(Q17&lt;AsOf,1,IF(Q17&lt;=AsOf+AlertDays,2,IF(Q17&lt;=AsOf+2*AlertDays,3,""))))))</f>
        <v/>
      </c>
      <c r="S17" s="63">
        <f>IF(R17="","",IF(H17="High","High-severity issue: ",IF(C17="Punch item","Punch item: ","Issue action due: "))&amp;F17&amp;IF(J17="",""," → "&amp;J17))</f>
        <v/>
      </c>
      <c r="T17" s="63">
        <f>IF(O17=1,IF(I17="",0,I17),0)</f>
        <v/>
      </c>
      <c r="U17" s="63">
        <f>IF(AND(O17=1,H17="High"),1,0)</f>
        <v/>
      </c>
      <c r="V17" s="63">
        <f>IF(AND(O17=1,C17="Punch item"),1,0)</f>
        <v/>
      </c>
    </row>
    <row r="18" ht="24" customHeight="1">
      <c r="B18" s="100" t="n">
        <v>11</v>
      </c>
      <c r="C18" s="65" t="n"/>
      <c r="D18" s="81" t="n"/>
      <c r="E18" s="65" t="n"/>
      <c r="F18" s="88" t="n"/>
      <c r="G18" s="65" t="n"/>
      <c r="H18" s="67" t="n"/>
      <c r="I18" s="66" t="n"/>
      <c r="J18" s="88" t="n"/>
      <c r="K18" s="81" t="n"/>
      <c r="L18" s="65" t="n"/>
      <c r="M18" s="81" t="n"/>
      <c r="N18" s="65" t="n"/>
      <c r="O18" s="63">
        <f>IF(AND(F18&lt;&gt;"",L18&lt;&gt;"Resolved"),1,0)</f>
        <v/>
      </c>
      <c r="P18" s="63">
        <f>IF(F18="","",IF(O18=0,0,IF(H18="High",2,1)))</f>
        <v/>
      </c>
      <c r="Q18" s="85">
        <f>IF(O18=1,IF(K18&lt;&gt;"",K18,IF(H18="High",AsOf,"")),"")</f>
        <v/>
      </c>
      <c r="R18" s="63">
        <f>IF(Q18="","",IF(H18="High",1,IF(Q18="","",IF(Q18&lt;AsOf,1,IF(Q18&lt;=AsOf+AlertDays,2,IF(Q18&lt;=AsOf+2*AlertDays,3,""))))))</f>
        <v/>
      </c>
      <c r="S18" s="63">
        <f>IF(R18="","",IF(H18="High","High-severity issue: ",IF(C18="Punch item","Punch item: ","Issue action due: "))&amp;F18&amp;IF(J18="",""," → "&amp;J18))</f>
        <v/>
      </c>
      <c r="T18" s="63">
        <f>IF(O18=1,IF(I18="",0,I18),0)</f>
        <v/>
      </c>
      <c r="U18" s="63">
        <f>IF(AND(O18=1,H18="High"),1,0)</f>
        <v/>
      </c>
      <c r="V18" s="63">
        <f>IF(AND(O18=1,C18="Punch item"),1,0)</f>
        <v/>
      </c>
    </row>
    <row r="19" ht="24" customHeight="1">
      <c r="B19" s="100" t="n">
        <v>12</v>
      </c>
      <c r="C19" s="65" t="n"/>
      <c r="D19" s="81" t="n"/>
      <c r="E19" s="65" t="n"/>
      <c r="F19" s="88" t="n"/>
      <c r="G19" s="65" t="n"/>
      <c r="H19" s="67" t="n"/>
      <c r="I19" s="66" t="n"/>
      <c r="J19" s="88" t="n"/>
      <c r="K19" s="81" t="n"/>
      <c r="L19" s="65" t="n"/>
      <c r="M19" s="81" t="n"/>
      <c r="N19" s="65" t="n"/>
      <c r="O19" s="63">
        <f>IF(AND(F19&lt;&gt;"",L19&lt;&gt;"Resolved"),1,0)</f>
        <v/>
      </c>
      <c r="P19" s="63">
        <f>IF(F19="","",IF(O19=0,0,IF(H19="High",2,1)))</f>
        <v/>
      </c>
      <c r="Q19" s="85">
        <f>IF(O19=1,IF(K19&lt;&gt;"",K19,IF(H19="High",AsOf,"")),"")</f>
        <v/>
      </c>
      <c r="R19" s="63">
        <f>IF(Q19="","",IF(H19="High",1,IF(Q19="","",IF(Q19&lt;AsOf,1,IF(Q19&lt;=AsOf+AlertDays,2,IF(Q19&lt;=AsOf+2*AlertDays,3,""))))))</f>
        <v/>
      </c>
      <c r="S19" s="63">
        <f>IF(R19="","",IF(H19="High","High-severity issue: ",IF(C19="Punch item","Punch item: ","Issue action due: "))&amp;F19&amp;IF(J19="",""," → "&amp;J19))</f>
        <v/>
      </c>
      <c r="T19" s="63">
        <f>IF(O19=1,IF(I19="",0,I19),0)</f>
        <v/>
      </c>
      <c r="U19" s="63">
        <f>IF(AND(O19=1,H19="High"),1,0)</f>
        <v/>
      </c>
      <c r="V19" s="63">
        <f>IF(AND(O19=1,C19="Punch item"),1,0)</f>
        <v/>
      </c>
    </row>
    <row r="20" ht="24" customHeight="1">
      <c r="B20" s="100" t="n">
        <v>13</v>
      </c>
      <c r="C20" s="65" t="n"/>
      <c r="D20" s="81" t="n"/>
      <c r="E20" s="65" t="n"/>
      <c r="F20" s="88" t="n"/>
      <c r="G20" s="65" t="n"/>
      <c r="H20" s="67" t="n"/>
      <c r="I20" s="66" t="n"/>
      <c r="J20" s="88" t="n"/>
      <c r="K20" s="81" t="n"/>
      <c r="L20" s="65" t="n"/>
      <c r="M20" s="81" t="n"/>
      <c r="N20" s="65" t="n"/>
      <c r="O20" s="63">
        <f>IF(AND(F20&lt;&gt;"",L20&lt;&gt;"Resolved"),1,0)</f>
        <v/>
      </c>
      <c r="P20" s="63">
        <f>IF(F20="","",IF(O20=0,0,IF(H20="High",2,1)))</f>
        <v/>
      </c>
      <c r="Q20" s="85">
        <f>IF(O20=1,IF(K20&lt;&gt;"",K20,IF(H20="High",AsOf,"")),"")</f>
        <v/>
      </c>
      <c r="R20" s="63">
        <f>IF(Q20="","",IF(H20="High",1,IF(Q20="","",IF(Q20&lt;AsOf,1,IF(Q20&lt;=AsOf+AlertDays,2,IF(Q20&lt;=AsOf+2*AlertDays,3,""))))))</f>
        <v/>
      </c>
      <c r="S20" s="63">
        <f>IF(R20="","",IF(H20="High","High-severity issue: ",IF(C20="Punch item","Punch item: ","Issue action due: "))&amp;F20&amp;IF(J20="",""," → "&amp;J20))</f>
        <v/>
      </c>
      <c r="T20" s="63">
        <f>IF(O20=1,IF(I20="",0,I20),0)</f>
        <v/>
      </c>
      <c r="U20" s="63">
        <f>IF(AND(O20=1,H20="High"),1,0)</f>
        <v/>
      </c>
      <c r="V20" s="63">
        <f>IF(AND(O20=1,C20="Punch item"),1,0)</f>
        <v/>
      </c>
    </row>
    <row r="21" ht="24" customHeight="1">
      <c r="B21" s="100" t="n">
        <v>14</v>
      </c>
      <c r="C21" s="65" t="n"/>
      <c r="D21" s="81" t="n"/>
      <c r="E21" s="65" t="n"/>
      <c r="F21" s="88" t="n"/>
      <c r="G21" s="65" t="n"/>
      <c r="H21" s="67" t="n"/>
      <c r="I21" s="66" t="n"/>
      <c r="J21" s="88" t="n"/>
      <c r="K21" s="81" t="n"/>
      <c r="L21" s="65" t="n"/>
      <c r="M21" s="81" t="n"/>
      <c r="N21" s="65" t="n"/>
      <c r="O21" s="63">
        <f>IF(AND(F21&lt;&gt;"",L21&lt;&gt;"Resolved"),1,0)</f>
        <v/>
      </c>
      <c r="P21" s="63">
        <f>IF(F21="","",IF(O21=0,0,IF(H21="High",2,1)))</f>
        <v/>
      </c>
      <c r="Q21" s="85">
        <f>IF(O21=1,IF(K21&lt;&gt;"",K21,IF(H21="High",AsOf,"")),"")</f>
        <v/>
      </c>
      <c r="R21" s="63">
        <f>IF(Q21="","",IF(H21="High",1,IF(Q21="","",IF(Q21&lt;AsOf,1,IF(Q21&lt;=AsOf+AlertDays,2,IF(Q21&lt;=AsOf+2*AlertDays,3,""))))))</f>
        <v/>
      </c>
      <c r="S21" s="63">
        <f>IF(R21="","",IF(H21="High","High-severity issue: ",IF(C21="Punch item","Punch item: ","Issue action due: "))&amp;F21&amp;IF(J21="",""," → "&amp;J21))</f>
        <v/>
      </c>
      <c r="T21" s="63">
        <f>IF(O21=1,IF(I21="",0,I21),0)</f>
        <v/>
      </c>
      <c r="U21" s="63">
        <f>IF(AND(O21=1,H21="High"),1,0)</f>
        <v/>
      </c>
      <c r="V21" s="63">
        <f>IF(AND(O21=1,C21="Punch item"),1,0)</f>
        <v/>
      </c>
    </row>
    <row r="22" ht="24" customHeight="1">
      <c r="B22" s="100" t="n">
        <v>15</v>
      </c>
      <c r="C22" s="65" t="n"/>
      <c r="D22" s="81" t="n"/>
      <c r="E22" s="65" t="n"/>
      <c r="F22" s="88" t="n"/>
      <c r="G22" s="65" t="n"/>
      <c r="H22" s="67" t="n"/>
      <c r="I22" s="66" t="n"/>
      <c r="J22" s="88" t="n"/>
      <c r="K22" s="81" t="n"/>
      <c r="L22" s="65" t="n"/>
      <c r="M22" s="81" t="n"/>
      <c r="N22" s="65" t="n"/>
      <c r="O22" s="63">
        <f>IF(AND(F22&lt;&gt;"",L22&lt;&gt;"Resolved"),1,0)</f>
        <v/>
      </c>
      <c r="P22" s="63">
        <f>IF(F22="","",IF(O22=0,0,IF(H22="High",2,1)))</f>
        <v/>
      </c>
      <c r="Q22" s="85">
        <f>IF(O22=1,IF(K22&lt;&gt;"",K22,IF(H22="High",AsOf,"")),"")</f>
        <v/>
      </c>
      <c r="R22" s="63">
        <f>IF(Q22="","",IF(H22="High",1,IF(Q22="","",IF(Q22&lt;AsOf,1,IF(Q22&lt;=AsOf+AlertDays,2,IF(Q22&lt;=AsOf+2*AlertDays,3,""))))))</f>
        <v/>
      </c>
      <c r="S22" s="63">
        <f>IF(R22="","",IF(H22="High","High-severity issue: ",IF(C22="Punch item","Punch item: ","Issue action due: "))&amp;F22&amp;IF(J22="",""," → "&amp;J22))</f>
        <v/>
      </c>
      <c r="T22" s="63">
        <f>IF(O22=1,IF(I22="",0,I22),0)</f>
        <v/>
      </c>
      <c r="U22" s="63">
        <f>IF(AND(O22=1,H22="High"),1,0)</f>
        <v/>
      </c>
      <c r="V22" s="63">
        <f>IF(AND(O22=1,C22="Punch item"),1,0)</f>
        <v/>
      </c>
    </row>
    <row r="23" ht="24" customHeight="1">
      <c r="B23" s="100" t="n">
        <v>16</v>
      </c>
      <c r="C23" s="65" t="n"/>
      <c r="D23" s="81" t="n"/>
      <c r="E23" s="65" t="n"/>
      <c r="F23" s="88" t="n"/>
      <c r="G23" s="65" t="n"/>
      <c r="H23" s="67" t="n"/>
      <c r="I23" s="66" t="n"/>
      <c r="J23" s="88" t="n"/>
      <c r="K23" s="81" t="n"/>
      <c r="L23" s="65" t="n"/>
      <c r="M23" s="81" t="n"/>
      <c r="N23" s="65" t="n"/>
      <c r="O23" s="63">
        <f>IF(AND(F23&lt;&gt;"",L23&lt;&gt;"Resolved"),1,0)</f>
        <v/>
      </c>
      <c r="P23" s="63">
        <f>IF(F23="","",IF(O23=0,0,IF(H23="High",2,1)))</f>
        <v/>
      </c>
      <c r="Q23" s="85">
        <f>IF(O23=1,IF(K23&lt;&gt;"",K23,IF(H23="High",AsOf,"")),"")</f>
        <v/>
      </c>
      <c r="R23" s="63">
        <f>IF(Q23="","",IF(H23="High",1,IF(Q23="","",IF(Q23&lt;AsOf,1,IF(Q23&lt;=AsOf+AlertDays,2,IF(Q23&lt;=AsOf+2*AlertDays,3,""))))))</f>
        <v/>
      </c>
      <c r="S23" s="63">
        <f>IF(R23="","",IF(H23="High","High-severity issue: ",IF(C23="Punch item","Punch item: ","Issue action due: "))&amp;F23&amp;IF(J23="",""," → "&amp;J23))</f>
        <v/>
      </c>
      <c r="T23" s="63">
        <f>IF(O23=1,IF(I23="",0,I23),0)</f>
        <v/>
      </c>
      <c r="U23" s="63">
        <f>IF(AND(O23=1,H23="High"),1,0)</f>
        <v/>
      </c>
      <c r="V23" s="63">
        <f>IF(AND(O23=1,C23="Punch item"),1,0)</f>
        <v/>
      </c>
    </row>
    <row r="24" ht="24" customHeight="1">
      <c r="B24" s="100" t="n">
        <v>17</v>
      </c>
      <c r="C24" s="65" t="n"/>
      <c r="D24" s="81" t="n"/>
      <c r="E24" s="65" t="n"/>
      <c r="F24" s="88" t="n"/>
      <c r="G24" s="65" t="n"/>
      <c r="H24" s="67" t="n"/>
      <c r="I24" s="66" t="n"/>
      <c r="J24" s="88" t="n"/>
      <c r="K24" s="81" t="n"/>
      <c r="L24" s="65" t="n"/>
      <c r="M24" s="81" t="n"/>
      <c r="N24" s="65" t="n"/>
      <c r="O24" s="63">
        <f>IF(AND(F24&lt;&gt;"",L24&lt;&gt;"Resolved"),1,0)</f>
        <v/>
      </c>
      <c r="P24" s="63">
        <f>IF(F24="","",IF(O24=0,0,IF(H24="High",2,1)))</f>
        <v/>
      </c>
      <c r="Q24" s="85">
        <f>IF(O24=1,IF(K24&lt;&gt;"",K24,IF(H24="High",AsOf,"")),"")</f>
        <v/>
      </c>
      <c r="R24" s="63">
        <f>IF(Q24="","",IF(H24="High",1,IF(Q24="","",IF(Q24&lt;AsOf,1,IF(Q24&lt;=AsOf+AlertDays,2,IF(Q24&lt;=AsOf+2*AlertDays,3,""))))))</f>
        <v/>
      </c>
      <c r="S24" s="63">
        <f>IF(R24="","",IF(H24="High","High-severity issue: ",IF(C24="Punch item","Punch item: ","Issue action due: "))&amp;F24&amp;IF(J24="",""," → "&amp;J24))</f>
        <v/>
      </c>
      <c r="T24" s="63">
        <f>IF(O24=1,IF(I24="",0,I24),0)</f>
        <v/>
      </c>
      <c r="U24" s="63">
        <f>IF(AND(O24=1,H24="High"),1,0)</f>
        <v/>
      </c>
      <c r="V24" s="63">
        <f>IF(AND(O24=1,C24="Punch item"),1,0)</f>
        <v/>
      </c>
    </row>
    <row r="25" ht="24" customHeight="1">
      <c r="B25" s="100" t="n">
        <v>18</v>
      </c>
      <c r="C25" s="65" t="n"/>
      <c r="D25" s="81" t="n"/>
      <c r="E25" s="65" t="n"/>
      <c r="F25" s="88" t="n"/>
      <c r="G25" s="65" t="n"/>
      <c r="H25" s="67" t="n"/>
      <c r="I25" s="66" t="n"/>
      <c r="J25" s="88" t="n"/>
      <c r="K25" s="81" t="n"/>
      <c r="L25" s="65" t="n"/>
      <c r="M25" s="81" t="n"/>
      <c r="N25" s="65" t="n"/>
      <c r="O25" s="63">
        <f>IF(AND(F25&lt;&gt;"",L25&lt;&gt;"Resolved"),1,0)</f>
        <v/>
      </c>
      <c r="P25" s="63">
        <f>IF(F25="","",IF(O25=0,0,IF(H25="High",2,1)))</f>
        <v/>
      </c>
      <c r="Q25" s="85">
        <f>IF(O25=1,IF(K25&lt;&gt;"",K25,IF(H25="High",AsOf,"")),"")</f>
        <v/>
      </c>
      <c r="R25" s="63">
        <f>IF(Q25="","",IF(H25="High",1,IF(Q25="","",IF(Q25&lt;AsOf,1,IF(Q25&lt;=AsOf+AlertDays,2,IF(Q25&lt;=AsOf+2*AlertDays,3,""))))))</f>
        <v/>
      </c>
      <c r="S25" s="63">
        <f>IF(R25="","",IF(H25="High","High-severity issue: ",IF(C25="Punch item","Punch item: ","Issue action due: "))&amp;F25&amp;IF(J25="",""," → "&amp;J25))</f>
        <v/>
      </c>
      <c r="T25" s="63">
        <f>IF(O25=1,IF(I25="",0,I25),0)</f>
        <v/>
      </c>
      <c r="U25" s="63">
        <f>IF(AND(O25=1,H25="High"),1,0)</f>
        <v/>
      </c>
      <c r="V25" s="63">
        <f>IF(AND(O25=1,C25="Punch item"),1,0)</f>
        <v/>
      </c>
    </row>
    <row r="26" ht="24" customHeight="1">
      <c r="B26" s="100" t="n">
        <v>19</v>
      </c>
      <c r="C26" s="65" t="n"/>
      <c r="D26" s="81" t="n"/>
      <c r="E26" s="65" t="n"/>
      <c r="F26" s="88" t="n"/>
      <c r="G26" s="65" t="n"/>
      <c r="H26" s="67" t="n"/>
      <c r="I26" s="66" t="n"/>
      <c r="J26" s="88" t="n"/>
      <c r="K26" s="81" t="n"/>
      <c r="L26" s="65" t="n"/>
      <c r="M26" s="81" t="n"/>
      <c r="N26" s="65" t="n"/>
      <c r="O26" s="63">
        <f>IF(AND(F26&lt;&gt;"",L26&lt;&gt;"Resolved"),1,0)</f>
        <v/>
      </c>
      <c r="P26" s="63">
        <f>IF(F26="","",IF(O26=0,0,IF(H26="High",2,1)))</f>
        <v/>
      </c>
      <c r="Q26" s="85">
        <f>IF(O26=1,IF(K26&lt;&gt;"",K26,IF(H26="High",AsOf,"")),"")</f>
        <v/>
      </c>
      <c r="R26" s="63">
        <f>IF(Q26="","",IF(H26="High",1,IF(Q26="","",IF(Q26&lt;AsOf,1,IF(Q26&lt;=AsOf+AlertDays,2,IF(Q26&lt;=AsOf+2*AlertDays,3,""))))))</f>
        <v/>
      </c>
      <c r="S26" s="63">
        <f>IF(R26="","",IF(H26="High","High-severity issue: ",IF(C26="Punch item","Punch item: ","Issue action due: "))&amp;F26&amp;IF(J26="",""," → "&amp;J26))</f>
        <v/>
      </c>
      <c r="T26" s="63">
        <f>IF(O26=1,IF(I26="",0,I26),0)</f>
        <v/>
      </c>
      <c r="U26" s="63">
        <f>IF(AND(O26=1,H26="High"),1,0)</f>
        <v/>
      </c>
      <c r="V26" s="63">
        <f>IF(AND(O26=1,C26="Punch item"),1,0)</f>
        <v/>
      </c>
    </row>
    <row r="27" ht="24" customHeight="1">
      <c r="B27" s="100" t="n">
        <v>20</v>
      </c>
      <c r="C27" s="65" t="n"/>
      <c r="D27" s="81" t="n"/>
      <c r="E27" s="65" t="n"/>
      <c r="F27" s="88" t="n"/>
      <c r="G27" s="65" t="n"/>
      <c r="H27" s="67" t="n"/>
      <c r="I27" s="66" t="n"/>
      <c r="J27" s="88" t="n"/>
      <c r="K27" s="81" t="n"/>
      <c r="L27" s="65" t="n"/>
      <c r="M27" s="81" t="n"/>
      <c r="N27" s="65" t="n"/>
      <c r="O27" s="63">
        <f>IF(AND(F27&lt;&gt;"",L27&lt;&gt;"Resolved"),1,0)</f>
        <v/>
      </c>
      <c r="P27" s="63">
        <f>IF(F27="","",IF(O27=0,0,IF(H27="High",2,1)))</f>
        <v/>
      </c>
      <c r="Q27" s="85">
        <f>IF(O27=1,IF(K27&lt;&gt;"",K27,IF(H27="High",AsOf,"")),"")</f>
        <v/>
      </c>
      <c r="R27" s="63">
        <f>IF(Q27="","",IF(H27="High",1,IF(Q27="","",IF(Q27&lt;AsOf,1,IF(Q27&lt;=AsOf+AlertDays,2,IF(Q27&lt;=AsOf+2*AlertDays,3,""))))))</f>
        <v/>
      </c>
      <c r="S27" s="63">
        <f>IF(R27="","",IF(H27="High","High-severity issue: ",IF(C27="Punch item","Punch item: ","Issue action due: "))&amp;F27&amp;IF(J27="",""," → "&amp;J27))</f>
        <v/>
      </c>
      <c r="T27" s="63">
        <f>IF(O27=1,IF(I27="",0,I27),0)</f>
        <v/>
      </c>
      <c r="U27" s="63">
        <f>IF(AND(O27=1,H27="High"),1,0)</f>
        <v/>
      </c>
      <c r="V27" s="63">
        <f>IF(AND(O27=1,C27="Punch item"),1,0)</f>
        <v/>
      </c>
    </row>
    <row r="28" ht="24" customHeight="1">
      <c r="B28" s="100" t="n">
        <v>21</v>
      </c>
      <c r="C28" s="65" t="n"/>
      <c r="D28" s="81" t="n"/>
      <c r="E28" s="65" t="n"/>
      <c r="F28" s="88" t="n"/>
      <c r="G28" s="65" t="n"/>
      <c r="H28" s="67" t="n"/>
      <c r="I28" s="66" t="n"/>
      <c r="J28" s="88" t="n"/>
      <c r="K28" s="81" t="n"/>
      <c r="L28" s="65" t="n"/>
      <c r="M28" s="81" t="n"/>
      <c r="N28" s="65" t="n"/>
      <c r="O28" s="63">
        <f>IF(AND(F28&lt;&gt;"",L28&lt;&gt;"Resolved"),1,0)</f>
        <v/>
      </c>
      <c r="P28" s="63">
        <f>IF(F28="","",IF(O28=0,0,IF(H28="High",2,1)))</f>
        <v/>
      </c>
      <c r="Q28" s="85">
        <f>IF(O28=1,IF(K28&lt;&gt;"",K28,IF(H28="High",AsOf,"")),"")</f>
        <v/>
      </c>
      <c r="R28" s="63">
        <f>IF(Q28="","",IF(H28="High",1,IF(Q28="","",IF(Q28&lt;AsOf,1,IF(Q28&lt;=AsOf+AlertDays,2,IF(Q28&lt;=AsOf+2*AlertDays,3,""))))))</f>
        <v/>
      </c>
      <c r="S28" s="63">
        <f>IF(R28="","",IF(H28="High","High-severity issue: ",IF(C28="Punch item","Punch item: ","Issue action due: "))&amp;F28&amp;IF(J28="",""," → "&amp;J28))</f>
        <v/>
      </c>
      <c r="T28" s="63">
        <f>IF(O28=1,IF(I28="",0,I28),0)</f>
        <v/>
      </c>
      <c r="U28" s="63">
        <f>IF(AND(O28=1,H28="High"),1,0)</f>
        <v/>
      </c>
      <c r="V28" s="63">
        <f>IF(AND(O28=1,C28="Punch item"),1,0)</f>
        <v/>
      </c>
    </row>
    <row r="29" ht="24" customHeight="1">
      <c r="B29" s="100" t="n">
        <v>22</v>
      </c>
      <c r="C29" s="65" t="n"/>
      <c r="D29" s="81" t="n"/>
      <c r="E29" s="65" t="n"/>
      <c r="F29" s="88" t="n"/>
      <c r="G29" s="65" t="n"/>
      <c r="H29" s="67" t="n"/>
      <c r="I29" s="66" t="n"/>
      <c r="J29" s="88" t="n"/>
      <c r="K29" s="81" t="n"/>
      <c r="L29" s="65" t="n"/>
      <c r="M29" s="81" t="n"/>
      <c r="N29" s="65" t="n"/>
      <c r="O29" s="63">
        <f>IF(AND(F29&lt;&gt;"",L29&lt;&gt;"Resolved"),1,0)</f>
        <v/>
      </c>
      <c r="P29" s="63">
        <f>IF(F29="","",IF(O29=0,0,IF(H29="High",2,1)))</f>
        <v/>
      </c>
      <c r="Q29" s="85">
        <f>IF(O29=1,IF(K29&lt;&gt;"",K29,IF(H29="High",AsOf,"")),"")</f>
        <v/>
      </c>
      <c r="R29" s="63">
        <f>IF(Q29="","",IF(H29="High",1,IF(Q29="","",IF(Q29&lt;AsOf,1,IF(Q29&lt;=AsOf+AlertDays,2,IF(Q29&lt;=AsOf+2*AlertDays,3,""))))))</f>
        <v/>
      </c>
      <c r="S29" s="63">
        <f>IF(R29="","",IF(H29="High","High-severity issue: ",IF(C29="Punch item","Punch item: ","Issue action due: "))&amp;F29&amp;IF(J29="",""," → "&amp;J29))</f>
        <v/>
      </c>
      <c r="T29" s="63">
        <f>IF(O29=1,IF(I29="",0,I29),0)</f>
        <v/>
      </c>
      <c r="U29" s="63">
        <f>IF(AND(O29=1,H29="High"),1,0)</f>
        <v/>
      </c>
      <c r="V29" s="63">
        <f>IF(AND(O29=1,C29="Punch item"),1,0)</f>
        <v/>
      </c>
    </row>
    <row r="30" ht="24" customHeight="1">
      <c r="B30" s="100" t="n">
        <v>23</v>
      </c>
      <c r="C30" s="65" t="n"/>
      <c r="D30" s="81" t="n"/>
      <c r="E30" s="65" t="n"/>
      <c r="F30" s="88" t="n"/>
      <c r="G30" s="65" t="n"/>
      <c r="H30" s="67" t="n"/>
      <c r="I30" s="66" t="n"/>
      <c r="J30" s="88" t="n"/>
      <c r="K30" s="81" t="n"/>
      <c r="L30" s="65" t="n"/>
      <c r="M30" s="81" t="n"/>
      <c r="N30" s="65" t="n"/>
      <c r="O30" s="63">
        <f>IF(AND(F30&lt;&gt;"",L30&lt;&gt;"Resolved"),1,0)</f>
        <v/>
      </c>
      <c r="P30" s="63">
        <f>IF(F30="","",IF(O30=0,0,IF(H30="High",2,1)))</f>
        <v/>
      </c>
      <c r="Q30" s="85">
        <f>IF(O30=1,IF(K30&lt;&gt;"",K30,IF(H30="High",AsOf,"")),"")</f>
        <v/>
      </c>
      <c r="R30" s="63">
        <f>IF(Q30="","",IF(H30="High",1,IF(Q30="","",IF(Q30&lt;AsOf,1,IF(Q30&lt;=AsOf+AlertDays,2,IF(Q30&lt;=AsOf+2*AlertDays,3,""))))))</f>
        <v/>
      </c>
      <c r="S30" s="63">
        <f>IF(R30="","",IF(H30="High","High-severity issue: ",IF(C30="Punch item","Punch item: ","Issue action due: "))&amp;F30&amp;IF(J30="",""," → "&amp;J30))</f>
        <v/>
      </c>
      <c r="T30" s="63">
        <f>IF(O30=1,IF(I30="",0,I30),0)</f>
        <v/>
      </c>
      <c r="U30" s="63">
        <f>IF(AND(O30=1,H30="High"),1,0)</f>
        <v/>
      </c>
      <c r="V30" s="63">
        <f>IF(AND(O30=1,C30="Punch item"),1,0)</f>
        <v/>
      </c>
    </row>
    <row r="31" ht="24" customHeight="1">
      <c r="B31" s="100" t="n">
        <v>24</v>
      </c>
      <c r="C31" s="65" t="n"/>
      <c r="D31" s="81" t="n"/>
      <c r="E31" s="65" t="n"/>
      <c r="F31" s="88" t="n"/>
      <c r="G31" s="65" t="n"/>
      <c r="H31" s="67" t="n"/>
      <c r="I31" s="66" t="n"/>
      <c r="J31" s="88" t="n"/>
      <c r="K31" s="81" t="n"/>
      <c r="L31" s="65" t="n"/>
      <c r="M31" s="81" t="n"/>
      <c r="N31" s="65" t="n"/>
      <c r="O31" s="63">
        <f>IF(AND(F31&lt;&gt;"",L31&lt;&gt;"Resolved"),1,0)</f>
        <v/>
      </c>
      <c r="P31" s="63">
        <f>IF(F31="","",IF(O31=0,0,IF(H31="High",2,1)))</f>
        <v/>
      </c>
      <c r="Q31" s="85">
        <f>IF(O31=1,IF(K31&lt;&gt;"",K31,IF(H31="High",AsOf,"")),"")</f>
        <v/>
      </c>
      <c r="R31" s="63">
        <f>IF(Q31="","",IF(H31="High",1,IF(Q31="","",IF(Q31&lt;AsOf,1,IF(Q31&lt;=AsOf+AlertDays,2,IF(Q31&lt;=AsOf+2*AlertDays,3,""))))))</f>
        <v/>
      </c>
      <c r="S31" s="63">
        <f>IF(R31="","",IF(H31="High","High-severity issue: ",IF(C31="Punch item","Punch item: ","Issue action due: "))&amp;F31&amp;IF(J31="",""," → "&amp;J31))</f>
        <v/>
      </c>
      <c r="T31" s="63">
        <f>IF(O31=1,IF(I31="",0,I31),0)</f>
        <v/>
      </c>
      <c r="U31" s="63">
        <f>IF(AND(O31=1,H31="High"),1,0)</f>
        <v/>
      </c>
      <c r="V31" s="63">
        <f>IF(AND(O31=1,C31="Punch item"),1,0)</f>
        <v/>
      </c>
    </row>
    <row r="32" ht="24" customHeight="1">
      <c r="B32" s="100" t="n">
        <v>25</v>
      </c>
      <c r="C32" s="65" t="n"/>
      <c r="D32" s="81" t="n"/>
      <c r="E32" s="65" t="n"/>
      <c r="F32" s="88" t="n"/>
      <c r="G32" s="65" t="n"/>
      <c r="H32" s="67" t="n"/>
      <c r="I32" s="66" t="n"/>
      <c r="J32" s="88" t="n"/>
      <c r="K32" s="81" t="n"/>
      <c r="L32" s="65" t="n"/>
      <c r="M32" s="81" t="n"/>
      <c r="N32" s="65" t="n"/>
      <c r="O32" s="63">
        <f>IF(AND(F32&lt;&gt;"",L32&lt;&gt;"Resolved"),1,0)</f>
        <v/>
      </c>
      <c r="P32" s="63">
        <f>IF(F32="","",IF(O32=0,0,IF(H32="High",2,1)))</f>
        <v/>
      </c>
      <c r="Q32" s="85">
        <f>IF(O32=1,IF(K32&lt;&gt;"",K32,IF(H32="High",AsOf,"")),"")</f>
        <v/>
      </c>
      <c r="R32" s="63">
        <f>IF(Q32="","",IF(H32="High",1,IF(Q32="","",IF(Q32&lt;AsOf,1,IF(Q32&lt;=AsOf+AlertDays,2,IF(Q32&lt;=AsOf+2*AlertDays,3,""))))))</f>
        <v/>
      </c>
      <c r="S32" s="63">
        <f>IF(R32="","",IF(H32="High","High-severity issue: ",IF(C32="Punch item","Punch item: ","Issue action due: "))&amp;F32&amp;IF(J32="",""," → "&amp;J32))</f>
        <v/>
      </c>
      <c r="T32" s="63">
        <f>IF(O32=1,IF(I32="",0,I32),0)</f>
        <v/>
      </c>
      <c r="U32" s="63">
        <f>IF(AND(O32=1,H32="High"),1,0)</f>
        <v/>
      </c>
      <c r="V32" s="63">
        <f>IF(AND(O32=1,C32="Punch item"),1,0)</f>
        <v/>
      </c>
    </row>
    <row r="33" ht="24" customHeight="1">
      <c r="B33" s="100" t="n">
        <v>26</v>
      </c>
      <c r="C33" s="65" t="n"/>
      <c r="D33" s="81" t="n"/>
      <c r="E33" s="65" t="n"/>
      <c r="F33" s="88" t="n"/>
      <c r="G33" s="65" t="n"/>
      <c r="H33" s="67" t="n"/>
      <c r="I33" s="66" t="n"/>
      <c r="J33" s="88" t="n"/>
      <c r="K33" s="81" t="n"/>
      <c r="L33" s="65" t="n"/>
      <c r="M33" s="81" t="n"/>
      <c r="N33" s="65" t="n"/>
      <c r="O33" s="63">
        <f>IF(AND(F33&lt;&gt;"",L33&lt;&gt;"Resolved"),1,0)</f>
        <v/>
      </c>
      <c r="P33" s="63">
        <f>IF(F33="","",IF(O33=0,0,IF(H33="High",2,1)))</f>
        <v/>
      </c>
      <c r="Q33" s="85">
        <f>IF(O33=1,IF(K33&lt;&gt;"",K33,IF(H33="High",AsOf,"")),"")</f>
        <v/>
      </c>
      <c r="R33" s="63">
        <f>IF(Q33="","",IF(H33="High",1,IF(Q33="","",IF(Q33&lt;AsOf,1,IF(Q33&lt;=AsOf+AlertDays,2,IF(Q33&lt;=AsOf+2*AlertDays,3,""))))))</f>
        <v/>
      </c>
      <c r="S33" s="63">
        <f>IF(R33="","",IF(H33="High","High-severity issue: ",IF(C33="Punch item","Punch item: ","Issue action due: "))&amp;F33&amp;IF(J33="",""," → "&amp;J33))</f>
        <v/>
      </c>
      <c r="T33" s="63">
        <f>IF(O33=1,IF(I33="",0,I33),0)</f>
        <v/>
      </c>
      <c r="U33" s="63">
        <f>IF(AND(O33=1,H33="High"),1,0)</f>
        <v/>
      </c>
      <c r="V33" s="63">
        <f>IF(AND(O33=1,C33="Punch item"),1,0)</f>
        <v/>
      </c>
    </row>
    <row r="34" ht="24" customHeight="1">
      <c r="B34" s="100" t="n">
        <v>27</v>
      </c>
      <c r="C34" s="65" t="n"/>
      <c r="D34" s="81" t="n"/>
      <c r="E34" s="65" t="n"/>
      <c r="F34" s="88" t="n"/>
      <c r="G34" s="65" t="n"/>
      <c r="H34" s="67" t="n"/>
      <c r="I34" s="66" t="n"/>
      <c r="J34" s="88" t="n"/>
      <c r="K34" s="81" t="n"/>
      <c r="L34" s="65" t="n"/>
      <c r="M34" s="81" t="n"/>
      <c r="N34" s="65" t="n"/>
      <c r="O34" s="63">
        <f>IF(AND(F34&lt;&gt;"",L34&lt;&gt;"Resolved"),1,0)</f>
        <v/>
      </c>
      <c r="P34" s="63">
        <f>IF(F34="","",IF(O34=0,0,IF(H34="High",2,1)))</f>
        <v/>
      </c>
      <c r="Q34" s="85">
        <f>IF(O34=1,IF(K34&lt;&gt;"",K34,IF(H34="High",AsOf,"")),"")</f>
        <v/>
      </c>
      <c r="R34" s="63">
        <f>IF(Q34="","",IF(H34="High",1,IF(Q34="","",IF(Q34&lt;AsOf,1,IF(Q34&lt;=AsOf+AlertDays,2,IF(Q34&lt;=AsOf+2*AlertDays,3,""))))))</f>
        <v/>
      </c>
      <c r="S34" s="63">
        <f>IF(R34="","",IF(H34="High","High-severity issue: ",IF(C34="Punch item","Punch item: ","Issue action due: "))&amp;F34&amp;IF(J34="",""," → "&amp;J34))</f>
        <v/>
      </c>
      <c r="T34" s="63">
        <f>IF(O34=1,IF(I34="",0,I34),0)</f>
        <v/>
      </c>
      <c r="U34" s="63">
        <f>IF(AND(O34=1,H34="High"),1,0)</f>
        <v/>
      </c>
      <c r="V34" s="63">
        <f>IF(AND(O34=1,C34="Punch item"),1,0)</f>
        <v/>
      </c>
    </row>
    <row r="35" ht="24" customHeight="1">
      <c r="B35" s="100" t="n">
        <v>28</v>
      </c>
      <c r="C35" s="65" t="n"/>
      <c r="D35" s="81" t="n"/>
      <c r="E35" s="65" t="n"/>
      <c r="F35" s="88" t="n"/>
      <c r="G35" s="65" t="n"/>
      <c r="H35" s="67" t="n"/>
      <c r="I35" s="66" t="n"/>
      <c r="J35" s="88" t="n"/>
      <c r="K35" s="81" t="n"/>
      <c r="L35" s="65" t="n"/>
      <c r="M35" s="81" t="n"/>
      <c r="N35" s="65" t="n"/>
      <c r="O35" s="63">
        <f>IF(AND(F35&lt;&gt;"",L35&lt;&gt;"Resolved"),1,0)</f>
        <v/>
      </c>
      <c r="P35" s="63">
        <f>IF(F35="","",IF(O35=0,0,IF(H35="High",2,1)))</f>
        <v/>
      </c>
      <c r="Q35" s="85">
        <f>IF(O35=1,IF(K35&lt;&gt;"",K35,IF(H35="High",AsOf,"")),"")</f>
        <v/>
      </c>
      <c r="R35" s="63">
        <f>IF(Q35="","",IF(H35="High",1,IF(Q35="","",IF(Q35&lt;AsOf,1,IF(Q35&lt;=AsOf+AlertDays,2,IF(Q35&lt;=AsOf+2*AlertDays,3,""))))))</f>
        <v/>
      </c>
      <c r="S35" s="63">
        <f>IF(R35="","",IF(H35="High","High-severity issue: ",IF(C35="Punch item","Punch item: ","Issue action due: "))&amp;F35&amp;IF(J35="",""," → "&amp;J35))</f>
        <v/>
      </c>
      <c r="T35" s="63">
        <f>IF(O35=1,IF(I35="",0,I35),0)</f>
        <v/>
      </c>
      <c r="U35" s="63">
        <f>IF(AND(O35=1,H35="High"),1,0)</f>
        <v/>
      </c>
      <c r="V35" s="63">
        <f>IF(AND(O35=1,C35="Punch item"),1,0)</f>
        <v/>
      </c>
    </row>
    <row r="36" ht="24" customHeight="1">
      <c r="B36" s="100" t="n">
        <v>29</v>
      </c>
      <c r="C36" s="65" t="n"/>
      <c r="D36" s="81" t="n"/>
      <c r="E36" s="65" t="n"/>
      <c r="F36" s="88" t="n"/>
      <c r="G36" s="65" t="n"/>
      <c r="H36" s="67" t="n"/>
      <c r="I36" s="66" t="n"/>
      <c r="J36" s="88" t="n"/>
      <c r="K36" s="81" t="n"/>
      <c r="L36" s="65" t="n"/>
      <c r="M36" s="81" t="n"/>
      <c r="N36" s="65" t="n"/>
      <c r="O36" s="63">
        <f>IF(AND(F36&lt;&gt;"",L36&lt;&gt;"Resolved"),1,0)</f>
        <v/>
      </c>
      <c r="P36" s="63">
        <f>IF(F36="","",IF(O36=0,0,IF(H36="High",2,1)))</f>
        <v/>
      </c>
      <c r="Q36" s="85">
        <f>IF(O36=1,IF(K36&lt;&gt;"",K36,IF(H36="High",AsOf,"")),"")</f>
        <v/>
      </c>
      <c r="R36" s="63">
        <f>IF(Q36="","",IF(H36="High",1,IF(Q36="","",IF(Q36&lt;AsOf,1,IF(Q36&lt;=AsOf+AlertDays,2,IF(Q36&lt;=AsOf+2*AlertDays,3,""))))))</f>
        <v/>
      </c>
      <c r="S36" s="63">
        <f>IF(R36="","",IF(H36="High","High-severity issue: ",IF(C36="Punch item","Punch item: ","Issue action due: "))&amp;F36&amp;IF(J36="",""," → "&amp;J36))</f>
        <v/>
      </c>
      <c r="T36" s="63">
        <f>IF(O36=1,IF(I36="",0,I36),0)</f>
        <v/>
      </c>
      <c r="U36" s="63">
        <f>IF(AND(O36=1,H36="High"),1,0)</f>
        <v/>
      </c>
      <c r="V36" s="63">
        <f>IF(AND(O36=1,C36="Punch item"),1,0)</f>
        <v/>
      </c>
    </row>
    <row r="37" ht="24" customHeight="1">
      <c r="B37" s="100" t="n">
        <v>30</v>
      </c>
      <c r="C37" s="65" t="n"/>
      <c r="D37" s="81" t="n"/>
      <c r="E37" s="65" t="n"/>
      <c r="F37" s="88" t="n"/>
      <c r="G37" s="65" t="n"/>
      <c r="H37" s="67" t="n"/>
      <c r="I37" s="66" t="n"/>
      <c r="J37" s="88" t="n"/>
      <c r="K37" s="81" t="n"/>
      <c r="L37" s="65" t="n"/>
      <c r="M37" s="81" t="n"/>
      <c r="N37" s="65" t="n"/>
      <c r="O37" s="63">
        <f>IF(AND(F37&lt;&gt;"",L37&lt;&gt;"Resolved"),1,0)</f>
        <v/>
      </c>
      <c r="P37" s="63">
        <f>IF(F37="","",IF(O37=0,0,IF(H37="High",2,1)))</f>
        <v/>
      </c>
      <c r="Q37" s="85">
        <f>IF(O37=1,IF(K37&lt;&gt;"",K37,IF(H37="High",AsOf,"")),"")</f>
        <v/>
      </c>
      <c r="R37" s="63">
        <f>IF(Q37="","",IF(H37="High",1,IF(Q37="","",IF(Q37&lt;AsOf,1,IF(Q37&lt;=AsOf+AlertDays,2,IF(Q37&lt;=AsOf+2*AlertDays,3,""))))))</f>
        <v/>
      </c>
      <c r="S37" s="63">
        <f>IF(R37="","",IF(H37="High","High-severity issue: ",IF(C37="Punch item","Punch item: ","Issue action due: "))&amp;F37&amp;IF(J37="",""," → "&amp;J37))</f>
        <v/>
      </c>
      <c r="T37" s="63">
        <f>IF(O37=1,IF(I37="",0,I37),0)</f>
        <v/>
      </c>
      <c r="U37" s="63">
        <f>IF(AND(O37=1,H37="High"),1,0)</f>
        <v/>
      </c>
      <c r="V37" s="63">
        <f>IF(AND(O37=1,C37="Punch item"),1,0)</f>
        <v/>
      </c>
    </row>
    <row r="38" ht="24" customHeight="1">
      <c r="B38" s="100" t="n">
        <v>31</v>
      </c>
      <c r="C38" s="65" t="n"/>
      <c r="D38" s="81" t="n"/>
      <c r="E38" s="65" t="n"/>
      <c r="F38" s="88" t="n"/>
      <c r="G38" s="65" t="n"/>
      <c r="H38" s="67" t="n"/>
      <c r="I38" s="66" t="n"/>
      <c r="J38" s="88" t="n"/>
      <c r="K38" s="81" t="n"/>
      <c r="L38" s="65" t="n"/>
      <c r="M38" s="81" t="n"/>
      <c r="N38" s="65" t="n"/>
      <c r="O38" s="63">
        <f>IF(AND(F38&lt;&gt;"",L38&lt;&gt;"Resolved"),1,0)</f>
        <v/>
      </c>
      <c r="P38" s="63">
        <f>IF(F38="","",IF(O38=0,0,IF(H38="High",2,1)))</f>
        <v/>
      </c>
      <c r="Q38" s="85">
        <f>IF(O38=1,IF(K38&lt;&gt;"",K38,IF(H38="High",AsOf,"")),"")</f>
        <v/>
      </c>
      <c r="R38" s="63">
        <f>IF(Q38="","",IF(H38="High",1,IF(Q38="","",IF(Q38&lt;AsOf,1,IF(Q38&lt;=AsOf+AlertDays,2,IF(Q38&lt;=AsOf+2*AlertDays,3,""))))))</f>
        <v/>
      </c>
      <c r="S38" s="63">
        <f>IF(R38="","",IF(H38="High","High-severity issue: ",IF(C38="Punch item","Punch item: ","Issue action due: "))&amp;F38&amp;IF(J38="",""," → "&amp;J38))</f>
        <v/>
      </c>
      <c r="T38" s="63">
        <f>IF(O38=1,IF(I38="",0,I38),0)</f>
        <v/>
      </c>
      <c r="U38" s="63">
        <f>IF(AND(O38=1,H38="High"),1,0)</f>
        <v/>
      </c>
      <c r="V38" s="63">
        <f>IF(AND(O38=1,C38="Punch item"),1,0)</f>
        <v/>
      </c>
    </row>
    <row r="39" ht="24" customHeight="1">
      <c r="B39" s="100" t="n">
        <v>32</v>
      </c>
      <c r="C39" s="65" t="n"/>
      <c r="D39" s="81" t="n"/>
      <c r="E39" s="65" t="n"/>
      <c r="F39" s="88" t="n"/>
      <c r="G39" s="65" t="n"/>
      <c r="H39" s="67" t="n"/>
      <c r="I39" s="66" t="n"/>
      <c r="J39" s="88" t="n"/>
      <c r="K39" s="81" t="n"/>
      <c r="L39" s="65" t="n"/>
      <c r="M39" s="81" t="n"/>
      <c r="N39" s="65" t="n"/>
      <c r="O39" s="63">
        <f>IF(AND(F39&lt;&gt;"",L39&lt;&gt;"Resolved"),1,0)</f>
        <v/>
      </c>
      <c r="P39" s="63">
        <f>IF(F39="","",IF(O39=0,0,IF(H39="High",2,1)))</f>
        <v/>
      </c>
      <c r="Q39" s="85">
        <f>IF(O39=1,IF(K39&lt;&gt;"",K39,IF(H39="High",AsOf,"")),"")</f>
        <v/>
      </c>
      <c r="R39" s="63">
        <f>IF(Q39="","",IF(H39="High",1,IF(Q39="","",IF(Q39&lt;AsOf,1,IF(Q39&lt;=AsOf+AlertDays,2,IF(Q39&lt;=AsOf+2*AlertDays,3,""))))))</f>
        <v/>
      </c>
      <c r="S39" s="63">
        <f>IF(R39="","",IF(H39="High","High-severity issue: ",IF(C39="Punch item","Punch item: ","Issue action due: "))&amp;F39&amp;IF(J39="",""," → "&amp;J39))</f>
        <v/>
      </c>
      <c r="T39" s="63">
        <f>IF(O39=1,IF(I39="",0,I39),0)</f>
        <v/>
      </c>
      <c r="U39" s="63">
        <f>IF(AND(O39=1,H39="High"),1,0)</f>
        <v/>
      </c>
      <c r="V39" s="63">
        <f>IF(AND(O39=1,C39="Punch item"),1,0)</f>
        <v/>
      </c>
    </row>
    <row r="40" ht="24" customHeight="1">
      <c r="B40" s="100" t="n">
        <v>33</v>
      </c>
      <c r="C40" s="65" t="n"/>
      <c r="D40" s="81" t="n"/>
      <c r="E40" s="65" t="n"/>
      <c r="F40" s="88" t="n"/>
      <c r="G40" s="65" t="n"/>
      <c r="H40" s="67" t="n"/>
      <c r="I40" s="66" t="n"/>
      <c r="J40" s="88" t="n"/>
      <c r="K40" s="81" t="n"/>
      <c r="L40" s="65" t="n"/>
      <c r="M40" s="81" t="n"/>
      <c r="N40" s="65" t="n"/>
      <c r="O40" s="63">
        <f>IF(AND(F40&lt;&gt;"",L40&lt;&gt;"Resolved"),1,0)</f>
        <v/>
      </c>
      <c r="P40" s="63">
        <f>IF(F40="","",IF(O40=0,0,IF(H40="High",2,1)))</f>
        <v/>
      </c>
      <c r="Q40" s="85">
        <f>IF(O40=1,IF(K40&lt;&gt;"",K40,IF(H40="High",AsOf,"")),"")</f>
        <v/>
      </c>
      <c r="R40" s="63">
        <f>IF(Q40="","",IF(H40="High",1,IF(Q40="","",IF(Q40&lt;AsOf,1,IF(Q40&lt;=AsOf+AlertDays,2,IF(Q40&lt;=AsOf+2*AlertDays,3,""))))))</f>
        <v/>
      </c>
      <c r="S40" s="63">
        <f>IF(R40="","",IF(H40="High","High-severity issue: ",IF(C40="Punch item","Punch item: ","Issue action due: "))&amp;F40&amp;IF(J40="",""," → "&amp;J40))</f>
        <v/>
      </c>
      <c r="T40" s="63">
        <f>IF(O40=1,IF(I40="",0,I40),0)</f>
        <v/>
      </c>
      <c r="U40" s="63">
        <f>IF(AND(O40=1,H40="High"),1,0)</f>
        <v/>
      </c>
      <c r="V40" s="63">
        <f>IF(AND(O40=1,C40="Punch item"),1,0)</f>
        <v/>
      </c>
    </row>
    <row r="41" ht="24" customHeight="1">
      <c r="B41" s="100" t="n">
        <v>34</v>
      </c>
      <c r="C41" s="65" t="n"/>
      <c r="D41" s="81" t="n"/>
      <c r="E41" s="65" t="n"/>
      <c r="F41" s="88" t="n"/>
      <c r="G41" s="65" t="n"/>
      <c r="H41" s="67" t="n"/>
      <c r="I41" s="66" t="n"/>
      <c r="J41" s="88" t="n"/>
      <c r="K41" s="81" t="n"/>
      <c r="L41" s="65" t="n"/>
      <c r="M41" s="81" t="n"/>
      <c r="N41" s="65" t="n"/>
      <c r="O41" s="63">
        <f>IF(AND(F41&lt;&gt;"",L41&lt;&gt;"Resolved"),1,0)</f>
        <v/>
      </c>
      <c r="P41" s="63">
        <f>IF(F41="","",IF(O41=0,0,IF(H41="High",2,1)))</f>
        <v/>
      </c>
      <c r="Q41" s="85">
        <f>IF(O41=1,IF(K41&lt;&gt;"",K41,IF(H41="High",AsOf,"")),"")</f>
        <v/>
      </c>
      <c r="R41" s="63">
        <f>IF(Q41="","",IF(H41="High",1,IF(Q41="","",IF(Q41&lt;AsOf,1,IF(Q41&lt;=AsOf+AlertDays,2,IF(Q41&lt;=AsOf+2*AlertDays,3,""))))))</f>
        <v/>
      </c>
      <c r="S41" s="63">
        <f>IF(R41="","",IF(H41="High","High-severity issue: ",IF(C41="Punch item","Punch item: ","Issue action due: "))&amp;F41&amp;IF(J41="",""," → "&amp;J41))</f>
        <v/>
      </c>
      <c r="T41" s="63">
        <f>IF(O41=1,IF(I41="",0,I41),0)</f>
        <v/>
      </c>
      <c r="U41" s="63">
        <f>IF(AND(O41=1,H41="High"),1,0)</f>
        <v/>
      </c>
      <c r="V41" s="63">
        <f>IF(AND(O41=1,C41="Punch item"),1,0)</f>
        <v/>
      </c>
    </row>
    <row r="42" ht="24" customHeight="1">
      <c r="B42" s="100" t="n">
        <v>35</v>
      </c>
      <c r="C42" s="65" t="n"/>
      <c r="D42" s="81" t="n"/>
      <c r="E42" s="65" t="n"/>
      <c r="F42" s="88" t="n"/>
      <c r="G42" s="65" t="n"/>
      <c r="H42" s="67" t="n"/>
      <c r="I42" s="66" t="n"/>
      <c r="J42" s="88" t="n"/>
      <c r="K42" s="81" t="n"/>
      <c r="L42" s="65" t="n"/>
      <c r="M42" s="81" t="n"/>
      <c r="N42" s="65" t="n"/>
      <c r="O42" s="63">
        <f>IF(AND(F42&lt;&gt;"",L42&lt;&gt;"Resolved"),1,0)</f>
        <v/>
      </c>
      <c r="P42" s="63">
        <f>IF(F42="","",IF(O42=0,0,IF(H42="High",2,1)))</f>
        <v/>
      </c>
      <c r="Q42" s="85">
        <f>IF(O42=1,IF(K42&lt;&gt;"",K42,IF(H42="High",AsOf,"")),"")</f>
        <v/>
      </c>
      <c r="R42" s="63">
        <f>IF(Q42="","",IF(H42="High",1,IF(Q42="","",IF(Q42&lt;AsOf,1,IF(Q42&lt;=AsOf+AlertDays,2,IF(Q42&lt;=AsOf+2*AlertDays,3,""))))))</f>
        <v/>
      </c>
      <c r="S42" s="63">
        <f>IF(R42="","",IF(H42="High","High-severity issue: ",IF(C42="Punch item","Punch item: ","Issue action due: "))&amp;F42&amp;IF(J42="",""," → "&amp;J42))</f>
        <v/>
      </c>
      <c r="T42" s="63">
        <f>IF(O42=1,IF(I42="",0,I42),0)</f>
        <v/>
      </c>
      <c r="U42" s="63">
        <f>IF(AND(O42=1,H42="High"),1,0)</f>
        <v/>
      </c>
      <c r="V42" s="63">
        <f>IF(AND(O42=1,C42="Punch item"),1,0)</f>
        <v/>
      </c>
    </row>
    <row r="43" ht="24" customHeight="1">
      <c r="B43" s="100" t="n">
        <v>36</v>
      </c>
      <c r="C43" s="65" t="n"/>
      <c r="D43" s="81" t="n"/>
      <c r="E43" s="65" t="n"/>
      <c r="F43" s="88" t="n"/>
      <c r="G43" s="65" t="n"/>
      <c r="H43" s="67" t="n"/>
      <c r="I43" s="66" t="n"/>
      <c r="J43" s="88" t="n"/>
      <c r="K43" s="81" t="n"/>
      <c r="L43" s="65" t="n"/>
      <c r="M43" s="81" t="n"/>
      <c r="N43" s="65" t="n"/>
      <c r="O43" s="63">
        <f>IF(AND(F43&lt;&gt;"",L43&lt;&gt;"Resolved"),1,0)</f>
        <v/>
      </c>
      <c r="P43" s="63">
        <f>IF(F43="","",IF(O43=0,0,IF(H43="High",2,1)))</f>
        <v/>
      </c>
      <c r="Q43" s="85">
        <f>IF(O43=1,IF(K43&lt;&gt;"",K43,IF(H43="High",AsOf,"")),"")</f>
        <v/>
      </c>
      <c r="R43" s="63">
        <f>IF(Q43="","",IF(H43="High",1,IF(Q43="","",IF(Q43&lt;AsOf,1,IF(Q43&lt;=AsOf+AlertDays,2,IF(Q43&lt;=AsOf+2*AlertDays,3,""))))))</f>
        <v/>
      </c>
      <c r="S43" s="63">
        <f>IF(R43="","",IF(H43="High","High-severity issue: ",IF(C43="Punch item","Punch item: ","Issue action due: "))&amp;F43&amp;IF(J43="",""," → "&amp;J43))</f>
        <v/>
      </c>
      <c r="T43" s="63">
        <f>IF(O43=1,IF(I43="",0,I43),0)</f>
        <v/>
      </c>
      <c r="U43" s="63">
        <f>IF(AND(O43=1,H43="High"),1,0)</f>
        <v/>
      </c>
      <c r="V43" s="63">
        <f>IF(AND(O43=1,C43="Punch item"),1,0)</f>
        <v/>
      </c>
    </row>
    <row r="44" ht="24" customHeight="1">
      <c r="B44" s="100" t="n">
        <v>37</v>
      </c>
      <c r="C44" s="65" t="n"/>
      <c r="D44" s="81" t="n"/>
      <c r="E44" s="65" t="n"/>
      <c r="F44" s="88" t="n"/>
      <c r="G44" s="65" t="n"/>
      <c r="H44" s="67" t="n"/>
      <c r="I44" s="66" t="n"/>
      <c r="J44" s="88" t="n"/>
      <c r="K44" s="81" t="n"/>
      <c r="L44" s="65" t="n"/>
      <c r="M44" s="81" t="n"/>
      <c r="N44" s="65" t="n"/>
      <c r="O44" s="63">
        <f>IF(AND(F44&lt;&gt;"",L44&lt;&gt;"Resolved"),1,0)</f>
        <v/>
      </c>
      <c r="P44" s="63">
        <f>IF(F44="","",IF(O44=0,0,IF(H44="High",2,1)))</f>
        <v/>
      </c>
      <c r="Q44" s="85">
        <f>IF(O44=1,IF(K44&lt;&gt;"",K44,IF(H44="High",AsOf,"")),"")</f>
        <v/>
      </c>
      <c r="R44" s="63">
        <f>IF(Q44="","",IF(H44="High",1,IF(Q44="","",IF(Q44&lt;AsOf,1,IF(Q44&lt;=AsOf+AlertDays,2,IF(Q44&lt;=AsOf+2*AlertDays,3,""))))))</f>
        <v/>
      </c>
      <c r="S44" s="63">
        <f>IF(R44="","",IF(H44="High","High-severity issue: ",IF(C44="Punch item","Punch item: ","Issue action due: "))&amp;F44&amp;IF(J44="",""," → "&amp;J44))</f>
        <v/>
      </c>
      <c r="T44" s="63">
        <f>IF(O44=1,IF(I44="",0,I44),0)</f>
        <v/>
      </c>
      <c r="U44" s="63">
        <f>IF(AND(O44=1,H44="High"),1,0)</f>
        <v/>
      </c>
      <c r="V44" s="63">
        <f>IF(AND(O44=1,C44="Punch item"),1,0)</f>
        <v/>
      </c>
    </row>
    <row r="45" ht="24" customHeight="1">
      <c r="B45" s="100" t="n">
        <v>38</v>
      </c>
      <c r="C45" s="65" t="n"/>
      <c r="D45" s="81" t="n"/>
      <c r="E45" s="65" t="n"/>
      <c r="F45" s="88" t="n"/>
      <c r="G45" s="65" t="n"/>
      <c r="H45" s="67" t="n"/>
      <c r="I45" s="66" t="n"/>
      <c r="J45" s="88" t="n"/>
      <c r="K45" s="81" t="n"/>
      <c r="L45" s="65" t="n"/>
      <c r="M45" s="81" t="n"/>
      <c r="N45" s="65" t="n"/>
      <c r="O45" s="63">
        <f>IF(AND(F45&lt;&gt;"",L45&lt;&gt;"Resolved"),1,0)</f>
        <v/>
      </c>
      <c r="P45" s="63">
        <f>IF(F45="","",IF(O45=0,0,IF(H45="High",2,1)))</f>
        <v/>
      </c>
      <c r="Q45" s="85">
        <f>IF(O45=1,IF(K45&lt;&gt;"",K45,IF(H45="High",AsOf,"")),"")</f>
        <v/>
      </c>
      <c r="R45" s="63">
        <f>IF(Q45="","",IF(H45="High",1,IF(Q45="","",IF(Q45&lt;AsOf,1,IF(Q45&lt;=AsOf+AlertDays,2,IF(Q45&lt;=AsOf+2*AlertDays,3,""))))))</f>
        <v/>
      </c>
      <c r="S45" s="63">
        <f>IF(R45="","",IF(H45="High","High-severity issue: ",IF(C45="Punch item","Punch item: ","Issue action due: "))&amp;F45&amp;IF(J45="",""," → "&amp;J45))</f>
        <v/>
      </c>
      <c r="T45" s="63">
        <f>IF(O45=1,IF(I45="",0,I45),0)</f>
        <v/>
      </c>
      <c r="U45" s="63">
        <f>IF(AND(O45=1,H45="High"),1,0)</f>
        <v/>
      </c>
      <c r="V45" s="63">
        <f>IF(AND(O45=1,C45="Punch item"),1,0)</f>
        <v/>
      </c>
    </row>
    <row r="46" ht="24" customHeight="1">
      <c r="B46" s="100" t="n">
        <v>39</v>
      </c>
      <c r="C46" s="65" t="n"/>
      <c r="D46" s="81" t="n"/>
      <c r="E46" s="65" t="n"/>
      <c r="F46" s="88" t="n"/>
      <c r="G46" s="65" t="n"/>
      <c r="H46" s="67" t="n"/>
      <c r="I46" s="66" t="n"/>
      <c r="J46" s="88" t="n"/>
      <c r="K46" s="81" t="n"/>
      <c r="L46" s="65" t="n"/>
      <c r="M46" s="81" t="n"/>
      <c r="N46" s="65" t="n"/>
      <c r="O46" s="63">
        <f>IF(AND(F46&lt;&gt;"",L46&lt;&gt;"Resolved"),1,0)</f>
        <v/>
      </c>
      <c r="P46" s="63">
        <f>IF(F46="","",IF(O46=0,0,IF(H46="High",2,1)))</f>
        <v/>
      </c>
      <c r="Q46" s="85">
        <f>IF(O46=1,IF(K46&lt;&gt;"",K46,IF(H46="High",AsOf,"")),"")</f>
        <v/>
      </c>
      <c r="R46" s="63">
        <f>IF(Q46="","",IF(H46="High",1,IF(Q46="","",IF(Q46&lt;AsOf,1,IF(Q46&lt;=AsOf+AlertDays,2,IF(Q46&lt;=AsOf+2*AlertDays,3,""))))))</f>
        <v/>
      </c>
      <c r="S46" s="63">
        <f>IF(R46="","",IF(H46="High","High-severity issue: ",IF(C46="Punch item","Punch item: ","Issue action due: "))&amp;F46&amp;IF(J46="",""," → "&amp;J46))</f>
        <v/>
      </c>
      <c r="T46" s="63">
        <f>IF(O46=1,IF(I46="",0,I46),0)</f>
        <v/>
      </c>
      <c r="U46" s="63">
        <f>IF(AND(O46=1,H46="High"),1,0)</f>
        <v/>
      </c>
      <c r="V46" s="63">
        <f>IF(AND(O46=1,C46="Punch item"),1,0)</f>
        <v/>
      </c>
    </row>
    <row r="47" ht="24" customHeight="1">
      <c r="B47" s="100" t="n">
        <v>40</v>
      </c>
      <c r="C47" s="65" t="n"/>
      <c r="D47" s="81" t="n"/>
      <c r="E47" s="65" t="n"/>
      <c r="F47" s="88" t="n"/>
      <c r="G47" s="65" t="n"/>
      <c r="H47" s="67" t="n"/>
      <c r="I47" s="66" t="n"/>
      <c r="J47" s="88" t="n"/>
      <c r="K47" s="81" t="n"/>
      <c r="L47" s="65" t="n"/>
      <c r="M47" s="81" t="n"/>
      <c r="N47" s="65" t="n"/>
      <c r="O47" s="63">
        <f>IF(AND(F47&lt;&gt;"",L47&lt;&gt;"Resolved"),1,0)</f>
        <v/>
      </c>
      <c r="P47" s="63">
        <f>IF(F47="","",IF(O47=0,0,IF(H47="High",2,1)))</f>
        <v/>
      </c>
      <c r="Q47" s="85">
        <f>IF(O47=1,IF(K47&lt;&gt;"",K47,IF(H47="High",AsOf,"")),"")</f>
        <v/>
      </c>
      <c r="R47" s="63">
        <f>IF(Q47="","",IF(H47="High",1,IF(Q47="","",IF(Q47&lt;AsOf,1,IF(Q47&lt;=AsOf+AlertDays,2,IF(Q47&lt;=AsOf+2*AlertDays,3,""))))))</f>
        <v/>
      </c>
      <c r="S47" s="63">
        <f>IF(R47="","",IF(H47="High","High-severity issue: ",IF(C47="Punch item","Punch item: ","Issue action due: "))&amp;F47&amp;IF(J47="",""," → "&amp;J47))</f>
        <v/>
      </c>
      <c r="T47" s="63">
        <f>IF(O47=1,IF(I47="",0,I47),0)</f>
        <v/>
      </c>
      <c r="U47" s="63">
        <f>IF(AND(O47=1,H47="High"),1,0)</f>
        <v/>
      </c>
      <c r="V47" s="63">
        <f>IF(AND(O47=1,C47="Punch item"),1,0)</f>
        <v/>
      </c>
    </row>
    <row r="48" ht="24" customHeight="1">
      <c r="B48" s="100" t="n">
        <v>41</v>
      </c>
      <c r="C48" s="65" t="n"/>
      <c r="D48" s="81" t="n"/>
      <c r="E48" s="65" t="n"/>
      <c r="F48" s="88" t="n"/>
      <c r="G48" s="65" t="n"/>
      <c r="H48" s="67" t="n"/>
      <c r="I48" s="66" t="n"/>
      <c r="J48" s="88" t="n"/>
      <c r="K48" s="81" t="n"/>
      <c r="L48" s="65" t="n"/>
      <c r="M48" s="81" t="n"/>
      <c r="N48" s="65" t="n"/>
      <c r="O48" s="63">
        <f>IF(AND(F48&lt;&gt;"",L48&lt;&gt;"Resolved"),1,0)</f>
        <v/>
      </c>
      <c r="P48" s="63">
        <f>IF(F48="","",IF(O48=0,0,IF(H48="High",2,1)))</f>
        <v/>
      </c>
      <c r="Q48" s="85">
        <f>IF(O48=1,IF(K48&lt;&gt;"",K48,IF(H48="High",AsOf,"")),"")</f>
        <v/>
      </c>
      <c r="R48" s="63">
        <f>IF(Q48="","",IF(H48="High",1,IF(Q48="","",IF(Q48&lt;AsOf,1,IF(Q48&lt;=AsOf+AlertDays,2,IF(Q48&lt;=AsOf+2*AlertDays,3,""))))))</f>
        <v/>
      </c>
      <c r="S48" s="63">
        <f>IF(R48="","",IF(H48="High","High-severity issue: ",IF(C48="Punch item","Punch item: ","Issue action due: "))&amp;F48&amp;IF(J48="",""," → "&amp;J48))</f>
        <v/>
      </c>
      <c r="T48" s="63">
        <f>IF(O48=1,IF(I48="",0,I48),0)</f>
        <v/>
      </c>
      <c r="U48" s="63">
        <f>IF(AND(O48=1,H48="High"),1,0)</f>
        <v/>
      </c>
      <c r="V48" s="63">
        <f>IF(AND(O48=1,C48="Punch item"),1,0)</f>
        <v/>
      </c>
    </row>
    <row r="49" ht="24" customHeight="1">
      <c r="B49" s="100" t="n">
        <v>42</v>
      </c>
      <c r="C49" s="65" t="n"/>
      <c r="D49" s="81" t="n"/>
      <c r="E49" s="65" t="n"/>
      <c r="F49" s="88" t="n"/>
      <c r="G49" s="65" t="n"/>
      <c r="H49" s="67" t="n"/>
      <c r="I49" s="66" t="n"/>
      <c r="J49" s="88" t="n"/>
      <c r="K49" s="81" t="n"/>
      <c r="L49" s="65" t="n"/>
      <c r="M49" s="81" t="n"/>
      <c r="N49" s="65" t="n"/>
      <c r="O49" s="63">
        <f>IF(AND(F49&lt;&gt;"",L49&lt;&gt;"Resolved"),1,0)</f>
        <v/>
      </c>
      <c r="P49" s="63">
        <f>IF(F49="","",IF(O49=0,0,IF(H49="High",2,1)))</f>
        <v/>
      </c>
      <c r="Q49" s="85">
        <f>IF(O49=1,IF(K49&lt;&gt;"",K49,IF(H49="High",AsOf,"")),"")</f>
        <v/>
      </c>
      <c r="R49" s="63">
        <f>IF(Q49="","",IF(H49="High",1,IF(Q49="","",IF(Q49&lt;AsOf,1,IF(Q49&lt;=AsOf+AlertDays,2,IF(Q49&lt;=AsOf+2*AlertDays,3,""))))))</f>
        <v/>
      </c>
      <c r="S49" s="63">
        <f>IF(R49="","",IF(H49="High","High-severity issue: ",IF(C49="Punch item","Punch item: ","Issue action due: "))&amp;F49&amp;IF(J49="",""," → "&amp;J49))</f>
        <v/>
      </c>
      <c r="T49" s="63">
        <f>IF(O49=1,IF(I49="",0,I49),0)</f>
        <v/>
      </c>
      <c r="U49" s="63">
        <f>IF(AND(O49=1,H49="High"),1,0)</f>
        <v/>
      </c>
      <c r="V49" s="63">
        <f>IF(AND(O49=1,C49="Punch item"),1,0)</f>
        <v/>
      </c>
    </row>
    <row r="50" ht="24" customHeight="1">
      <c r="B50" s="100" t="n">
        <v>43</v>
      </c>
      <c r="C50" s="65" t="n"/>
      <c r="D50" s="81" t="n"/>
      <c r="E50" s="65" t="n"/>
      <c r="F50" s="88" t="n"/>
      <c r="G50" s="65" t="n"/>
      <c r="H50" s="67" t="n"/>
      <c r="I50" s="66" t="n"/>
      <c r="J50" s="88" t="n"/>
      <c r="K50" s="81" t="n"/>
      <c r="L50" s="65" t="n"/>
      <c r="M50" s="81" t="n"/>
      <c r="N50" s="65" t="n"/>
      <c r="O50" s="63">
        <f>IF(AND(F50&lt;&gt;"",L50&lt;&gt;"Resolved"),1,0)</f>
        <v/>
      </c>
      <c r="P50" s="63">
        <f>IF(F50="","",IF(O50=0,0,IF(H50="High",2,1)))</f>
        <v/>
      </c>
      <c r="Q50" s="85">
        <f>IF(O50=1,IF(K50&lt;&gt;"",K50,IF(H50="High",AsOf,"")),"")</f>
        <v/>
      </c>
      <c r="R50" s="63">
        <f>IF(Q50="","",IF(H50="High",1,IF(Q50="","",IF(Q50&lt;AsOf,1,IF(Q50&lt;=AsOf+AlertDays,2,IF(Q50&lt;=AsOf+2*AlertDays,3,""))))))</f>
        <v/>
      </c>
      <c r="S50" s="63">
        <f>IF(R50="","",IF(H50="High","High-severity issue: ",IF(C50="Punch item","Punch item: ","Issue action due: "))&amp;F50&amp;IF(J50="",""," → "&amp;J50))</f>
        <v/>
      </c>
      <c r="T50" s="63">
        <f>IF(O50=1,IF(I50="",0,I50),0)</f>
        <v/>
      </c>
      <c r="U50" s="63">
        <f>IF(AND(O50=1,H50="High"),1,0)</f>
        <v/>
      </c>
      <c r="V50" s="63">
        <f>IF(AND(O50=1,C50="Punch item"),1,0)</f>
        <v/>
      </c>
    </row>
    <row r="51" ht="24" customHeight="1">
      <c r="B51" s="100" t="n">
        <v>44</v>
      </c>
      <c r="C51" s="65" t="n"/>
      <c r="D51" s="81" t="n"/>
      <c r="E51" s="65" t="n"/>
      <c r="F51" s="88" t="n"/>
      <c r="G51" s="65" t="n"/>
      <c r="H51" s="67" t="n"/>
      <c r="I51" s="66" t="n"/>
      <c r="J51" s="88" t="n"/>
      <c r="K51" s="81" t="n"/>
      <c r="L51" s="65" t="n"/>
      <c r="M51" s="81" t="n"/>
      <c r="N51" s="65" t="n"/>
      <c r="O51" s="63">
        <f>IF(AND(F51&lt;&gt;"",L51&lt;&gt;"Resolved"),1,0)</f>
        <v/>
      </c>
      <c r="P51" s="63">
        <f>IF(F51="","",IF(O51=0,0,IF(H51="High",2,1)))</f>
        <v/>
      </c>
      <c r="Q51" s="85">
        <f>IF(O51=1,IF(K51&lt;&gt;"",K51,IF(H51="High",AsOf,"")),"")</f>
        <v/>
      </c>
      <c r="R51" s="63">
        <f>IF(Q51="","",IF(H51="High",1,IF(Q51="","",IF(Q51&lt;AsOf,1,IF(Q51&lt;=AsOf+AlertDays,2,IF(Q51&lt;=AsOf+2*AlertDays,3,""))))))</f>
        <v/>
      </c>
      <c r="S51" s="63">
        <f>IF(R51="","",IF(H51="High","High-severity issue: ",IF(C51="Punch item","Punch item: ","Issue action due: "))&amp;F51&amp;IF(J51="",""," → "&amp;J51))</f>
        <v/>
      </c>
      <c r="T51" s="63">
        <f>IF(O51=1,IF(I51="",0,I51),0)</f>
        <v/>
      </c>
      <c r="U51" s="63">
        <f>IF(AND(O51=1,H51="High"),1,0)</f>
        <v/>
      </c>
      <c r="V51" s="63">
        <f>IF(AND(O51=1,C51="Punch item"),1,0)</f>
        <v/>
      </c>
    </row>
    <row r="52" ht="24" customHeight="1">
      <c r="B52" s="100" t="n">
        <v>45</v>
      </c>
      <c r="C52" s="65" t="n"/>
      <c r="D52" s="81" t="n"/>
      <c r="E52" s="65" t="n"/>
      <c r="F52" s="88" t="n"/>
      <c r="G52" s="65" t="n"/>
      <c r="H52" s="67" t="n"/>
      <c r="I52" s="66" t="n"/>
      <c r="J52" s="88" t="n"/>
      <c r="K52" s="81" t="n"/>
      <c r="L52" s="65" t="n"/>
      <c r="M52" s="81" t="n"/>
      <c r="N52" s="65" t="n"/>
      <c r="O52" s="63">
        <f>IF(AND(F52&lt;&gt;"",L52&lt;&gt;"Resolved"),1,0)</f>
        <v/>
      </c>
      <c r="P52" s="63">
        <f>IF(F52="","",IF(O52=0,0,IF(H52="High",2,1)))</f>
        <v/>
      </c>
      <c r="Q52" s="85">
        <f>IF(O52=1,IF(K52&lt;&gt;"",K52,IF(H52="High",AsOf,"")),"")</f>
        <v/>
      </c>
      <c r="R52" s="63">
        <f>IF(Q52="","",IF(H52="High",1,IF(Q52="","",IF(Q52&lt;AsOf,1,IF(Q52&lt;=AsOf+AlertDays,2,IF(Q52&lt;=AsOf+2*AlertDays,3,""))))))</f>
        <v/>
      </c>
      <c r="S52" s="63">
        <f>IF(R52="","",IF(H52="High","High-severity issue: ",IF(C52="Punch item","Punch item: ","Issue action due: "))&amp;F52&amp;IF(J52="",""," → "&amp;J52))</f>
        <v/>
      </c>
      <c r="T52" s="63">
        <f>IF(O52=1,IF(I52="",0,I52),0)</f>
        <v/>
      </c>
      <c r="U52" s="63">
        <f>IF(AND(O52=1,H52="High"),1,0)</f>
        <v/>
      </c>
      <c r="V52" s="63">
        <f>IF(AND(O52=1,C52="Punch item"),1,0)</f>
        <v/>
      </c>
    </row>
    <row r="53" ht="24" customHeight="1">
      <c r="B53" s="100" t="n">
        <v>46</v>
      </c>
      <c r="C53" s="65" t="n"/>
      <c r="D53" s="81" t="n"/>
      <c r="E53" s="65" t="n"/>
      <c r="F53" s="88" t="n"/>
      <c r="G53" s="65" t="n"/>
      <c r="H53" s="67" t="n"/>
      <c r="I53" s="66" t="n"/>
      <c r="J53" s="88" t="n"/>
      <c r="K53" s="81" t="n"/>
      <c r="L53" s="65" t="n"/>
      <c r="M53" s="81" t="n"/>
      <c r="N53" s="65" t="n"/>
      <c r="O53" s="63">
        <f>IF(AND(F53&lt;&gt;"",L53&lt;&gt;"Resolved"),1,0)</f>
        <v/>
      </c>
      <c r="P53" s="63">
        <f>IF(F53="","",IF(O53=0,0,IF(H53="High",2,1)))</f>
        <v/>
      </c>
      <c r="Q53" s="85">
        <f>IF(O53=1,IF(K53&lt;&gt;"",K53,IF(H53="High",AsOf,"")),"")</f>
        <v/>
      </c>
      <c r="R53" s="63">
        <f>IF(Q53="","",IF(H53="High",1,IF(Q53="","",IF(Q53&lt;AsOf,1,IF(Q53&lt;=AsOf+AlertDays,2,IF(Q53&lt;=AsOf+2*AlertDays,3,""))))))</f>
        <v/>
      </c>
      <c r="S53" s="63">
        <f>IF(R53="","",IF(H53="High","High-severity issue: ",IF(C53="Punch item","Punch item: ","Issue action due: "))&amp;F53&amp;IF(J53="",""," → "&amp;J53))</f>
        <v/>
      </c>
      <c r="T53" s="63">
        <f>IF(O53=1,IF(I53="",0,I53),0)</f>
        <v/>
      </c>
      <c r="U53" s="63">
        <f>IF(AND(O53=1,H53="High"),1,0)</f>
        <v/>
      </c>
      <c r="V53" s="63">
        <f>IF(AND(O53=1,C53="Punch item"),1,0)</f>
        <v/>
      </c>
    </row>
    <row r="54" ht="24" customHeight="1">
      <c r="B54" s="100" t="n">
        <v>47</v>
      </c>
      <c r="C54" s="65" t="n"/>
      <c r="D54" s="81" t="n"/>
      <c r="E54" s="65" t="n"/>
      <c r="F54" s="88" t="n"/>
      <c r="G54" s="65" t="n"/>
      <c r="H54" s="67" t="n"/>
      <c r="I54" s="66" t="n"/>
      <c r="J54" s="88" t="n"/>
      <c r="K54" s="81" t="n"/>
      <c r="L54" s="65" t="n"/>
      <c r="M54" s="81" t="n"/>
      <c r="N54" s="65" t="n"/>
      <c r="O54" s="63">
        <f>IF(AND(F54&lt;&gt;"",L54&lt;&gt;"Resolved"),1,0)</f>
        <v/>
      </c>
      <c r="P54" s="63">
        <f>IF(F54="","",IF(O54=0,0,IF(H54="High",2,1)))</f>
        <v/>
      </c>
      <c r="Q54" s="85">
        <f>IF(O54=1,IF(K54&lt;&gt;"",K54,IF(H54="High",AsOf,"")),"")</f>
        <v/>
      </c>
      <c r="R54" s="63">
        <f>IF(Q54="","",IF(H54="High",1,IF(Q54="","",IF(Q54&lt;AsOf,1,IF(Q54&lt;=AsOf+AlertDays,2,IF(Q54&lt;=AsOf+2*AlertDays,3,""))))))</f>
        <v/>
      </c>
      <c r="S54" s="63">
        <f>IF(R54="","",IF(H54="High","High-severity issue: ",IF(C54="Punch item","Punch item: ","Issue action due: "))&amp;F54&amp;IF(J54="",""," → "&amp;J54))</f>
        <v/>
      </c>
      <c r="T54" s="63">
        <f>IF(O54=1,IF(I54="",0,I54),0)</f>
        <v/>
      </c>
      <c r="U54" s="63">
        <f>IF(AND(O54=1,H54="High"),1,0)</f>
        <v/>
      </c>
      <c r="V54" s="63">
        <f>IF(AND(O54=1,C54="Punch item"),1,0)</f>
        <v/>
      </c>
    </row>
    <row r="55" ht="24" customHeight="1">
      <c r="B55" s="100" t="n">
        <v>48</v>
      </c>
      <c r="C55" s="65" t="n"/>
      <c r="D55" s="81" t="n"/>
      <c r="E55" s="65" t="n"/>
      <c r="F55" s="88" t="n"/>
      <c r="G55" s="65" t="n"/>
      <c r="H55" s="67" t="n"/>
      <c r="I55" s="66" t="n"/>
      <c r="J55" s="88" t="n"/>
      <c r="K55" s="81" t="n"/>
      <c r="L55" s="65" t="n"/>
      <c r="M55" s="81" t="n"/>
      <c r="N55" s="65" t="n"/>
      <c r="O55" s="63">
        <f>IF(AND(F55&lt;&gt;"",L55&lt;&gt;"Resolved"),1,0)</f>
        <v/>
      </c>
      <c r="P55" s="63">
        <f>IF(F55="","",IF(O55=0,0,IF(H55="High",2,1)))</f>
        <v/>
      </c>
      <c r="Q55" s="85">
        <f>IF(O55=1,IF(K55&lt;&gt;"",K55,IF(H55="High",AsOf,"")),"")</f>
        <v/>
      </c>
      <c r="R55" s="63">
        <f>IF(Q55="","",IF(H55="High",1,IF(Q55="","",IF(Q55&lt;AsOf,1,IF(Q55&lt;=AsOf+AlertDays,2,IF(Q55&lt;=AsOf+2*AlertDays,3,""))))))</f>
        <v/>
      </c>
      <c r="S55" s="63">
        <f>IF(R55="","",IF(H55="High","High-severity issue: ",IF(C55="Punch item","Punch item: ","Issue action due: "))&amp;F55&amp;IF(J55="",""," → "&amp;J55))</f>
        <v/>
      </c>
      <c r="T55" s="63">
        <f>IF(O55=1,IF(I55="",0,I55),0)</f>
        <v/>
      </c>
      <c r="U55" s="63">
        <f>IF(AND(O55=1,H55="High"),1,0)</f>
        <v/>
      </c>
      <c r="V55" s="63">
        <f>IF(AND(O55=1,C55="Punch item"),1,0)</f>
        <v/>
      </c>
    </row>
    <row r="56" ht="24" customHeight="1">
      <c r="B56" s="100" t="n">
        <v>49</v>
      </c>
      <c r="C56" s="65" t="n"/>
      <c r="D56" s="81" t="n"/>
      <c r="E56" s="65" t="n"/>
      <c r="F56" s="88" t="n"/>
      <c r="G56" s="65" t="n"/>
      <c r="H56" s="67" t="n"/>
      <c r="I56" s="66" t="n"/>
      <c r="J56" s="88" t="n"/>
      <c r="K56" s="81" t="n"/>
      <c r="L56" s="65" t="n"/>
      <c r="M56" s="81" t="n"/>
      <c r="N56" s="65" t="n"/>
      <c r="O56" s="63">
        <f>IF(AND(F56&lt;&gt;"",L56&lt;&gt;"Resolved"),1,0)</f>
        <v/>
      </c>
      <c r="P56" s="63">
        <f>IF(F56="","",IF(O56=0,0,IF(H56="High",2,1)))</f>
        <v/>
      </c>
      <c r="Q56" s="85">
        <f>IF(O56=1,IF(K56&lt;&gt;"",K56,IF(H56="High",AsOf,"")),"")</f>
        <v/>
      </c>
      <c r="R56" s="63">
        <f>IF(Q56="","",IF(H56="High",1,IF(Q56="","",IF(Q56&lt;AsOf,1,IF(Q56&lt;=AsOf+AlertDays,2,IF(Q56&lt;=AsOf+2*AlertDays,3,""))))))</f>
        <v/>
      </c>
      <c r="S56" s="63">
        <f>IF(R56="","",IF(H56="High","High-severity issue: ",IF(C56="Punch item","Punch item: ","Issue action due: "))&amp;F56&amp;IF(J56="",""," → "&amp;J56))</f>
        <v/>
      </c>
      <c r="T56" s="63">
        <f>IF(O56=1,IF(I56="",0,I56),0)</f>
        <v/>
      </c>
      <c r="U56" s="63">
        <f>IF(AND(O56=1,H56="High"),1,0)</f>
        <v/>
      </c>
      <c r="V56" s="63">
        <f>IF(AND(O56=1,C56="Punch item"),1,0)</f>
        <v/>
      </c>
    </row>
    <row r="57" ht="24" customHeight="1">
      <c r="B57" s="100" t="n">
        <v>50</v>
      </c>
      <c r="C57" s="65" t="n"/>
      <c r="D57" s="81" t="n"/>
      <c r="E57" s="65" t="n"/>
      <c r="F57" s="88" t="n"/>
      <c r="G57" s="65" t="n"/>
      <c r="H57" s="67" t="n"/>
      <c r="I57" s="66" t="n"/>
      <c r="J57" s="88" t="n"/>
      <c r="K57" s="81" t="n"/>
      <c r="L57" s="65" t="n"/>
      <c r="M57" s="81" t="n"/>
      <c r="N57" s="65" t="n"/>
      <c r="O57" s="63">
        <f>IF(AND(F57&lt;&gt;"",L57&lt;&gt;"Resolved"),1,0)</f>
        <v/>
      </c>
      <c r="P57" s="63">
        <f>IF(F57="","",IF(O57=0,0,IF(H57="High",2,1)))</f>
        <v/>
      </c>
      <c r="Q57" s="85">
        <f>IF(O57=1,IF(K57&lt;&gt;"",K57,IF(H57="High",AsOf,"")),"")</f>
        <v/>
      </c>
      <c r="R57" s="63">
        <f>IF(Q57="","",IF(H57="High",1,IF(Q57="","",IF(Q57&lt;AsOf,1,IF(Q57&lt;=AsOf+AlertDays,2,IF(Q57&lt;=AsOf+2*AlertDays,3,""))))))</f>
        <v/>
      </c>
      <c r="S57" s="63">
        <f>IF(R57="","",IF(H57="High","High-severity issue: ",IF(C57="Punch item","Punch item: ","Issue action due: "))&amp;F57&amp;IF(J57="",""," → "&amp;J57))</f>
        <v/>
      </c>
      <c r="T57" s="63">
        <f>IF(O57=1,IF(I57="",0,I57),0)</f>
        <v/>
      </c>
      <c r="U57" s="63">
        <f>IF(AND(O57=1,H57="High"),1,0)</f>
        <v/>
      </c>
      <c r="V57" s="63">
        <f>IF(AND(O57=1,C57="Punch item"),1,0)</f>
        <v/>
      </c>
    </row>
    <row r="58" ht="24" customHeight="1">
      <c r="B58" s="100" t="n">
        <v>51</v>
      </c>
      <c r="C58" s="65" t="n"/>
      <c r="D58" s="81" t="n"/>
      <c r="E58" s="65" t="n"/>
      <c r="F58" s="88" t="n"/>
      <c r="G58" s="65" t="n"/>
      <c r="H58" s="67" t="n"/>
      <c r="I58" s="66" t="n"/>
      <c r="J58" s="88" t="n"/>
      <c r="K58" s="81" t="n"/>
      <c r="L58" s="65" t="n"/>
      <c r="M58" s="81" t="n"/>
      <c r="N58" s="65" t="n"/>
      <c r="O58" s="63">
        <f>IF(AND(F58&lt;&gt;"",L58&lt;&gt;"Resolved"),1,0)</f>
        <v/>
      </c>
      <c r="P58" s="63">
        <f>IF(F58="","",IF(O58=0,0,IF(H58="High",2,1)))</f>
        <v/>
      </c>
      <c r="Q58" s="85">
        <f>IF(O58=1,IF(K58&lt;&gt;"",K58,IF(H58="High",AsOf,"")),"")</f>
        <v/>
      </c>
      <c r="R58" s="63">
        <f>IF(Q58="","",IF(H58="High",1,IF(Q58="","",IF(Q58&lt;AsOf,1,IF(Q58&lt;=AsOf+AlertDays,2,IF(Q58&lt;=AsOf+2*AlertDays,3,""))))))</f>
        <v/>
      </c>
      <c r="S58" s="63">
        <f>IF(R58="","",IF(H58="High","High-severity issue: ",IF(C58="Punch item","Punch item: ","Issue action due: "))&amp;F58&amp;IF(J58="",""," → "&amp;J58))</f>
        <v/>
      </c>
      <c r="T58" s="63">
        <f>IF(O58=1,IF(I58="",0,I58),0)</f>
        <v/>
      </c>
      <c r="U58" s="63">
        <f>IF(AND(O58=1,H58="High"),1,0)</f>
        <v/>
      </c>
      <c r="V58" s="63">
        <f>IF(AND(O58=1,C58="Punch item"),1,0)</f>
        <v/>
      </c>
    </row>
    <row r="59" ht="24" customHeight="1">
      <c r="B59" s="100" t="n">
        <v>52</v>
      </c>
      <c r="C59" s="65" t="n"/>
      <c r="D59" s="81" t="n"/>
      <c r="E59" s="65" t="n"/>
      <c r="F59" s="88" t="n"/>
      <c r="G59" s="65" t="n"/>
      <c r="H59" s="67" t="n"/>
      <c r="I59" s="66" t="n"/>
      <c r="J59" s="88" t="n"/>
      <c r="K59" s="81" t="n"/>
      <c r="L59" s="65" t="n"/>
      <c r="M59" s="81" t="n"/>
      <c r="N59" s="65" t="n"/>
      <c r="O59" s="63">
        <f>IF(AND(F59&lt;&gt;"",L59&lt;&gt;"Resolved"),1,0)</f>
        <v/>
      </c>
      <c r="P59" s="63">
        <f>IF(F59="","",IF(O59=0,0,IF(H59="High",2,1)))</f>
        <v/>
      </c>
      <c r="Q59" s="85">
        <f>IF(O59=1,IF(K59&lt;&gt;"",K59,IF(H59="High",AsOf,"")),"")</f>
        <v/>
      </c>
      <c r="R59" s="63">
        <f>IF(Q59="","",IF(H59="High",1,IF(Q59="","",IF(Q59&lt;AsOf,1,IF(Q59&lt;=AsOf+AlertDays,2,IF(Q59&lt;=AsOf+2*AlertDays,3,""))))))</f>
        <v/>
      </c>
      <c r="S59" s="63">
        <f>IF(R59="","",IF(H59="High","High-severity issue: ",IF(C59="Punch item","Punch item: ","Issue action due: "))&amp;F59&amp;IF(J59="",""," → "&amp;J59))</f>
        <v/>
      </c>
      <c r="T59" s="63">
        <f>IF(O59=1,IF(I59="",0,I59),0)</f>
        <v/>
      </c>
      <c r="U59" s="63">
        <f>IF(AND(O59=1,H59="High"),1,0)</f>
        <v/>
      </c>
      <c r="V59" s="63">
        <f>IF(AND(O59=1,C59="Punch item"),1,0)</f>
        <v/>
      </c>
    </row>
    <row r="60" ht="24" customHeight="1">
      <c r="B60" s="100" t="n">
        <v>53</v>
      </c>
      <c r="C60" s="65" t="n"/>
      <c r="D60" s="81" t="n"/>
      <c r="E60" s="65" t="n"/>
      <c r="F60" s="88" t="n"/>
      <c r="G60" s="65" t="n"/>
      <c r="H60" s="67" t="n"/>
      <c r="I60" s="66" t="n"/>
      <c r="J60" s="88" t="n"/>
      <c r="K60" s="81" t="n"/>
      <c r="L60" s="65" t="n"/>
      <c r="M60" s="81" t="n"/>
      <c r="N60" s="65" t="n"/>
      <c r="O60" s="63">
        <f>IF(AND(F60&lt;&gt;"",L60&lt;&gt;"Resolved"),1,0)</f>
        <v/>
      </c>
      <c r="P60" s="63">
        <f>IF(F60="","",IF(O60=0,0,IF(H60="High",2,1)))</f>
        <v/>
      </c>
      <c r="Q60" s="85">
        <f>IF(O60=1,IF(K60&lt;&gt;"",K60,IF(H60="High",AsOf,"")),"")</f>
        <v/>
      </c>
      <c r="R60" s="63">
        <f>IF(Q60="","",IF(H60="High",1,IF(Q60="","",IF(Q60&lt;AsOf,1,IF(Q60&lt;=AsOf+AlertDays,2,IF(Q60&lt;=AsOf+2*AlertDays,3,""))))))</f>
        <v/>
      </c>
      <c r="S60" s="63">
        <f>IF(R60="","",IF(H60="High","High-severity issue: ",IF(C60="Punch item","Punch item: ","Issue action due: "))&amp;F60&amp;IF(J60="",""," → "&amp;J60))</f>
        <v/>
      </c>
      <c r="T60" s="63">
        <f>IF(O60=1,IF(I60="",0,I60),0)</f>
        <v/>
      </c>
      <c r="U60" s="63">
        <f>IF(AND(O60=1,H60="High"),1,0)</f>
        <v/>
      </c>
      <c r="V60" s="63">
        <f>IF(AND(O60=1,C60="Punch item"),1,0)</f>
        <v/>
      </c>
    </row>
    <row r="61" ht="24" customHeight="1">
      <c r="B61" s="100" t="n">
        <v>54</v>
      </c>
      <c r="C61" s="65" t="n"/>
      <c r="D61" s="81" t="n"/>
      <c r="E61" s="65" t="n"/>
      <c r="F61" s="88" t="n"/>
      <c r="G61" s="65" t="n"/>
      <c r="H61" s="67" t="n"/>
      <c r="I61" s="66" t="n"/>
      <c r="J61" s="88" t="n"/>
      <c r="K61" s="81" t="n"/>
      <c r="L61" s="65" t="n"/>
      <c r="M61" s="81" t="n"/>
      <c r="N61" s="65" t="n"/>
      <c r="O61" s="63">
        <f>IF(AND(F61&lt;&gt;"",L61&lt;&gt;"Resolved"),1,0)</f>
        <v/>
      </c>
      <c r="P61" s="63">
        <f>IF(F61="","",IF(O61=0,0,IF(H61="High",2,1)))</f>
        <v/>
      </c>
      <c r="Q61" s="85">
        <f>IF(O61=1,IF(K61&lt;&gt;"",K61,IF(H61="High",AsOf,"")),"")</f>
        <v/>
      </c>
      <c r="R61" s="63">
        <f>IF(Q61="","",IF(H61="High",1,IF(Q61="","",IF(Q61&lt;AsOf,1,IF(Q61&lt;=AsOf+AlertDays,2,IF(Q61&lt;=AsOf+2*AlertDays,3,""))))))</f>
        <v/>
      </c>
      <c r="S61" s="63">
        <f>IF(R61="","",IF(H61="High","High-severity issue: ",IF(C61="Punch item","Punch item: ","Issue action due: "))&amp;F61&amp;IF(J61="",""," → "&amp;J61))</f>
        <v/>
      </c>
      <c r="T61" s="63">
        <f>IF(O61=1,IF(I61="",0,I61),0)</f>
        <v/>
      </c>
      <c r="U61" s="63">
        <f>IF(AND(O61=1,H61="High"),1,0)</f>
        <v/>
      </c>
      <c r="V61" s="63">
        <f>IF(AND(O61=1,C61="Punch item"),1,0)</f>
        <v/>
      </c>
    </row>
    <row r="62" ht="24" customHeight="1">
      <c r="B62" s="100" t="n">
        <v>55</v>
      </c>
      <c r="C62" s="65" t="n"/>
      <c r="D62" s="81" t="n"/>
      <c r="E62" s="65" t="n"/>
      <c r="F62" s="88" t="n"/>
      <c r="G62" s="65" t="n"/>
      <c r="H62" s="67" t="n"/>
      <c r="I62" s="66" t="n"/>
      <c r="J62" s="88" t="n"/>
      <c r="K62" s="81" t="n"/>
      <c r="L62" s="65" t="n"/>
      <c r="M62" s="81" t="n"/>
      <c r="N62" s="65" t="n"/>
      <c r="O62" s="63">
        <f>IF(AND(F62&lt;&gt;"",L62&lt;&gt;"Resolved"),1,0)</f>
        <v/>
      </c>
      <c r="P62" s="63">
        <f>IF(F62="","",IF(O62=0,0,IF(H62="High",2,1)))</f>
        <v/>
      </c>
      <c r="Q62" s="85">
        <f>IF(O62=1,IF(K62&lt;&gt;"",K62,IF(H62="High",AsOf,"")),"")</f>
        <v/>
      </c>
      <c r="R62" s="63">
        <f>IF(Q62="","",IF(H62="High",1,IF(Q62="","",IF(Q62&lt;AsOf,1,IF(Q62&lt;=AsOf+AlertDays,2,IF(Q62&lt;=AsOf+2*AlertDays,3,""))))))</f>
        <v/>
      </c>
      <c r="S62" s="63">
        <f>IF(R62="","",IF(H62="High","High-severity issue: ",IF(C62="Punch item","Punch item: ","Issue action due: "))&amp;F62&amp;IF(J62="",""," → "&amp;J62))</f>
        <v/>
      </c>
      <c r="T62" s="63">
        <f>IF(O62=1,IF(I62="",0,I62),0)</f>
        <v/>
      </c>
      <c r="U62" s="63">
        <f>IF(AND(O62=1,H62="High"),1,0)</f>
        <v/>
      </c>
      <c r="V62" s="63">
        <f>IF(AND(O62=1,C62="Punch item"),1,0)</f>
        <v/>
      </c>
    </row>
    <row r="63" ht="24" customHeight="1">
      <c r="B63" s="100" t="n">
        <v>56</v>
      </c>
      <c r="C63" s="65" t="n"/>
      <c r="D63" s="81" t="n"/>
      <c r="E63" s="65" t="n"/>
      <c r="F63" s="88" t="n"/>
      <c r="G63" s="65" t="n"/>
      <c r="H63" s="67" t="n"/>
      <c r="I63" s="66" t="n"/>
      <c r="J63" s="88" t="n"/>
      <c r="K63" s="81" t="n"/>
      <c r="L63" s="65" t="n"/>
      <c r="M63" s="81" t="n"/>
      <c r="N63" s="65" t="n"/>
      <c r="O63" s="63">
        <f>IF(AND(F63&lt;&gt;"",L63&lt;&gt;"Resolved"),1,0)</f>
        <v/>
      </c>
      <c r="P63" s="63">
        <f>IF(F63="","",IF(O63=0,0,IF(H63="High",2,1)))</f>
        <v/>
      </c>
      <c r="Q63" s="85">
        <f>IF(O63=1,IF(K63&lt;&gt;"",K63,IF(H63="High",AsOf,"")),"")</f>
        <v/>
      </c>
      <c r="R63" s="63">
        <f>IF(Q63="","",IF(H63="High",1,IF(Q63="","",IF(Q63&lt;AsOf,1,IF(Q63&lt;=AsOf+AlertDays,2,IF(Q63&lt;=AsOf+2*AlertDays,3,""))))))</f>
        <v/>
      </c>
      <c r="S63" s="63">
        <f>IF(R63="","",IF(H63="High","High-severity issue: ",IF(C63="Punch item","Punch item: ","Issue action due: "))&amp;F63&amp;IF(J63="",""," → "&amp;J63))</f>
        <v/>
      </c>
      <c r="T63" s="63">
        <f>IF(O63=1,IF(I63="",0,I63),0)</f>
        <v/>
      </c>
      <c r="U63" s="63">
        <f>IF(AND(O63=1,H63="High"),1,0)</f>
        <v/>
      </c>
      <c r="V63" s="63">
        <f>IF(AND(O63=1,C63="Punch item"),1,0)</f>
        <v/>
      </c>
    </row>
    <row r="64" ht="24" customHeight="1">
      <c r="B64" s="100" t="n">
        <v>57</v>
      </c>
      <c r="C64" s="65" t="n"/>
      <c r="D64" s="81" t="n"/>
      <c r="E64" s="65" t="n"/>
      <c r="F64" s="88" t="n"/>
      <c r="G64" s="65" t="n"/>
      <c r="H64" s="67" t="n"/>
      <c r="I64" s="66" t="n"/>
      <c r="J64" s="88" t="n"/>
      <c r="K64" s="81" t="n"/>
      <c r="L64" s="65" t="n"/>
      <c r="M64" s="81" t="n"/>
      <c r="N64" s="65" t="n"/>
      <c r="O64" s="63">
        <f>IF(AND(F64&lt;&gt;"",L64&lt;&gt;"Resolved"),1,0)</f>
        <v/>
      </c>
      <c r="P64" s="63">
        <f>IF(F64="","",IF(O64=0,0,IF(H64="High",2,1)))</f>
        <v/>
      </c>
      <c r="Q64" s="85">
        <f>IF(O64=1,IF(K64&lt;&gt;"",K64,IF(H64="High",AsOf,"")),"")</f>
        <v/>
      </c>
      <c r="R64" s="63">
        <f>IF(Q64="","",IF(H64="High",1,IF(Q64="","",IF(Q64&lt;AsOf,1,IF(Q64&lt;=AsOf+AlertDays,2,IF(Q64&lt;=AsOf+2*AlertDays,3,""))))))</f>
        <v/>
      </c>
      <c r="S64" s="63">
        <f>IF(R64="","",IF(H64="High","High-severity issue: ",IF(C64="Punch item","Punch item: ","Issue action due: "))&amp;F64&amp;IF(J64="",""," → "&amp;J64))</f>
        <v/>
      </c>
      <c r="T64" s="63">
        <f>IF(O64=1,IF(I64="",0,I64),0)</f>
        <v/>
      </c>
      <c r="U64" s="63">
        <f>IF(AND(O64=1,H64="High"),1,0)</f>
        <v/>
      </c>
      <c r="V64" s="63">
        <f>IF(AND(O64=1,C64="Punch item"),1,0)</f>
        <v/>
      </c>
    </row>
    <row r="65" ht="24" customHeight="1">
      <c r="B65" s="100" t="n">
        <v>58</v>
      </c>
      <c r="C65" s="65" t="n"/>
      <c r="D65" s="81" t="n"/>
      <c r="E65" s="65" t="n"/>
      <c r="F65" s="88" t="n"/>
      <c r="G65" s="65" t="n"/>
      <c r="H65" s="67" t="n"/>
      <c r="I65" s="66" t="n"/>
      <c r="J65" s="88" t="n"/>
      <c r="K65" s="81" t="n"/>
      <c r="L65" s="65" t="n"/>
      <c r="M65" s="81" t="n"/>
      <c r="N65" s="65" t="n"/>
      <c r="O65" s="63">
        <f>IF(AND(F65&lt;&gt;"",L65&lt;&gt;"Resolved"),1,0)</f>
        <v/>
      </c>
      <c r="P65" s="63">
        <f>IF(F65="","",IF(O65=0,0,IF(H65="High",2,1)))</f>
        <v/>
      </c>
      <c r="Q65" s="85">
        <f>IF(O65=1,IF(K65&lt;&gt;"",K65,IF(H65="High",AsOf,"")),"")</f>
        <v/>
      </c>
      <c r="R65" s="63">
        <f>IF(Q65="","",IF(H65="High",1,IF(Q65="","",IF(Q65&lt;AsOf,1,IF(Q65&lt;=AsOf+AlertDays,2,IF(Q65&lt;=AsOf+2*AlertDays,3,""))))))</f>
        <v/>
      </c>
      <c r="S65" s="63">
        <f>IF(R65="","",IF(H65="High","High-severity issue: ",IF(C65="Punch item","Punch item: ","Issue action due: "))&amp;F65&amp;IF(J65="",""," → "&amp;J65))</f>
        <v/>
      </c>
      <c r="T65" s="63">
        <f>IF(O65=1,IF(I65="",0,I65),0)</f>
        <v/>
      </c>
      <c r="U65" s="63">
        <f>IF(AND(O65=1,H65="High"),1,0)</f>
        <v/>
      </c>
      <c r="V65" s="63">
        <f>IF(AND(O65=1,C65="Punch item"),1,0)</f>
        <v/>
      </c>
    </row>
    <row r="66" ht="24" customHeight="1">
      <c r="B66" s="100" t="n">
        <v>59</v>
      </c>
      <c r="C66" s="65" t="n"/>
      <c r="D66" s="81" t="n"/>
      <c r="E66" s="65" t="n"/>
      <c r="F66" s="88" t="n"/>
      <c r="G66" s="65" t="n"/>
      <c r="H66" s="67" t="n"/>
      <c r="I66" s="66" t="n"/>
      <c r="J66" s="88" t="n"/>
      <c r="K66" s="81" t="n"/>
      <c r="L66" s="65" t="n"/>
      <c r="M66" s="81" t="n"/>
      <c r="N66" s="65" t="n"/>
      <c r="O66" s="63">
        <f>IF(AND(F66&lt;&gt;"",L66&lt;&gt;"Resolved"),1,0)</f>
        <v/>
      </c>
      <c r="P66" s="63">
        <f>IF(F66="","",IF(O66=0,0,IF(H66="High",2,1)))</f>
        <v/>
      </c>
      <c r="Q66" s="85">
        <f>IF(O66=1,IF(K66&lt;&gt;"",K66,IF(H66="High",AsOf,"")),"")</f>
        <v/>
      </c>
      <c r="R66" s="63">
        <f>IF(Q66="","",IF(H66="High",1,IF(Q66="","",IF(Q66&lt;AsOf,1,IF(Q66&lt;=AsOf+AlertDays,2,IF(Q66&lt;=AsOf+2*AlertDays,3,""))))))</f>
        <v/>
      </c>
      <c r="S66" s="63">
        <f>IF(R66="","",IF(H66="High","High-severity issue: ",IF(C66="Punch item","Punch item: ","Issue action due: "))&amp;F66&amp;IF(J66="",""," → "&amp;J66))</f>
        <v/>
      </c>
      <c r="T66" s="63">
        <f>IF(O66=1,IF(I66="",0,I66),0)</f>
        <v/>
      </c>
      <c r="U66" s="63">
        <f>IF(AND(O66=1,H66="High"),1,0)</f>
        <v/>
      </c>
      <c r="V66" s="63">
        <f>IF(AND(O66=1,C66="Punch item"),1,0)</f>
        <v/>
      </c>
    </row>
    <row r="67" ht="24" customHeight="1">
      <c r="B67" s="100" t="n">
        <v>60</v>
      </c>
      <c r="C67" s="65" t="n"/>
      <c r="D67" s="81" t="n"/>
      <c r="E67" s="65" t="n"/>
      <c r="F67" s="88" t="n"/>
      <c r="G67" s="65" t="n"/>
      <c r="H67" s="67" t="n"/>
      <c r="I67" s="66" t="n"/>
      <c r="J67" s="88" t="n"/>
      <c r="K67" s="81" t="n"/>
      <c r="L67" s="65" t="n"/>
      <c r="M67" s="81" t="n"/>
      <c r="N67" s="65" t="n"/>
      <c r="O67" s="63">
        <f>IF(AND(F67&lt;&gt;"",L67&lt;&gt;"Resolved"),1,0)</f>
        <v/>
      </c>
      <c r="P67" s="63">
        <f>IF(F67="","",IF(O67=0,0,IF(H67="High",2,1)))</f>
        <v/>
      </c>
      <c r="Q67" s="85">
        <f>IF(O67=1,IF(K67&lt;&gt;"",K67,IF(H67="High",AsOf,"")),"")</f>
        <v/>
      </c>
      <c r="R67" s="63">
        <f>IF(Q67="","",IF(H67="High",1,IF(Q67="","",IF(Q67&lt;AsOf,1,IF(Q67&lt;=AsOf+AlertDays,2,IF(Q67&lt;=AsOf+2*AlertDays,3,""))))))</f>
        <v/>
      </c>
      <c r="S67" s="63">
        <f>IF(R67="","",IF(H67="High","High-severity issue: ",IF(C67="Punch item","Punch item: ","Issue action due: "))&amp;F67&amp;IF(J67="",""," → "&amp;J67))</f>
        <v/>
      </c>
      <c r="T67" s="63">
        <f>IF(O67=1,IF(I67="",0,I67),0)</f>
        <v/>
      </c>
      <c r="U67" s="63">
        <f>IF(AND(O67=1,H67="High"),1,0)</f>
        <v/>
      </c>
      <c r="V67" s="63">
        <f>IF(AND(O67=1,C67="Punch item"),1,0)</f>
        <v/>
      </c>
    </row>
    <row r="68" ht="24" customHeight="1">
      <c r="B68" s="100" t="n">
        <v>61</v>
      </c>
      <c r="C68" s="65" t="n"/>
      <c r="D68" s="81" t="n"/>
      <c r="E68" s="65" t="n"/>
      <c r="F68" s="88" t="n"/>
      <c r="G68" s="65" t="n"/>
      <c r="H68" s="67" t="n"/>
      <c r="I68" s="66" t="n"/>
      <c r="J68" s="88" t="n"/>
      <c r="K68" s="81" t="n"/>
      <c r="L68" s="65" t="n"/>
      <c r="M68" s="81" t="n"/>
      <c r="N68" s="65" t="n"/>
      <c r="O68" s="63">
        <f>IF(AND(F68&lt;&gt;"",L68&lt;&gt;"Resolved"),1,0)</f>
        <v/>
      </c>
      <c r="P68" s="63">
        <f>IF(F68="","",IF(O68=0,0,IF(H68="High",2,1)))</f>
        <v/>
      </c>
      <c r="Q68" s="85">
        <f>IF(O68=1,IF(K68&lt;&gt;"",K68,IF(H68="High",AsOf,"")),"")</f>
        <v/>
      </c>
      <c r="R68" s="63">
        <f>IF(Q68="","",IF(H68="High",1,IF(Q68="","",IF(Q68&lt;AsOf,1,IF(Q68&lt;=AsOf+AlertDays,2,IF(Q68&lt;=AsOf+2*AlertDays,3,""))))))</f>
        <v/>
      </c>
      <c r="S68" s="63">
        <f>IF(R68="","",IF(H68="High","High-severity issue: ",IF(C68="Punch item","Punch item: ","Issue action due: "))&amp;F68&amp;IF(J68="",""," → "&amp;J68))</f>
        <v/>
      </c>
      <c r="T68" s="63">
        <f>IF(O68=1,IF(I68="",0,I68),0)</f>
        <v/>
      </c>
      <c r="U68" s="63">
        <f>IF(AND(O68=1,H68="High"),1,0)</f>
        <v/>
      </c>
      <c r="V68" s="63">
        <f>IF(AND(O68=1,C68="Punch item"),1,0)</f>
        <v/>
      </c>
    </row>
    <row r="69" ht="24" customHeight="1">
      <c r="B69" s="100" t="n">
        <v>62</v>
      </c>
      <c r="C69" s="65" t="n"/>
      <c r="D69" s="81" t="n"/>
      <c r="E69" s="65" t="n"/>
      <c r="F69" s="88" t="n"/>
      <c r="G69" s="65" t="n"/>
      <c r="H69" s="67" t="n"/>
      <c r="I69" s="66" t="n"/>
      <c r="J69" s="88" t="n"/>
      <c r="K69" s="81" t="n"/>
      <c r="L69" s="65" t="n"/>
      <c r="M69" s="81" t="n"/>
      <c r="N69" s="65" t="n"/>
      <c r="O69" s="63">
        <f>IF(AND(F69&lt;&gt;"",L69&lt;&gt;"Resolved"),1,0)</f>
        <v/>
      </c>
      <c r="P69" s="63">
        <f>IF(F69="","",IF(O69=0,0,IF(H69="High",2,1)))</f>
        <v/>
      </c>
      <c r="Q69" s="85">
        <f>IF(O69=1,IF(K69&lt;&gt;"",K69,IF(H69="High",AsOf,"")),"")</f>
        <v/>
      </c>
      <c r="R69" s="63">
        <f>IF(Q69="","",IF(H69="High",1,IF(Q69="","",IF(Q69&lt;AsOf,1,IF(Q69&lt;=AsOf+AlertDays,2,IF(Q69&lt;=AsOf+2*AlertDays,3,""))))))</f>
        <v/>
      </c>
      <c r="S69" s="63">
        <f>IF(R69="","",IF(H69="High","High-severity issue: ",IF(C69="Punch item","Punch item: ","Issue action due: "))&amp;F69&amp;IF(J69="",""," → "&amp;J69))</f>
        <v/>
      </c>
      <c r="T69" s="63">
        <f>IF(O69=1,IF(I69="",0,I69),0)</f>
        <v/>
      </c>
      <c r="U69" s="63">
        <f>IF(AND(O69=1,H69="High"),1,0)</f>
        <v/>
      </c>
      <c r="V69" s="63">
        <f>IF(AND(O69=1,C69="Punch item"),1,0)</f>
        <v/>
      </c>
    </row>
    <row r="70" ht="24" customHeight="1">
      <c r="B70" s="100" t="n">
        <v>63</v>
      </c>
      <c r="C70" s="65" t="n"/>
      <c r="D70" s="81" t="n"/>
      <c r="E70" s="65" t="n"/>
      <c r="F70" s="88" t="n"/>
      <c r="G70" s="65" t="n"/>
      <c r="H70" s="67" t="n"/>
      <c r="I70" s="66" t="n"/>
      <c r="J70" s="88" t="n"/>
      <c r="K70" s="81" t="n"/>
      <c r="L70" s="65" t="n"/>
      <c r="M70" s="81" t="n"/>
      <c r="N70" s="65" t="n"/>
      <c r="O70" s="63">
        <f>IF(AND(F70&lt;&gt;"",L70&lt;&gt;"Resolved"),1,0)</f>
        <v/>
      </c>
      <c r="P70" s="63">
        <f>IF(F70="","",IF(O70=0,0,IF(H70="High",2,1)))</f>
        <v/>
      </c>
      <c r="Q70" s="85">
        <f>IF(O70=1,IF(K70&lt;&gt;"",K70,IF(H70="High",AsOf,"")),"")</f>
        <v/>
      </c>
      <c r="R70" s="63">
        <f>IF(Q70="","",IF(H70="High",1,IF(Q70="","",IF(Q70&lt;AsOf,1,IF(Q70&lt;=AsOf+AlertDays,2,IF(Q70&lt;=AsOf+2*AlertDays,3,""))))))</f>
        <v/>
      </c>
      <c r="S70" s="63">
        <f>IF(R70="","",IF(H70="High","High-severity issue: ",IF(C70="Punch item","Punch item: ","Issue action due: "))&amp;F70&amp;IF(J70="",""," → "&amp;J70))</f>
        <v/>
      </c>
      <c r="T70" s="63">
        <f>IF(O70=1,IF(I70="",0,I70),0)</f>
        <v/>
      </c>
      <c r="U70" s="63">
        <f>IF(AND(O70=1,H70="High"),1,0)</f>
        <v/>
      </c>
      <c r="V70" s="63">
        <f>IF(AND(O70=1,C70="Punch item"),1,0)</f>
        <v/>
      </c>
    </row>
    <row r="71" ht="24" customHeight="1">
      <c r="B71" s="100" t="n">
        <v>64</v>
      </c>
      <c r="C71" s="65" t="n"/>
      <c r="D71" s="81" t="n"/>
      <c r="E71" s="65" t="n"/>
      <c r="F71" s="88" t="n"/>
      <c r="G71" s="65" t="n"/>
      <c r="H71" s="67" t="n"/>
      <c r="I71" s="66" t="n"/>
      <c r="J71" s="88" t="n"/>
      <c r="K71" s="81" t="n"/>
      <c r="L71" s="65" t="n"/>
      <c r="M71" s="81" t="n"/>
      <c r="N71" s="65" t="n"/>
      <c r="O71" s="63">
        <f>IF(AND(F71&lt;&gt;"",L71&lt;&gt;"Resolved"),1,0)</f>
        <v/>
      </c>
      <c r="P71" s="63">
        <f>IF(F71="","",IF(O71=0,0,IF(H71="High",2,1)))</f>
        <v/>
      </c>
      <c r="Q71" s="85">
        <f>IF(O71=1,IF(K71&lt;&gt;"",K71,IF(H71="High",AsOf,"")),"")</f>
        <v/>
      </c>
      <c r="R71" s="63">
        <f>IF(Q71="","",IF(H71="High",1,IF(Q71="","",IF(Q71&lt;AsOf,1,IF(Q71&lt;=AsOf+AlertDays,2,IF(Q71&lt;=AsOf+2*AlertDays,3,""))))))</f>
        <v/>
      </c>
      <c r="S71" s="63">
        <f>IF(R71="","",IF(H71="High","High-severity issue: ",IF(C71="Punch item","Punch item: ","Issue action due: "))&amp;F71&amp;IF(J71="",""," → "&amp;J71))</f>
        <v/>
      </c>
      <c r="T71" s="63">
        <f>IF(O71=1,IF(I71="",0,I71),0)</f>
        <v/>
      </c>
      <c r="U71" s="63">
        <f>IF(AND(O71=1,H71="High"),1,0)</f>
        <v/>
      </c>
      <c r="V71" s="63">
        <f>IF(AND(O71=1,C71="Punch item"),1,0)</f>
        <v/>
      </c>
    </row>
    <row r="72" ht="24" customHeight="1">
      <c r="B72" s="100" t="n">
        <v>65</v>
      </c>
      <c r="C72" s="65" t="n"/>
      <c r="D72" s="81" t="n"/>
      <c r="E72" s="65" t="n"/>
      <c r="F72" s="88" t="n"/>
      <c r="G72" s="65" t="n"/>
      <c r="H72" s="67" t="n"/>
      <c r="I72" s="66" t="n"/>
      <c r="J72" s="88" t="n"/>
      <c r="K72" s="81" t="n"/>
      <c r="L72" s="65" t="n"/>
      <c r="M72" s="81" t="n"/>
      <c r="N72" s="65" t="n"/>
      <c r="O72" s="63">
        <f>IF(AND(F72&lt;&gt;"",L72&lt;&gt;"Resolved"),1,0)</f>
        <v/>
      </c>
      <c r="P72" s="63">
        <f>IF(F72="","",IF(O72=0,0,IF(H72="High",2,1)))</f>
        <v/>
      </c>
      <c r="Q72" s="85">
        <f>IF(O72=1,IF(K72&lt;&gt;"",K72,IF(H72="High",AsOf,"")),"")</f>
        <v/>
      </c>
      <c r="R72" s="63">
        <f>IF(Q72="","",IF(H72="High",1,IF(Q72="","",IF(Q72&lt;AsOf,1,IF(Q72&lt;=AsOf+AlertDays,2,IF(Q72&lt;=AsOf+2*AlertDays,3,""))))))</f>
        <v/>
      </c>
      <c r="S72" s="63">
        <f>IF(R72="","",IF(H72="High","High-severity issue: ",IF(C72="Punch item","Punch item: ","Issue action due: "))&amp;F72&amp;IF(J72="",""," → "&amp;J72))</f>
        <v/>
      </c>
      <c r="T72" s="63">
        <f>IF(O72=1,IF(I72="",0,I72),0)</f>
        <v/>
      </c>
      <c r="U72" s="63">
        <f>IF(AND(O72=1,H72="High"),1,0)</f>
        <v/>
      </c>
      <c r="V72" s="63">
        <f>IF(AND(O72=1,C72="Punch item"),1,0)</f>
        <v/>
      </c>
    </row>
    <row r="73" ht="24" customHeight="1">
      <c r="B73" s="100" t="n">
        <v>66</v>
      </c>
      <c r="C73" s="65" t="n"/>
      <c r="D73" s="81" t="n"/>
      <c r="E73" s="65" t="n"/>
      <c r="F73" s="88" t="n"/>
      <c r="G73" s="65" t="n"/>
      <c r="H73" s="67" t="n"/>
      <c r="I73" s="66" t="n"/>
      <c r="J73" s="88" t="n"/>
      <c r="K73" s="81" t="n"/>
      <c r="L73" s="65" t="n"/>
      <c r="M73" s="81" t="n"/>
      <c r="N73" s="65" t="n"/>
      <c r="O73" s="63">
        <f>IF(AND(F73&lt;&gt;"",L73&lt;&gt;"Resolved"),1,0)</f>
        <v/>
      </c>
      <c r="P73" s="63">
        <f>IF(F73="","",IF(O73=0,0,IF(H73="High",2,1)))</f>
        <v/>
      </c>
      <c r="Q73" s="85">
        <f>IF(O73=1,IF(K73&lt;&gt;"",K73,IF(H73="High",AsOf,"")),"")</f>
        <v/>
      </c>
      <c r="R73" s="63">
        <f>IF(Q73="","",IF(H73="High",1,IF(Q73="","",IF(Q73&lt;AsOf,1,IF(Q73&lt;=AsOf+AlertDays,2,IF(Q73&lt;=AsOf+2*AlertDays,3,""))))))</f>
        <v/>
      </c>
      <c r="S73" s="63">
        <f>IF(R73="","",IF(H73="High","High-severity issue: ",IF(C73="Punch item","Punch item: ","Issue action due: "))&amp;F73&amp;IF(J73="",""," → "&amp;J73))</f>
        <v/>
      </c>
      <c r="T73" s="63">
        <f>IF(O73=1,IF(I73="",0,I73),0)</f>
        <v/>
      </c>
      <c r="U73" s="63">
        <f>IF(AND(O73=1,H73="High"),1,0)</f>
        <v/>
      </c>
      <c r="V73" s="63">
        <f>IF(AND(O73=1,C73="Punch item"),1,0)</f>
        <v/>
      </c>
    </row>
    <row r="74" ht="24" customHeight="1">
      <c r="B74" s="100" t="n">
        <v>67</v>
      </c>
      <c r="C74" s="65" t="n"/>
      <c r="D74" s="81" t="n"/>
      <c r="E74" s="65" t="n"/>
      <c r="F74" s="88" t="n"/>
      <c r="G74" s="65" t="n"/>
      <c r="H74" s="67" t="n"/>
      <c r="I74" s="66" t="n"/>
      <c r="J74" s="88" t="n"/>
      <c r="K74" s="81" t="n"/>
      <c r="L74" s="65" t="n"/>
      <c r="M74" s="81" t="n"/>
      <c r="N74" s="65" t="n"/>
      <c r="O74" s="63">
        <f>IF(AND(F74&lt;&gt;"",L74&lt;&gt;"Resolved"),1,0)</f>
        <v/>
      </c>
      <c r="P74" s="63">
        <f>IF(F74="","",IF(O74=0,0,IF(H74="High",2,1)))</f>
        <v/>
      </c>
      <c r="Q74" s="85">
        <f>IF(O74=1,IF(K74&lt;&gt;"",K74,IF(H74="High",AsOf,"")),"")</f>
        <v/>
      </c>
      <c r="R74" s="63">
        <f>IF(Q74="","",IF(H74="High",1,IF(Q74="","",IF(Q74&lt;AsOf,1,IF(Q74&lt;=AsOf+AlertDays,2,IF(Q74&lt;=AsOf+2*AlertDays,3,""))))))</f>
        <v/>
      </c>
      <c r="S74" s="63">
        <f>IF(R74="","",IF(H74="High","High-severity issue: ",IF(C74="Punch item","Punch item: ","Issue action due: "))&amp;F74&amp;IF(J74="",""," → "&amp;J74))</f>
        <v/>
      </c>
      <c r="T74" s="63">
        <f>IF(O74=1,IF(I74="",0,I74),0)</f>
        <v/>
      </c>
      <c r="U74" s="63">
        <f>IF(AND(O74=1,H74="High"),1,0)</f>
        <v/>
      </c>
      <c r="V74" s="63">
        <f>IF(AND(O74=1,C74="Punch item"),1,0)</f>
        <v/>
      </c>
    </row>
    <row r="75" ht="24" customHeight="1">
      <c r="B75" s="100" t="n">
        <v>68</v>
      </c>
      <c r="C75" s="65" t="n"/>
      <c r="D75" s="81" t="n"/>
      <c r="E75" s="65" t="n"/>
      <c r="F75" s="88" t="n"/>
      <c r="G75" s="65" t="n"/>
      <c r="H75" s="67" t="n"/>
      <c r="I75" s="66" t="n"/>
      <c r="J75" s="88" t="n"/>
      <c r="K75" s="81" t="n"/>
      <c r="L75" s="65" t="n"/>
      <c r="M75" s="81" t="n"/>
      <c r="N75" s="65" t="n"/>
      <c r="O75" s="63">
        <f>IF(AND(F75&lt;&gt;"",L75&lt;&gt;"Resolved"),1,0)</f>
        <v/>
      </c>
      <c r="P75" s="63">
        <f>IF(F75="","",IF(O75=0,0,IF(H75="High",2,1)))</f>
        <v/>
      </c>
      <c r="Q75" s="85">
        <f>IF(O75=1,IF(K75&lt;&gt;"",K75,IF(H75="High",AsOf,"")),"")</f>
        <v/>
      </c>
      <c r="R75" s="63">
        <f>IF(Q75="","",IF(H75="High",1,IF(Q75="","",IF(Q75&lt;AsOf,1,IF(Q75&lt;=AsOf+AlertDays,2,IF(Q75&lt;=AsOf+2*AlertDays,3,""))))))</f>
        <v/>
      </c>
      <c r="S75" s="63">
        <f>IF(R75="","",IF(H75="High","High-severity issue: ",IF(C75="Punch item","Punch item: ","Issue action due: "))&amp;F75&amp;IF(J75="",""," → "&amp;J75))</f>
        <v/>
      </c>
      <c r="T75" s="63">
        <f>IF(O75=1,IF(I75="",0,I75),0)</f>
        <v/>
      </c>
      <c r="U75" s="63">
        <f>IF(AND(O75=1,H75="High"),1,0)</f>
        <v/>
      </c>
      <c r="V75" s="63">
        <f>IF(AND(O75=1,C75="Punch item"),1,0)</f>
        <v/>
      </c>
    </row>
    <row r="76" ht="24" customHeight="1">
      <c r="B76" s="100" t="n">
        <v>69</v>
      </c>
      <c r="C76" s="65" t="n"/>
      <c r="D76" s="81" t="n"/>
      <c r="E76" s="65" t="n"/>
      <c r="F76" s="88" t="n"/>
      <c r="G76" s="65" t="n"/>
      <c r="H76" s="67" t="n"/>
      <c r="I76" s="66" t="n"/>
      <c r="J76" s="88" t="n"/>
      <c r="K76" s="81" t="n"/>
      <c r="L76" s="65" t="n"/>
      <c r="M76" s="81" t="n"/>
      <c r="N76" s="65" t="n"/>
      <c r="O76" s="63">
        <f>IF(AND(F76&lt;&gt;"",L76&lt;&gt;"Resolved"),1,0)</f>
        <v/>
      </c>
      <c r="P76" s="63">
        <f>IF(F76="","",IF(O76=0,0,IF(H76="High",2,1)))</f>
        <v/>
      </c>
      <c r="Q76" s="85">
        <f>IF(O76=1,IF(K76&lt;&gt;"",K76,IF(H76="High",AsOf,"")),"")</f>
        <v/>
      </c>
      <c r="R76" s="63">
        <f>IF(Q76="","",IF(H76="High",1,IF(Q76="","",IF(Q76&lt;AsOf,1,IF(Q76&lt;=AsOf+AlertDays,2,IF(Q76&lt;=AsOf+2*AlertDays,3,""))))))</f>
        <v/>
      </c>
      <c r="S76" s="63">
        <f>IF(R76="","",IF(H76="High","High-severity issue: ",IF(C76="Punch item","Punch item: ","Issue action due: "))&amp;F76&amp;IF(J76="",""," → "&amp;J76))</f>
        <v/>
      </c>
      <c r="T76" s="63">
        <f>IF(O76=1,IF(I76="",0,I76),0)</f>
        <v/>
      </c>
      <c r="U76" s="63">
        <f>IF(AND(O76=1,H76="High"),1,0)</f>
        <v/>
      </c>
      <c r="V76" s="63">
        <f>IF(AND(O76=1,C76="Punch item"),1,0)</f>
        <v/>
      </c>
    </row>
    <row r="77" ht="24" customHeight="1">
      <c r="B77" s="100" t="n">
        <v>70</v>
      </c>
      <c r="C77" s="65" t="n"/>
      <c r="D77" s="81" t="n"/>
      <c r="E77" s="65" t="n"/>
      <c r="F77" s="88" t="n"/>
      <c r="G77" s="65" t="n"/>
      <c r="H77" s="67" t="n"/>
      <c r="I77" s="66" t="n"/>
      <c r="J77" s="88" t="n"/>
      <c r="K77" s="81" t="n"/>
      <c r="L77" s="65" t="n"/>
      <c r="M77" s="81" t="n"/>
      <c r="N77" s="65" t="n"/>
      <c r="O77" s="63">
        <f>IF(AND(F77&lt;&gt;"",L77&lt;&gt;"Resolved"),1,0)</f>
        <v/>
      </c>
      <c r="P77" s="63">
        <f>IF(F77="","",IF(O77=0,0,IF(H77="High",2,1)))</f>
        <v/>
      </c>
      <c r="Q77" s="85">
        <f>IF(O77=1,IF(K77&lt;&gt;"",K77,IF(H77="High",AsOf,"")),"")</f>
        <v/>
      </c>
      <c r="R77" s="63">
        <f>IF(Q77="","",IF(H77="High",1,IF(Q77="","",IF(Q77&lt;AsOf,1,IF(Q77&lt;=AsOf+AlertDays,2,IF(Q77&lt;=AsOf+2*AlertDays,3,""))))))</f>
        <v/>
      </c>
      <c r="S77" s="63">
        <f>IF(R77="","",IF(H77="High","High-severity issue: ",IF(C77="Punch item","Punch item: ","Issue action due: "))&amp;F77&amp;IF(J77="",""," → "&amp;J77))</f>
        <v/>
      </c>
      <c r="T77" s="63">
        <f>IF(O77=1,IF(I77="",0,I77),0)</f>
        <v/>
      </c>
      <c r="U77" s="63">
        <f>IF(AND(O77=1,H77="High"),1,0)</f>
        <v/>
      </c>
      <c r="V77" s="63">
        <f>IF(AND(O77=1,C77="Punch item"),1,0)</f>
        <v/>
      </c>
    </row>
    <row r="78" ht="24" customHeight="1">
      <c r="B78" s="100" t="n">
        <v>71</v>
      </c>
      <c r="C78" s="65" t="n"/>
      <c r="D78" s="81" t="n"/>
      <c r="E78" s="65" t="n"/>
      <c r="F78" s="88" t="n"/>
      <c r="G78" s="65" t="n"/>
      <c r="H78" s="67" t="n"/>
      <c r="I78" s="66" t="n"/>
      <c r="J78" s="88" t="n"/>
      <c r="K78" s="81" t="n"/>
      <c r="L78" s="65" t="n"/>
      <c r="M78" s="81" t="n"/>
      <c r="N78" s="65" t="n"/>
      <c r="O78" s="63">
        <f>IF(AND(F78&lt;&gt;"",L78&lt;&gt;"Resolved"),1,0)</f>
        <v/>
      </c>
      <c r="P78" s="63">
        <f>IF(F78="","",IF(O78=0,0,IF(H78="High",2,1)))</f>
        <v/>
      </c>
      <c r="Q78" s="85">
        <f>IF(O78=1,IF(K78&lt;&gt;"",K78,IF(H78="High",AsOf,"")),"")</f>
        <v/>
      </c>
      <c r="R78" s="63">
        <f>IF(Q78="","",IF(H78="High",1,IF(Q78="","",IF(Q78&lt;AsOf,1,IF(Q78&lt;=AsOf+AlertDays,2,IF(Q78&lt;=AsOf+2*AlertDays,3,""))))))</f>
        <v/>
      </c>
      <c r="S78" s="63">
        <f>IF(R78="","",IF(H78="High","High-severity issue: ",IF(C78="Punch item","Punch item: ","Issue action due: "))&amp;F78&amp;IF(J78="",""," → "&amp;J78))</f>
        <v/>
      </c>
      <c r="T78" s="63">
        <f>IF(O78=1,IF(I78="",0,I78),0)</f>
        <v/>
      </c>
      <c r="U78" s="63">
        <f>IF(AND(O78=1,H78="High"),1,0)</f>
        <v/>
      </c>
      <c r="V78" s="63">
        <f>IF(AND(O78=1,C78="Punch item"),1,0)</f>
        <v/>
      </c>
    </row>
    <row r="79" ht="24" customHeight="1">
      <c r="B79" s="100" t="n">
        <v>72</v>
      </c>
      <c r="C79" s="65" t="n"/>
      <c r="D79" s="81" t="n"/>
      <c r="E79" s="65" t="n"/>
      <c r="F79" s="88" t="n"/>
      <c r="G79" s="65" t="n"/>
      <c r="H79" s="67" t="n"/>
      <c r="I79" s="66" t="n"/>
      <c r="J79" s="88" t="n"/>
      <c r="K79" s="81" t="n"/>
      <c r="L79" s="65" t="n"/>
      <c r="M79" s="81" t="n"/>
      <c r="N79" s="65" t="n"/>
      <c r="O79" s="63">
        <f>IF(AND(F79&lt;&gt;"",L79&lt;&gt;"Resolved"),1,0)</f>
        <v/>
      </c>
      <c r="P79" s="63">
        <f>IF(F79="","",IF(O79=0,0,IF(H79="High",2,1)))</f>
        <v/>
      </c>
      <c r="Q79" s="85">
        <f>IF(O79=1,IF(K79&lt;&gt;"",K79,IF(H79="High",AsOf,"")),"")</f>
        <v/>
      </c>
      <c r="R79" s="63">
        <f>IF(Q79="","",IF(H79="High",1,IF(Q79="","",IF(Q79&lt;AsOf,1,IF(Q79&lt;=AsOf+AlertDays,2,IF(Q79&lt;=AsOf+2*AlertDays,3,""))))))</f>
        <v/>
      </c>
      <c r="S79" s="63">
        <f>IF(R79="","",IF(H79="High","High-severity issue: ",IF(C79="Punch item","Punch item: ","Issue action due: "))&amp;F79&amp;IF(J79="",""," → "&amp;J79))</f>
        <v/>
      </c>
      <c r="T79" s="63">
        <f>IF(O79=1,IF(I79="",0,I79),0)</f>
        <v/>
      </c>
      <c r="U79" s="63">
        <f>IF(AND(O79=1,H79="High"),1,0)</f>
        <v/>
      </c>
      <c r="V79" s="63">
        <f>IF(AND(O79=1,C79="Punch item"),1,0)</f>
        <v/>
      </c>
    </row>
    <row r="80" ht="24" customHeight="1">
      <c r="B80" s="100" t="n">
        <v>73</v>
      </c>
      <c r="C80" s="65" t="n"/>
      <c r="D80" s="81" t="n"/>
      <c r="E80" s="65" t="n"/>
      <c r="F80" s="88" t="n"/>
      <c r="G80" s="65" t="n"/>
      <c r="H80" s="67" t="n"/>
      <c r="I80" s="66" t="n"/>
      <c r="J80" s="88" t="n"/>
      <c r="K80" s="81" t="n"/>
      <c r="L80" s="65" t="n"/>
      <c r="M80" s="81" t="n"/>
      <c r="N80" s="65" t="n"/>
      <c r="O80" s="63">
        <f>IF(AND(F80&lt;&gt;"",L80&lt;&gt;"Resolved"),1,0)</f>
        <v/>
      </c>
      <c r="P80" s="63">
        <f>IF(F80="","",IF(O80=0,0,IF(H80="High",2,1)))</f>
        <v/>
      </c>
      <c r="Q80" s="85">
        <f>IF(O80=1,IF(K80&lt;&gt;"",K80,IF(H80="High",AsOf,"")),"")</f>
        <v/>
      </c>
      <c r="R80" s="63">
        <f>IF(Q80="","",IF(H80="High",1,IF(Q80="","",IF(Q80&lt;AsOf,1,IF(Q80&lt;=AsOf+AlertDays,2,IF(Q80&lt;=AsOf+2*AlertDays,3,""))))))</f>
        <v/>
      </c>
      <c r="S80" s="63">
        <f>IF(R80="","",IF(H80="High","High-severity issue: ",IF(C80="Punch item","Punch item: ","Issue action due: "))&amp;F80&amp;IF(J80="",""," → "&amp;J80))</f>
        <v/>
      </c>
      <c r="T80" s="63">
        <f>IF(O80=1,IF(I80="",0,I80),0)</f>
        <v/>
      </c>
      <c r="U80" s="63">
        <f>IF(AND(O80=1,H80="High"),1,0)</f>
        <v/>
      </c>
      <c r="V80" s="63">
        <f>IF(AND(O80=1,C80="Punch item"),1,0)</f>
        <v/>
      </c>
    </row>
    <row r="81" ht="24" customHeight="1">
      <c r="B81" s="100" t="n">
        <v>74</v>
      </c>
      <c r="C81" s="65" t="n"/>
      <c r="D81" s="81" t="n"/>
      <c r="E81" s="65" t="n"/>
      <c r="F81" s="88" t="n"/>
      <c r="G81" s="65" t="n"/>
      <c r="H81" s="67" t="n"/>
      <c r="I81" s="66" t="n"/>
      <c r="J81" s="88" t="n"/>
      <c r="K81" s="81" t="n"/>
      <c r="L81" s="65" t="n"/>
      <c r="M81" s="81" t="n"/>
      <c r="N81" s="65" t="n"/>
      <c r="O81" s="63">
        <f>IF(AND(F81&lt;&gt;"",L81&lt;&gt;"Resolved"),1,0)</f>
        <v/>
      </c>
      <c r="P81" s="63">
        <f>IF(F81="","",IF(O81=0,0,IF(H81="High",2,1)))</f>
        <v/>
      </c>
      <c r="Q81" s="85">
        <f>IF(O81=1,IF(K81&lt;&gt;"",K81,IF(H81="High",AsOf,"")),"")</f>
        <v/>
      </c>
      <c r="R81" s="63">
        <f>IF(Q81="","",IF(H81="High",1,IF(Q81="","",IF(Q81&lt;AsOf,1,IF(Q81&lt;=AsOf+AlertDays,2,IF(Q81&lt;=AsOf+2*AlertDays,3,""))))))</f>
        <v/>
      </c>
      <c r="S81" s="63">
        <f>IF(R81="","",IF(H81="High","High-severity issue: ",IF(C81="Punch item","Punch item: ","Issue action due: "))&amp;F81&amp;IF(J81="",""," → "&amp;J81))</f>
        <v/>
      </c>
      <c r="T81" s="63">
        <f>IF(O81=1,IF(I81="",0,I81),0)</f>
        <v/>
      </c>
      <c r="U81" s="63">
        <f>IF(AND(O81=1,H81="High"),1,0)</f>
        <v/>
      </c>
      <c r="V81" s="63">
        <f>IF(AND(O81=1,C81="Punch item"),1,0)</f>
        <v/>
      </c>
    </row>
    <row r="82" ht="24" customHeight="1">
      <c r="B82" s="100" t="n">
        <v>75</v>
      </c>
      <c r="C82" s="65" t="n"/>
      <c r="D82" s="81" t="n"/>
      <c r="E82" s="65" t="n"/>
      <c r="F82" s="88" t="n"/>
      <c r="G82" s="65" t="n"/>
      <c r="H82" s="67" t="n"/>
      <c r="I82" s="66" t="n"/>
      <c r="J82" s="88" t="n"/>
      <c r="K82" s="81" t="n"/>
      <c r="L82" s="65" t="n"/>
      <c r="M82" s="81" t="n"/>
      <c r="N82" s="65" t="n"/>
      <c r="O82" s="63">
        <f>IF(AND(F82&lt;&gt;"",L82&lt;&gt;"Resolved"),1,0)</f>
        <v/>
      </c>
      <c r="P82" s="63">
        <f>IF(F82="","",IF(O82=0,0,IF(H82="High",2,1)))</f>
        <v/>
      </c>
      <c r="Q82" s="85">
        <f>IF(O82=1,IF(K82&lt;&gt;"",K82,IF(H82="High",AsOf,"")),"")</f>
        <v/>
      </c>
      <c r="R82" s="63">
        <f>IF(Q82="","",IF(H82="High",1,IF(Q82="","",IF(Q82&lt;AsOf,1,IF(Q82&lt;=AsOf+AlertDays,2,IF(Q82&lt;=AsOf+2*AlertDays,3,""))))))</f>
        <v/>
      </c>
      <c r="S82" s="63">
        <f>IF(R82="","",IF(H82="High","High-severity issue: ",IF(C82="Punch item","Punch item: ","Issue action due: "))&amp;F82&amp;IF(J82="",""," → "&amp;J82))</f>
        <v/>
      </c>
      <c r="T82" s="63">
        <f>IF(O82=1,IF(I82="",0,I82),0)</f>
        <v/>
      </c>
      <c r="U82" s="63">
        <f>IF(AND(O82=1,H82="High"),1,0)</f>
        <v/>
      </c>
      <c r="V82" s="63">
        <f>IF(AND(O82=1,C82="Punch item"),1,0)</f>
        <v/>
      </c>
    </row>
    <row r="83" ht="24" customHeight="1">
      <c r="B83" s="100" t="n">
        <v>76</v>
      </c>
      <c r="C83" s="65" t="n"/>
      <c r="D83" s="81" t="n"/>
      <c r="E83" s="65" t="n"/>
      <c r="F83" s="88" t="n"/>
      <c r="G83" s="65" t="n"/>
      <c r="H83" s="67" t="n"/>
      <c r="I83" s="66" t="n"/>
      <c r="J83" s="88" t="n"/>
      <c r="K83" s="81" t="n"/>
      <c r="L83" s="65" t="n"/>
      <c r="M83" s="81" t="n"/>
      <c r="N83" s="65" t="n"/>
      <c r="O83" s="63">
        <f>IF(AND(F83&lt;&gt;"",L83&lt;&gt;"Resolved"),1,0)</f>
        <v/>
      </c>
      <c r="P83" s="63">
        <f>IF(F83="","",IF(O83=0,0,IF(H83="High",2,1)))</f>
        <v/>
      </c>
      <c r="Q83" s="85">
        <f>IF(O83=1,IF(K83&lt;&gt;"",K83,IF(H83="High",AsOf,"")),"")</f>
        <v/>
      </c>
      <c r="R83" s="63">
        <f>IF(Q83="","",IF(H83="High",1,IF(Q83="","",IF(Q83&lt;AsOf,1,IF(Q83&lt;=AsOf+AlertDays,2,IF(Q83&lt;=AsOf+2*AlertDays,3,""))))))</f>
        <v/>
      </c>
      <c r="S83" s="63">
        <f>IF(R83="","",IF(H83="High","High-severity issue: ",IF(C83="Punch item","Punch item: ","Issue action due: "))&amp;F83&amp;IF(J83="",""," → "&amp;J83))</f>
        <v/>
      </c>
      <c r="T83" s="63">
        <f>IF(O83=1,IF(I83="",0,I83),0)</f>
        <v/>
      </c>
      <c r="U83" s="63">
        <f>IF(AND(O83=1,H83="High"),1,0)</f>
        <v/>
      </c>
      <c r="V83" s="63">
        <f>IF(AND(O83=1,C83="Punch item"),1,0)</f>
        <v/>
      </c>
    </row>
    <row r="84" ht="24" customHeight="1">
      <c r="B84" s="100" t="n">
        <v>77</v>
      </c>
      <c r="C84" s="65" t="n"/>
      <c r="D84" s="81" t="n"/>
      <c r="E84" s="65" t="n"/>
      <c r="F84" s="88" t="n"/>
      <c r="G84" s="65" t="n"/>
      <c r="H84" s="67" t="n"/>
      <c r="I84" s="66" t="n"/>
      <c r="J84" s="88" t="n"/>
      <c r="K84" s="81" t="n"/>
      <c r="L84" s="65" t="n"/>
      <c r="M84" s="81" t="n"/>
      <c r="N84" s="65" t="n"/>
      <c r="O84" s="63">
        <f>IF(AND(F84&lt;&gt;"",L84&lt;&gt;"Resolved"),1,0)</f>
        <v/>
      </c>
      <c r="P84" s="63">
        <f>IF(F84="","",IF(O84=0,0,IF(H84="High",2,1)))</f>
        <v/>
      </c>
      <c r="Q84" s="85">
        <f>IF(O84=1,IF(K84&lt;&gt;"",K84,IF(H84="High",AsOf,"")),"")</f>
        <v/>
      </c>
      <c r="R84" s="63">
        <f>IF(Q84="","",IF(H84="High",1,IF(Q84="","",IF(Q84&lt;AsOf,1,IF(Q84&lt;=AsOf+AlertDays,2,IF(Q84&lt;=AsOf+2*AlertDays,3,""))))))</f>
        <v/>
      </c>
      <c r="S84" s="63">
        <f>IF(R84="","",IF(H84="High","High-severity issue: ",IF(C84="Punch item","Punch item: ","Issue action due: "))&amp;F84&amp;IF(J84="",""," → "&amp;J84))</f>
        <v/>
      </c>
      <c r="T84" s="63">
        <f>IF(O84=1,IF(I84="",0,I84),0)</f>
        <v/>
      </c>
      <c r="U84" s="63">
        <f>IF(AND(O84=1,H84="High"),1,0)</f>
        <v/>
      </c>
      <c r="V84" s="63">
        <f>IF(AND(O84=1,C84="Punch item"),1,0)</f>
        <v/>
      </c>
    </row>
    <row r="85" ht="24" customHeight="1">
      <c r="B85" s="100" t="n">
        <v>78</v>
      </c>
      <c r="C85" s="65" t="n"/>
      <c r="D85" s="81" t="n"/>
      <c r="E85" s="65" t="n"/>
      <c r="F85" s="88" t="n"/>
      <c r="G85" s="65" t="n"/>
      <c r="H85" s="67" t="n"/>
      <c r="I85" s="66" t="n"/>
      <c r="J85" s="88" t="n"/>
      <c r="K85" s="81" t="n"/>
      <c r="L85" s="65" t="n"/>
      <c r="M85" s="81" t="n"/>
      <c r="N85" s="65" t="n"/>
      <c r="O85" s="63">
        <f>IF(AND(F85&lt;&gt;"",L85&lt;&gt;"Resolved"),1,0)</f>
        <v/>
      </c>
      <c r="P85" s="63">
        <f>IF(F85="","",IF(O85=0,0,IF(H85="High",2,1)))</f>
        <v/>
      </c>
      <c r="Q85" s="85">
        <f>IF(O85=1,IF(K85&lt;&gt;"",K85,IF(H85="High",AsOf,"")),"")</f>
        <v/>
      </c>
      <c r="R85" s="63">
        <f>IF(Q85="","",IF(H85="High",1,IF(Q85="","",IF(Q85&lt;AsOf,1,IF(Q85&lt;=AsOf+AlertDays,2,IF(Q85&lt;=AsOf+2*AlertDays,3,""))))))</f>
        <v/>
      </c>
      <c r="S85" s="63">
        <f>IF(R85="","",IF(H85="High","High-severity issue: ",IF(C85="Punch item","Punch item: ","Issue action due: "))&amp;F85&amp;IF(J85="",""," → "&amp;J85))</f>
        <v/>
      </c>
      <c r="T85" s="63">
        <f>IF(O85=1,IF(I85="",0,I85),0)</f>
        <v/>
      </c>
      <c r="U85" s="63">
        <f>IF(AND(O85=1,H85="High"),1,0)</f>
        <v/>
      </c>
      <c r="V85" s="63">
        <f>IF(AND(O85=1,C85="Punch item"),1,0)</f>
        <v/>
      </c>
    </row>
    <row r="86" ht="24" customHeight="1">
      <c r="B86" s="100" t="n">
        <v>79</v>
      </c>
      <c r="C86" s="65" t="n"/>
      <c r="D86" s="81" t="n"/>
      <c r="E86" s="65" t="n"/>
      <c r="F86" s="88" t="n"/>
      <c r="G86" s="65" t="n"/>
      <c r="H86" s="67" t="n"/>
      <c r="I86" s="66" t="n"/>
      <c r="J86" s="88" t="n"/>
      <c r="K86" s="81" t="n"/>
      <c r="L86" s="65" t="n"/>
      <c r="M86" s="81" t="n"/>
      <c r="N86" s="65" t="n"/>
      <c r="O86" s="63">
        <f>IF(AND(F86&lt;&gt;"",L86&lt;&gt;"Resolved"),1,0)</f>
        <v/>
      </c>
      <c r="P86" s="63">
        <f>IF(F86="","",IF(O86=0,0,IF(H86="High",2,1)))</f>
        <v/>
      </c>
      <c r="Q86" s="85">
        <f>IF(O86=1,IF(K86&lt;&gt;"",K86,IF(H86="High",AsOf,"")),"")</f>
        <v/>
      </c>
      <c r="R86" s="63">
        <f>IF(Q86="","",IF(H86="High",1,IF(Q86="","",IF(Q86&lt;AsOf,1,IF(Q86&lt;=AsOf+AlertDays,2,IF(Q86&lt;=AsOf+2*AlertDays,3,""))))))</f>
        <v/>
      </c>
      <c r="S86" s="63">
        <f>IF(R86="","",IF(H86="High","High-severity issue: ",IF(C86="Punch item","Punch item: ","Issue action due: "))&amp;F86&amp;IF(J86="",""," → "&amp;J86))</f>
        <v/>
      </c>
      <c r="T86" s="63">
        <f>IF(O86=1,IF(I86="",0,I86),0)</f>
        <v/>
      </c>
      <c r="U86" s="63">
        <f>IF(AND(O86=1,H86="High"),1,0)</f>
        <v/>
      </c>
      <c r="V86" s="63">
        <f>IF(AND(O86=1,C86="Punch item"),1,0)</f>
        <v/>
      </c>
    </row>
    <row r="87" ht="24" customHeight="1">
      <c r="B87" s="100" t="n">
        <v>80</v>
      </c>
      <c r="C87" s="65" t="n"/>
      <c r="D87" s="81" t="n"/>
      <c r="E87" s="65" t="n"/>
      <c r="F87" s="88" t="n"/>
      <c r="G87" s="65" t="n"/>
      <c r="H87" s="67" t="n"/>
      <c r="I87" s="66" t="n"/>
      <c r="J87" s="88" t="n"/>
      <c r="K87" s="81" t="n"/>
      <c r="L87" s="65" t="n"/>
      <c r="M87" s="81" t="n"/>
      <c r="N87" s="65" t="n"/>
      <c r="O87" s="63">
        <f>IF(AND(F87&lt;&gt;"",L87&lt;&gt;"Resolved"),1,0)</f>
        <v/>
      </c>
      <c r="P87" s="63">
        <f>IF(F87="","",IF(O87=0,0,IF(H87="High",2,1)))</f>
        <v/>
      </c>
      <c r="Q87" s="85">
        <f>IF(O87=1,IF(K87&lt;&gt;"",K87,IF(H87="High",AsOf,"")),"")</f>
        <v/>
      </c>
      <c r="R87" s="63">
        <f>IF(Q87="","",IF(H87="High",1,IF(Q87="","",IF(Q87&lt;AsOf,1,IF(Q87&lt;=AsOf+AlertDays,2,IF(Q87&lt;=AsOf+2*AlertDays,3,""))))))</f>
        <v/>
      </c>
      <c r="S87" s="63">
        <f>IF(R87="","",IF(H87="High","High-severity issue: ",IF(C87="Punch item","Punch item: ","Issue action due: "))&amp;F87&amp;IF(J87="",""," → "&amp;J87))</f>
        <v/>
      </c>
      <c r="T87" s="63">
        <f>IF(O87=1,IF(I87="",0,I87),0)</f>
        <v/>
      </c>
      <c r="U87" s="63">
        <f>IF(AND(O87=1,H87="High"),1,0)</f>
        <v/>
      </c>
      <c r="V87" s="63">
        <f>IF(AND(O87=1,C87="Punch item"),1,0)</f>
        <v/>
      </c>
    </row>
    <row r="88" ht="24" customHeight="1">
      <c r="B88" s="100" t="n">
        <v>81</v>
      </c>
      <c r="C88" s="65" t="n"/>
      <c r="D88" s="81" t="n"/>
      <c r="E88" s="65" t="n"/>
      <c r="F88" s="88" t="n"/>
      <c r="G88" s="65" t="n"/>
      <c r="H88" s="67" t="n"/>
      <c r="I88" s="66" t="n"/>
      <c r="J88" s="88" t="n"/>
      <c r="K88" s="81" t="n"/>
      <c r="L88" s="65" t="n"/>
      <c r="M88" s="81" t="n"/>
      <c r="N88" s="65" t="n"/>
      <c r="O88" s="63">
        <f>IF(AND(F88&lt;&gt;"",L88&lt;&gt;"Resolved"),1,0)</f>
        <v/>
      </c>
      <c r="P88" s="63">
        <f>IF(F88="","",IF(O88=0,0,IF(H88="High",2,1)))</f>
        <v/>
      </c>
      <c r="Q88" s="85">
        <f>IF(O88=1,IF(K88&lt;&gt;"",K88,IF(H88="High",AsOf,"")),"")</f>
        <v/>
      </c>
      <c r="R88" s="63">
        <f>IF(Q88="","",IF(H88="High",1,IF(Q88="","",IF(Q88&lt;AsOf,1,IF(Q88&lt;=AsOf+AlertDays,2,IF(Q88&lt;=AsOf+2*AlertDays,3,""))))))</f>
        <v/>
      </c>
      <c r="S88" s="63">
        <f>IF(R88="","",IF(H88="High","High-severity issue: ",IF(C88="Punch item","Punch item: ","Issue action due: "))&amp;F88&amp;IF(J88="",""," → "&amp;J88))</f>
        <v/>
      </c>
      <c r="T88" s="63">
        <f>IF(O88=1,IF(I88="",0,I88),0)</f>
        <v/>
      </c>
      <c r="U88" s="63">
        <f>IF(AND(O88=1,H88="High"),1,0)</f>
        <v/>
      </c>
      <c r="V88" s="63">
        <f>IF(AND(O88=1,C88="Punch item"),1,0)</f>
        <v/>
      </c>
    </row>
    <row r="89" ht="24" customHeight="1">
      <c r="B89" s="100" t="n">
        <v>82</v>
      </c>
      <c r="C89" s="65" t="n"/>
      <c r="D89" s="81" t="n"/>
      <c r="E89" s="65" t="n"/>
      <c r="F89" s="88" t="n"/>
      <c r="G89" s="65" t="n"/>
      <c r="H89" s="67" t="n"/>
      <c r="I89" s="66" t="n"/>
      <c r="J89" s="88" t="n"/>
      <c r="K89" s="81" t="n"/>
      <c r="L89" s="65" t="n"/>
      <c r="M89" s="81" t="n"/>
      <c r="N89" s="65" t="n"/>
      <c r="O89" s="63">
        <f>IF(AND(F89&lt;&gt;"",L89&lt;&gt;"Resolved"),1,0)</f>
        <v/>
      </c>
      <c r="P89" s="63">
        <f>IF(F89="","",IF(O89=0,0,IF(H89="High",2,1)))</f>
        <v/>
      </c>
      <c r="Q89" s="85">
        <f>IF(O89=1,IF(K89&lt;&gt;"",K89,IF(H89="High",AsOf,"")),"")</f>
        <v/>
      </c>
      <c r="R89" s="63">
        <f>IF(Q89="","",IF(H89="High",1,IF(Q89="","",IF(Q89&lt;AsOf,1,IF(Q89&lt;=AsOf+AlertDays,2,IF(Q89&lt;=AsOf+2*AlertDays,3,""))))))</f>
        <v/>
      </c>
      <c r="S89" s="63">
        <f>IF(R89="","",IF(H89="High","High-severity issue: ",IF(C89="Punch item","Punch item: ","Issue action due: "))&amp;F89&amp;IF(J89="",""," → "&amp;J89))</f>
        <v/>
      </c>
      <c r="T89" s="63">
        <f>IF(O89=1,IF(I89="",0,I89),0)</f>
        <v/>
      </c>
      <c r="U89" s="63">
        <f>IF(AND(O89=1,H89="High"),1,0)</f>
        <v/>
      </c>
      <c r="V89" s="63">
        <f>IF(AND(O89=1,C89="Punch item"),1,0)</f>
        <v/>
      </c>
    </row>
    <row r="90" ht="24" customHeight="1">
      <c r="B90" s="100" t="n">
        <v>83</v>
      </c>
      <c r="C90" s="65" t="n"/>
      <c r="D90" s="81" t="n"/>
      <c r="E90" s="65" t="n"/>
      <c r="F90" s="88" t="n"/>
      <c r="G90" s="65" t="n"/>
      <c r="H90" s="67" t="n"/>
      <c r="I90" s="66" t="n"/>
      <c r="J90" s="88" t="n"/>
      <c r="K90" s="81" t="n"/>
      <c r="L90" s="65" t="n"/>
      <c r="M90" s="81" t="n"/>
      <c r="N90" s="65" t="n"/>
      <c r="O90" s="63">
        <f>IF(AND(F90&lt;&gt;"",L90&lt;&gt;"Resolved"),1,0)</f>
        <v/>
      </c>
      <c r="P90" s="63">
        <f>IF(F90="","",IF(O90=0,0,IF(H90="High",2,1)))</f>
        <v/>
      </c>
      <c r="Q90" s="85">
        <f>IF(O90=1,IF(K90&lt;&gt;"",K90,IF(H90="High",AsOf,"")),"")</f>
        <v/>
      </c>
      <c r="R90" s="63">
        <f>IF(Q90="","",IF(H90="High",1,IF(Q90="","",IF(Q90&lt;AsOf,1,IF(Q90&lt;=AsOf+AlertDays,2,IF(Q90&lt;=AsOf+2*AlertDays,3,""))))))</f>
        <v/>
      </c>
      <c r="S90" s="63">
        <f>IF(R90="","",IF(H90="High","High-severity issue: ",IF(C90="Punch item","Punch item: ","Issue action due: "))&amp;F90&amp;IF(J90="",""," → "&amp;J90))</f>
        <v/>
      </c>
      <c r="T90" s="63">
        <f>IF(O90=1,IF(I90="",0,I90),0)</f>
        <v/>
      </c>
      <c r="U90" s="63">
        <f>IF(AND(O90=1,H90="High"),1,0)</f>
        <v/>
      </c>
      <c r="V90" s="63">
        <f>IF(AND(O90=1,C90="Punch item"),1,0)</f>
        <v/>
      </c>
    </row>
    <row r="91" ht="24" customHeight="1">
      <c r="B91" s="100" t="n">
        <v>84</v>
      </c>
      <c r="C91" s="65" t="n"/>
      <c r="D91" s="81" t="n"/>
      <c r="E91" s="65" t="n"/>
      <c r="F91" s="88" t="n"/>
      <c r="G91" s="65" t="n"/>
      <c r="H91" s="67" t="n"/>
      <c r="I91" s="66" t="n"/>
      <c r="J91" s="88" t="n"/>
      <c r="K91" s="81" t="n"/>
      <c r="L91" s="65" t="n"/>
      <c r="M91" s="81" t="n"/>
      <c r="N91" s="65" t="n"/>
      <c r="O91" s="63">
        <f>IF(AND(F91&lt;&gt;"",L91&lt;&gt;"Resolved"),1,0)</f>
        <v/>
      </c>
      <c r="P91" s="63">
        <f>IF(F91="","",IF(O91=0,0,IF(H91="High",2,1)))</f>
        <v/>
      </c>
      <c r="Q91" s="85">
        <f>IF(O91=1,IF(K91&lt;&gt;"",K91,IF(H91="High",AsOf,"")),"")</f>
        <v/>
      </c>
      <c r="R91" s="63">
        <f>IF(Q91="","",IF(H91="High",1,IF(Q91="","",IF(Q91&lt;AsOf,1,IF(Q91&lt;=AsOf+AlertDays,2,IF(Q91&lt;=AsOf+2*AlertDays,3,""))))))</f>
        <v/>
      </c>
      <c r="S91" s="63">
        <f>IF(R91="","",IF(H91="High","High-severity issue: ",IF(C91="Punch item","Punch item: ","Issue action due: "))&amp;F91&amp;IF(J91="",""," → "&amp;J91))</f>
        <v/>
      </c>
      <c r="T91" s="63">
        <f>IF(O91=1,IF(I91="",0,I91),0)</f>
        <v/>
      </c>
      <c r="U91" s="63">
        <f>IF(AND(O91=1,H91="High"),1,0)</f>
        <v/>
      </c>
      <c r="V91" s="63">
        <f>IF(AND(O91=1,C91="Punch item"),1,0)</f>
        <v/>
      </c>
    </row>
    <row r="92" ht="24" customHeight="1">
      <c r="B92" s="100" t="n">
        <v>85</v>
      </c>
      <c r="C92" s="65" t="n"/>
      <c r="D92" s="81" t="n"/>
      <c r="E92" s="65" t="n"/>
      <c r="F92" s="88" t="n"/>
      <c r="G92" s="65" t="n"/>
      <c r="H92" s="67" t="n"/>
      <c r="I92" s="66" t="n"/>
      <c r="J92" s="88" t="n"/>
      <c r="K92" s="81" t="n"/>
      <c r="L92" s="65" t="n"/>
      <c r="M92" s="81" t="n"/>
      <c r="N92" s="65" t="n"/>
      <c r="O92" s="63">
        <f>IF(AND(F92&lt;&gt;"",L92&lt;&gt;"Resolved"),1,0)</f>
        <v/>
      </c>
      <c r="P92" s="63">
        <f>IF(F92="","",IF(O92=0,0,IF(H92="High",2,1)))</f>
        <v/>
      </c>
      <c r="Q92" s="85">
        <f>IF(O92=1,IF(K92&lt;&gt;"",K92,IF(H92="High",AsOf,"")),"")</f>
        <v/>
      </c>
      <c r="R92" s="63">
        <f>IF(Q92="","",IF(H92="High",1,IF(Q92="","",IF(Q92&lt;AsOf,1,IF(Q92&lt;=AsOf+AlertDays,2,IF(Q92&lt;=AsOf+2*AlertDays,3,""))))))</f>
        <v/>
      </c>
      <c r="S92" s="63">
        <f>IF(R92="","",IF(H92="High","High-severity issue: ",IF(C92="Punch item","Punch item: ","Issue action due: "))&amp;F92&amp;IF(J92="",""," → "&amp;J92))</f>
        <v/>
      </c>
      <c r="T92" s="63">
        <f>IF(O92=1,IF(I92="",0,I92),0)</f>
        <v/>
      </c>
      <c r="U92" s="63">
        <f>IF(AND(O92=1,H92="High"),1,0)</f>
        <v/>
      </c>
      <c r="V92" s="63">
        <f>IF(AND(O92=1,C92="Punch item"),1,0)</f>
        <v/>
      </c>
    </row>
    <row r="93" ht="24" customHeight="1">
      <c r="B93" s="100" t="n">
        <v>86</v>
      </c>
      <c r="C93" s="65" t="n"/>
      <c r="D93" s="81" t="n"/>
      <c r="E93" s="65" t="n"/>
      <c r="F93" s="88" t="n"/>
      <c r="G93" s="65" t="n"/>
      <c r="H93" s="67" t="n"/>
      <c r="I93" s="66" t="n"/>
      <c r="J93" s="88" t="n"/>
      <c r="K93" s="81" t="n"/>
      <c r="L93" s="65" t="n"/>
      <c r="M93" s="81" t="n"/>
      <c r="N93" s="65" t="n"/>
      <c r="O93" s="63">
        <f>IF(AND(F93&lt;&gt;"",L93&lt;&gt;"Resolved"),1,0)</f>
        <v/>
      </c>
      <c r="P93" s="63">
        <f>IF(F93="","",IF(O93=0,0,IF(H93="High",2,1)))</f>
        <v/>
      </c>
      <c r="Q93" s="85">
        <f>IF(O93=1,IF(K93&lt;&gt;"",K93,IF(H93="High",AsOf,"")),"")</f>
        <v/>
      </c>
      <c r="R93" s="63">
        <f>IF(Q93="","",IF(H93="High",1,IF(Q93="","",IF(Q93&lt;AsOf,1,IF(Q93&lt;=AsOf+AlertDays,2,IF(Q93&lt;=AsOf+2*AlertDays,3,""))))))</f>
        <v/>
      </c>
      <c r="S93" s="63">
        <f>IF(R93="","",IF(H93="High","High-severity issue: ",IF(C93="Punch item","Punch item: ","Issue action due: "))&amp;F93&amp;IF(J93="",""," → "&amp;J93))</f>
        <v/>
      </c>
      <c r="T93" s="63">
        <f>IF(O93=1,IF(I93="",0,I93),0)</f>
        <v/>
      </c>
      <c r="U93" s="63">
        <f>IF(AND(O93=1,H93="High"),1,0)</f>
        <v/>
      </c>
      <c r="V93" s="63">
        <f>IF(AND(O93=1,C93="Punch item"),1,0)</f>
        <v/>
      </c>
    </row>
    <row r="94" ht="24" customHeight="1">
      <c r="B94" s="100" t="n">
        <v>87</v>
      </c>
      <c r="C94" s="65" t="n"/>
      <c r="D94" s="81" t="n"/>
      <c r="E94" s="65" t="n"/>
      <c r="F94" s="88" t="n"/>
      <c r="G94" s="65" t="n"/>
      <c r="H94" s="67" t="n"/>
      <c r="I94" s="66" t="n"/>
      <c r="J94" s="88" t="n"/>
      <c r="K94" s="81" t="n"/>
      <c r="L94" s="65" t="n"/>
      <c r="M94" s="81" t="n"/>
      <c r="N94" s="65" t="n"/>
      <c r="O94" s="63">
        <f>IF(AND(F94&lt;&gt;"",L94&lt;&gt;"Resolved"),1,0)</f>
        <v/>
      </c>
      <c r="P94" s="63">
        <f>IF(F94="","",IF(O94=0,0,IF(H94="High",2,1)))</f>
        <v/>
      </c>
      <c r="Q94" s="85">
        <f>IF(O94=1,IF(K94&lt;&gt;"",K94,IF(H94="High",AsOf,"")),"")</f>
        <v/>
      </c>
      <c r="R94" s="63">
        <f>IF(Q94="","",IF(H94="High",1,IF(Q94="","",IF(Q94&lt;AsOf,1,IF(Q94&lt;=AsOf+AlertDays,2,IF(Q94&lt;=AsOf+2*AlertDays,3,""))))))</f>
        <v/>
      </c>
      <c r="S94" s="63">
        <f>IF(R94="","",IF(H94="High","High-severity issue: ",IF(C94="Punch item","Punch item: ","Issue action due: "))&amp;F94&amp;IF(J94="",""," → "&amp;J94))</f>
        <v/>
      </c>
      <c r="T94" s="63">
        <f>IF(O94=1,IF(I94="",0,I94),0)</f>
        <v/>
      </c>
      <c r="U94" s="63">
        <f>IF(AND(O94=1,H94="High"),1,0)</f>
        <v/>
      </c>
      <c r="V94" s="63">
        <f>IF(AND(O94=1,C94="Punch item"),1,0)</f>
        <v/>
      </c>
    </row>
    <row r="95" ht="24" customHeight="1">
      <c r="B95" s="100" t="n">
        <v>88</v>
      </c>
      <c r="C95" s="65" t="n"/>
      <c r="D95" s="81" t="n"/>
      <c r="E95" s="65" t="n"/>
      <c r="F95" s="88" t="n"/>
      <c r="G95" s="65" t="n"/>
      <c r="H95" s="67" t="n"/>
      <c r="I95" s="66" t="n"/>
      <c r="J95" s="88" t="n"/>
      <c r="K95" s="81" t="n"/>
      <c r="L95" s="65" t="n"/>
      <c r="M95" s="81" t="n"/>
      <c r="N95" s="65" t="n"/>
      <c r="O95" s="63">
        <f>IF(AND(F95&lt;&gt;"",L95&lt;&gt;"Resolved"),1,0)</f>
        <v/>
      </c>
      <c r="P95" s="63">
        <f>IF(F95="","",IF(O95=0,0,IF(H95="High",2,1)))</f>
        <v/>
      </c>
      <c r="Q95" s="85">
        <f>IF(O95=1,IF(K95&lt;&gt;"",K95,IF(H95="High",AsOf,"")),"")</f>
        <v/>
      </c>
      <c r="R95" s="63">
        <f>IF(Q95="","",IF(H95="High",1,IF(Q95="","",IF(Q95&lt;AsOf,1,IF(Q95&lt;=AsOf+AlertDays,2,IF(Q95&lt;=AsOf+2*AlertDays,3,""))))))</f>
        <v/>
      </c>
      <c r="S95" s="63">
        <f>IF(R95="","",IF(H95="High","High-severity issue: ",IF(C95="Punch item","Punch item: ","Issue action due: "))&amp;F95&amp;IF(J95="",""," → "&amp;J95))</f>
        <v/>
      </c>
      <c r="T95" s="63">
        <f>IF(O95=1,IF(I95="",0,I95),0)</f>
        <v/>
      </c>
      <c r="U95" s="63">
        <f>IF(AND(O95=1,H95="High"),1,0)</f>
        <v/>
      </c>
      <c r="V95" s="63">
        <f>IF(AND(O95=1,C95="Punch item"),1,0)</f>
        <v/>
      </c>
    </row>
    <row r="96" ht="24" customHeight="1">
      <c r="B96" s="100" t="n">
        <v>89</v>
      </c>
      <c r="C96" s="65" t="n"/>
      <c r="D96" s="81" t="n"/>
      <c r="E96" s="65" t="n"/>
      <c r="F96" s="88" t="n"/>
      <c r="G96" s="65" t="n"/>
      <c r="H96" s="67" t="n"/>
      <c r="I96" s="66" t="n"/>
      <c r="J96" s="88" t="n"/>
      <c r="K96" s="81" t="n"/>
      <c r="L96" s="65" t="n"/>
      <c r="M96" s="81" t="n"/>
      <c r="N96" s="65" t="n"/>
      <c r="O96" s="63">
        <f>IF(AND(F96&lt;&gt;"",L96&lt;&gt;"Resolved"),1,0)</f>
        <v/>
      </c>
      <c r="P96" s="63">
        <f>IF(F96="","",IF(O96=0,0,IF(H96="High",2,1)))</f>
        <v/>
      </c>
      <c r="Q96" s="85">
        <f>IF(O96=1,IF(K96&lt;&gt;"",K96,IF(H96="High",AsOf,"")),"")</f>
        <v/>
      </c>
      <c r="R96" s="63">
        <f>IF(Q96="","",IF(H96="High",1,IF(Q96="","",IF(Q96&lt;AsOf,1,IF(Q96&lt;=AsOf+AlertDays,2,IF(Q96&lt;=AsOf+2*AlertDays,3,""))))))</f>
        <v/>
      </c>
      <c r="S96" s="63">
        <f>IF(R96="","",IF(H96="High","High-severity issue: ",IF(C96="Punch item","Punch item: ","Issue action due: "))&amp;F96&amp;IF(J96="",""," → "&amp;J96))</f>
        <v/>
      </c>
      <c r="T96" s="63">
        <f>IF(O96=1,IF(I96="",0,I96),0)</f>
        <v/>
      </c>
      <c r="U96" s="63">
        <f>IF(AND(O96=1,H96="High"),1,0)</f>
        <v/>
      </c>
      <c r="V96" s="63">
        <f>IF(AND(O96=1,C96="Punch item"),1,0)</f>
        <v/>
      </c>
    </row>
    <row r="97" ht="24" customHeight="1">
      <c r="B97" s="100" t="n">
        <v>90</v>
      </c>
      <c r="C97" s="65" t="n"/>
      <c r="D97" s="81" t="n"/>
      <c r="E97" s="65" t="n"/>
      <c r="F97" s="88" t="n"/>
      <c r="G97" s="65" t="n"/>
      <c r="H97" s="67" t="n"/>
      <c r="I97" s="66" t="n"/>
      <c r="J97" s="88" t="n"/>
      <c r="K97" s="81" t="n"/>
      <c r="L97" s="65" t="n"/>
      <c r="M97" s="81" t="n"/>
      <c r="N97" s="65" t="n"/>
      <c r="O97" s="63">
        <f>IF(AND(F97&lt;&gt;"",L97&lt;&gt;"Resolved"),1,0)</f>
        <v/>
      </c>
      <c r="P97" s="63">
        <f>IF(F97="","",IF(O97=0,0,IF(H97="High",2,1)))</f>
        <v/>
      </c>
      <c r="Q97" s="85">
        <f>IF(O97=1,IF(K97&lt;&gt;"",K97,IF(H97="High",AsOf,"")),"")</f>
        <v/>
      </c>
      <c r="R97" s="63">
        <f>IF(Q97="","",IF(H97="High",1,IF(Q97="","",IF(Q97&lt;AsOf,1,IF(Q97&lt;=AsOf+AlertDays,2,IF(Q97&lt;=AsOf+2*AlertDays,3,""))))))</f>
        <v/>
      </c>
      <c r="S97" s="63">
        <f>IF(R97="","",IF(H97="High","High-severity issue: ",IF(C97="Punch item","Punch item: ","Issue action due: "))&amp;F97&amp;IF(J97="",""," → "&amp;J97))</f>
        <v/>
      </c>
      <c r="T97" s="63">
        <f>IF(O97=1,IF(I97="",0,I97),0)</f>
        <v/>
      </c>
      <c r="U97" s="63">
        <f>IF(AND(O97=1,H97="High"),1,0)</f>
        <v/>
      </c>
      <c r="V97" s="63">
        <f>IF(AND(O97=1,C97="Punch item"),1,0)</f>
        <v/>
      </c>
    </row>
    <row r="98" ht="24" customHeight="1">
      <c r="B98" s="100" t="n">
        <v>91</v>
      </c>
      <c r="C98" s="65" t="n"/>
      <c r="D98" s="81" t="n"/>
      <c r="E98" s="65" t="n"/>
      <c r="F98" s="88" t="n"/>
      <c r="G98" s="65" t="n"/>
      <c r="H98" s="67" t="n"/>
      <c r="I98" s="66" t="n"/>
      <c r="J98" s="88" t="n"/>
      <c r="K98" s="81" t="n"/>
      <c r="L98" s="65" t="n"/>
      <c r="M98" s="81" t="n"/>
      <c r="N98" s="65" t="n"/>
      <c r="O98" s="63">
        <f>IF(AND(F98&lt;&gt;"",L98&lt;&gt;"Resolved"),1,0)</f>
        <v/>
      </c>
      <c r="P98" s="63">
        <f>IF(F98="","",IF(O98=0,0,IF(H98="High",2,1)))</f>
        <v/>
      </c>
      <c r="Q98" s="85">
        <f>IF(O98=1,IF(K98&lt;&gt;"",K98,IF(H98="High",AsOf,"")),"")</f>
        <v/>
      </c>
      <c r="R98" s="63">
        <f>IF(Q98="","",IF(H98="High",1,IF(Q98="","",IF(Q98&lt;AsOf,1,IF(Q98&lt;=AsOf+AlertDays,2,IF(Q98&lt;=AsOf+2*AlertDays,3,""))))))</f>
        <v/>
      </c>
      <c r="S98" s="63">
        <f>IF(R98="","",IF(H98="High","High-severity issue: ",IF(C98="Punch item","Punch item: ","Issue action due: "))&amp;F98&amp;IF(J98="",""," → "&amp;J98))</f>
        <v/>
      </c>
      <c r="T98" s="63">
        <f>IF(O98=1,IF(I98="",0,I98),0)</f>
        <v/>
      </c>
      <c r="U98" s="63">
        <f>IF(AND(O98=1,H98="High"),1,0)</f>
        <v/>
      </c>
      <c r="V98" s="63">
        <f>IF(AND(O98=1,C98="Punch item"),1,0)</f>
        <v/>
      </c>
    </row>
    <row r="99" ht="24" customHeight="1">
      <c r="B99" s="100" t="n">
        <v>92</v>
      </c>
      <c r="C99" s="65" t="n"/>
      <c r="D99" s="81" t="n"/>
      <c r="E99" s="65" t="n"/>
      <c r="F99" s="88" t="n"/>
      <c r="G99" s="65" t="n"/>
      <c r="H99" s="67" t="n"/>
      <c r="I99" s="66" t="n"/>
      <c r="J99" s="88" t="n"/>
      <c r="K99" s="81" t="n"/>
      <c r="L99" s="65" t="n"/>
      <c r="M99" s="81" t="n"/>
      <c r="N99" s="65" t="n"/>
      <c r="O99" s="63">
        <f>IF(AND(F99&lt;&gt;"",L99&lt;&gt;"Resolved"),1,0)</f>
        <v/>
      </c>
      <c r="P99" s="63">
        <f>IF(F99="","",IF(O99=0,0,IF(H99="High",2,1)))</f>
        <v/>
      </c>
      <c r="Q99" s="85">
        <f>IF(O99=1,IF(K99&lt;&gt;"",K99,IF(H99="High",AsOf,"")),"")</f>
        <v/>
      </c>
      <c r="R99" s="63">
        <f>IF(Q99="","",IF(H99="High",1,IF(Q99="","",IF(Q99&lt;AsOf,1,IF(Q99&lt;=AsOf+AlertDays,2,IF(Q99&lt;=AsOf+2*AlertDays,3,""))))))</f>
        <v/>
      </c>
      <c r="S99" s="63">
        <f>IF(R99="","",IF(H99="High","High-severity issue: ",IF(C99="Punch item","Punch item: ","Issue action due: "))&amp;F99&amp;IF(J99="",""," → "&amp;J99))</f>
        <v/>
      </c>
      <c r="T99" s="63">
        <f>IF(O99=1,IF(I99="",0,I99),0)</f>
        <v/>
      </c>
      <c r="U99" s="63">
        <f>IF(AND(O99=1,H99="High"),1,0)</f>
        <v/>
      </c>
      <c r="V99" s="63">
        <f>IF(AND(O99=1,C99="Punch item"),1,0)</f>
        <v/>
      </c>
    </row>
    <row r="100" ht="24" customHeight="1">
      <c r="B100" s="100" t="n">
        <v>93</v>
      </c>
      <c r="C100" s="65" t="n"/>
      <c r="D100" s="81" t="n"/>
      <c r="E100" s="65" t="n"/>
      <c r="F100" s="88" t="n"/>
      <c r="G100" s="65" t="n"/>
      <c r="H100" s="67" t="n"/>
      <c r="I100" s="66" t="n"/>
      <c r="J100" s="88" t="n"/>
      <c r="K100" s="81" t="n"/>
      <c r="L100" s="65" t="n"/>
      <c r="M100" s="81" t="n"/>
      <c r="N100" s="65" t="n"/>
      <c r="O100" s="63">
        <f>IF(AND(F100&lt;&gt;"",L100&lt;&gt;"Resolved"),1,0)</f>
        <v/>
      </c>
      <c r="P100" s="63">
        <f>IF(F100="","",IF(O100=0,0,IF(H100="High",2,1)))</f>
        <v/>
      </c>
      <c r="Q100" s="85">
        <f>IF(O100=1,IF(K100&lt;&gt;"",K100,IF(H100="High",AsOf,"")),"")</f>
        <v/>
      </c>
      <c r="R100" s="63">
        <f>IF(Q100="","",IF(H100="High",1,IF(Q100="","",IF(Q100&lt;AsOf,1,IF(Q100&lt;=AsOf+AlertDays,2,IF(Q100&lt;=AsOf+2*AlertDays,3,""))))))</f>
        <v/>
      </c>
      <c r="S100" s="63">
        <f>IF(R100="","",IF(H100="High","High-severity issue: ",IF(C100="Punch item","Punch item: ","Issue action due: "))&amp;F100&amp;IF(J100="",""," → "&amp;J100))</f>
        <v/>
      </c>
      <c r="T100" s="63">
        <f>IF(O100=1,IF(I100="",0,I100),0)</f>
        <v/>
      </c>
      <c r="U100" s="63">
        <f>IF(AND(O100=1,H100="High"),1,0)</f>
        <v/>
      </c>
      <c r="V100" s="63">
        <f>IF(AND(O100=1,C100="Punch item"),1,0)</f>
        <v/>
      </c>
    </row>
    <row r="101" ht="24" customHeight="1">
      <c r="B101" s="100" t="n">
        <v>94</v>
      </c>
      <c r="C101" s="65" t="n"/>
      <c r="D101" s="81" t="n"/>
      <c r="E101" s="65" t="n"/>
      <c r="F101" s="88" t="n"/>
      <c r="G101" s="65" t="n"/>
      <c r="H101" s="67" t="n"/>
      <c r="I101" s="66" t="n"/>
      <c r="J101" s="88" t="n"/>
      <c r="K101" s="81" t="n"/>
      <c r="L101" s="65" t="n"/>
      <c r="M101" s="81" t="n"/>
      <c r="N101" s="65" t="n"/>
      <c r="O101" s="63">
        <f>IF(AND(F101&lt;&gt;"",L101&lt;&gt;"Resolved"),1,0)</f>
        <v/>
      </c>
      <c r="P101" s="63">
        <f>IF(F101="","",IF(O101=0,0,IF(H101="High",2,1)))</f>
        <v/>
      </c>
      <c r="Q101" s="85">
        <f>IF(O101=1,IF(K101&lt;&gt;"",K101,IF(H101="High",AsOf,"")),"")</f>
        <v/>
      </c>
      <c r="R101" s="63">
        <f>IF(Q101="","",IF(H101="High",1,IF(Q101="","",IF(Q101&lt;AsOf,1,IF(Q101&lt;=AsOf+AlertDays,2,IF(Q101&lt;=AsOf+2*AlertDays,3,""))))))</f>
        <v/>
      </c>
      <c r="S101" s="63">
        <f>IF(R101="","",IF(H101="High","High-severity issue: ",IF(C101="Punch item","Punch item: ","Issue action due: "))&amp;F101&amp;IF(J101="",""," → "&amp;J101))</f>
        <v/>
      </c>
      <c r="T101" s="63">
        <f>IF(O101=1,IF(I101="",0,I101),0)</f>
        <v/>
      </c>
      <c r="U101" s="63">
        <f>IF(AND(O101=1,H101="High"),1,0)</f>
        <v/>
      </c>
      <c r="V101" s="63">
        <f>IF(AND(O101=1,C101="Punch item"),1,0)</f>
        <v/>
      </c>
    </row>
    <row r="102" ht="24" customHeight="1">
      <c r="B102" s="100" t="n">
        <v>95</v>
      </c>
      <c r="C102" s="65" t="n"/>
      <c r="D102" s="81" t="n"/>
      <c r="E102" s="65" t="n"/>
      <c r="F102" s="88" t="n"/>
      <c r="G102" s="65" t="n"/>
      <c r="H102" s="67" t="n"/>
      <c r="I102" s="66" t="n"/>
      <c r="J102" s="88" t="n"/>
      <c r="K102" s="81" t="n"/>
      <c r="L102" s="65" t="n"/>
      <c r="M102" s="81" t="n"/>
      <c r="N102" s="65" t="n"/>
      <c r="O102" s="63">
        <f>IF(AND(F102&lt;&gt;"",L102&lt;&gt;"Resolved"),1,0)</f>
        <v/>
      </c>
      <c r="P102" s="63">
        <f>IF(F102="","",IF(O102=0,0,IF(H102="High",2,1)))</f>
        <v/>
      </c>
      <c r="Q102" s="85">
        <f>IF(O102=1,IF(K102&lt;&gt;"",K102,IF(H102="High",AsOf,"")),"")</f>
        <v/>
      </c>
      <c r="R102" s="63">
        <f>IF(Q102="","",IF(H102="High",1,IF(Q102="","",IF(Q102&lt;AsOf,1,IF(Q102&lt;=AsOf+AlertDays,2,IF(Q102&lt;=AsOf+2*AlertDays,3,""))))))</f>
        <v/>
      </c>
      <c r="S102" s="63">
        <f>IF(R102="","",IF(H102="High","High-severity issue: ",IF(C102="Punch item","Punch item: ","Issue action due: "))&amp;F102&amp;IF(J102="",""," → "&amp;J102))</f>
        <v/>
      </c>
      <c r="T102" s="63">
        <f>IF(O102=1,IF(I102="",0,I102),0)</f>
        <v/>
      </c>
      <c r="U102" s="63">
        <f>IF(AND(O102=1,H102="High"),1,0)</f>
        <v/>
      </c>
      <c r="V102" s="63">
        <f>IF(AND(O102=1,C102="Punch item"),1,0)</f>
        <v/>
      </c>
    </row>
    <row r="103" ht="24" customHeight="1">
      <c r="B103" s="100" t="n">
        <v>96</v>
      </c>
      <c r="C103" s="65" t="n"/>
      <c r="D103" s="81" t="n"/>
      <c r="E103" s="65" t="n"/>
      <c r="F103" s="88" t="n"/>
      <c r="G103" s="65" t="n"/>
      <c r="H103" s="67" t="n"/>
      <c r="I103" s="66" t="n"/>
      <c r="J103" s="88" t="n"/>
      <c r="K103" s="81" t="n"/>
      <c r="L103" s="65" t="n"/>
      <c r="M103" s="81" t="n"/>
      <c r="N103" s="65" t="n"/>
      <c r="O103" s="63">
        <f>IF(AND(F103&lt;&gt;"",L103&lt;&gt;"Resolved"),1,0)</f>
        <v/>
      </c>
      <c r="P103" s="63">
        <f>IF(F103="","",IF(O103=0,0,IF(H103="High",2,1)))</f>
        <v/>
      </c>
      <c r="Q103" s="85">
        <f>IF(O103=1,IF(K103&lt;&gt;"",K103,IF(H103="High",AsOf,"")),"")</f>
        <v/>
      </c>
      <c r="R103" s="63">
        <f>IF(Q103="","",IF(H103="High",1,IF(Q103="","",IF(Q103&lt;AsOf,1,IF(Q103&lt;=AsOf+AlertDays,2,IF(Q103&lt;=AsOf+2*AlertDays,3,""))))))</f>
        <v/>
      </c>
      <c r="S103" s="63">
        <f>IF(R103="","",IF(H103="High","High-severity issue: ",IF(C103="Punch item","Punch item: ","Issue action due: "))&amp;F103&amp;IF(J103="",""," → "&amp;J103))</f>
        <v/>
      </c>
      <c r="T103" s="63">
        <f>IF(O103=1,IF(I103="",0,I103),0)</f>
        <v/>
      </c>
      <c r="U103" s="63">
        <f>IF(AND(O103=1,H103="High"),1,0)</f>
        <v/>
      </c>
      <c r="V103" s="63">
        <f>IF(AND(O103=1,C103="Punch item"),1,0)</f>
        <v/>
      </c>
    </row>
    <row r="104" ht="24" customHeight="1">
      <c r="B104" s="100" t="n">
        <v>97</v>
      </c>
      <c r="C104" s="65" t="n"/>
      <c r="D104" s="81" t="n"/>
      <c r="E104" s="65" t="n"/>
      <c r="F104" s="88" t="n"/>
      <c r="G104" s="65" t="n"/>
      <c r="H104" s="67" t="n"/>
      <c r="I104" s="66" t="n"/>
      <c r="J104" s="88" t="n"/>
      <c r="K104" s="81" t="n"/>
      <c r="L104" s="65" t="n"/>
      <c r="M104" s="81" t="n"/>
      <c r="N104" s="65" t="n"/>
      <c r="O104" s="63">
        <f>IF(AND(F104&lt;&gt;"",L104&lt;&gt;"Resolved"),1,0)</f>
        <v/>
      </c>
      <c r="P104" s="63">
        <f>IF(F104="","",IF(O104=0,0,IF(H104="High",2,1)))</f>
        <v/>
      </c>
      <c r="Q104" s="85">
        <f>IF(O104=1,IF(K104&lt;&gt;"",K104,IF(H104="High",AsOf,"")),"")</f>
        <v/>
      </c>
      <c r="R104" s="63">
        <f>IF(Q104="","",IF(H104="High",1,IF(Q104="","",IF(Q104&lt;AsOf,1,IF(Q104&lt;=AsOf+AlertDays,2,IF(Q104&lt;=AsOf+2*AlertDays,3,""))))))</f>
        <v/>
      </c>
      <c r="S104" s="63">
        <f>IF(R104="","",IF(H104="High","High-severity issue: ",IF(C104="Punch item","Punch item: ","Issue action due: "))&amp;F104&amp;IF(J104="",""," → "&amp;J104))</f>
        <v/>
      </c>
      <c r="T104" s="63">
        <f>IF(O104=1,IF(I104="",0,I104),0)</f>
        <v/>
      </c>
      <c r="U104" s="63">
        <f>IF(AND(O104=1,H104="High"),1,0)</f>
        <v/>
      </c>
      <c r="V104" s="63">
        <f>IF(AND(O104=1,C104="Punch item"),1,0)</f>
        <v/>
      </c>
    </row>
    <row r="105" ht="24" customHeight="1">
      <c r="B105" s="100" t="n">
        <v>98</v>
      </c>
      <c r="C105" s="65" t="n"/>
      <c r="D105" s="81" t="n"/>
      <c r="E105" s="65" t="n"/>
      <c r="F105" s="88" t="n"/>
      <c r="G105" s="65" t="n"/>
      <c r="H105" s="67" t="n"/>
      <c r="I105" s="66" t="n"/>
      <c r="J105" s="88" t="n"/>
      <c r="K105" s="81" t="n"/>
      <c r="L105" s="65" t="n"/>
      <c r="M105" s="81" t="n"/>
      <c r="N105" s="65" t="n"/>
      <c r="O105" s="63">
        <f>IF(AND(F105&lt;&gt;"",L105&lt;&gt;"Resolved"),1,0)</f>
        <v/>
      </c>
      <c r="P105" s="63">
        <f>IF(F105="","",IF(O105=0,0,IF(H105="High",2,1)))</f>
        <v/>
      </c>
      <c r="Q105" s="85">
        <f>IF(O105=1,IF(K105&lt;&gt;"",K105,IF(H105="High",AsOf,"")),"")</f>
        <v/>
      </c>
      <c r="R105" s="63">
        <f>IF(Q105="","",IF(H105="High",1,IF(Q105="","",IF(Q105&lt;AsOf,1,IF(Q105&lt;=AsOf+AlertDays,2,IF(Q105&lt;=AsOf+2*AlertDays,3,""))))))</f>
        <v/>
      </c>
      <c r="S105" s="63">
        <f>IF(R105="","",IF(H105="High","High-severity issue: ",IF(C105="Punch item","Punch item: ","Issue action due: "))&amp;F105&amp;IF(J105="",""," → "&amp;J105))</f>
        <v/>
      </c>
      <c r="T105" s="63">
        <f>IF(O105=1,IF(I105="",0,I105),0)</f>
        <v/>
      </c>
      <c r="U105" s="63">
        <f>IF(AND(O105=1,H105="High"),1,0)</f>
        <v/>
      </c>
      <c r="V105" s="63">
        <f>IF(AND(O105=1,C105="Punch item"),1,0)</f>
        <v/>
      </c>
    </row>
    <row r="106" ht="24" customHeight="1">
      <c r="B106" s="100" t="n">
        <v>99</v>
      </c>
      <c r="C106" s="65" t="n"/>
      <c r="D106" s="81" t="n"/>
      <c r="E106" s="65" t="n"/>
      <c r="F106" s="88" t="n"/>
      <c r="G106" s="65" t="n"/>
      <c r="H106" s="67" t="n"/>
      <c r="I106" s="66" t="n"/>
      <c r="J106" s="88" t="n"/>
      <c r="K106" s="81" t="n"/>
      <c r="L106" s="65" t="n"/>
      <c r="M106" s="81" t="n"/>
      <c r="N106" s="65" t="n"/>
      <c r="O106" s="63">
        <f>IF(AND(F106&lt;&gt;"",L106&lt;&gt;"Resolved"),1,0)</f>
        <v/>
      </c>
      <c r="P106" s="63">
        <f>IF(F106="","",IF(O106=0,0,IF(H106="High",2,1)))</f>
        <v/>
      </c>
      <c r="Q106" s="85">
        <f>IF(O106=1,IF(K106&lt;&gt;"",K106,IF(H106="High",AsOf,"")),"")</f>
        <v/>
      </c>
      <c r="R106" s="63">
        <f>IF(Q106="","",IF(H106="High",1,IF(Q106="","",IF(Q106&lt;AsOf,1,IF(Q106&lt;=AsOf+AlertDays,2,IF(Q106&lt;=AsOf+2*AlertDays,3,""))))))</f>
        <v/>
      </c>
      <c r="S106" s="63">
        <f>IF(R106="","",IF(H106="High","High-severity issue: ",IF(C106="Punch item","Punch item: ","Issue action due: "))&amp;F106&amp;IF(J106="",""," → "&amp;J106))</f>
        <v/>
      </c>
      <c r="T106" s="63">
        <f>IF(O106=1,IF(I106="",0,I106),0)</f>
        <v/>
      </c>
      <c r="U106" s="63">
        <f>IF(AND(O106=1,H106="High"),1,0)</f>
        <v/>
      </c>
      <c r="V106" s="63">
        <f>IF(AND(O106=1,C106="Punch item"),1,0)</f>
        <v/>
      </c>
    </row>
    <row r="107" ht="24" customHeight="1">
      <c r="B107" s="100" t="n">
        <v>100</v>
      </c>
      <c r="C107" s="65" t="n"/>
      <c r="D107" s="81" t="n"/>
      <c r="E107" s="65" t="n"/>
      <c r="F107" s="88" t="n"/>
      <c r="G107" s="65" t="n"/>
      <c r="H107" s="67" t="n"/>
      <c r="I107" s="66" t="n"/>
      <c r="J107" s="88" t="n"/>
      <c r="K107" s="81" t="n"/>
      <c r="L107" s="65" t="n"/>
      <c r="M107" s="81" t="n"/>
      <c r="N107" s="65" t="n"/>
      <c r="O107" s="63">
        <f>IF(AND(F107&lt;&gt;"",L107&lt;&gt;"Resolved"),1,0)</f>
        <v/>
      </c>
      <c r="P107" s="63">
        <f>IF(F107="","",IF(O107=0,0,IF(H107="High",2,1)))</f>
        <v/>
      </c>
      <c r="Q107" s="85">
        <f>IF(O107=1,IF(K107&lt;&gt;"",K107,IF(H107="High",AsOf,"")),"")</f>
        <v/>
      </c>
      <c r="R107" s="63">
        <f>IF(Q107="","",IF(H107="High",1,IF(Q107="","",IF(Q107&lt;AsOf,1,IF(Q107&lt;=AsOf+AlertDays,2,IF(Q107&lt;=AsOf+2*AlertDays,3,""))))))</f>
        <v/>
      </c>
      <c r="S107" s="63">
        <f>IF(R107="","",IF(H107="High","High-severity issue: ",IF(C107="Punch item","Punch item: ","Issue action due: "))&amp;F107&amp;IF(J107="",""," → "&amp;J107))</f>
        <v/>
      </c>
      <c r="T107" s="63">
        <f>IF(O107=1,IF(I107="",0,I107),0)</f>
        <v/>
      </c>
      <c r="U107" s="63">
        <f>IF(AND(O107=1,H107="High"),1,0)</f>
        <v/>
      </c>
      <c r="V107" s="63">
        <f>IF(AND(O107=1,C107="Punch item"),1,0)</f>
        <v/>
      </c>
    </row>
    <row r="108" ht="24" customHeight="1">
      <c r="B108" s="100" t="n">
        <v>101</v>
      </c>
      <c r="C108" s="65" t="n"/>
      <c r="D108" s="81" t="n"/>
      <c r="E108" s="65" t="n"/>
      <c r="F108" s="88" t="n"/>
      <c r="G108" s="65" t="n"/>
      <c r="H108" s="67" t="n"/>
      <c r="I108" s="66" t="n"/>
      <c r="J108" s="88" t="n"/>
      <c r="K108" s="81" t="n"/>
      <c r="L108" s="65" t="n"/>
      <c r="M108" s="81" t="n"/>
      <c r="N108" s="65" t="n"/>
      <c r="O108" s="63">
        <f>IF(AND(F108&lt;&gt;"",L108&lt;&gt;"Resolved"),1,0)</f>
        <v/>
      </c>
      <c r="P108" s="63">
        <f>IF(F108="","",IF(O108=0,0,IF(H108="High",2,1)))</f>
        <v/>
      </c>
      <c r="Q108" s="85">
        <f>IF(O108=1,IF(K108&lt;&gt;"",K108,IF(H108="High",AsOf,"")),"")</f>
        <v/>
      </c>
      <c r="R108" s="63">
        <f>IF(Q108="","",IF(H108="High",1,IF(Q108="","",IF(Q108&lt;AsOf,1,IF(Q108&lt;=AsOf+AlertDays,2,IF(Q108&lt;=AsOf+2*AlertDays,3,""))))))</f>
        <v/>
      </c>
      <c r="S108" s="63">
        <f>IF(R108="","",IF(H108="High","High-severity issue: ",IF(C108="Punch item","Punch item: ","Issue action due: "))&amp;F108&amp;IF(J108="",""," → "&amp;J108))</f>
        <v/>
      </c>
      <c r="T108" s="63">
        <f>IF(O108=1,IF(I108="",0,I108),0)</f>
        <v/>
      </c>
      <c r="U108" s="63">
        <f>IF(AND(O108=1,H108="High"),1,0)</f>
        <v/>
      </c>
      <c r="V108" s="63">
        <f>IF(AND(O108=1,C108="Punch item"),1,0)</f>
        <v/>
      </c>
    </row>
    <row r="109" ht="24" customHeight="1">
      <c r="B109" s="100" t="n">
        <v>102</v>
      </c>
      <c r="C109" s="65" t="n"/>
      <c r="D109" s="81" t="n"/>
      <c r="E109" s="65" t="n"/>
      <c r="F109" s="88" t="n"/>
      <c r="G109" s="65" t="n"/>
      <c r="H109" s="67" t="n"/>
      <c r="I109" s="66" t="n"/>
      <c r="J109" s="88" t="n"/>
      <c r="K109" s="81" t="n"/>
      <c r="L109" s="65" t="n"/>
      <c r="M109" s="81" t="n"/>
      <c r="N109" s="65" t="n"/>
      <c r="O109" s="63">
        <f>IF(AND(F109&lt;&gt;"",L109&lt;&gt;"Resolved"),1,0)</f>
        <v/>
      </c>
      <c r="P109" s="63">
        <f>IF(F109="","",IF(O109=0,0,IF(H109="High",2,1)))</f>
        <v/>
      </c>
      <c r="Q109" s="85">
        <f>IF(O109=1,IF(K109&lt;&gt;"",K109,IF(H109="High",AsOf,"")),"")</f>
        <v/>
      </c>
      <c r="R109" s="63">
        <f>IF(Q109="","",IF(H109="High",1,IF(Q109="","",IF(Q109&lt;AsOf,1,IF(Q109&lt;=AsOf+AlertDays,2,IF(Q109&lt;=AsOf+2*AlertDays,3,""))))))</f>
        <v/>
      </c>
      <c r="S109" s="63">
        <f>IF(R109="","",IF(H109="High","High-severity issue: ",IF(C109="Punch item","Punch item: ","Issue action due: "))&amp;F109&amp;IF(J109="",""," → "&amp;J109))</f>
        <v/>
      </c>
      <c r="T109" s="63">
        <f>IF(O109=1,IF(I109="",0,I109),0)</f>
        <v/>
      </c>
      <c r="U109" s="63">
        <f>IF(AND(O109=1,H109="High"),1,0)</f>
        <v/>
      </c>
      <c r="V109" s="63">
        <f>IF(AND(O109=1,C109="Punch item"),1,0)</f>
        <v/>
      </c>
    </row>
    <row r="110" ht="24" customHeight="1">
      <c r="B110" s="100" t="n">
        <v>103</v>
      </c>
      <c r="C110" s="65" t="n"/>
      <c r="D110" s="81" t="n"/>
      <c r="E110" s="65" t="n"/>
      <c r="F110" s="88" t="n"/>
      <c r="G110" s="65" t="n"/>
      <c r="H110" s="67" t="n"/>
      <c r="I110" s="66" t="n"/>
      <c r="J110" s="88" t="n"/>
      <c r="K110" s="81" t="n"/>
      <c r="L110" s="65" t="n"/>
      <c r="M110" s="81" t="n"/>
      <c r="N110" s="65" t="n"/>
      <c r="O110" s="63">
        <f>IF(AND(F110&lt;&gt;"",L110&lt;&gt;"Resolved"),1,0)</f>
        <v/>
      </c>
      <c r="P110" s="63">
        <f>IF(F110="","",IF(O110=0,0,IF(H110="High",2,1)))</f>
        <v/>
      </c>
      <c r="Q110" s="85">
        <f>IF(O110=1,IF(K110&lt;&gt;"",K110,IF(H110="High",AsOf,"")),"")</f>
        <v/>
      </c>
      <c r="R110" s="63">
        <f>IF(Q110="","",IF(H110="High",1,IF(Q110="","",IF(Q110&lt;AsOf,1,IF(Q110&lt;=AsOf+AlertDays,2,IF(Q110&lt;=AsOf+2*AlertDays,3,""))))))</f>
        <v/>
      </c>
      <c r="S110" s="63">
        <f>IF(R110="","",IF(H110="High","High-severity issue: ",IF(C110="Punch item","Punch item: ","Issue action due: "))&amp;F110&amp;IF(J110="",""," → "&amp;J110))</f>
        <v/>
      </c>
      <c r="T110" s="63">
        <f>IF(O110=1,IF(I110="",0,I110),0)</f>
        <v/>
      </c>
      <c r="U110" s="63">
        <f>IF(AND(O110=1,H110="High"),1,0)</f>
        <v/>
      </c>
      <c r="V110" s="63">
        <f>IF(AND(O110=1,C110="Punch item"),1,0)</f>
        <v/>
      </c>
    </row>
    <row r="111" ht="24" customHeight="1">
      <c r="B111" s="100" t="n">
        <v>104</v>
      </c>
      <c r="C111" s="65" t="n"/>
      <c r="D111" s="81" t="n"/>
      <c r="E111" s="65" t="n"/>
      <c r="F111" s="88" t="n"/>
      <c r="G111" s="65" t="n"/>
      <c r="H111" s="67" t="n"/>
      <c r="I111" s="66" t="n"/>
      <c r="J111" s="88" t="n"/>
      <c r="K111" s="81" t="n"/>
      <c r="L111" s="65" t="n"/>
      <c r="M111" s="81" t="n"/>
      <c r="N111" s="65" t="n"/>
      <c r="O111" s="63">
        <f>IF(AND(F111&lt;&gt;"",L111&lt;&gt;"Resolved"),1,0)</f>
        <v/>
      </c>
      <c r="P111" s="63">
        <f>IF(F111="","",IF(O111=0,0,IF(H111="High",2,1)))</f>
        <v/>
      </c>
      <c r="Q111" s="85">
        <f>IF(O111=1,IF(K111&lt;&gt;"",K111,IF(H111="High",AsOf,"")),"")</f>
        <v/>
      </c>
      <c r="R111" s="63">
        <f>IF(Q111="","",IF(H111="High",1,IF(Q111="","",IF(Q111&lt;AsOf,1,IF(Q111&lt;=AsOf+AlertDays,2,IF(Q111&lt;=AsOf+2*AlertDays,3,""))))))</f>
        <v/>
      </c>
      <c r="S111" s="63">
        <f>IF(R111="","",IF(H111="High","High-severity issue: ",IF(C111="Punch item","Punch item: ","Issue action due: "))&amp;F111&amp;IF(J111="",""," → "&amp;J111))</f>
        <v/>
      </c>
      <c r="T111" s="63">
        <f>IF(O111=1,IF(I111="",0,I111),0)</f>
        <v/>
      </c>
      <c r="U111" s="63">
        <f>IF(AND(O111=1,H111="High"),1,0)</f>
        <v/>
      </c>
      <c r="V111" s="63">
        <f>IF(AND(O111=1,C111="Punch item"),1,0)</f>
        <v/>
      </c>
    </row>
    <row r="112" ht="24" customHeight="1">
      <c r="B112" s="100" t="n">
        <v>105</v>
      </c>
      <c r="C112" s="65" t="n"/>
      <c r="D112" s="81" t="n"/>
      <c r="E112" s="65" t="n"/>
      <c r="F112" s="88" t="n"/>
      <c r="G112" s="65" t="n"/>
      <c r="H112" s="67" t="n"/>
      <c r="I112" s="66" t="n"/>
      <c r="J112" s="88" t="n"/>
      <c r="K112" s="81" t="n"/>
      <c r="L112" s="65" t="n"/>
      <c r="M112" s="81" t="n"/>
      <c r="N112" s="65" t="n"/>
      <c r="O112" s="63">
        <f>IF(AND(F112&lt;&gt;"",L112&lt;&gt;"Resolved"),1,0)</f>
        <v/>
      </c>
      <c r="P112" s="63">
        <f>IF(F112="","",IF(O112=0,0,IF(H112="High",2,1)))</f>
        <v/>
      </c>
      <c r="Q112" s="85">
        <f>IF(O112=1,IF(K112&lt;&gt;"",K112,IF(H112="High",AsOf,"")),"")</f>
        <v/>
      </c>
      <c r="R112" s="63">
        <f>IF(Q112="","",IF(H112="High",1,IF(Q112="","",IF(Q112&lt;AsOf,1,IF(Q112&lt;=AsOf+AlertDays,2,IF(Q112&lt;=AsOf+2*AlertDays,3,""))))))</f>
        <v/>
      </c>
      <c r="S112" s="63">
        <f>IF(R112="","",IF(H112="High","High-severity issue: ",IF(C112="Punch item","Punch item: ","Issue action due: "))&amp;F112&amp;IF(J112="",""," → "&amp;J112))</f>
        <v/>
      </c>
      <c r="T112" s="63">
        <f>IF(O112=1,IF(I112="",0,I112),0)</f>
        <v/>
      </c>
      <c r="U112" s="63">
        <f>IF(AND(O112=1,H112="High"),1,0)</f>
        <v/>
      </c>
      <c r="V112" s="63">
        <f>IF(AND(O112=1,C112="Punch item"),1,0)</f>
        <v/>
      </c>
    </row>
    <row r="113" ht="24" customHeight="1">
      <c r="B113" s="100" t="n">
        <v>106</v>
      </c>
      <c r="C113" s="65" t="n"/>
      <c r="D113" s="81" t="n"/>
      <c r="E113" s="65" t="n"/>
      <c r="F113" s="88" t="n"/>
      <c r="G113" s="65" t="n"/>
      <c r="H113" s="67" t="n"/>
      <c r="I113" s="66" t="n"/>
      <c r="J113" s="88" t="n"/>
      <c r="K113" s="81" t="n"/>
      <c r="L113" s="65" t="n"/>
      <c r="M113" s="81" t="n"/>
      <c r="N113" s="65" t="n"/>
      <c r="O113" s="63">
        <f>IF(AND(F113&lt;&gt;"",L113&lt;&gt;"Resolved"),1,0)</f>
        <v/>
      </c>
      <c r="P113" s="63">
        <f>IF(F113="","",IF(O113=0,0,IF(H113="High",2,1)))</f>
        <v/>
      </c>
      <c r="Q113" s="85">
        <f>IF(O113=1,IF(K113&lt;&gt;"",K113,IF(H113="High",AsOf,"")),"")</f>
        <v/>
      </c>
      <c r="R113" s="63">
        <f>IF(Q113="","",IF(H113="High",1,IF(Q113="","",IF(Q113&lt;AsOf,1,IF(Q113&lt;=AsOf+AlertDays,2,IF(Q113&lt;=AsOf+2*AlertDays,3,""))))))</f>
        <v/>
      </c>
      <c r="S113" s="63">
        <f>IF(R113="","",IF(H113="High","High-severity issue: ",IF(C113="Punch item","Punch item: ","Issue action due: "))&amp;F113&amp;IF(J113="",""," → "&amp;J113))</f>
        <v/>
      </c>
      <c r="T113" s="63">
        <f>IF(O113=1,IF(I113="",0,I113),0)</f>
        <v/>
      </c>
      <c r="U113" s="63">
        <f>IF(AND(O113=1,H113="High"),1,0)</f>
        <v/>
      </c>
      <c r="V113" s="63">
        <f>IF(AND(O113=1,C113="Punch item"),1,0)</f>
        <v/>
      </c>
    </row>
    <row r="114" ht="24" customHeight="1">
      <c r="B114" s="100" t="n">
        <v>107</v>
      </c>
      <c r="C114" s="65" t="n"/>
      <c r="D114" s="81" t="n"/>
      <c r="E114" s="65" t="n"/>
      <c r="F114" s="88" t="n"/>
      <c r="G114" s="65" t="n"/>
      <c r="H114" s="67" t="n"/>
      <c r="I114" s="66" t="n"/>
      <c r="J114" s="88" t="n"/>
      <c r="K114" s="81" t="n"/>
      <c r="L114" s="65" t="n"/>
      <c r="M114" s="81" t="n"/>
      <c r="N114" s="65" t="n"/>
      <c r="O114" s="63">
        <f>IF(AND(F114&lt;&gt;"",L114&lt;&gt;"Resolved"),1,0)</f>
        <v/>
      </c>
      <c r="P114" s="63">
        <f>IF(F114="","",IF(O114=0,0,IF(H114="High",2,1)))</f>
        <v/>
      </c>
      <c r="Q114" s="85">
        <f>IF(O114=1,IF(K114&lt;&gt;"",K114,IF(H114="High",AsOf,"")),"")</f>
        <v/>
      </c>
      <c r="R114" s="63">
        <f>IF(Q114="","",IF(H114="High",1,IF(Q114="","",IF(Q114&lt;AsOf,1,IF(Q114&lt;=AsOf+AlertDays,2,IF(Q114&lt;=AsOf+2*AlertDays,3,""))))))</f>
        <v/>
      </c>
      <c r="S114" s="63">
        <f>IF(R114="","",IF(H114="High","High-severity issue: ",IF(C114="Punch item","Punch item: ","Issue action due: "))&amp;F114&amp;IF(J114="",""," → "&amp;J114))</f>
        <v/>
      </c>
      <c r="T114" s="63">
        <f>IF(O114=1,IF(I114="",0,I114),0)</f>
        <v/>
      </c>
      <c r="U114" s="63">
        <f>IF(AND(O114=1,H114="High"),1,0)</f>
        <v/>
      </c>
      <c r="V114" s="63">
        <f>IF(AND(O114=1,C114="Punch item"),1,0)</f>
        <v/>
      </c>
    </row>
    <row r="115" ht="24" customHeight="1">
      <c r="B115" s="100" t="n">
        <v>108</v>
      </c>
      <c r="C115" s="65" t="n"/>
      <c r="D115" s="81" t="n"/>
      <c r="E115" s="65" t="n"/>
      <c r="F115" s="88" t="n"/>
      <c r="G115" s="65" t="n"/>
      <c r="H115" s="67" t="n"/>
      <c r="I115" s="66" t="n"/>
      <c r="J115" s="88" t="n"/>
      <c r="K115" s="81" t="n"/>
      <c r="L115" s="65" t="n"/>
      <c r="M115" s="81" t="n"/>
      <c r="N115" s="65" t="n"/>
      <c r="O115" s="63">
        <f>IF(AND(F115&lt;&gt;"",L115&lt;&gt;"Resolved"),1,0)</f>
        <v/>
      </c>
      <c r="P115" s="63">
        <f>IF(F115="","",IF(O115=0,0,IF(H115="High",2,1)))</f>
        <v/>
      </c>
      <c r="Q115" s="85">
        <f>IF(O115=1,IF(K115&lt;&gt;"",K115,IF(H115="High",AsOf,"")),"")</f>
        <v/>
      </c>
      <c r="R115" s="63">
        <f>IF(Q115="","",IF(H115="High",1,IF(Q115="","",IF(Q115&lt;AsOf,1,IF(Q115&lt;=AsOf+AlertDays,2,IF(Q115&lt;=AsOf+2*AlertDays,3,""))))))</f>
        <v/>
      </c>
      <c r="S115" s="63">
        <f>IF(R115="","",IF(H115="High","High-severity issue: ",IF(C115="Punch item","Punch item: ","Issue action due: "))&amp;F115&amp;IF(J115="",""," → "&amp;J115))</f>
        <v/>
      </c>
      <c r="T115" s="63">
        <f>IF(O115=1,IF(I115="",0,I115),0)</f>
        <v/>
      </c>
      <c r="U115" s="63">
        <f>IF(AND(O115=1,H115="High"),1,0)</f>
        <v/>
      </c>
      <c r="V115" s="63">
        <f>IF(AND(O115=1,C115="Punch item"),1,0)</f>
        <v/>
      </c>
    </row>
    <row r="116" ht="24" customHeight="1">
      <c r="B116" s="100" t="n">
        <v>109</v>
      </c>
      <c r="C116" s="65" t="n"/>
      <c r="D116" s="81" t="n"/>
      <c r="E116" s="65" t="n"/>
      <c r="F116" s="88" t="n"/>
      <c r="G116" s="65" t="n"/>
      <c r="H116" s="67" t="n"/>
      <c r="I116" s="66" t="n"/>
      <c r="J116" s="88" t="n"/>
      <c r="K116" s="81" t="n"/>
      <c r="L116" s="65" t="n"/>
      <c r="M116" s="81" t="n"/>
      <c r="N116" s="65" t="n"/>
      <c r="O116" s="63">
        <f>IF(AND(F116&lt;&gt;"",L116&lt;&gt;"Resolved"),1,0)</f>
        <v/>
      </c>
      <c r="P116" s="63">
        <f>IF(F116="","",IF(O116=0,0,IF(H116="High",2,1)))</f>
        <v/>
      </c>
      <c r="Q116" s="85">
        <f>IF(O116=1,IF(K116&lt;&gt;"",K116,IF(H116="High",AsOf,"")),"")</f>
        <v/>
      </c>
      <c r="R116" s="63">
        <f>IF(Q116="","",IF(H116="High",1,IF(Q116="","",IF(Q116&lt;AsOf,1,IF(Q116&lt;=AsOf+AlertDays,2,IF(Q116&lt;=AsOf+2*AlertDays,3,""))))))</f>
        <v/>
      </c>
      <c r="S116" s="63">
        <f>IF(R116="","",IF(H116="High","High-severity issue: ",IF(C116="Punch item","Punch item: ","Issue action due: "))&amp;F116&amp;IF(J116="",""," → "&amp;J116))</f>
        <v/>
      </c>
      <c r="T116" s="63">
        <f>IF(O116=1,IF(I116="",0,I116),0)</f>
        <v/>
      </c>
      <c r="U116" s="63">
        <f>IF(AND(O116=1,H116="High"),1,0)</f>
        <v/>
      </c>
      <c r="V116" s="63">
        <f>IF(AND(O116=1,C116="Punch item"),1,0)</f>
        <v/>
      </c>
    </row>
    <row r="117" ht="24" customHeight="1">
      <c r="B117" s="100" t="n">
        <v>110</v>
      </c>
      <c r="C117" s="65" t="n"/>
      <c r="D117" s="81" t="n"/>
      <c r="E117" s="65" t="n"/>
      <c r="F117" s="88" t="n"/>
      <c r="G117" s="65" t="n"/>
      <c r="H117" s="67" t="n"/>
      <c r="I117" s="66" t="n"/>
      <c r="J117" s="88" t="n"/>
      <c r="K117" s="81" t="n"/>
      <c r="L117" s="65" t="n"/>
      <c r="M117" s="81" t="n"/>
      <c r="N117" s="65" t="n"/>
      <c r="O117" s="63">
        <f>IF(AND(F117&lt;&gt;"",L117&lt;&gt;"Resolved"),1,0)</f>
        <v/>
      </c>
      <c r="P117" s="63">
        <f>IF(F117="","",IF(O117=0,0,IF(H117="High",2,1)))</f>
        <v/>
      </c>
      <c r="Q117" s="85">
        <f>IF(O117=1,IF(K117&lt;&gt;"",K117,IF(H117="High",AsOf,"")),"")</f>
        <v/>
      </c>
      <c r="R117" s="63">
        <f>IF(Q117="","",IF(H117="High",1,IF(Q117="","",IF(Q117&lt;AsOf,1,IF(Q117&lt;=AsOf+AlertDays,2,IF(Q117&lt;=AsOf+2*AlertDays,3,""))))))</f>
        <v/>
      </c>
      <c r="S117" s="63">
        <f>IF(R117="","",IF(H117="High","High-severity issue: ",IF(C117="Punch item","Punch item: ","Issue action due: "))&amp;F117&amp;IF(J117="",""," → "&amp;J117))</f>
        <v/>
      </c>
      <c r="T117" s="63">
        <f>IF(O117=1,IF(I117="",0,I117),0)</f>
        <v/>
      </c>
      <c r="U117" s="63">
        <f>IF(AND(O117=1,H117="High"),1,0)</f>
        <v/>
      </c>
      <c r="V117" s="63">
        <f>IF(AND(O117=1,C117="Punch item"),1,0)</f>
        <v/>
      </c>
    </row>
    <row r="118" ht="24" customHeight="1">
      <c r="B118" s="100" t="n">
        <v>111</v>
      </c>
      <c r="C118" s="65" t="n"/>
      <c r="D118" s="81" t="n"/>
      <c r="E118" s="65" t="n"/>
      <c r="F118" s="88" t="n"/>
      <c r="G118" s="65" t="n"/>
      <c r="H118" s="67" t="n"/>
      <c r="I118" s="66" t="n"/>
      <c r="J118" s="88" t="n"/>
      <c r="K118" s="81" t="n"/>
      <c r="L118" s="65" t="n"/>
      <c r="M118" s="81" t="n"/>
      <c r="N118" s="65" t="n"/>
      <c r="O118" s="63">
        <f>IF(AND(F118&lt;&gt;"",L118&lt;&gt;"Resolved"),1,0)</f>
        <v/>
      </c>
      <c r="P118" s="63">
        <f>IF(F118="","",IF(O118=0,0,IF(H118="High",2,1)))</f>
        <v/>
      </c>
      <c r="Q118" s="85">
        <f>IF(O118=1,IF(K118&lt;&gt;"",K118,IF(H118="High",AsOf,"")),"")</f>
        <v/>
      </c>
      <c r="R118" s="63">
        <f>IF(Q118="","",IF(H118="High",1,IF(Q118="","",IF(Q118&lt;AsOf,1,IF(Q118&lt;=AsOf+AlertDays,2,IF(Q118&lt;=AsOf+2*AlertDays,3,""))))))</f>
        <v/>
      </c>
      <c r="S118" s="63">
        <f>IF(R118="","",IF(H118="High","High-severity issue: ",IF(C118="Punch item","Punch item: ","Issue action due: "))&amp;F118&amp;IF(J118="",""," → "&amp;J118))</f>
        <v/>
      </c>
      <c r="T118" s="63">
        <f>IF(O118=1,IF(I118="",0,I118),0)</f>
        <v/>
      </c>
      <c r="U118" s="63">
        <f>IF(AND(O118=1,H118="High"),1,0)</f>
        <v/>
      </c>
      <c r="V118" s="63">
        <f>IF(AND(O118=1,C118="Punch item"),1,0)</f>
        <v/>
      </c>
    </row>
    <row r="119" ht="24" customHeight="1">
      <c r="B119" s="100" t="n">
        <v>112</v>
      </c>
      <c r="C119" s="65" t="n"/>
      <c r="D119" s="81" t="n"/>
      <c r="E119" s="65" t="n"/>
      <c r="F119" s="88" t="n"/>
      <c r="G119" s="65" t="n"/>
      <c r="H119" s="67" t="n"/>
      <c r="I119" s="66" t="n"/>
      <c r="J119" s="88" t="n"/>
      <c r="K119" s="81" t="n"/>
      <c r="L119" s="65" t="n"/>
      <c r="M119" s="81" t="n"/>
      <c r="N119" s="65" t="n"/>
      <c r="O119" s="63">
        <f>IF(AND(F119&lt;&gt;"",L119&lt;&gt;"Resolved"),1,0)</f>
        <v/>
      </c>
      <c r="P119" s="63">
        <f>IF(F119="","",IF(O119=0,0,IF(H119="High",2,1)))</f>
        <v/>
      </c>
      <c r="Q119" s="85">
        <f>IF(O119=1,IF(K119&lt;&gt;"",K119,IF(H119="High",AsOf,"")),"")</f>
        <v/>
      </c>
      <c r="R119" s="63">
        <f>IF(Q119="","",IF(H119="High",1,IF(Q119="","",IF(Q119&lt;AsOf,1,IF(Q119&lt;=AsOf+AlertDays,2,IF(Q119&lt;=AsOf+2*AlertDays,3,""))))))</f>
        <v/>
      </c>
      <c r="S119" s="63">
        <f>IF(R119="","",IF(H119="High","High-severity issue: ",IF(C119="Punch item","Punch item: ","Issue action due: "))&amp;F119&amp;IF(J119="",""," → "&amp;J119))</f>
        <v/>
      </c>
      <c r="T119" s="63">
        <f>IF(O119=1,IF(I119="",0,I119),0)</f>
        <v/>
      </c>
      <c r="U119" s="63">
        <f>IF(AND(O119=1,H119="High"),1,0)</f>
        <v/>
      </c>
      <c r="V119" s="63">
        <f>IF(AND(O119=1,C119="Punch item"),1,0)</f>
        <v/>
      </c>
    </row>
    <row r="120" ht="24" customHeight="1">
      <c r="B120" s="100" t="n">
        <v>113</v>
      </c>
      <c r="C120" s="65" t="n"/>
      <c r="D120" s="81" t="n"/>
      <c r="E120" s="65" t="n"/>
      <c r="F120" s="88" t="n"/>
      <c r="G120" s="65" t="n"/>
      <c r="H120" s="67" t="n"/>
      <c r="I120" s="66" t="n"/>
      <c r="J120" s="88" t="n"/>
      <c r="K120" s="81" t="n"/>
      <c r="L120" s="65" t="n"/>
      <c r="M120" s="81" t="n"/>
      <c r="N120" s="65" t="n"/>
      <c r="O120" s="63">
        <f>IF(AND(F120&lt;&gt;"",L120&lt;&gt;"Resolved"),1,0)</f>
        <v/>
      </c>
      <c r="P120" s="63">
        <f>IF(F120="","",IF(O120=0,0,IF(H120="High",2,1)))</f>
        <v/>
      </c>
      <c r="Q120" s="85">
        <f>IF(O120=1,IF(K120&lt;&gt;"",K120,IF(H120="High",AsOf,"")),"")</f>
        <v/>
      </c>
      <c r="R120" s="63">
        <f>IF(Q120="","",IF(H120="High",1,IF(Q120="","",IF(Q120&lt;AsOf,1,IF(Q120&lt;=AsOf+AlertDays,2,IF(Q120&lt;=AsOf+2*AlertDays,3,""))))))</f>
        <v/>
      </c>
      <c r="S120" s="63">
        <f>IF(R120="","",IF(H120="High","High-severity issue: ",IF(C120="Punch item","Punch item: ","Issue action due: "))&amp;F120&amp;IF(J120="",""," → "&amp;J120))</f>
        <v/>
      </c>
      <c r="T120" s="63">
        <f>IF(O120=1,IF(I120="",0,I120),0)</f>
        <v/>
      </c>
      <c r="U120" s="63">
        <f>IF(AND(O120=1,H120="High"),1,0)</f>
        <v/>
      </c>
      <c r="V120" s="63">
        <f>IF(AND(O120=1,C120="Punch item"),1,0)</f>
        <v/>
      </c>
    </row>
    <row r="121" ht="24" customHeight="1">
      <c r="B121" s="100" t="n">
        <v>114</v>
      </c>
      <c r="C121" s="65" t="n"/>
      <c r="D121" s="81" t="n"/>
      <c r="E121" s="65" t="n"/>
      <c r="F121" s="88" t="n"/>
      <c r="G121" s="65" t="n"/>
      <c r="H121" s="67" t="n"/>
      <c r="I121" s="66" t="n"/>
      <c r="J121" s="88" t="n"/>
      <c r="K121" s="81" t="n"/>
      <c r="L121" s="65" t="n"/>
      <c r="M121" s="81" t="n"/>
      <c r="N121" s="65" t="n"/>
      <c r="O121" s="63">
        <f>IF(AND(F121&lt;&gt;"",L121&lt;&gt;"Resolved"),1,0)</f>
        <v/>
      </c>
      <c r="P121" s="63">
        <f>IF(F121="","",IF(O121=0,0,IF(H121="High",2,1)))</f>
        <v/>
      </c>
      <c r="Q121" s="85">
        <f>IF(O121=1,IF(K121&lt;&gt;"",K121,IF(H121="High",AsOf,"")),"")</f>
        <v/>
      </c>
      <c r="R121" s="63">
        <f>IF(Q121="","",IF(H121="High",1,IF(Q121="","",IF(Q121&lt;AsOf,1,IF(Q121&lt;=AsOf+AlertDays,2,IF(Q121&lt;=AsOf+2*AlertDays,3,""))))))</f>
        <v/>
      </c>
      <c r="S121" s="63">
        <f>IF(R121="","",IF(H121="High","High-severity issue: ",IF(C121="Punch item","Punch item: ","Issue action due: "))&amp;F121&amp;IF(J121="",""," → "&amp;J121))</f>
        <v/>
      </c>
      <c r="T121" s="63">
        <f>IF(O121=1,IF(I121="",0,I121),0)</f>
        <v/>
      </c>
      <c r="U121" s="63">
        <f>IF(AND(O121=1,H121="High"),1,0)</f>
        <v/>
      </c>
      <c r="V121" s="63">
        <f>IF(AND(O121=1,C121="Punch item"),1,0)</f>
        <v/>
      </c>
    </row>
    <row r="122" ht="24" customHeight="1">
      <c r="B122" s="100" t="n">
        <v>115</v>
      </c>
      <c r="C122" s="65" t="n"/>
      <c r="D122" s="81" t="n"/>
      <c r="E122" s="65" t="n"/>
      <c r="F122" s="88" t="n"/>
      <c r="G122" s="65" t="n"/>
      <c r="H122" s="67" t="n"/>
      <c r="I122" s="66" t="n"/>
      <c r="J122" s="88" t="n"/>
      <c r="K122" s="81" t="n"/>
      <c r="L122" s="65" t="n"/>
      <c r="M122" s="81" t="n"/>
      <c r="N122" s="65" t="n"/>
      <c r="O122" s="63">
        <f>IF(AND(F122&lt;&gt;"",L122&lt;&gt;"Resolved"),1,0)</f>
        <v/>
      </c>
      <c r="P122" s="63">
        <f>IF(F122="","",IF(O122=0,0,IF(H122="High",2,1)))</f>
        <v/>
      </c>
      <c r="Q122" s="85">
        <f>IF(O122=1,IF(K122&lt;&gt;"",K122,IF(H122="High",AsOf,"")),"")</f>
        <v/>
      </c>
      <c r="R122" s="63">
        <f>IF(Q122="","",IF(H122="High",1,IF(Q122="","",IF(Q122&lt;AsOf,1,IF(Q122&lt;=AsOf+AlertDays,2,IF(Q122&lt;=AsOf+2*AlertDays,3,""))))))</f>
        <v/>
      </c>
      <c r="S122" s="63">
        <f>IF(R122="","",IF(H122="High","High-severity issue: ",IF(C122="Punch item","Punch item: ","Issue action due: "))&amp;F122&amp;IF(J122="",""," → "&amp;J122))</f>
        <v/>
      </c>
      <c r="T122" s="63">
        <f>IF(O122=1,IF(I122="",0,I122),0)</f>
        <v/>
      </c>
      <c r="U122" s="63">
        <f>IF(AND(O122=1,H122="High"),1,0)</f>
        <v/>
      </c>
      <c r="V122" s="63">
        <f>IF(AND(O122=1,C122="Punch item"),1,0)</f>
        <v/>
      </c>
    </row>
    <row r="123" ht="24" customHeight="1">
      <c r="B123" s="100" t="n">
        <v>116</v>
      </c>
      <c r="C123" s="65" t="n"/>
      <c r="D123" s="81" t="n"/>
      <c r="E123" s="65" t="n"/>
      <c r="F123" s="88" t="n"/>
      <c r="G123" s="65" t="n"/>
      <c r="H123" s="67" t="n"/>
      <c r="I123" s="66" t="n"/>
      <c r="J123" s="88" t="n"/>
      <c r="K123" s="81" t="n"/>
      <c r="L123" s="65" t="n"/>
      <c r="M123" s="81" t="n"/>
      <c r="N123" s="65" t="n"/>
      <c r="O123" s="63">
        <f>IF(AND(F123&lt;&gt;"",L123&lt;&gt;"Resolved"),1,0)</f>
        <v/>
      </c>
      <c r="P123" s="63">
        <f>IF(F123="","",IF(O123=0,0,IF(H123="High",2,1)))</f>
        <v/>
      </c>
      <c r="Q123" s="85">
        <f>IF(O123=1,IF(K123&lt;&gt;"",K123,IF(H123="High",AsOf,"")),"")</f>
        <v/>
      </c>
      <c r="R123" s="63">
        <f>IF(Q123="","",IF(H123="High",1,IF(Q123="","",IF(Q123&lt;AsOf,1,IF(Q123&lt;=AsOf+AlertDays,2,IF(Q123&lt;=AsOf+2*AlertDays,3,""))))))</f>
        <v/>
      </c>
      <c r="S123" s="63">
        <f>IF(R123="","",IF(H123="High","High-severity issue: ",IF(C123="Punch item","Punch item: ","Issue action due: "))&amp;F123&amp;IF(J123="",""," → "&amp;J123))</f>
        <v/>
      </c>
      <c r="T123" s="63">
        <f>IF(O123=1,IF(I123="",0,I123),0)</f>
        <v/>
      </c>
      <c r="U123" s="63">
        <f>IF(AND(O123=1,H123="High"),1,0)</f>
        <v/>
      </c>
      <c r="V123" s="63">
        <f>IF(AND(O123=1,C123="Punch item"),1,0)</f>
        <v/>
      </c>
    </row>
    <row r="124" ht="24" customHeight="1">
      <c r="B124" s="100" t="n">
        <v>117</v>
      </c>
      <c r="C124" s="65" t="n"/>
      <c r="D124" s="81" t="n"/>
      <c r="E124" s="65" t="n"/>
      <c r="F124" s="88" t="n"/>
      <c r="G124" s="65" t="n"/>
      <c r="H124" s="67" t="n"/>
      <c r="I124" s="66" t="n"/>
      <c r="J124" s="88" t="n"/>
      <c r="K124" s="81" t="n"/>
      <c r="L124" s="65" t="n"/>
      <c r="M124" s="81" t="n"/>
      <c r="N124" s="65" t="n"/>
      <c r="O124" s="63">
        <f>IF(AND(F124&lt;&gt;"",L124&lt;&gt;"Resolved"),1,0)</f>
        <v/>
      </c>
      <c r="P124" s="63">
        <f>IF(F124="","",IF(O124=0,0,IF(H124="High",2,1)))</f>
        <v/>
      </c>
      <c r="Q124" s="85">
        <f>IF(O124=1,IF(K124&lt;&gt;"",K124,IF(H124="High",AsOf,"")),"")</f>
        <v/>
      </c>
      <c r="R124" s="63">
        <f>IF(Q124="","",IF(H124="High",1,IF(Q124="","",IF(Q124&lt;AsOf,1,IF(Q124&lt;=AsOf+AlertDays,2,IF(Q124&lt;=AsOf+2*AlertDays,3,""))))))</f>
        <v/>
      </c>
      <c r="S124" s="63">
        <f>IF(R124="","",IF(H124="High","High-severity issue: ",IF(C124="Punch item","Punch item: ","Issue action due: "))&amp;F124&amp;IF(J124="",""," → "&amp;J124))</f>
        <v/>
      </c>
      <c r="T124" s="63">
        <f>IF(O124=1,IF(I124="",0,I124),0)</f>
        <v/>
      </c>
      <c r="U124" s="63">
        <f>IF(AND(O124=1,H124="High"),1,0)</f>
        <v/>
      </c>
      <c r="V124" s="63">
        <f>IF(AND(O124=1,C124="Punch item"),1,0)</f>
        <v/>
      </c>
    </row>
    <row r="125" ht="24" customHeight="1">
      <c r="B125" s="100" t="n">
        <v>118</v>
      </c>
      <c r="C125" s="65" t="n"/>
      <c r="D125" s="81" t="n"/>
      <c r="E125" s="65" t="n"/>
      <c r="F125" s="88" t="n"/>
      <c r="G125" s="65" t="n"/>
      <c r="H125" s="67" t="n"/>
      <c r="I125" s="66" t="n"/>
      <c r="J125" s="88" t="n"/>
      <c r="K125" s="81" t="n"/>
      <c r="L125" s="65" t="n"/>
      <c r="M125" s="81" t="n"/>
      <c r="N125" s="65" t="n"/>
      <c r="O125" s="63">
        <f>IF(AND(F125&lt;&gt;"",L125&lt;&gt;"Resolved"),1,0)</f>
        <v/>
      </c>
      <c r="P125" s="63">
        <f>IF(F125="","",IF(O125=0,0,IF(H125="High",2,1)))</f>
        <v/>
      </c>
      <c r="Q125" s="85">
        <f>IF(O125=1,IF(K125&lt;&gt;"",K125,IF(H125="High",AsOf,"")),"")</f>
        <v/>
      </c>
      <c r="R125" s="63">
        <f>IF(Q125="","",IF(H125="High",1,IF(Q125="","",IF(Q125&lt;AsOf,1,IF(Q125&lt;=AsOf+AlertDays,2,IF(Q125&lt;=AsOf+2*AlertDays,3,""))))))</f>
        <v/>
      </c>
      <c r="S125" s="63">
        <f>IF(R125="","",IF(H125="High","High-severity issue: ",IF(C125="Punch item","Punch item: ","Issue action due: "))&amp;F125&amp;IF(J125="",""," → "&amp;J125))</f>
        <v/>
      </c>
      <c r="T125" s="63">
        <f>IF(O125=1,IF(I125="",0,I125),0)</f>
        <v/>
      </c>
      <c r="U125" s="63">
        <f>IF(AND(O125=1,H125="High"),1,0)</f>
        <v/>
      </c>
      <c r="V125" s="63">
        <f>IF(AND(O125=1,C125="Punch item"),1,0)</f>
        <v/>
      </c>
    </row>
    <row r="126" ht="24" customHeight="1">
      <c r="B126" s="100" t="n">
        <v>119</v>
      </c>
      <c r="C126" s="65" t="n"/>
      <c r="D126" s="81" t="n"/>
      <c r="E126" s="65" t="n"/>
      <c r="F126" s="88" t="n"/>
      <c r="G126" s="65" t="n"/>
      <c r="H126" s="67" t="n"/>
      <c r="I126" s="66" t="n"/>
      <c r="J126" s="88" t="n"/>
      <c r="K126" s="81" t="n"/>
      <c r="L126" s="65" t="n"/>
      <c r="M126" s="81" t="n"/>
      <c r="N126" s="65" t="n"/>
      <c r="O126" s="63">
        <f>IF(AND(F126&lt;&gt;"",L126&lt;&gt;"Resolved"),1,0)</f>
        <v/>
      </c>
      <c r="P126" s="63">
        <f>IF(F126="","",IF(O126=0,0,IF(H126="High",2,1)))</f>
        <v/>
      </c>
      <c r="Q126" s="85">
        <f>IF(O126=1,IF(K126&lt;&gt;"",K126,IF(H126="High",AsOf,"")),"")</f>
        <v/>
      </c>
      <c r="R126" s="63">
        <f>IF(Q126="","",IF(H126="High",1,IF(Q126="","",IF(Q126&lt;AsOf,1,IF(Q126&lt;=AsOf+AlertDays,2,IF(Q126&lt;=AsOf+2*AlertDays,3,""))))))</f>
        <v/>
      </c>
      <c r="S126" s="63">
        <f>IF(R126="","",IF(H126="High","High-severity issue: ",IF(C126="Punch item","Punch item: ","Issue action due: "))&amp;F126&amp;IF(J126="",""," → "&amp;J126))</f>
        <v/>
      </c>
      <c r="T126" s="63">
        <f>IF(O126=1,IF(I126="",0,I126),0)</f>
        <v/>
      </c>
      <c r="U126" s="63">
        <f>IF(AND(O126=1,H126="High"),1,0)</f>
        <v/>
      </c>
      <c r="V126" s="63">
        <f>IF(AND(O126=1,C126="Punch item"),1,0)</f>
        <v/>
      </c>
    </row>
    <row r="127" ht="24" customHeight="1">
      <c r="B127" s="100" t="n">
        <v>120</v>
      </c>
      <c r="C127" s="65" t="n"/>
      <c r="D127" s="81" t="n"/>
      <c r="E127" s="65" t="n"/>
      <c r="F127" s="88" t="n"/>
      <c r="G127" s="65" t="n"/>
      <c r="H127" s="67" t="n"/>
      <c r="I127" s="66" t="n"/>
      <c r="J127" s="88" t="n"/>
      <c r="K127" s="81" t="n"/>
      <c r="L127" s="65" t="n"/>
      <c r="M127" s="81" t="n"/>
      <c r="N127" s="65" t="n"/>
      <c r="O127" s="63">
        <f>IF(AND(F127&lt;&gt;"",L127&lt;&gt;"Resolved"),1,0)</f>
        <v/>
      </c>
      <c r="P127" s="63">
        <f>IF(F127="","",IF(O127=0,0,IF(H127="High",2,1)))</f>
        <v/>
      </c>
      <c r="Q127" s="85">
        <f>IF(O127=1,IF(K127&lt;&gt;"",K127,IF(H127="High",AsOf,"")),"")</f>
        <v/>
      </c>
      <c r="R127" s="63">
        <f>IF(Q127="","",IF(H127="High",1,IF(Q127="","",IF(Q127&lt;AsOf,1,IF(Q127&lt;=AsOf+AlertDays,2,IF(Q127&lt;=AsOf+2*AlertDays,3,""))))))</f>
        <v/>
      </c>
      <c r="S127" s="63">
        <f>IF(R127="","",IF(H127="High","High-severity issue: ",IF(C127="Punch item","Punch item: ","Issue action due: "))&amp;F127&amp;IF(J127="",""," → "&amp;J127))</f>
        <v/>
      </c>
      <c r="T127" s="63">
        <f>IF(O127=1,IF(I127="",0,I127),0)</f>
        <v/>
      </c>
      <c r="U127" s="63">
        <f>IF(AND(O127=1,H127="High"),1,0)</f>
        <v/>
      </c>
      <c r="V127" s="63">
        <f>IF(AND(O127=1,C127="Punch item"),1,0)</f>
        <v/>
      </c>
    </row>
    <row r="128" ht="24" customHeight="1">
      <c r="B128" s="100" t="n">
        <v>121</v>
      </c>
      <c r="C128" s="65" t="n"/>
      <c r="D128" s="81" t="n"/>
      <c r="E128" s="65" t="n"/>
      <c r="F128" s="88" t="n"/>
      <c r="G128" s="65" t="n"/>
      <c r="H128" s="67" t="n"/>
      <c r="I128" s="66" t="n"/>
      <c r="J128" s="88" t="n"/>
      <c r="K128" s="81" t="n"/>
      <c r="L128" s="65" t="n"/>
      <c r="M128" s="81" t="n"/>
      <c r="N128" s="65" t="n"/>
      <c r="O128" s="63">
        <f>IF(AND(F128&lt;&gt;"",L128&lt;&gt;"Resolved"),1,0)</f>
        <v/>
      </c>
      <c r="P128" s="63">
        <f>IF(F128="","",IF(O128=0,0,IF(H128="High",2,1)))</f>
        <v/>
      </c>
      <c r="Q128" s="85">
        <f>IF(O128=1,IF(K128&lt;&gt;"",K128,IF(H128="High",AsOf,"")),"")</f>
        <v/>
      </c>
      <c r="R128" s="63">
        <f>IF(Q128="","",IF(H128="High",1,IF(Q128="","",IF(Q128&lt;AsOf,1,IF(Q128&lt;=AsOf+AlertDays,2,IF(Q128&lt;=AsOf+2*AlertDays,3,""))))))</f>
        <v/>
      </c>
      <c r="S128" s="63">
        <f>IF(R128="","",IF(H128="High","High-severity issue: ",IF(C128="Punch item","Punch item: ","Issue action due: "))&amp;F128&amp;IF(J128="",""," → "&amp;J128))</f>
        <v/>
      </c>
      <c r="T128" s="63">
        <f>IF(O128=1,IF(I128="",0,I128),0)</f>
        <v/>
      </c>
      <c r="U128" s="63">
        <f>IF(AND(O128=1,H128="High"),1,0)</f>
        <v/>
      </c>
      <c r="V128" s="63">
        <f>IF(AND(O128=1,C128="Punch item"),1,0)</f>
        <v/>
      </c>
    </row>
    <row r="129" ht="24" customHeight="1">
      <c r="B129" s="100" t="n">
        <v>122</v>
      </c>
      <c r="C129" s="65" t="n"/>
      <c r="D129" s="81" t="n"/>
      <c r="E129" s="65" t="n"/>
      <c r="F129" s="88" t="n"/>
      <c r="G129" s="65" t="n"/>
      <c r="H129" s="67" t="n"/>
      <c r="I129" s="66" t="n"/>
      <c r="J129" s="88" t="n"/>
      <c r="K129" s="81" t="n"/>
      <c r="L129" s="65" t="n"/>
      <c r="M129" s="81" t="n"/>
      <c r="N129" s="65" t="n"/>
      <c r="O129" s="63">
        <f>IF(AND(F129&lt;&gt;"",L129&lt;&gt;"Resolved"),1,0)</f>
        <v/>
      </c>
      <c r="P129" s="63">
        <f>IF(F129="","",IF(O129=0,0,IF(H129="High",2,1)))</f>
        <v/>
      </c>
      <c r="Q129" s="85">
        <f>IF(O129=1,IF(K129&lt;&gt;"",K129,IF(H129="High",AsOf,"")),"")</f>
        <v/>
      </c>
      <c r="R129" s="63">
        <f>IF(Q129="","",IF(H129="High",1,IF(Q129="","",IF(Q129&lt;AsOf,1,IF(Q129&lt;=AsOf+AlertDays,2,IF(Q129&lt;=AsOf+2*AlertDays,3,""))))))</f>
        <v/>
      </c>
      <c r="S129" s="63">
        <f>IF(R129="","",IF(H129="High","High-severity issue: ",IF(C129="Punch item","Punch item: ","Issue action due: "))&amp;F129&amp;IF(J129="",""," → "&amp;J129))</f>
        <v/>
      </c>
      <c r="T129" s="63">
        <f>IF(O129=1,IF(I129="",0,I129),0)</f>
        <v/>
      </c>
      <c r="U129" s="63">
        <f>IF(AND(O129=1,H129="High"),1,0)</f>
        <v/>
      </c>
      <c r="V129" s="63">
        <f>IF(AND(O129=1,C129="Punch item"),1,0)</f>
        <v/>
      </c>
    </row>
    <row r="130" ht="24" customHeight="1">
      <c r="B130" s="100" t="n">
        <v>123</v>
      </c>
      <c r="C130" s="65" t="n"/>
      <c r="D130" s="81" t="n"/>
      <c r="E130" s="65" t="n"/>
      <c r="F130" s="88" t="n"/>
      <c r="G130" s="65" t="n"/>
      <c r="H130" s="67" t="n"/>
      <c r="I130" s="66" t="n"/>
      <c r="J130" s="88" t="n"/>
      <c r="K130" s="81" t="n"/>
      <c r="L130" s="65" t="n"/>
      <c r="M130" s="81" t="n"/>
      <c r="N130" s="65" t="n"/>
      <c r="O130" s="63">
        <f>IF(AND(F130&lt;&gt;"",L130&lt;&gt;"Resolved"),1,0)</f>
        <v/>
      </c>
      <c r="P130" s="63">
        <f>IF(F130="","",IF(O130=0,0,IF(H130="High",2,1)))</f>
        <v/>
      </c>
      <c r="Q130" s="85">
        <f>IF(O130=1,IF(K130&lt;&gt;"",K130,IF(H130="High",AsOf,"")),"")</f>
        <v/>
      </c>
      <c r="R130" s="63">
        <f>IF(Q130="","",IF(H130="High",1,IF(Q130="","",IF(Q130&lt;AsOf,1,IF(Q130&lt;=AsOf+AlertDays,2,IF(Q130&lt;=AsOf+2*AlertDays,3,""))))))</f>
        <v/>
      </c>
      <c r="S130" s="63">
        <f>IF(R130="","",IF(H130="High","High-severity issue: ",IF(C130="Punch item","Punch item: ","Issue action due: "))&amp;F130&amp;IF(J130="",""," → "&amp;J130))</f>
        <v/>
      </c>
      <c r="T130" s="63">
        <f>IF(O130=1,IF(I130="",0,I130),0)</f>
        <v/>
      </c>
      <c r="U130" s="63">
        <f>IF(AND(O130=1,H130="High"),1,0)</f>
        <v/>
      </c>
      <c r="V130" s="63">
        <f>IF(AND(O130=1,C130="Punch item"),1,0)</f>
        <v/>
      </c>
    </row>
    <row r="131" ht="24" customHeight="1">
      <c r="B131" s="100" t="n">
        <v>124</v>
      </c>
      <c r="C131" s="65" t="n"/>
      <c r="D131" s="81" t="n"/>
      <c r="E131" s="65" t="n"/>
      <c r="F131" s="88" t="n"/>
      <c r="G131" s="65" t="n"/>
      <c r="H131" s="67" t="n"/>
      <c r="I131" s="66" t="n"/>
      <c r="J131" s="88" t="n"/>
      <c r="K131" s="81" t="n"/>
      <c r="L131" s="65" t="n"/>
      <c r="M131" s="81" t="n"/>
      <c r="N131" s="65" t="n"/>
      <c r="O131" s="63">
        <f>IF(AND(F131&lt;&gt;"",L131&lt;&gt;"Resolved"),1,0)</f>
        <v/>
      </c>
      <c r="P131" s="63">
        <f>IF(F131="","",IF(O131=0,0,IF(H131="High",2,1)))</f>
        <v/>
      </c>
      <c r="Q131" s="85">
        <f>IF(O131=1,IF(K131&lt;&gt;"",K131,IF(H131="High",AsOf,"")),"")</f>
        <v/>
      </c>
      <c r="R131" s="63">
        <f>IF(Q131="","",IF(H131="High",1,IF(Q131="","",IF(Q131&lt;AsOf,1,IF(Q131&lt;=AsOf+AlertDays,2,IF(Q131&lt;=AsOf+2*AlertDays,3,""))))))</f>
        <v/>
      </c>
      <c r="S131" s="63">
        <f>IF(R131="","",IF(H131="High","High-severity issue: ",IF(C131="Punch item","Punch item: ","Issue action due: "))&amp;F131&amp;IF(J131="",""," → "&amp;J131))</f>
        <v/>
      </c>
      <c r="T131" s="63">
        <f>IF(O131=1,IF(I131="",0,I131),0)</f>
        <v/>
      </c>
      <c r="U131" s="63">
        <f>IF(AND(O131=1,H131="High"),1,0)</f>
        <v/>
      </c>
      <c r="V131" s="63">
        <f>IF(AND(O131=1,C131="Punch item"),1,0)</f>
        <v/>
      </c>
    </row>
    <row r="132" ht="24" customHeight="1">
      <c r="B132" s="100" t="n">
        <v>125</v>
      </c>
      <c r="C132" s="65" t="n"/>
      <c r="D132" s="81" t="n"/>
      <c r="E132" s="65" t="n"/>
      <c r="F132" s="88" t="n"/>
      <c r="G132" s="65" t="n"/>
      <c r="H132" s="67" t="n"/>
      <c r="I132" s="66" t="n"/>
      <c r="J132" s="88" t="n"/>
      <c r="K132" s="81" t="n"/>
      <c r="L132" s="65" t="n"/>
      <c r="M132" s="81" t="n"/>
      <c r="N132" s="65" t="n"/>
      <c r="O132" s="63">
        <f>IF(AND(F132&lt;&gt;"",L132&lt;&gt;"Resolved"),1,0)</f>
        <v/>
      </c>
      <c r="P132" s="63">
        <f>IF(F132="","",IF(O132=0,0,IF(H132="High",2,1)))</f>
        <v/>
      </c>
      <c r="Q132" s="85">
        <f>IF(O132=1,IF(K132&lt;&gt;"",K132,IF(H132="High",AsOf,"")),"")</f>
        <v/>
      </c>
      <c r="R132" s="63">
        <f>IF(Q132="","",IF(H132="High",1,IF(Q132="","",IF(Q132&lt;AsOf,1,IF(Q132&lt;=AsOf+AlertDays,2,IF(Q132&lt;=AsOf+2*AlertDays,3,""))))))</f>
        <v/>
      </c>
      <c r="S132" s="63">
        <f>IF(R132="","",IF(H132="High","High-severity issue: ",IF(C132="Punch item","Punch item: ","Issue action due: "))&amp;F132&amp;IF(J132="",""," → "&amp;J132))</f>
        <v/>
      </c>
      <c r="T132" s="63">
        <f>IF(O132=1,IF(I132="",0,I132),0)</f>
        <v/>
      </c>
      <c r="U132" s="63">
        <f>IF(AND(O132=1,H132="High"),1,0)</f>
        <v/>
      </c>
      <c r="V132" s="63">
        <f>IF(AND(O132=1,C132="Punch item"),1,0)</f>
        <v/>
      </c>
    </row>
    <row r="133" ht="24" customHeight="1">
      <c r="B133" s="100" t="n">
        <v>126</v>
      </c>
      <c r="C133" s="65" t="n"/>
      <c r="D133" s="81" t="n"/>
      <c r="E133" s="65" t="n"/>
      <c r="F133" s="88" t="n"/>
      <c r="G133" s="65" t="n"/>
      <c r="H133" s="67" t="n"/>
      <c r="I133" s="66" t="n"/>
      <c r="J133" s="88" t="n"/>
      <c r="K133" s="81" t="n"/>
      <c r="L133" s="65" t="n"/>
      <c r="M133" s="81" t="n"/>
      <c r="N133" s="65" t="n"/>
      <c r="O133" s="63">
        <f>IF(AND(F133&lt;&gt;"",L133&lt;&gt;"Resolved"),1,0)</f>
        <v/>
      </c>
      <c r="P133" s="63">
        <f>IF(F133="","",IF(O133=0,0,IF(H133="High",2,1)))</f>
        <v/>
      </c>
      <c r="Q133" s="85">
        <f>IF(O133=1,IF(K133&lt;&gt;"",K133,IF(H133="High",AsOf,"")),"")</f>
        <v/>
      </c>
      <c r="R133" s="63">
        <f>IF(Q133="","",IF(H133="High",1,IF(Q133="","",IF(Q133&lt;AsOf,1,IF(Q133&lt;=AsOf+AlertDays,2,IF(Q133&lt;=AsOf+2*AlertDays,3,""))))))</f>
        <v/>
      </c>
      <c r="S133" s="63">
        <f>IF(R133="","",IF(H133="High","High-severity issue: ",IF(C133="Punch item","Punch item: ","Issue action due: "))&amp;F133&amp;IF(J133="",""," → "&amp;J133))</f>
        <v/>
      </c>
      <c r="T133" s="63">
        <f>IF(O133=1,IF(I133="",0,I133),0)</f>
        <v/>
      </c>
      <c r="U133" s="63">
        <f>IF(AND(O133=1,H133="High"),1,0)</f>
        <v/>
      </c>
      <c r="V133" s="63">
        <f>IF(AND(O133=1,C133="Punch item"),1,0)</f>
        <v/>
      </c>
    </row>
    <row r="134" ht="24" customHeight="1">
      <c r="B134" s="100" t="n">
        <v>127</v>
      </c>
      <c r="C134" s="65" t="n"/>
      <c r="D134" s="81" t="n"/>
      <c r="E134" s="65" t="n"/>
      <c r="F134" s="88" t="n"/>
      <c r="G134" s="65" t="n"/>
      <c r="H134" s="67" t="n"/>
      <c r="I134" s="66" t="n"/>
      <c r="J134" s="88" t="n"/>
      <c r="K134" s="81" t="n"/>
      <c r="L134" s="65" t="n"/>
      <c r="M134" s="81" t="n"/>
      <c r="N134" s="65" t="n"/>
      <c r="O134" s="63">
        <f>IF(AND(F134&lt;&gt;"",L134&lt;&gt;"Resolved"),1,0)</f>
        <v/>
      </c>
      <c r="P134" s="63">
        <f>IF(F134="","",IF(O134=0,0,IF(H134="High",2,1)))</f>
        <v/>
      </c>
      <c r="Q134" s="85">
        <f>IF(O134=1,IF(K134&lt;&gt;"",K134,IF(H134="High",AsOf,"")),"")</f>
        <v/>
      </c>
      <c r="R134" s="63">
        <f>IF(Q134="","",IF(H134="High",1,IF(Q134="","",IF(Q134&lt;AsOf,1,IF(Q134&lt;=AsOf+AlertDays,2,IF(Q134&lt;=AsOf+2*AlertDays,3,""))))))</f>
        <v/>
      </c>
      <c r="S134" s="63">
        <f>IF(R134="","",IF(H134="High","High-severity issue: ",IF(C134="Punch item","Punch item: ","Issue action due: "))&amp;F134&amp;IF(J134="",""," → "&amp;J134))</f>
        <v/>
      </c>
      <c r="T134" s="63">
        <f>IF(O134=1,IF(I134="",0,I134),0)</f>
        <v/>
      </c>
      <c r="U134" s="63">
        <f>IF(AND(O134=1,H134="High"),1,0)</f>
        <v/>
      </c>
      <c r="V134" s="63">
        <f>IF(AND(O134=1,C134="Punch item"),1,0)</f>
        <v/>
      </c>
    </row>
    <row r="135" ht="24" customHeight="1">
      <c r="B135" s="100" t="n">
        <v>128</v>
      </c>
      <c r="C135" s="65" t="n"/>
      <c r="D135" s="81" t="n"/>
      <c r="E135" s="65" t="n"/>
      <c r="F135" s="88" t="n"/>
      <c r="G135" s="65" t="n"/>
      <c r="H135" s="67" t="n"/>
      <c r="I135" s="66" t="n"/>
      <c r="J135" s="88" t="n"/>
      <c r="K135" s="81" t="n"/>
      <c r="L135" s="65" t="n"/>
      <c r="M135" s="81" t="n"/>
      <c r="N135" s="65" t="n"/>
      <c r="O135" s="63">
        <f>IF(AND(F135&lt;&gt;"",L135&lt;&gt;"Resolved"),1,0)</f>
        <v/>
      </c>
      <c r="P135" s="63">
        <f>IF(F135="","",IF(O135=0,0,IF(H135="High",2,1)))</f>
        <v/>
      </c>
      <c r="Q135" s="85">
        <f>IF(O135=1,IF(K135&lt;&gt;"",K135,IF(H135="High",AsOf,"")),"")</f>
        <v/>
      </c>
      <c r="R135" s="63">
        <f>IF(Q135="","",IF(H135="High",1,IF(Q135="","",IF(Q135&lt;AsOf,1,IF(Q135&lt;=AsOf+AlertDays,2,IF(Q135&lt;=AsOf+2*AlertDays,3,""))))))</f>
        <v/>
      </c>
      <c r="S135" s="63">
        <f>IF(R135="","",IF(H135="High","High-severity issue: ",IF(C135="Punch item","Punch item: ","Issue action due: "))&amp;F135&amp;IF(J135="",""," → "&amp;J135))</f>
        <v/>
      </c>
      <c r="T135" s="63">
        <f>IF(O135=1,IF(I135="",0,I135),0)</f>
        <v/>
      </c>
      <c r="U135" s="63">
        <f>IF(AND(O135=1,H135="High"),1,0)</f>
        <v/>
      </c>
      <c r="V135" s="63">
        <f>IF(AND(O135=1,C135="Punch item"),1,0)</f>
        <v/>
      </c>
    </row>
    <row r="136" ht="24" customHeight="1">
      <c r="B136" s="100" t="n">
        <v>129</v>
      </c>
      <c r="C136" s="65" t="n"/>
      <c r="D136" s="81" t="n"/>
      <c r="E136" s="65" t="n"/>
      <c r="F136" s="88" t="n"/>
      <c r="G136" s="65" t="n"/>
      <c r="H136" s="67" t="n"/>
      <c r="I136" s="66" t="n"/>
      <c r="J136" s="88" t="n"/>
      <c r="K136" s="81" t="n"/>
      <c r="L136" s="65" t="n"/>
      <c r="M136" s="81" t="n"/>
      <c r="N136" s="65" t="n"/>
      <c r="O136" s="63">
        <f>IF(AND(F136&lt;&gt;"",L136&lt;&gt;"Resolved"),1,0)</f>
        <v/>
      </c>
      <c r="P136" s="63">
        <f>IF(F136="","",IF(O136=0,0,IF(H136="High",2,1)))</f>
        <v/>
      </c>
      <c r="Q136" s="85">
        <f>IF(O136=1,IF(K136&lt;&gt;"",K136,IF(H136="High",AsOf,"")),"")</f>
        <v/>
      </c>
      <c r="R136" s="63">
        <f>IF(Q136="","",IF(H136="High",1,IF(Q136="","",IF(Q136&lt;AsOf,1,IF(Q136&lt;=AsOf+AlertDays,2,IF(Q136&lt;=AsOf+2*AlertDays,3,""))))))</f>
        <v/>
      </c>
      <c r="S136" s="63">
        <f>IF(R136="","",IF(H136="High","High-severity issue: ",IF(C136="Punch item","Punch item: ","Issue action due: "))&amp;F136&amp;IF(J136="",""," → "&amp;J136))</f>
        <v/>
      </c>
      <c r="T136" s="63">
        <f>IF(O136=1,IF(I136="",0,I136),0)</f>
        <v/>
      </c>
      <c r="U136" s="63">
        <f>IF(AND(O136=1,H136="High"),1,0)</f>
        <v/>
      </c>
      <c r="V136" s="63">
        <f>IF(AND(O136=1,C136="Punch item"),1,0)</f>
        <v/>
      </c>
    </row>
    <row r="137" ht="24" customHeight="1">
      <c r="B137" s="100" t="n">
        <v>130</v>
      </c>
      <c r="C137" s="65" t="n"/>
      <c r="D137" s="81" t="n"/>
      <c r="E137" s="65" t="n"/>
      <c r="F137" s="88" t="n"/>
      <c r="G137" s="65" t="n"/>
      <c r="H137" s="67" t="n"/>
      <c r="I137" s="66" t="n"/>
      <c r="J137" s="88" t="n"/>
      <c r="K137" s="81" t="n"/>
      <c r="L137" s="65" t="n"/>
      <c r="M137" s="81" t="n"/>
      <c r="N137" s="65" t="n"/>
      <c r="O137" s="63">
        <f>IF(AND(F137&lt;&gt;"",L137&lt;&gt;"Resolved"),1,0)</f>
        <v/>
      </c>
      <c r="P137" s="63">
        <f>IF(F137="","",IF(O137=0,0,IF(H137="High",2,1)))</f>
        <v/>
      </c>
      <c r="Q137" s="85">
        <f>IF(O137=1,IF(K137&lt;&gt;"",K137,IF(H137="High",AsOf,"")),"")</f>
        <v/>
      </c>
      <c r="R137" s="63">
        <f>IF(Q137="","",IF(H137="High",1,IF(Q137="","",IF(Q137&lt;AsOf,1,IF(Q137&lt;=AsOf+AlertDays,2,IF(Q137&lt;=AsOf+2*AlertDays,3,""))))))</f>
        <v/>
      </c>
      <c r="S137" s="63">
        <f>IF(R137="","",IF(H137="High","High-severity issue: ",IF(C137="Punch item","Punch item: ","Issue action due: "))&amp;F137&amp;IF(J137="",""," → "&amp;J137))</f>
        <v/>
      </c>
      <c r="T137" s="63">
        <f>IF(O137=1,IF(I137="",0,I137),0)</f>
        <v/>
      </c>
      <c r="U137" s="63">
        <f>IF(AND(O137=1,H137="High"),1,0)</f>
        <v/>
      </c>
      <c r="V137" s="63">
        <f>IF(AND(O137=1,C137="Punch item"),1,0)</f>
        <v/>
      </c>
    </row>
    <row r="138" ht="24" customHeight="1">
      <c r="B138" s="100" t="n">
        <v>131</v>
      </c>
      <c r="C138" s="65" t="n"/>
      <c r="D138" s="81" t="n"/>
      <c r="E138" s="65" t="n"/>
      <c r="F138" s="88" t="n"/>
      <c r="G138" s="65" t="n"/>
      <c r="H138" s="67" t="n"/>
      <c r="I138" s="66" t="n"/>
      <c r="J138" s="88" t="n"/>
      <c r="K138" s="81" t="n"/>
      <c r="L138" s="65" t="n"/>
      <c r="M138" s="81" t="n"/>
      <c r="N138" s="65" t="n"/>
      <c r="O138" s="63">
        <f>IF(AND(F138&lt;&gt;"",L138&lt;&gt;"Resolved"),1,0)</f>
        <v/>
      </c>
      <c r="P138" s="63">
        <f>IF(F138="","",IF(O138=0,0,IF(H138="High",2,1)))</f>
        <v/>
      </c>
      <c r="Q138" s="85">
        <f>IF(O138=1,IF(K138&lt;&gt;"",K138,IF(H138="High",AsOf,"")),"")</f>
        <v/>
      </c>
      <c r="R138" s="63">
        <f>IF(Q138="","",IF(H138="High",1,IF(Q138="","",IF(Q138&lt;AsOf,1,IF(Q138&lt;=AsOf+AlertDays,2,IF(Q138&lt;=AsOf+2*AlertDays,3,""))))))</f>
        <v/>
      </c>
      <c r="S138" s="63">
        <f>IF(R138="","",IF(H138="High","High-severity issue: ",IF(C138="Punch item","Punch item: ","Issue action due: "))&amp;F138&amp;IF(J138="",""," → "&amp;J138))</f>
        <v/>
      </c>
      <c r="T138" s="63">
        <f>IF(O138=1,IF(I138="",0,I138),0)</f>
        <v/>
      </c>
      <c r="U138" s="63">
        <f>IF(AND(O138=1,H138="High"),1,0)</f>
        <v/>
      </c>
      <c r="V138" s="63">
        <f>IF(AND(O138=1,C138="Punch item"),1,0)</f>
        <v/>
      </c>
    </row>
    <row r="139" ht="24" customHeight="1">
      <c r="B139" s="100" t="n">
        <v>132</v>
      </c>
      <c r="C139" s="65" t="n"/>
      <c r="D139" s="81" t="n"/>
      <c r="E139" s="65" t="n"/>
      <c r="F139" s="88" t="n"/>
      <c r="G139" s="65" t="n"/>
      <c r="H139" s="67" t="n"/>
      <c r="I139" s="66" t="n"/>
      <c r="J139" s="88" t="n"/>
      <c r="K139" s="81" t="n"/>
      <c r="L139" s="65" t="n"/>
      <c r="M139" s="81" t="n"/>
      <c r="N139" s="65" t="n"/>
      <c r="O139" s="63">
        <f>IF(AND(F139&lt;&gt;"",L139&lt;&gt;"Resolved"),1,0)</f>
        <v/>
      </c>
      <c r="P139" s="63">
        <f>IF(F139="","",IF(O139=0,0,IF(H139="High",2,1)))</f>
        <v/>
      </c>
      <c r="Q139" s="85">
        <f>IF(O139=1,IF(K139&lt;&gt;"",K139,IF(H139="High",AsOf,"")),"")</f>
        <v/>
      </c>
      <c r="R139" s="63">
        <f>IF(Q139="","",IF(H139="High",1,IF(Q139="","",IF(Q139&lt;AsOf,1,IF(Q139&lt;=AsOf+AlertDays,2,IF(Q139&lt;=AsOf+2*AlertDays,3,""))))))</f>
        <v/>
      </c>
      <c r="S139" s="63">
        <f>IF(R139="","",IF(H139="High","High-severity issue: ",IF(C139="Punch item","Punch item: ","Issue action due: "))&amp;F139&amp;IF(J139="",""," → "&amp;J139))</f>
        <v/>
      </c>
      <c r="T139" s="63">
        <f>IF(O139=1,IF(I139="",0,I139),0)</f>
        <v/>
      </c>
      <c r="U139" s="63">
        <f>IF(AND(O139=1,H139="High"),1,0)</f>
        <v/>
      </c>
      <c r="V139" s="63">
        <f>IF(AND(O139=1,C139="Punch item"),1,0)</f>
        <v/>
      </c>
    </row>
    <row r="140" ht="24" customHeight="1">
      <c r="B140" s="100" t="n">
        <v>133</v>
      </c>
      <c r="C140" s="65" t="n"/>
      <c r="D140" s="81" t="n"/>
      <c r="E140" s="65" t="n"/>
      <c r="F140" s="88" t="n"/>
      <c r="G140" s="65" t="n"/>
      <c r="H140" s="67" t="n"/>
      <c r="I140" s="66" t="n"/>
      <c r="J140" s="88" t="n"/>
      <c r="K140" s="81" t="n"/>
      <c r="L140" s="65" t="n"/>
      <c r="M140" s="81" t="n"/>
      <c r="N140" s="65" t="n"/>
      <c r="O140" s="63">
        <f>IF(AND(F140&lt;&gt;"",L140&lt;&gt;"Resolved"),1,0)</f>
        <v/>
      </c>
      <c r="P140" s="63">
        <f>IF(F140="","",IF(O140=0,0,IF(H140="High",2,1)))</f>
        <v/>
      </c>
      <c r="Q140" s="85">
        <f>IF(O140=1,IF(K140&lt;&gt;"",K140,IF(H140="High",AsOf,"")),"")</f>
        <v/>
      </c>
      <c r="R140" s="63">
        <f>IF(Q140="","",IF(H140="High",1,IF(Q140="","",IF(Q140&lt;AsOf,1,IF(Q140&lt;=AsOf+AlertDays,2,IF(Q140&lt;=AsOf+2*AlertDays,3,""))))))</f>
        <v/>
      </c>
      <c r="S140" s="63">
        <f>IF(R140="","",IF(H140="High","High-severity issue: ",IF(C140="Punch item","Punch item: ","Issue action due: "))&amp;F140&amp;IF(J140="",""," → "&amp;J140))</f>
        <v/>
      </c>
      <c r="T140" s="63">
        <f>IF(O140=1,IF(I140="",0,I140),0)</f>
        <v/>
      </c>
      <c r="U140" s="63">
        <f>IF(AND(O140=1,H140="High"),1,0)</f>
        <v/>
      </c>
      <c r="V140" s="63">
        <f>IF(AND(O140=1,C140="Punch item"),1,0)</f>
        <v/>
      </c>
    </row>
    <row r="141" ht="24" customHeight="1">
      <c r="B141" s="100" t="n">
        <v>134</v>
      </c>
      <c r="C141" s="65" t="n"/>
      <c r="D141" s="81" t="n"/>
      <c r="E141" s="65" t="n"/>
      <c r="F141" s="88" t="n"/>
      <c r="G141" s="65" t="n"/>
      <c r="H141" s="67" t="n"/>
      <c r="I141" s="66" t="n"/>
      <c r="J141" s="88" t="n"/>
      <c r="K141" s="81" t="n"/>
      <c r="L141" s="65" t="n"/>
      <c r="M141" s="81" t="n"/>
      <c r="N141" s="65" t="n"/>
      <c r="O141" s="63">
        <f>IF(AND(F141&lt;&gt;"",L141&lt;&gt;"Resolved"),1,0)</f>
        <v/>
      </c>
      <c r="P141" s="63">
        <f>IF(F141="","",IF(O141=0,0,IF(H141="High",2,1)))</f>
        <v/>
      </c>
      <c r="Q141" s="85">
        <f>IF(O141=1,IF(K141&lt;&gt;"",K141,IF(H141="High",AsOf,"")),"")</f>
        <v/>
      </c>
      <c r="R141" s="63">
        <f>IF(Q141="","",IF(H141="High",1,IF(Q141="","",IF(Q141&lt;AsOf,1,IF(Q141&lt;=AsOf+AlertDays,2,IF(Q141&lt;=AsOf+2*AlertDays,3,""))))))</f>
        <v/>
      </c>
      <c r="S141" s="63">
        <f>IF(R141="","",IF(H141="High","High-severity issue: ",IF(C141="Punch item","Punch item: ","Issue action due: "))&amp;F141&amp;IF(J141="",""," → "&amp;J141))</f>
        <v/>
      </c>
      <c r="T141" s="63">
        <f>IF(O141=1,IF(I141="",0,I141),0)</f>
        <v/>
      </c>
      <c r="U141" s="63">
        <f>IF(AND(O141=1,H141="High"),1,0)</f>
        <v/>
      </c>
      <c r="V141" s="63">
        <f>IF(AND(O141=1,C141="Punch item"),1,0)</f>
        <v/>
      </c>
    </row>
    <row r="142" ht="24" customHeight="1">
      <c r="B142" s="100" t="n">
        <v>135</v>
      </c>
      <c r="C142" s="65" t="n"/>
      <c r="D142" s="81" t="n"/>
      <c r="E142" s="65" t="n"/>
      <c r="F142" s="88" t="n"/>
      <c r="G142" s="65" t="n"/>
      <c r="H142" s="67" t="n"/>
      <c r="I142" s="66" t="n"/>
      <c r="J142" s="88" t="n"/>
      <c r="K142" s="81" t="n"/>
      <c r="L142" s="65" t="n"/>
      <c r="M142" s="81" t="n"/>
      <c r="N142" s="65" t="n"/>
      <c r="O142" s="63">
        <f>IF(AND(F142&lt;&gt;"",L142&lt;&gt;"Resolved"),1,0)</f>
        <v/>
      </c>
      <c r="P142" s="63">
        <f>IF(F142="","",IF(O142=0,0,IF(H142="High",2,1)))</f>
        <v/>
      </c>
      <c r="Q142" s="85">
        <f>IF(O142=1,IF(K142&lt;&gt;"",K142,IF(H142="High",AsOf,"")),"")</f>
        <v/>
      </c>
      <c r="R142" s="63">
        <f>IF(Q142="","",IF(H142="High",1,IF(Q142="","",IF(Q142&lt;AsOf,1,IF(Q142&lt;=AsOf+AlertDays,2,IF(Q142&lt;=AsOf+2*AlertDays,3,""))))))</f>
        <v/>
      </c>
      <c r="S142" s="63">
        <f>IF(R142="","",IF(H142="High","High-severity issue: ",IF(C142="Punch item","Punch item: ","Issue action due: "))&amp;F142&amp;IF(J142="",""," → "&amp;J142))</f>
        <v/>
      </c>
      <c r="T142" s="63">
        <f>IF(O142=1,IF(I142="",0,I142),0)</f>
        <v/>
      </c>
      <c r="U142" s="63">
        <f>IF(AND(O142=1,H142="High"),1,0)</f>
        <v/>
      </c>
      <c r="V142" s="63">
        <f>IF(AND(O142=1,C142="Punch item"),1,0)</f>
        <v/>
      </c>
    </row>
    <row r="143" ht="24" customHeight="1">
      <c r="B143" s="100" t="n">
        <v>136</v>
      </c>
      <c r="C143" s="65" t="n"/>
      <c r="D143" s="81" t="n"/>
      <c r="E143" s="65" t="n"/>
      <c r="F143" s="88" t="n"/>
      <c r="G143" s="65" t="n"/>
      <c r="H143" s="67" t="n"/>
      <c r="I143" s="66" t="n"/>
      <c r="J143" s="88" t="n"/>
      <c r="K143" s="81" t="n"/>
      <c r="L143" s="65" t="n"/>
      <c r="M143" s="81" t="n"/>
      <c r="N143" s="65" t="n"/>
      <c r="O143" s="63">
        <f>IF(AND(F143&lt;&gt;"",L143&lt;&gt;"Resolved"),1,0)</f>
        <v/>
      </c>
      <c r="P143" s="63">
        <f>IF(F143="","",IF(O143=0,0,IF(H143="High",2,1)))</f>
        <v/>
      </c>
      <c r="Q143" s="85">
        <f>IF(O143=1,IF(K143&lt;&gt;"",K143,IF(H143="High",AsOf,"")),"")</f>
        <v/>
      </c>
      <c r="R143" s="63">
        <f>IF(Q143="","",IF(H143="High",1,IF(Q143="","",IF(Q143&lt;AsOf,1,IF(Q143&lt;=AsOf+AlertDays,2,IF(Q143&lt;=AsOf+2*AlertDays,3,""))))))</f>
        <v/>
      </c>
      <c r="S143" s="63">
        <f>IF(R143="","",IF(H143="High","High-severity issue: ",IF(C143="Punch item","Punch item: ","Issue action due: "))&amp;F143&amp;IF(J143="",""," → "&amp;J143))</f>
        <v/>
      </c>
      <c r="T143" s="63">
        <f>IF(O143=1,IF(I143="",0,I143),0)</f>
        <v/>
      </c>
      <c r="U143" s="63">
        <f>IF(AND(O143=1,H143="High"),1,0)</f>
        <v/>
      </c>
      <c r="V143" s="63">
        <f>IF(AND(O143=1,C143="Punch item"),1,0)</f>
        <v/>
      </c>
    </row>
    <row r="144" ht="24" customHeight="1">
      <c r="B144" s="100" t="n">
        <v>137</v>
      </c>
      <c r="C144" s="65" t="n"/>
      <c r="D144" s="81" t="n"/>
      <c r="E144" s="65" t="n"/>
      <c r="F144" s="88" t="n"/>
      <c r="G144" s="65" t="n"/>
      <c r="H144" s="67" t="n"/>
      <c r="I144" s="66" t="n"/>
      <c r="J144" s="88" t="n"/>
      <c r="K144" s="81" t="n"/>
      <c r="L144" s="65" t="n"/>
      <c r="M144" s="81" t="n"/>
      <c r="N144" s="65" t="n"/>
      <c r="O144" s="63">
        <f>IF(AND(F144&lt;&gt;"",L144&lt;&gt;"Resolved"),1,0)</f>
        <v/>
      </c>
      <c r="P144" s="63">
        <f>IF(F144="","",IF(O144=0,0,IF(H144="High",2,1)))</f>
        <v/>
      </c>
      <c r="Q144" s="85">
        <f>IF(O144=1,IF(K144&lt;&gt;"",K144,IF(H144="High",AsOf,"")),"")</f>
        <v/>
      </c>
      <c r="R144" s="63">
        <f>IF(Q144="","",IF(H144="High",1,IF(Q144="","",IF(Q144&lt;AsOf,1,IF(Q144&lt;=AsOf+AlertDays,2,IF(Q144&lt;=AsOf+2*AlertDays,3,""))))))</f>
        <v/>
      </c>
      <c r="S144" s="63">
        <f>IF(R144="","",IF(H144="High","High-severity issue: ",IF(C144="Punch item","Punch item: ","Issue action due: "))&amp;F144&amp;IF(J144="",""," → "&amp;J144))</f>
        <v/>
      </c>
      <c r="T144" s="63">
        <f>IF(O144=1,IF(I144="",0,I144),0)</f>
        <v/>
      </c>
      <c r="U144" s="63">
        <f>IF(AND(O144=1,H144="High"),1,0)</f>
        <v/>
      </c>
      <c r="V144" s="63">
        <f>IF(AND(O144=1,C144="Punch item"),1,0)</f>
        <v/>
      </c>
    </row>
    <row r="145" ht="24" customHeight="1">
      <c r="B145" s="100" t="n">
        <v>138</v>
      </c>
      <c r="C145" s="65" t="n"/>
      <c r="D145" s="81" t="n"/>
      <c r="E145" s="65" t="n"/>
      <c r="F145" s="88" t="n"/>
      <c r="G145" s="65" t="n"/>
      <c r="H145" s="67" t="n"/>
      <c r="I145" s="66" t="n"/>
      <c r="J145" s="88" t="n"/>
      <c r="K145" s="81" t="n"/>
      <c r="L145" s="65" t="n"/>
      <c r="M145" s="81" t="n"/>
      <c r="N145" s="65" t="n"/>
      <c r="O145" s="63">
        <f>IF(AND(F145&lt;&gt;"",L145&lt;&gt;"Resolved"),1,0)</f>
        <v/>
      </c>
      <c r="P145" s="63">
        <f>IF(F145="","",IF(O145=0,0,IF(H145="High",2,1)))</f>
        <v/>
      </c>
      <c r="Q145" s="85">
        <f>IF(O145=1,IF(K145&lt;&gt;"",K145,IF(H145="High",AsOf,"")),"")</f>
        <v/>
      </c>
      <c r="R145" s="63">
        <f>IF(Q145="","",IF(H145="High",1,IF(Q145="","",IF(Q145&lt;AsOf,1,IF(Q145&lt;=AsOf+AlertDays,2,IF(Q145&lt;=AsOf+2*AlertDays,3,""))))))</f>
        <v/>
      </c>
      <c r="S145" s="63">
        <f>IF(R145="","",IF(H145="High","High-severity issue: ",IF(C145="Punch item","Punch item: ","Issue action due: "))&amp;F145&amp;IF(J145="",""," → "&amp;J145))</f>
        <v/>
      </c>
      <c r="T145" s="63">
        <f>IF(O145=1,IF(I145="",0,I145),0)</f>
        <v/>
      </c>
      <c r="U145" s="63">
        <f>IF(AND(O145=1,H145="High"),1,0)</f>
        <v/>
      </c>
      <c r="V145" s="63">
        <f>IF(AND(O145=1,C145="Punch item"),1,0)</f>
        <v/>
      </c>
    </row>
    <row r="146" ht="24" customHeight="1">
      <c r="B146" s="100" t="n">
        <v>139</v>
      </c>
      <c r="C146" s="65" t="n"/>
      <c r="D146" s="81" t="n"/>
      <c r="E146" s="65" t="n"/>
      <c r="F146" s="88" t="n"/>
      <c r="G146" s="65" t="n"/>
      <c r="H146" s="67" t="n"/>
      <c r="I146" s="66" t="n"/>
      <c r="J146" s="88" t="n"/>
      <c r="K146" s="81" t="n"/>
      <c r="L146" s="65" t="n"/>
      <c r="M146" s="81" t="n"/>
      <c r="N146" s="65" t="n"/>
      <c r="O146" s="63">
        <f>IF(AND(F146&lt;&gt;"",L146&lt;&gt;"Resolved"),1,0)</f>
        <v/>
      </c>
      <c r="P146" s="63">
        <f>IF(F146="","",IF(O146=0,0,IF(H146="High",2,1)))</f>
        <v/>
      </c>
      <c r="Q146" s="85">
        <f>IF(O146=1,IF(K146&lt;&gt;"",K146,IF(H146="High",AsOf,"")),"")</f>
        <v/>
      </c>
      <c r="R146" s="63">
        <f>IF(Q146="","",IF(H146="High",1,IF(Q146="","",IF(Q146&lt;AsOf,1,IF(Q146&lt;=AsOf+AlertDays,2,IF(Q146&lt;=AsOf+2*AlertDays,3,""))))))</f>
        <v/>
      </c>
      <c r="S146" s="63">
        <f>IF(R146="","",IF(H146="High","High-severity issue: ",IF(C146="Punch item","Punch item: ","Issue action due: "))&amp;F146&amp;IF(J146="",""," → "&amp;J146))</f>
        <v/>
      </c>
      <c r="T146" s="63">
        <f>IF(O146=1,IF(I146="",0,I146),0)</f>
        <v/>
      </c>
      <c r="U146" s="63">
        <f>IF(AND(O146=1,H146="High"),1,0)</f>
        <v/>
      </c>
      <c r="V146" s="63">
        <f>IF(AND(O146=1,C146="Punch item"),1,0)</f>
        <v/>
      </c>
    </row>
    <row r="147" ht="24" customHeight="1">
      <c r="B147" s="100" t="n">
        <v>140</v>
      </c>
      <c r="C147" s="65" t="n"/>
      <c r="D147" s="81" t="n"/>
      <c r="E147" s="65" t="n"/>
      <c r="F147" s="88" t="n"/>
      <c r="G147" s="65" t="n"/>
      <c r="H147" s="67" t="n"/>
      <c r="I147" s="66" t="n"/>
      <c r="J147" s="88" t="n"/>
      <c r="K147" s="81" t="n"/>
      <c r="L147" s="65" t="n"/>
      <c r="M147" s="81" t="n"/>
      <c r="N147" s="65" t="n"/>
      <c r="O147" s="63">
        <f>IF(AND(F147&lt;&gt;"",L147&lt;&gt;"Resolved"),1,0)</f>
        <v/>
      </c>
      <c r="P147" s="63">
        <f>IF(F147="","",IF(O147=0,0,IF(H147="High",2,1)))</f>
        <v/>
      </c>
      <c r="Q147" s="85">
        <f>IF(O147=1,IF(K147&lt;&gt;"",K147,IF(H147="High",AsOf,"")),"")</f>
        <v/>
      </c>
      <c r="R147" s="63">
        <f>IF(Q147="","",IF(H147="High",1,IF(Q147="","",IF(Q147&lt;AsOf,1,IF(Q147&lt;=AsOf+AlertDays,2,IF(Q147&lt;=AsOf+2*AlertDays,3,""))))))</f>
        <v/>
      </c>
      <c r="S147" s="63">
        <f>IF(R147="","",IF(H147="High","High-severity issue: ",IF(C147="Punch item","Punch item: ","Issue action due: "))&amp;F147&amp;IF(J147="",""," → "&amp;J147))</f>
        <v/>
      </c>
      <c r="T147" s="63">
        <f>IF(O147=1,IF(I147="",0,I147),0)</f>
        <v/>
      </c>
      <c r="U147" s="63">
        <f>IF(AND(O147=1,H147="High"),1,0)</f>
        <v/>
      </c>
      <c r="V147" s="63">
        <f>IF(AND(O147=1,C147="Punch item"),1,0)</f>
        <v/>
      </c>
    </row>
    <row r="148" ht="24" customHeight="1">
      <c r="B148" s="100" t="n">
        <v>141</v>
      </c>
      <c r="C148" s="65" t="n"/>
      <c r="D148" s="81" t="n"/>
      <c r="E148" s="65" t="n"/>
      <c r="F148" s="88" t="n"/>
      <c r="G148" s="65" t="n"/>
      <c r="H148" s="67" t="n"/>
      <c r="I148" s="66" t="n"/>
      <c r="J148" s="88" t="n"/>
      <c r="K148" s="81" t="n"/>
      <c r="L148" s="65" t="n"/>
      <c r="M148" s="81" t="n"/>
      <c r="N148" s="65" t="n"/>
      <c r="O148" s="63">
        <f>IF(AND(F148&lt;&gt;"",L148&lt;&gt;"Resolved"),1,0)</f>
        <v/>
      </c>
      <c r="P148" s="63">
        <f>IF(F148="","",IF(O148=0,0,IF(H148="High",2,1)))</f>
        <v/>
      </c>
      <c r="Q148" s="85">
        <f>IF(O148=1,IF(K148&lt;&gt;"",K148,IF(H148="High",AsOf,"")),"")</f>
        <v/>
      </c>
      <c r="R148" s="63">
        <f>IF(Q148="","",IF(H148="High",1,IF(Q148="","",IF(Q148&lt;AsOf,1,IF(Q148&lt;=AsOf+AlertDays,2,IF(Q148&lt;=AsOf+2*AlertDays,3,""))))))</f>
        <v/>
      </c>
      <c r="S148" s="63">
        <f>IF(R148="","",IF(H148="High","High-severity issue: ",IF(C148="Punch item","Punch item: ","Issue action due: "))&amp;F148&amp;IF(J148="",""," → "&amp;J148))</f>
        <v/>
      </c>
      <c r="T148" s="63">
        <f>IF(O148=1,IF(I148="",0,I148),0)</f>
        <v/>
      </c>
      <c r="U148" s="63">
        <f>IF(AND(O148=1,H148="High"),1,0)</f>
        <v/>
      </c>
      <c r="V148" s="63">
        <f>IF(AND(O148=1,C148="Punch item"),1,0)</f>
        <v/>
      </c>
    </row>
    <row r="149" ht="24" customHeight="1">
      <c r="B149" s="100" t="n">
        <v>142</v>
      </c>
      <c r="C149" s="65" t="n"/>
      <c r="D149" s="81" t="n"/>
      <c r="E149" s="65" t="n"/>
      <c r="F149" s="88" t="n"/>
      <c r="G149" s="65" t="n"/>
      <c r="H149" s="67" t="n"/>
      <c r="I149" s="66" t="n"/>
      <c r="J149" s="88" t="n"/>
      <c r="K149" s="81" t="n"/>
      <c r="L149" s="65" t="n"/>
      <c r="M149" s="81" t="n"/>
      <c r="N149" s="65" t="n"/>
      <c r="O149" s="63">
        <f>IF(AND(F149&lt;&gt;"",L149&lt;&gt;"Resolved"),1,0)</f>
        <v/>
      </c>
      <c r="P149" s="63">
        <f>IF(F149="","",IF(O149=0,0,IF(H149="High",2,1)))</f>
        <v/>
      </c>
      <c r="Q149" s="85">
        <f>IF(O149=1,IF(K149&lt;&gt;"",K149,IF(H149="High",AsOf,"")),"")</f>
        <v/>
      </c>
      <c r="R149" s="63">
        <f>IF(Q149="","",IF(H149="High",1,IF(Q149="","",IF(Q149&lt;AsOf,1,IF(Q149&lt;=AsOf+AlertDays,2,IF(Q149&lt;=AsOf+2*AlertDays,3,""))))))</f>
        <v/>
      </c>
      <c r="S149" s="63">
        <f>IF(R149="","",IF(H149="High","High-severity issue: ",IF(C149="Punch item","Punch item: ","Issue action due: "))&amp;F149&amp;IF(J149="",""," → "&amp;J149))</f>
        <v/>
      </c>
      <c r="T149" s="63">
        <f>IF(O149=1,IF(I149="",0,I149),0)</f>
        <v/>
      </c>
      <c r="U149" s="63">
        <f>IF(AND(O149=1,H149="High"),1,0)</f>
        <v/>
      </c>
      <c r="V149" s="63">
        <f>IF(AND(O149=1,C149="Punch item"),1,0)</f>
        <v/>
      </c>
    </row>
    <row r="150" ht="24" customHeight="1">
      <c r="B150" s="100" t="n">
        <v>143</v>
      </c>
      <c r="C150" s="65" t="n"/>
      <c r="D150" s="81" t="n"/>
      <c r="E150" s="65" t="n"/>
      <c r="F150" s="88" t="n"/>
      <c r="G150" s="65" t="n"/>
      <c r="H150" s="67" t="n"/>
      <c r="I150" s="66" t="n"/>
      <c r="J150" s="88" t="n"/>
      <c r="K150" s="81" t="n"/>
      <c r="L150" s="65" t="n"/>
      <c r="M150" s="81" t="n"/>
      <c r="N150" s="65" t="n"/>
      <c r="O150" s="63">
        <f>IF(AND(F150&lt;&gt;"",L150&lt;&gt;"Resolved"),1,0)</f>
        <v/>
      </c>
      <c r="P150" s="63">
        <f>IF(F150="","",IF(O150=0,0,IF(H150="High",2,1)))</f>
        <v/>
      </c>
      <c r="Q150" s="85">
        <f>IF(O150=1,IF(K150&lt;&gt;"",K150,IF(H150="High",AsOf,"")),"")</f>
        <v/>
      </c>
      <c r="R150" s="63">
        <f>IF(Q150="","",IF(H150="High",1,IF(Q150="","",IF(Q150&lt;AsOf,1,IF(Q150&lt;=AsOf+AlertDays,2,IF(Q150&lt;=AsOf+2*AlertDays,3,""))))))</f>
        <v/>
      </c>
      <c r="S150" s="63">
        <f>IF(R150="","",IF(H150="High","High-severity issue: ",IF(C150="Punch item","Punch item: ","Issue action due: "))&amp;F150&amp;IF(J150="",""," → "&amp;J150))</f>
        <v/>
      </c>
      <c r="T150" s="63">
        <f>IF(O150=1,IF(I150="",0,I150),0)</f>
        <v/>
      </c>
      <c r="U150" s="63">
        <f>IF(AND(O150=1,H150="High"),1,0)</f>
        <v/>
      </c>
      <c r="V150" s="63">
        <f>IF(AND(O150=1,C150="Punch item"),1,0)</f>
        <v/>
      </c>
    </row>
    <row r="151" ht="24" customHeight="1">
      <c r="B151" s="100" t="n">
        <v>144</v>
      </c>
      <c r="C151" s="65" t="n"/>
      <c r="D151" s="81" t="n"/>
      <c r="E151" s="65" t="n"/>
      <c r="F151" s="88" t="n"/>
      <c r="G151" s="65" t="n"/>
      <c r="H151" s="67" t="n"/>
      <c r="I151" s="66" t="n"/>
      <c r="J151" s="88" t="n"/>
      <c r="K151" s="81" t="n"/>
      <c r="L151" s="65" t="n"/>
      <c r="M151" s="81" t="n"/>
      <c r="N151" s="65" t="n"/>
      <c r="O151" s="63">
        <f>IF(AND(F151&lt;&gt;"",L151&lt;&gt;"Resolved"),1,0)</f>
        <v/>
      </c>
      <c r="P151" s="63">
        <f>IF(F151="","",IF(O151=0,0,IF(H151="High",2,1)))</f>
        <v/>
      </c>
      <c r="Q151" s="85">
        <f>IF(O151=1,IF(K151&lt;&gt;"",K151,IF(H151="High",AsOf,"")),"")</f>
        <v/>
      </c>
      <c r="R151" s="63">
        <f>IF(Q151="","",IF(H151="High",1,IF(Q151="","",IF(Q151&lt;AsOf,1,IF(Q151&lt;=AsOf+AlertDays,2,IF(Q151&lt;=AsOf+2*AlertDays,3,""))))))</f>
        <v/>
      </c>
      <c r="S151" s="63">
        <f>IF(R151="","",IF(H151="High","High-severity issue: ",IF(C151="Punch item","Punch item: ","Issue action due: "))&amp;F151&amp;IF(J151="",""," → "&amp;J151))</f>
        <v/>
      </c>
      <c r="T151" s="63">
        <f>IF(O151=1,IF(I151="",0,I151),0)</f>
        <v/>
      </c>
      <c r="U151" s="63">
        <f>IF(AND(O151=1,H151="High"),1,0)</f>
        <v/>
      </c>
      <c r="V151" s="63">
        <f>IF(AND(O151=1,C151="Punch item"),1,0)</f>
        <v/>
      </c>
    </row>
    <row r="152" ht="24" customHeight="1">
      <c r="B152" s="100" t="n">
        <v>145</v>
      </c>
      <c r="C152" s="65" t="n"/>
      <c r="D152" s="81" t="n"/>
      <c r="E152" s="65" t="n"/>
      <c r="F152" s="88" t="n"/>
      <c r="G152" s="65" t="n"/>
      <c r="H152" s="67" t="n"/>
      <c r="I152" s="66" t="n"/>
      <c r="J152" s="88" t="n"/>
      <c r="K152" s="81" t="n"/>
      <c r="L152" s="65" t="n"/>
      <c r="M152" s="81" t="n"/>
      <c r="N152" s="65" t="n"/>
      <c r="O152" s="63">
        <f>IF(AND(F152&lt;&gt;"",L152&lt;&gt;"Resolved"),1,0)</f>
        <v/>
      </c>
      <c r="P152" s="63">
        <f>IF(F152="","",IF(O152=0,0,IF(H152="High",2,1)))</f>
        <v/>
      </c>
      <c r="Q152" s="85">
        <f>IF(O152=1,IF(K152&lt;&gt;"",K152,IF(H152="High",AsOf,"")),"")</f>
        <v/>
      </c>
      <c r="R152" s="63">
        <f>IF(Q152="","",IF(H152="High",1,IF(Q152="","",IF(Q152&lt;AsOf,1,IF(Q152&lt;=AsOf+AlertDays,2,IF(Q152&lt;=AsOf+2*AlertDays,3,""))))))</f>
        <v/>
      </c>
      <c r="S152" s="63">
        <f>IF(R152="","",IF(H152="High","High-severity issue: ",IF(C152="Punch item","Punch item: ","Issue action due: "))&amp;F152&amp;IF(J152="",""," → "&amp;J152))</f>
        <v/>
      </c>
      <c r="T152" s="63">
        <f>IF(O152=1,IF(I152="",0,I152),0)</f>
        <v/>
      </c>
      <c r="U152" s="63">
        <f>IF(AND(O152=1,H152="High"),1,0)</f>
        <v/>
      </c>
      <c r="V152" s="63">
        <f>IF(AND(O152=1,C152="Punch item"),1,0)</f>
        <v/>
      </c>
    </row>
    <row r="153" ht="24" customHeight="1">
      <c r="B153" s="100" t="n">
        <v>146</v>
      </c>
      <c r="C153" s="65" t="n"/>
      <c r="D153" s="81" t="n"/>
      <c r="E153" s="65" t="n"/>
      <c r="F153" s="88" t="n"/>
      <c r="G153" s="65" t="n"/>
      <c r="H153" s="67" t="n"/>
      <c r="I153" s="66" t="n"/>
      <c r="J153" s="88" t="n"/>
      <c r="K153" s="81" t="n"/>
      <c r="L153" s="65" t="n"/>
      <c r="M153" s="81" t="n"/>
      <c r="N153" s="65" t="n"/>
      <c r="O153" s="63">
        <f>IF(AND(F153&lt;&gt;"",L153&lt;&gt;"Resolved"),1,0)</f>
        <v/>
      </c>
      <c r="P153" s="63">
        <f>IF(F153="","",IF(O153=0,0,IF(H153="High",2,1)))</f>
        <v/>
      </c>
      <c r="Q153" s="85">
        <f>IF(O153=1,IF(K153&lt;&gt;"",K153,IF(H153="High",AsOf,"")),"")</f>
        <v/>
      </c>
      <c r="R153" s="63">
        <f>IF(Q153="","",IF(H153="High",1,IF(Q153="","",IF(Q153&lt;AsOf,1,IF(Q153&lt;=AsOf+AlertDays,2,IF(Q153&lt;=AsOf+2*AlertDays,3,""))))))</f>
        <v/>
      </c>
      <c r="S153" s="63">
        <f>IF(R153="","",IF(H153="High","High-severity issue: ",IF(C153="Punch item","Punch item: ","Issue action due: "))&amp;F153&amp;IF(J153="",""," → "&amp;J153))</f>
        <v/>
      </c>
      <c r="T153" s="63">
        <f>IF(O153=1,IF(I153="",0,I153),0)</f>
        <v/>
      </c>
      <c r="U153" s="63">
        <f>IF(AND(O153=1,H153="High"),1,0)</f>
        <v/>
      </c>
      <c r="V153" s="63">
        <f>IF(AND(O153=1,C153="Punch item"),1,0)</f>
        <v/>
      </c>
    </row>
    <row r="154" ht="24" customHeight="1">
      <c r="B154" s="100" t="n">
        <v>147</v>
      </c>
      <c r="C154" s="65" t="n"/>
      <c r="D154" s="81" t="n"/>
      <c r="E154" s="65" t="n"/>
      <c r="F154" s="88" t="n"/>
      <c r="G154" s="65" t="n"/>
      <c r="H154" s="67" t="n"/>
      <c r="I154" s="66" t="n"/>
      <c r="J154" s="88" t="n"/>
      <c r="K154" s="81" t="n"/>
      <c r="L154" s="65" t="n"/>
      <c r="M154" s="81" t="n"/>
      <c r="N154" s="65" t="n"/>
      <c r="O154" s="63">
        <f>IF(AND(F154&lt;&gt;"",L154&lt;&gt;"Resolved"),1,0)</f>
        <v/>
      </c>
      <c r="P154" s="63">
        <f>IF(F154="","",IF(O154=0,0,IF(H154="High",2,1)))</f>
        <v/>
      </c>
      <c r="Q154" s="85">
        <f>IF(O154=1,IF(K154&lt;&gt;"",K154,IF(H154="High",AsOf,"")),"")</f>
        <v/>
      </c>
      <c r="R154" s="63">
        <f>IF(Q154="","",IF(H154="High",1,IF(Q154="","",IF(Q154&lt;AsOf,1,IF(Q154&lt;=AsOf+AlertDays,2,IF(Q154&lt;=AsOf+2*AlertDays,3,""))))))</f>
        <v/>
      </c>
      <c r="S154" s="63">
        <f>IF(R154="","",IF(H154="High","High-severity issue: ",IF(C154="Punch item","Punch item: ","Issue action due: "))&amp;F154&amp;IF(J154="",""," → "&amp;J154))</f>
        <v/>
      </c>
      <c r="T154" s="63">
        <f>IF(O154=1,IF(I154="",0,I154),0)</f>
        <v/>
      </c>
      <c r="U154" s="63">
        <f>IF(AND(O154=1,H154="High"),1,0)</f>
        <v/>
      </c>
      <c r="V154" s="63">
        <f>IF(AND(O154=1,C154="Punch item"),1,0)</f>
        <v/>
      </c>
    </row>
    <row r="155" ht="24" customHeight="1">
      <c r="B155" s="100" t="n">
        <v>148</v>
      </c>
      <c r="C155" s="65" t="n"/>
      <c r="D155" s="81" t="n"/>
      <c r="E155" s="65" t="n"/>
      <c r="F155" s="88" t="n"/>
      <c r="G155" s="65" t="n"/>
      <c r="H155" s="67" t="n"/>
      <c r="I155" s="66" t="n"/>
      <c r="J155" s="88" t="n"/>
      <c r="K155" s="81" t="n"/>
      <c r="L155" s="65" t="n"/>
      <c r="M155" s="81" t="n"/>
      <c r="N155" s="65" t="n"/>
      <c r="O155" s="63">
        <f>IF(AND(F155&lt;&gt;"",L155&lt;&gt;"Resolved"),1,0)</f>
        <v/>
      </c>
      <c r="P155" s="63">
        <f>IF(F155="","",IF(O155=0,0,IF(H155="High",2,1)))</f>
        <v/>
      </c>
      <c r="Q155" s="85">
        <f>IF(O155=1,IF(K155&lt;&gt;"",K155,IF(H155="High",AsOf,"")),"")</f>
        <v/>
      </c>
      <c r="R155" s="63">
        <f>IF(Q155="","",IF(H155="High",1,IF(Q155="","",IF(Q155&lt;AsOf,1,IF(Q155&lt;=AsOf+AlertDays,2,IF(Q155&lt;=AsOf+2*AlertDays,3,""))))))</f>
        <v/>
      </c>
      <c r="S155" s="63">
        <f>IF(R155="","",IF(H155="High","High-severity issue: ",IF(C155="Punch item","Punch item: ","Issue action due: "))&amp;F155&amp;IF(J155="",""," → "&amp;J155))</f>
        <v/>
      </c>
      <c r="T155" s="63">
        <f>IF(O155=1,IF(I155="",0,I155),0)</f>
        <v/>
      </c>
      <c r="U155" s="63">
        <f>IF(AND(O155=1,H155="High"),1,0)</f>
        <v/>
      </c>
      <c r="V155" s="63">
        <f>IF(AND(O155=1,C155="Punch item"),1,0)</f>
        <v/>
      </c>
    </row>
    <row r="156" ht="24" customHeight="1">
      <c r="B156" s="100" t="n">
        <v>149</v>
      </c>
      <c r="C156" s="65" t="n"/>
      <c r="D156" s="81" t="n"/>
      <c r="E156" s="65" t="n"/>
      <c r="F156" s="88" t="n"/>
      <c r="G156" s="65" t="n"/>
      <c r="H156" s="67" t="n"/>
      <c r="I156" s="66" t="n"/>
      <c r="J156" s="88" t="n"/>
      <c r="K156" s="81" t="n"/>
      <c r="L156" s="65" t="n"/>
      <c r="M156" s="81" t="n"/>
      <c r="N156" s="65" t="n"/>
      <c r="O156" s="63">
        <f>IF(AND(F156&lt;&gt;"",L156&lt;&gt;"Resolved"),1,0)</f>
        <v/>
      </c>
      <c r="P156" s="63">
        <f>IF(F156="","",IF(O156=0,0,IF(H156="High",2,1)))</f>
        <v/>
      </c>
      <c r="Q156" s="85">
        <f>IF(O156=1,IF(K156&lt;&gt;"",K156,IF(H156="High",AsOf,"")),"")</f>
        <v/>
      </c>
      <c r="R156" s="63">
        <f>IF(Q156="","",IF(H156="High",1,IF(Q156="","",IF(Q156&lt;AsOf,1,IF(Q156&lt;=AsOf+AlertDays,2,IF(Q156&lt;=AsOf+2*AlertDays,3,""))))))</f>
        <v/>
      </c>
      <c r="S156" s="63">
        <f>IF(R156="","",IF(H156="High","High-severity issue: ",IF(C156="Punch item","Punch item: ","Issue action due: "))&amp;F156&amp;IF(J156="",""," → "&amp;J156))</f>
        <v/>
      </c>
      <c r="T156" s="63">
        <f>IF(O156=1,IF(I156="",0,I156),0)</f>
        <v/>
      </c>
      <c r="U156" s="63">
        <f>IF(AND(O156=1,H156="High"),1,0)</f>
        <v/>
      </c>
      <c r="V156" s="63">
        <f>IF(AND(O156=1,C156="Punch item"),1,0)</f>
        <v/>
      </c>
    </row>
    <row r="157" ht="24" customHeight="1">
      <c r="B157" s="100" t="n">
        <v>150</v>
      </c>
      <c r="C157" s="65" t="n"/>
      <c r="D157" s="81" t="n"/>
      <c r="E157" s="65" t="n"/>
      <c r="F157" s="88" t="n"/>
      <c r="G157" s="65" t="n"/>
      <c r="H157" s="67" t="n"/>
      <c r="I157" s="66" t="n"/>
      <c r="J157" s="88" t="n"/>
      <c r="K157" s="81" t="n"/>
      <c r="L157" s="65" t="n"/>
      <c r="M157" s="81" t="n"/>
      <c r="N157" s="65" t="n"/>
      <c r="O157" s="63">
        <f>IF(AND(F157&lt;&gt;"",L157&lt;&gt;"Resolved"),1,0)</f>
        <v/>
      </c>
      <c r="P157" s="63">
        <f>IF(F157="","",IF(O157=0,0,IF(H157="High",2,1)))</f>
        <v/>
      </c>
      <c r="Q157" s="85">
        <f>IF(O157=1,IF(K157&lt;&gt;"",K157,IF(H157="High",AsOf,"")),"")</f>
        <v/>
      </c>
      <c r="R157" s="63">
        <f>IF(Q157="","",IF(H157="High",1,IF(Q157="","",IF(Q157&lt;AsOf,1,IF(Q157&lt;=AsOf+AlertDays,2,IF(Q157&lt;=AsOf+2*AlertDays,3,""))))))</f>
        <v/>
      </c>
      <c r="S157" s="63">
        <f>IF(R157="","",IF(H157="High","High-severity issue: ",IF(C157="Punch item","Punch item: ","Issue action due: "))&amp;F157&amp;IF(J157="",""," → "&amp;J157))</f>
        <v/>
      </c>
      <c r="T157" s="63">
        <f>IF(O157=1,IF(I157="",0,I157),0)</f>
        <v/>
      </c>
      <c r="U157" s="63">
        <f>IF(AND(O157=1,H157="High"),1,0)</f>
        <v/>
      </c>
      <c r="V157" s="63">
        <f>IF(AND(O157=1,C157="Punch item"),1,0)</f>
        <v/>
      </c>
    </row>
    <row r="158" ht="24" customHeight="1">
      <c r="B158" s="100" t="n">
        <v>151</v>
      </c>
      <c r="C158" s="65" t="n"/>
      <c r="D158" s="81" t="n"/>
      <c r="E158" s="65" t="n"/>
      <c r="F158" s="88" t="n"/>
      <c r="G158" s="65" t="n"/>
      <c r="H158" s="67" t="n"/>
      <c r="I158" s="66" t="n"/>
      <c r="J158" s="88" t="n"/>
      <c r="K158" s="81" t="n"/>
      <c r="L158" s="65" t="n"/>
      <c r="M158" s="81" t="n"/>
      <c r="N158" s="65" t="n"/>
      <c r="O158" s="63">
        <f>IF(AND(F158&lt;&gt;"",L158&lt;&gt;"Resolved"),1,0)</f>
        <v/>
      </c>
      <c r="P158" s="63">
        <f>IF(F158="","",IF(O158=0,0,IF(H158="High",2,1)))</f>
        <v/>
      </c>
      <c r="Q158" s="85">
        <f>IF(O158=1,IF(K158&lt;&gt;"",K158,IF(H158="High",AsOf,"")),"")</f>
        <v/>
      </c>
      <c r="R158" s="63">
        <f>IF(Q158="","",IF(H158="High",1,IF(Q158="","",IF(Q158&lt;AsOf,1,IF(Q158&lt;=AsOf+AlertDays,2,IF(Q158&lt;=AsOf+2*AlertDays,3,""))))))</f>
        <v/>
      </c>
      <c r="S158" s="63">
        <f>IF(R158="","",IF(H158="High","High-severity issue: ",IF(C158="Punch item","Punch item: ","Issue action due: "))&amp;F158&amp;IF(J158="",""," → "&amp;J158))</f>
        <v/>
      </c>
      <c r="T158" s="63">
        <f>IF(O158=1,IF(I158="",0,I158),0)</f>
        <v/>
      </c>
      <c r="U158" s="63">
        <f>IF(AND(O158=1,H158="High"),1,0)</f>
        <v/>
      </c>
      <c r="V158" s="63">
        <f>IF(AND(O158=1,C158="Punch item"),1,0)</f>
        <v/>
      </c>
    </row>
    <row r="159" ht="24" customHeight="1">
      <c r="B159" s="100" t="n">
        <v>152</v>
      </c>
      <c r="C159" s="65" t="n"/>
      <c r="D159" s="81" t="n"/>
      <c r="E159" s="65" t="n"/>
      <c r="F159" s="88" t="n"/>
      <c r="G159" s="65" t="n"/>
      <c r="H159" s="67" t="n"/>
      <c r="I159" s="66" t="n"/>
      <c r="J159" s="88" t="n"/>
      <c r="K159" s="81" t="n"/>
      <c r="L159" s="65" t="n"/>
      <c r="M159" s="81" t="n"/>
      <c r="N159" s="65" t="n"/>
      <c r="O159" s="63">
        <f>IF(AND(F159&lt;&gt;"",L159&lt;&gt;"Resolved"),1,0)</f>
        <v/>
      </c>
      <c r="P159" s="63">
        <f>IF(F159="","",IF(O159=0,0,IF(H159="High",2,1)))</f>
        <v/>
      </c>
      <c r="Q159" s="85">
        <f>IF(O159=1,IF(K159&lt;&gt;"",K159,IF(H159="High",AsOf,"")),"")</f>
        <v/>
      </c>
      <c r="R159" s="63">
        <f>IF(Q159="","",IF(H159="High",1,IF(Q159="","",IF(Q159&lt;AsOf,1,IF(Q159&lt;=AsOf+AlertDays,2,IF(Q159&lt;=AsOf+2*AlertDays,3,""))))))</f>
        <v/>
      </c>
      <c r="S159" s="63">
        <f>IF(R159="","",IF(H159="High","High-severity issue: ",IF(C159="Punch item","Punch item: ","Issue action due: "))&amp;F159&amp;IF(J159="",""," → "&amp;J159))</f>
        <v/>
      </c>
      <c r="T159" s="63">
        <f>IF(O159=1,IF(I159="",0,I159),0)</f>
        <v/>
      </c>
      <c r="U159" s="63">
        <f>IF(AND(O159=1,H159="High"),1,0)</f>
        <v/>
      </c>
      <c r="V159" s="63">
        <f>IF(AND(O159=1,C159="Punch item"),1,0)</f>
        <v/>
      </c>
    </row>
    <row r="160" ht="24" customHeight="1">
      <c r="B160" s="100" t="n">
        <v>153</v>
      </c>
      <c r="C160" s="65" t="n"/>
      <c r="D160" s="81" t="n"/>
      <c r="E160" s="65" t="n"/>
      <c r="F160" s="88" t="n"/>
      <c r="G160" s="65" t="n"/>
      <c r="H160" s="67" t="n"/>
      <c r="I160" s="66" t="n"/>
      <c r="J160" s="88" t="n"/>
      <c r="K160" s="81" t="n"/>
      <c r="L160" s="65" t="n"/>
      <c r="M160" s="81" t="n"/>
      <c r="N160" s="65" t="n"/>
      <c r="O160" s="63">
        <f>IF(AND(F160&lt;&gt;"",L160&lt;&gt;"Resolved"),1,0)</f>
        <v/>
      </c>
      <c r="P160" s="63">
        <f>IF(F160="","",IF(O160=0,0,IF(H160="High",2,1)))</f>
        <v/>
      </c>
      <c r="Q160" s="85">
        <f>IF(O160=1,IF(K160&lt;&gt;"",K160,IF(H160="High",AsOf,"")),"")</f>
        <v/>
      </c>
      <c r="R160" s="63">
        <f>IF(Q160="","",IF(H160="High",1,IF(Q160="","",IF(Q160&lt;AsOf,1,IF(Q160&lt;=AsOf+AlertDays,2,IF(Q160&lt;=AsOf+2*AlertDays,3,""))))))</f>
        <v/>
      </c>
      <c r="S160" s="63">
        <f>IF(R160="","",IF(H160="High","High-severity issue: ",IF(C160="Punch item","Punch item: ","Issue action due: "))&amp;F160&amp;IF(J160="",""," → "&amp;J160))</f>
        <v/>
      </c>
      <c r="T160" s="63">
        <f>IF(O160=1,IF(I160="",0,I160),0)</f>
        <v/>
      </c>
      <c r="U160" s="63">
        <f>IF(AND(O160=1,H160="High"),1,0)</f>
        <v/>
      </c>
      <c r="V160" s="63">
        <f>IF(AND(O160=1,C160="Punch item"),1,0)</f>
        <v/>
      </c>
    </row>
    <row r="161" ht="24" customHeight="1">
      <c r="B161" s="100" t="n">
        <v>154</v>
      </c>
      <c r="C161" s="65" t="n"/>
      <c r="D161" s="81" t="n"/>
      <c r="E161" s="65" t="n"/>
      <c r="F161" s="88" t="n"/>
      <c r="G161" s="65" t="n"/>
      <c r="H161" s="67" t="n"/>
      <c r="I161" s="66" t="n"/>
      <c r="J161" s="88" t="n"/>
      <c r="K161" s="81" t="n"/>
      <c r="L161" s="65" t="n"/>
      <c r="M161" s="81" t="n"/>
      <c r="N161" s="65" t="n"/>
      <c r="O161" s="63">
        <f>IF(AND(F161&lt;&gt;"",L161&lt;&gt;"Resolved"),1,0)</f>
        <v/>
      </c>
      <c r="P161" s="63">
        <f>IF(F161="","",IF(O161=0,0,IF(H161="High",2,1)))</f>
        <v/>
      </c>
      <c r="Q161" s="85">
        <f>IF(O161=1,IF(K161&lt;&gt;"",K161,IF(H161="High",AsOf,"")),"")</f>
        <v/>
      </c>
      <c r="R161" s="63">
        <f>IF(Q161="","",IF(H161="High",1,IF(Q161="","",IF(Q161&lt;AsOf,1,IF(Q161&lt;=AsOf+AlertDays,2,IF(Q161&lt;=AsOf+2*AlertDays,3,""))))))</f>
        <v/>
      </c>
      <c r="S161" s="63">
        <f>IF(R161="","",IF(H161="High","High-severity issue: ",IF(C161="Punch item","Punch item: ","Issue action due: "))&amp;F161&amp;IF(J161="",""," → "&amp;J161))</f>
        <v/>
      </c>
      <c r="T161" s="63">
        <f>IF(O161=1,IF(I161="",0,I161),0)</f>
        <v/>
      </c>
      <c r="U161" s="63">
        <f>IF(AND(O161=1,H161="High"),1,0)</f>
        <v/>
      </c>
      <c r="V161" s="63">
        <f>IF(AND(O161=1,C161="Punch item"),1,0)</f>
        <v/>
      </c>
    </row>
    <row r="162" ht="24" customHeight="1">
      <c r="B162" s="100" t="n">
        <v>155</v>
      </c>
      <c r="C162" s="65" t="n"/>
      <c r="D162" s="81" t="n"/>
      <c r="E162" s="65" t="n"/>
      <c r="F162" s="88" t="n"/>
      <c r="G162" s="65" t="n"/>
      <c r="H162" s="67" t="n"/>
      <c r="I162" s="66" t="n"/>
      <c r="J162" s="88" t="n"/>
      <c r="K162" s="81" t="n"/>
      <c r="L162" s="65" t="n"/>
      <c r="M162" s="81" t="n"/>
      <c r="N162" s="65" t="n"/>
      <c r="O162" s="63">
        <f>IF(AND(F162&lt;&gt;"",L162&lt;&gt;"Resolved"),1,0)</f>
        <v/>
      </c>
      <c r="P162" s="63">
        <f>IF(F162="","",IF(O162=0,0,IF(H162="High",2,1)))</f>
        <v/>
      </c>
      <c r="Q162" s="85">
        <f>IF(O162=1,IF(K162&lt;&gt;"",K162,IF(H162="High",AsOf,"")),"")</f>
        <v/>
      </c>
      <c r="R162" s="63">
        <f>IF(Q162="","",IF(H162="High",1,IF(Q162="","",IF(Q162&lt;AsOf,1,IF(Q162&lt;=AsOf+AlertDays,2,IF(Q162&lt;=AsOf+2*AlertDays,3,""))))))</f>
        <v/>
      </c>
      <c r="S162" s="63">
        <f>IF(R162="","",IF(H162="High","High-severity issue: ",IF(C162="Punch item","Punch item: ","Issue action due: "))&amp;F162&amp;IF(J162="",""," → "&amp;J162))</f>
        <v/>
      </c>
      <c r="T162" s="63">
        <f>IF(O162=1,IF(I162="",0,I162),0)</f>
        <v/>
      </c>
      <c r="U162" s="63">
        <f>IF(AND(O162=1,H162="High"),1,0)</f>
        <v/>
      </c>
      <c r="V162" s="63">
        <f>IF(AND(O162=1,C162="Punch item"),1,0)</f>
        <v/>
      </c>
    </row>
    <row r="163" ht="24" customHeight="1">
      <c r="B163" s="100" t="n">
        <v>156</v>
      </c>
      <c r="C163" s="65" t="n"/>
      <c r="D163" s="81" t="n"/>
      <c r="E163" s="65" t="n"/>
      <c r="F163" s="88" t="n"/>
      <c r="G163" s="65" t="n"/>
      <c r="H163" s="67" t="n"/>
      <c r="I163" s="66" t="n"/>
      <c r="J163" s="88" t="n"/>
      <c r="K163" s="81" t="n"/>
      <c r="L163" s="65" t="n"/>
      <c r="M163" s="81" t="n"/>
      <c r="N163" s="65" t="n"/>
      <c r="O163" s="63">
        <f>IF(AND(F163&lt;&gt;"",L163&lt;&gt;"Resolved"),1,0)</f>
        <v/>
      </c>
      <c r="P163" s="63">
        <f>IF(F163="","",IF(O163=0,0,IF(H163="High",2,1)))</f>
        <v/>
      </c>
      <c r="Q163" s="85">
        <f>IF(O163=1,IF(K163&lt;&gt;"",K163,IF(H163="High",AsOf,"")),"")</f>
        <v/>
      </c>
      <c r="R163" s="63">
        <f>IF(Q163="","",IF(H163="High",1,IF(Q163="","",IF(Q163&lt;AsOf,1,IF(Q163&lt;=AsOf+AlertDays,2,IF(Q163&lt;=AsOf+2*AlertDays,3,""))))))</f>
        <v/>
      </c>
      <c r="S163" s="63">
        <f>IF(R163="","",IF(H163="High","High-severity issue: ",IF(C163="Punch item","Punch item: ","Issue action due: "))&amp;F163&amp;IF(J163="",""," → "&amp;J163))</f>
        <v/>
      </c>
      <c r="T163" s="63">
        <f>IF(O163=1,IF(I163="",0,I163),0)</f>
        <v/>
      </c>
      <c r="U163" s="63">
        <f>IF(AND(O163=1,H163="High"),1,0)</f>
        <v/>
      </c>
      <c r="V163" s="63">
        <f>IF(AND(O163=1,C163="Punch item"),1,0)</f>
        <v/>
      </c>
    </row>
    <row r="164" ht="24" customHeight="1">
      <c r="B164" s="100" t="n">
        <v>157</v>
      </c>
      <c r="C164" s="65" t="n"/>
      <c r="D164" s="81" t="n"/>
      <c r="E164" s="65" t="n"/>
      <c r="F164" s="88" t="n"/>
      <c r="G164" s="65" t="n"/>
      <c r="H164" s="67" t="n"/>
      <c r="I164" s="66" t="n"/>
      <c r="J164" s="88" t="n"/>
      <c r="K164" s="81" t="n"/>
      <c r="L164" s="65" t="n"/>
      <c r="M164" s="81" t="n"/>
      <c r="N164" s="65" t="n"/>
      <c r="O164" s="63">
        <f>IF(AND(F164&lt;&gt;"",L164&lt;&gt;"Resolved"),1,0)</f>
        <v/>
      </c>
      <c r="P164" s="63">
        <f>IF(F164="","",IF(O164=0,0,IF(H164="High",2,1)))</f>
        <v/>
      </c>
      <c r="Q164" s="85">
        <f>IF(O164=1,IF(K164&lt;&gt;"",K164,IF(H164="High",AsOf,"")),"")</f>
        <v/>
      </c>
      <c r="R164" s="63">
        <f>IF(Q164="","",IF(H164="High",1,IF(Q164="","",IF(Q164&lt;AsOf,1,IF(Q164&lt;=AsOf+AlertDays,2,IF(Q164&lt;=AsOf+2*AlertDays,3,""))))))</f>
        <v/>
      </c>
      <c r="S164" s="63">
        <f>IF(R164="","",IF(H164="High","High-severity issue: ",IF(C164="Punch item","Punch item: ","Issue action due: "))&amp;F164&amp;IF(J164="",""," → "&amp;J164))</f>
        <v/>
      </c>
      <c r="T164" s="63">
        <f>IF(O164=1,IF(I164="",0,I164),0)</f>
        <v/>
      </c>
      <c r="U164" s="63">
        <f>IF(AND(O164=1,H164="High"),1,0)</f>
        <v/>
      </c>
      <c r="V164" s="63">
        <f>IF(AND(O164=1,C164="Punch item"),1,0)</f>
        <v/>
      </c>
    </row>
    <row r="165" ht="24" customHeight="1">
      <c r="B165" s="100" t="n">
        <v>158</v>
      </c>
      <c r="C165" s="65" t="n"/>
      <c r="D165" s="81" t="n"/>
      <c r="E165" s="65" t="n"/>
      <c r="F165" s="88" t="n"/>
      <c r="G165" s="65" t="n"/>
      <c r="H165" s="67" t="n"/>
      <c r="I165" s="66" t="n"/>
      <c r="J165" s="88" t="n"/>
      <c r="K165" s="81" t="n"/>
      <c r="L165" s="65" t="n"/>
      <c r="M165" s="81" t="n"/>
      <c r="N165" s="65" t="n"/>
      <c r="O165" s="63">
        <f>IF(AND(F165&lt;&gt;"",L165&lt;&gt;"Resolved"),1,0)</f>
        <v/>
      </c>
      <c r="P165" s="63">
        <f>IF(F165="","",IF(O165=0,0,IF(H165="High",2,1)))</f>
        <v/>
      </c>
      <c r="Q165" s="85">
        <f>IF(O165=1,IF(K165&lt;&gt;"",K165,IF(H165="High",AsOf,"")),"")</f>
        <v/>
      </c>
      <c r="R165" s="63">
        <f>IF(Q165="","",IF(H165="High",1,IF(Q165="","",IF(Q165&lt;AsOf,1,IF(Q165&lt;=AsOf+AlertDays,2,IF(Q165&lt;=AsOf+2*AlertDays,3,""))))))</f>
        <v/>
      </c>
      <c r="S165" s="63">
        <f>IF(R165="","",IF(H165="High","High-severity issue: ",IF(C165="Punch item","Punch item: ","Issue action due: "))&amp;F165&amp;IF(J165="",""," → "&amp;J165))</f>
        <v/>
      </c>
      <c r="T165" s="63">
        <f>IF(O165=1,IF(I165="",0,I165),0)</f>
        <v/>
      </c>
      <c r="U165" s="63">
        <f>IF(AND(O165=1,H165="High"),1,0)</f>
        <v/>
      </c>
      <c r="V165" s="63">
        <f>IF(AND(O165=1,C165="Punch item"),1,0)</f>
        <v/>
      </c>
    </row>
    <row r="166" ht="24" customHeight="1">
      <c r="B166" s="100" t="n">
        <v>159</v>
      </c>
      <c r="C166" s="65" t="n"/>
      <c r="D166" s="81" t="n"/>
      <c r="E166" s="65" t="n"/>
      <c r="F166" s="88" t="n"/>
      <c r="G166" s="65" t="n"/>
      <c r="H166" s="67" t="n"/>
      <c r="I166" s="66" t="n"/>
      <c r="J166" s="88" t="n"/>
      <c r="K166" s="81" t="n"/>
      <c r="L166" s="65" t="n"/>
      <c r="M166" s="81" t="n"/>
      <c r="N166" s="65" t="n"/>
      <c r="O166" s="63">
        <f>IF(AND(F166&lt;&gt;"",L166&lt;&gt;"Resolved"),1,0)</f>
        <v/>
      </c>
      <c r="P166" s="63">
        <f>IF(F166="","",IF(O166=0,0,IF(H166="High",2,1)))</f>
        <v/>
      </c>
      <c r="Q166" s="85">
        <f>IF(O166=1,IF(K166&lt;&gt;"",K166,IF(H166="High",AsOf,"")),"")</f>
        <v/>
      </c>
      <c r="R166" s="63">
        <f>IF(Q166="","",IF(H166="High",1,IF(Q166="","",IF(Q166&lt;AsOf,1,IF(Q166&lt;=AsOf+AlertDays,2,IF(Q166&lt;=AsOf+2*AlertDays,3,""))))))</f>
        <v/>
      </c>
      <c r="S166" s="63">
        <f>IF(R166="","",IF(H166="High","High-severity issue: ",IF(C166="Punch item","Punch item: ","Issue action due: "))&amp;F166&amp;IF(J166="",""," → "&amp;J166))</f>
        <v/>
      </c>
      <c r="T166" s="63">
        <f>IF(O166=1,IF(I166="",0,I166),0)</f>
        <v/>
      </c>
      <c r="U166" s="63">
        <f>IF(AND(O166=1,H166="High"),1,0)</f>
        <v/>
      </c>
      <c r="V166" s="63">
        <f>IF(AND(O166=1,C166="Punch item"),1,0)</f>
        <v/>
      </c>
    </row>
    <row r="167" ht="24" customHeight="1">
      <c r="B167" s="100" t="n">
        <v>160</v>
      </c>
      <c r="C167" s="65" t="n"/>
      <c r="D167" s="81" t="n"/>
      <c r="E167" s="65" t="n"/>
      <c r="F167" s="88" t="n"/>
      <c r="G167" s="65" t="n"/>
      <c r="H167" s="67" t="n"/>
      <c r="I167" s="66" t="n"/>
      <c r="J167" s="88" t="n"/>
      <c r="K167" s="81" t="n"/>
      <c r="L167" s="65" t="n"/>
      <c r="M167" s="81" t="n"/>
      <c r="N167" s="65" t="n"/>
      <c r="O167" s="63">
        <f>IF(AND(F167&lt;&gt;"",L167&lt;&gt;"Resolved"),1,0)</f>
        <v/>
      </c>
      <c r="P167" s="63">
        <f>IF(F167="","",IF(O167=0,0,IF(H167="High",2,1)))</f>
        <v/>
      </c>
      <c r="Q167" s="85">
        <f>IF(O167=1,IF(K167&lt;&gt;"",K167,IF(H167="High",AsOf,"")),"")</f>
        <v/>
      </c>
      <c r="R167" s="63">
        <f>IF(Q167="","",IF(H167="High",1,IF(Q167="","",IF(Q167&lt;AsOf,1,IF(Q167&lt;=AsOf+AlertDays,2,IF(Q167&lt;=AsOf+2*AlertDays,3,""))))))</f>
        <v/>
      </c>
      <c r="S167" s="63">
        <f>IF(R167="","",IF(H167="High","High-severity issue: ",IF(C167="Punch item","Punch item: ","Issue action due: "))&amp;F167&amp;IF(J167="",""," → "&amp;J167))</f>
        <v/>
      </c>
      <c r="T167" s="63">
        <f>IF(O167=1,IF(I167="",0,I167),0)</f>
        <v/>
      </c>
      <c r="U167" s="63">
        <f>IF(AND(O167=1,H167="High"),1,0)</f>
        <v/>
      </c>
      <c r="V167" s="63">
        <f>IF(AND(O167=1,C167="Punch item"),1,0)</f>
        <v/>
      </c>
    </row>
    <row r="168" ht="24" customHeight="1">
      <c r="B168" s="100" t="n">
        <v>161</v>
      </c>
      <c r="C168" s="65" t="n"/>
      <c r="D168" s="81" t="n"/>
      <c r="E168" s="65" t="n"/>
      <c r="F168" s="88" t="n"/>
      <c r="G168" s="65" t="n"/>
      <c r="H168" s="67" t="n"/>
      <c r="I168" s="66" t="n"/>
      <c r="J168" s="88" t="n"/>
      <c r="K168" s="81" t="n"/>
      <c r="L168" s="65" t="n"/>
      <c r="M168" s="81" t="n"/>
      <c r="N168" s="65" t="n"/>
      <c r="O168" s="63">
        <f>IF(AND(F168&lt;&gt;"",L168&lt;&gt;"Resolved"),1,0)</f>
        <v/>
      </c>
      <c r="P168" s="63">
        <f>IF(F168="","",IF(O168=0,0,IF(H168="High",2,1)))</f>
        <v/>
      </c>
      <c r="Q168" s="85">
        <f>IF(O168=1,IF(K168&lt;&gt;"",K168,IF(H168="High",AsOf,"")),"")</f>
        <v/>
      </c>
      <c r="R168" s="63">
        <f>IF(Q168="","",IF(H168="High",1,IF(Q168="","",IF(Q168&lt;AsOf,1,IF(Q168&lt;=AsOf+AlertDays,2,IF(Q168&lt;=AsOf+2*AlertDays,3,""))))))</f>
        <v/>
      </c>
      <c r="S168" s="63">
        <f>IF(R168="","",IF(H168="High","High-severity issue: ",IF(C168="Punch item","Punch item: ","Issue action due: "))&amp;F168&amp;IF(J168="",""," → "&amp;J168))</f>
        <v/>
      </c>
      <c r="T168" s="63">
        <f>IF(O168=1,IF(I168="",0,I168),0)</f>
        <v/>
      </c>
      <c r="U168" s="63">
        <f>IF(AND(O168=1,H168="High"),1,0)</f>
        <v/>
      </c>
      <c r="V168" s="63">
        <f>IF(AND(O168=1,C168="Punch item"),1,0)</f>
        <v/>
      </c>
    </row>
    <row r="169" ht="24" customHeight="1">
      <c r="B169" s="100" t="n">
        <v>162</v>
      </c>
      <c r="C169" s="65" t="n"/>
      <c r="D169" s="81" t="n"/>
      <c r="E169" s="65" t="n"/>
      <c r="F169" s="88" t="n"/>
      <c r="G169" s="65" t="n"/>
      <c r="H169" s="67" t="n"/>
      <c r="I169" s="66" t="n"/>
      <c r="J169" s="88" t="n"/>
      <c r="K169" s="81" t="n"/>
      <c r="L169" s="65" t="n"/>
      <c r="M169" s="81" t="n"/>
      <c r="N169" s="65" t="n"/>
      <c r="O169" s="63">
        <f>IF(AND(F169&lt;&gt;"",L169&lt;&gt;"Resolved"),1,0)</f>
        <v/>
      </c>
      <c r="P169" s="63">
        <f>IF(F169="","",IF(O169=0,0,IF(H169="High",2,1)))</f>
        <v/>
      </c>
      <c r="Q169" s="85">
        <f>IF(O169=1,IF(K169&lt;&gt;"",K169,IF(H169="High",AsOf,"")),"")</f>
        <v/>
      </c>
      <c r="R169" s="63">
        <f>IF(Q169="","",IF(H169="High",1,IF(Q169="","",IF(Q169&lt;AsOf,1,IF(Q169&lt;=AsOf+AlertDays,2,IF(Q169&lt;=AsOf+2*AlertDays,3,""))))))</f>
        <v/>
      </c>
      <c r="S169" s="63">
        <f>IF(R169="","",IF(H169="High","High-severity issue: ",IF(C169="Punch item","Punch item: ","Issue action due: "))&amp;F169&amp;IF(J169="",""," → "&amp;J169))</f>
        <v/>
      </c>
      <c r="T169" s="63">
        <f>IF(O169=1,IF(I169="",0,I169),0)</f>
        <v/>
      </c>
      <c r="U169" s="63">
        <f>IF(AND(O169=1,H169="High"),1,0)</f>
        <v/>
      </c>
      <c r="V169" s="63">
        <f>IF(AND(O169=1,C169="Punch item"),1,0)</f>
        <v/>
      </c>
    </row>
    <row r="170" ht="24" customHeight="1">
      <c r="B170" s="100" t="n">
        <v>163</v>
      </c>
      <c r="C170" s="65" t="n"/>
      <c r="D170" s="81" t="n"/>
      <c r="E170" s="65" t="n"/>
      <c r="F170" s="88" t="n"/>
      <c r="G170" s="65" t="n"/>
      <c r="H170" s="67" t="n"/>
      <c r="I170" s="66" t="n"/>
      <c r="J170" s="88" t="n"/>
      <c r="K170" s="81" t="n"/>
      <c r="L170" s="65" t="n"/>
      <c r="M170" s="81" t="n"/>
      <c r="N170" s="65" t="n"/>
      <c r="O170" s="63">
        <f>IF(AND(F170&lt;&gt;"",L170&lt;&gt;"Resolved"),1,0)</f>
        <v/>
      </c>
      <c r="P170" s="63">
        <f>IF(F170="","",IF(O170=0,0,IF(H170="High",2,1)))</f>
        <v/>
      </c>
      <c r="Q170" s="85">
        <f>IF(O170=1,IF(K170&lt;&gt;"",K170,IF(H170="High",AsOf,"")),"")</f>
        <v/>
      </c>
      <c r="R170" s="63">
        <f>IF(Q170="","",IF(H170="High",1,IF(Q170="","",IF(Q170&lt;AsOf,1,IF(Q170&lt;=AsOf+AlertDays,2,IF(Q170&lt;=AsOf+2*AlertDays,3,""))))))</f>
        <v/>
      </c>
      <c r="S170" s="63">
        <f>IF(R170="","",IF(H170="High","High-severity issue: ",IF(C170="Punch item","Punch item: ","Issue action due: "))&amp;F170&amp;IF(J170="",""," → "&amp;J170))</f>
        <v/>
      </c>
      <c r="T170" s="63">
        <f>IF(O170=1,IF(I170="",0,I170),0)</f>
        <v/>
      </c>
      <c r="U170" s="63">
        <f>IF(AND(O170=1,H170="High"),1,0)</f>
        <v/>
      </c>
      <c r="V170" s="63">
        <f>IF(AND(O170=1,C170="Punch item"),1,0)</f>
        <v/>
      </c>
    </row>
    <row r="171" ht="24" customHeight="1">
      <c r="B171" s="100" t="n">
        <v>164</v>
      </c>
      <c r="C171" s="65" t="n"/>
      <c r="D171" s="81" t="n"/>
      <c r="E171" s="65" t="n"/>
      <c r="F171" s="88" t="n"/>
      <c r="G171" s="65" t="n"/>
      <c r="H171" s="67" t="n"/>
      <c r="I171" s="66" t="n"/>
      <c r="J171" s="88" t="n"/>
      <c r="K171" s="81" t="n"/>
      <c r="L171" s="65" t="n"/>
      <c r="M171" s="81" t="n"/>
      <c r="N171" s="65" t="n"/>
      <c r="O171" s="63">
        <f>IF(AND(F171&lt;&gt;"",L171&lt;&gt;"Resolved"),1,0)</f>
        <v/>
      </c>
      <c r="P171" s="63">
        <f>IF(F171="","",IF(O171=0,0,IF(H171="High",2,1)))</f>
        <v/>
      </c>
      <c r="Q171" s="85">
        <f>IF(O171=1,IF(K171&lt;&gt;"",K171,IF(H171="High",AsOf,"")),"")</f>
        <v/>
      </c>
      <c r="R171" s="63">
        <f>IF(Q171="","",IF(H171="High",1,IF(Q171="","",IF(Q171&lt;AsOf,1,IF(Q171&lt;=AsOf+AlertDays,2,IF(Q171&lt;=AsOf+2*AlertDays,3,""))))))</f>
        <v/>
      </c>
      <c r="S171" s="63">
        <f>IF(R171="","",IF(H171="High","High-severity issue: ",IF(C171="Punch item","Punch item: ","Issue action due: "))&amp;F171&amp;IF(J171="",""," → "&amp;J171))</f>
        <v/>
      </c>
      <c r="T171" s="63">
        <f>IF(O171=1,IF(I171="",0,I171),0)</f>
        <v/>
      </c>
      <c r="U171" s="63">
        <f>IF(AND(O171=1,H171="High"),1,0)</f>
        <v/>
      </c>
      <c r="V171" s="63">
        <f>IF(AND(O171=1,C171="Punch item"),1,0)</f>
        <v/>
      </c>
    </row>
    <row r="172" ht="24" customHeight="1">
      <c r="B172" s="100" t="n">
        <v>165</v>
      </c>
      <c r="C172" s="65" t="n"/>
      <c r="D172" s="81" t="n"/>
      <c r="E172" s="65" t="n"/>
      <c r="F172" s="88" t="n"/>
      <c r="G172" s="65" t="n"/>
      <c r="H172" s="67" t="n"/>
      <c r="I172" s="66" t="n"/>
      <c r="J172" s="88" t="n"/>
      <c r="K172" s="81" t="n"/>
      <c r="L172" s="65" t="n"/>
      <c r="M172" s="81" t="n"/>
      <c r="N172" s="65" t="n"/>
      <c r="O172" s="63">
        <f>IF(AND(F172&lt;&gt;"",L172&lt;&gt;"Resolved"),1,0)</f>
        <v/>
      </c>
      <c r="P172" s="63">
        <f>IF(F172="","",IF(O172=0,0,IF(H172="High",2,1)))</f>
        <v/>
      </c>
      <c r="Q172" s="85">
        <f>IF(O172=1,IF(K172&lt;&gt;"",K172,IF(H172="High",AsOf,"")),"")</f>
        <v/>
      </c>
      <c r="R172" s="63">
        <f>IF(Q172="","",IF(H172="High",1,IF(Q172="","",IF(Q172&lt;AsOf,1,IF(Q172&lt;=AsOf+AlertDays,2,IF(Q172&lt;=AsOf+2*AlertDays,3,""))))))</f>
        <v/>
      </c>
      <c r="S172" s="63">
        <f>IF(R172="","",IF(H172="High","High-severity issue: ",IF(C172="Punch item","Punch item: ","Issue action due: "))&amp;F172&amp;IF(J172="",""," → "&amp;J172))</f>
        <v/>
      </c>
      <c r="T172" s="63">
        <f>IF(O172=1,IF(I172="",0,I172),0)</f>
        <v/>
      </c>
      <c r="U172" s="63">
        <f>IF(AND(O172=1,H172="High"),1,0)</f>
        <v/>
      </c>
      <c r="V172" s="63">
        <f>IF(AND(O172=1,C172="Punch item"),1,0)</f>
        <v/>
      </c>
    </row>
    <row r="173" ht="24" customHeight="1">
      <c r="B173" s="100" t="n">
        <v>166</v>
      </c>
      <c r="C173" s="65" t="n"/>
      <c r="D173" s="81" t="n"/>
      <c r="E173" s="65" t="n"/>
      <c r="F173" s="88" t="n"/>
      <c r="G173" s="65" t="n"/>
      <c r="H173" s="67" t="n"/>
      <c r="I173" s="66" t="n"/>
      <c r="J173" s="88" t="n"/>
      <c r="K173" s="81" t="n"/>
      <c r="L173" s="65" t="n"/>
      <c r="M173" s="81" t="n"/>
      <c r="N173" s="65" t="n"/>
      <c r="O173" s="63">
        <f>IF(AND(F173&lt;&gt;"",L173&lt;&gt;"Resolved"),1,0)</f>
        <v/>
      </c>
      <c r="P173" s="63">
        <f>IF(F173="","",IF(O173=0,0,IF(H173="High",2,1)))</f>
        <v/>
      </c>
      <c r="Q173" s="85">
        <f>IF(O173=1,IF(K173&lt;&gt;"",K173,IF(H173="High",AsOf,"")),"")</f>
        <v/>
      </c>
      <c r="R173" s="63">
        <f>IF(Q173="","",IF(H173="High",1,IF(Q173="","",IF(Q173&lt;AsOf,1,IF(Q173&lt;=AsOf+AlertDays,2,IF(Q173&lt;=AsOf+2*AlertDays,3,""))))))</f>
        <v/>
      </c>
      <c r="S173" s="63">
        <f>IF(R173="","",IF(H173="High","High-severity issue: ",IF(C173="Punch item","Punch item: ","Issue action due: "))&amp;F173&amp;IF(J173="",""," → "&amp;J173))</f>
        <v/>
      </c>
      <c r="T173" s="63">
        <f>IF(O173=1,IF(I173="",0,I173),0)</f>
        <v/>
      </c>
      <c r="U173" s="63">
        <f>IF(AND(O173=1,H173="High"),1,0)</f>
        <v/>
      </c>
      <c r="V173" s="63">
        <f>IF(AND(O173=1,C173="Punch item"),1,0)</f>
        <v/>
      </c>
    </row>
    <row r="174" ht="24" customHeight="1">
      <c r="B174" s="100" t="n">
        <v>167</v>
      </c>
      <c r="C174" s="65" t="n"/>
      <c r="D174" s="81" t="n"/>
      <c r="E174" s="65" t="n"/>
      <c r="F174" s="88" t="n"/>
      <c r="G174" s="65" t="n"/>
      <c r="H174" s="67" t="n"/>
      <c r="I174" s="66" t="n"/>
      <c r="J174" s="88" t="n"/>
      <c r="K174" s="81" t="n"/>
      <c r="L174" s="65" t="n"/>
      <c r="M174" s="81" t="n"/>
      <c r="N174" s="65" t="n"/>
      <c r="O174" s="63">
        <f>IF(AND(F174&lt;&gt;"",L174&lt;&gt;"Resolved"),1,0)</f>
        <v/>
      </c>
      <c r="P174" s="63">
        <f>IF(F174="","",IF(O174=0,0,IF(H174="High",2,1)))</f>
        <v/>
      </c>
      <c r="Q174" s="85">
        <f>IF(O174=1,IF(K174&lt;&gt;"",K174,IF(H174="High",AsOf,"")),"")</f>
        <v/>
      </c>
      <c r="R174" s="63">
        <f>IF(Q174="","",IF(H174="High",1,IF(Q174="","",IF(Q174&lt;AsOf,1,IF(Q174&lt;=AsOf+AlertDays,2,IF(Q174&lt;=AsOf+2*AlertDays,3,""))))))</f>
        <v/>
      </c>
      <c r="S174" s="63">
        <f>IF(R174="","",IF(H174="High","High-severity issue: ",IF(C174="Punch item","Punch item: ","Issue action due: "))&amp;F174&amp;IF(J174="",""," → "&amp;J174))</f>
        <v/>
      </c>
      <c r="T174" s="63">
        <f>IF(O174=1,IF(I174="",0,I174),0)</f>
        <v/>
      </c>
      <c r="U174" s="63">
        <f>IF(AND(O174=1,H174="High"),1,0)</f>
        <v/>
      </c>
      <c r="V174" s="63">
        <f>IF(AND(O174=1,C174="Punch item"),1,0)</f>
        <v/>
      </c>
    </row>
    <row r="175" ht="24" customHeight="1">
      <c r="B175" s="100" t="n">
        <v>168</v>
      </c>
      <c r="C175" s="65" t="n"/>
      <c r="D175" s="81" t="n"/>
      <c r="E175" s="65" t="n"/>
      <c r="F175" s="88" t="n"/>
      <c r="G175" s="65" t="n"/>
      <c r="H175" s="67" t="n"/>
      <c r="I175" s="66" t="n"/>
      <c r="J175" s="88" t="n"/>
      <c r="K175" s="81" t="n"/>
      <c r="L175" s="65" t="n"/>
      <c r="M175" s="81" t="n"/>
      <c r="N175" s="65" t="n"/>
      <c r="O175" s="63">
        <f>IF(AND(F175&lt;&gt;"",L175&lt;&gt;"Resolved"),1,0)</f>
        <v/>
      </c>
      <c r="P175" s="63">
        <f>IF(F175="","",IF(O175=0,0,IF(H175="High",2,1)))</f>
        <v/>
      </c>
      <c r="Q175" s="85">
        <f>IF(O175=1,IF(K175&lt;&gt;"",K175,IF(H175="High",AsOf,"")),"")</f>
        <v/>
      </c>
      <c r="R175" s="63">
        <f>IF(Q175="","",IF(H175="High",1,IF(Q175="","",IF(Q175&lt;AsOf,1,IF(Q175&lt;=AsOf+AlertDays,2,IF(Q175&lt;=AsOf+2*AlertDays,3,""))))))</f>
        <v/>
      </c>
      <c r="S175" s="63">
        <f>IF(R175="","",IF(H175="High","High-severity issue: ",IF(C175="Punch item","Punch item: ","Issue action due: "))&amp;F175&amp;IF(J175="",""," → "&amp;J175))</f>
        <v/>
      </c>
      <c r="T175" s="63">
        <f>IF(O175=1,IF(I175="",0,I175),0)</f>
        <v/>
      </c>
      <c r="U175" s="63">
        <f>IF(AND(O175=1,H175="High"),1,0)</f>
        <v/>
      </c>
      <c r="V175" s="63">
        <f>IF(AND(O175=1,C175="Punch item"),1,0)</f>
        <v/>
      </c>
    </row>
    <row r="176" ht="24" customHeight="1">
      <c r="B176" s="100" t="n">
        <v>169</v>
      </c>
      <c r="C176" s="65" t="n"/>
      <c r="D176" s="81" t="n"/>
      <c r="E176" s="65" t="n"/>
      <c r="F176" s="88" t="n"/>
      <c r="G176" s="65" t="n"/>
      <c r="H176" s="67" t="n"/>
      <c r="I176" s="66" t="n"/>
      <c r="J176" s="88" t="n"/>
      <c r="K176" s="81" t="n"/>
      <c r="L176" s="65" t="n"/>
      <c r="M176" s="81" t="n"/>
      <c r="N176" s="65" t="n"/>
      <c r="O176" s="63">
        <f>IF(AND(F176&lt;&gt;"",L176&lt;&gt;"Resolved"),1,0)</f>
        <v/>
      </c>
      <c r="P176" s="63">
        <f>IF(F176="","",IF(O176=0,0,IF(H176="High",2,1)))</f>
        <v/>
      </c>
      <c r="Q176" s="85">
        <f>IF(O176=1,IF(K176&lt;&gt;"",K176,IF(H176="High",AsOf,"")),"")</f>
        <v/>
      </c>
      <c r="R176" s="63">
        <f>IF(Q176="","",IF(H176="High",1,IF(Q176="","",IF(Q176&lt;AsOf,1,IF(Q176&lt;=AsOf+AlertDays,2,IF(Q176&lt;=AsOf+2*AlertDays,3,""))))))</f>
        <v/>
      </c>
      <c r="S176" s="63">
        <f>IF(R176="","",IF(H176="High","High-severity issue: ",IF(C176="Punch item","Punch item: ","Issue action due: "))&amp;F176&amp;IF(J176="",""," → "&amp;J176))</f>
        <v/>
      </c>
      <c r="T176" s="63">
        <f>IF(O176=1,IF(I176="",0,I176),0)</f>
        <v/>
      </c>
      <c r="U176" s="63">
        <f>IF(AND(O176=1,H176="High"),1,0)</f>
        <v/>
      </c>
      <c r="V176" s="63">
        <f>IF(AND(O176=1,C176="Punch item"),1,0)</f>
        <v/>
      </c>
    </row>
    <row r="177" ht="24" customHeight="1">
      <c r="B177" s="100" t="n">
        <v>170</v>
      </c>
      <c r="C177" s="65" t="n"/>
      <c r="D177" s="81" t="n"/>
      <c r="E177" s="65" t="n"/>
      <c r="F177" s="88" t="n"/>
      <c r="G177" s="65" t="n"/>
      <c r="H177" s="67" t="n"/>
      <c r="I177" s="66" t="n"/>
      <c r="J177" s="88" t="n"/>
      <c r="K177" s="81" t="n"/>
      <c r="L177" s="65" t="n"/>
      <c r="M177" s="81" t="n"/>
      <c r="N177" s="65" t="n"/>
      <c r="O177" s="63">
        <f>IF(AND(F177&lt;&gt;"",L177&lt;&gt;"Resolved"),1,0)</f>
        <v/>
      </c>
      <c r="P177" s="63">
        <f>IF(F177="","",IF(O177=0,0,IF(H177="High",2,1)))</f>
        <v/>
      </c>
      <c r="Q177" s="85">
        <f>IF(O177=1,IF(K177&lt;&gt;"",K177,IF(H177="High",AsOf,"")),"")</f>
        <v/>
      </c>
      <c r="R177" s="63">
        <f>IF(Q177="","",IF(H177="High",1,IF(Q177="","",IF(Q177&lt;AsOf,1,IF(Q177&lt;=AsOf+AlertDays,2,IF(Q177&lt;=AsOf+2*AlertDays,3,""))))))</f>
        <v/>
      </c>
      <c r="S177" s="63">
        <f>IF(R177="","",IF(H177="High","High-severity issue: ",IF(C177="Punch item","Punch item: ","Issue action due: "))&amp;F177&amp;IF(J177="",""," → "&amp;J177))</f>
        <v/>
      </c>
      <c r="T177" s="63">
        <f>IF(O177=1,IF(I177="",0,I177),0)</f>
        <v/>
      </c>
      <c r="U177" s="63">
        <f>IF(AND(O177=1,H177="High"),1,0)</f>
        <v/>
      </c>
      <c r="V177" s="63">
        <f>IF(AND(O177=1,C177="Punch item"),1,0)</f>
        <v/>
      </c>
    </row>
    <row r="178" ht="24" customHeight="1">
      <c r="B178" s="100" t="n">
        <v>171</v>
      </c>
      <c r="C178" s="65" t="n"/>
      <c r="D178" s="81" t="n"/>
      <c r="E178" s="65" t="n"/>
      <c r="F178" s="88" t="n"/>
      <c r="G178" s="65" t="n"/>
      <c r="H178" s="67" t="n"/>
      <c r="I178" s="66" t="n"/>
      <c r="J178" s="88" t="n"/>
      <c r="K178" s="81" t="n"/>
      <c r="L178" s="65" t="n"/>
      <c r="M178" s="81" t="n"/>
      <c r="N178" s="65" t="n"/>
      <c r="O178" s="63">
        <f>IF(AND(F178&lt;&gt;"",L178&lt;&gt;"Resolved"),1,0)</f>
        <v/>
      </c>
      <c r="P178" s="63">
        <f>IF(F178="","",IF(O178=0,0,IF(H178="High",2,1)))</f>
        <v/>
      </c>
      <c r="Q178" s="85">
        <f>IF(O178=1,IF(K178&lt;&gt;"",K178,IF(H178="High",AsOf,"")),"")</f>
        <v/>
      </c>
      <c r="R178" s="63">
        <f>IF(Q178="","",IF(H178="High",1,IF(Q178="","",IF(Q178&lt;AsOf,1,IF(Q178&lt;=AsOf+AlertDays,2,IF(Q178&lt;=AsOf+2*AlertDays,3,""))))))</f>
        <v/>
      </c>
      <c r="S178" s="63">
        <f>IF(R178="","",IF(H178="High","High-severity issue: ",IF(C178="Punch item","Punch item: ","Issue action due: "))&amp;F178&amp;IF(J178="",""," → "&amp;J178))</f>
        <v/>
      </c>
      <c r="T178" s="63">
        <f>IF(O178=1,IF(I178="",0,I178),0)</f>
        <v/>
      </c>
      <c r="U178" s="63">
        <f>IF(AND(O178=1,H178="High"),1,0)</f>
        <v/>
      </c>
      <c r="V178" s="63">
        <f>IF(AND(O178=1,C178="Punch item"),1,0)</f>
        <v/>
      </c>
    </row>
    <row r="179" ht="24" customHeight="1">
      <c r="B179" s="100" t="n">
        <v>172</v>
      </c>
      <c r="C179" s="65" t="n"/>
      <c r="D179" s="81" t="n"/>
      <c r="E179" s="65" t="n"/>
      <c r="F179" s="88" t="n"/>
      <c r="G179" s="65" t="n"/>
      <c r="H179" s="67" t="n"/>
      <c r="I179" s="66" t="n"/>
      <c r="J179" s="88" t="n"/>
      <c r="K179" s="81" t="n"/>
      <c r="L179" s="65" t="n"/>
      <c r="M179" s="81" t="n"/>
      <c r="N179" s="65" t="n"/>
      <c r="O179" s="63">
        <f>IF(AND(F179&lt;&gt;"",L179&lt;&gt;"Resolved"),1,0)</f>
        <v/>
      </c>
      <c r="P179" s="63">
        <f>IF(F179="","",IF(O179=0,0,IF(H179="High",2,1)))</f>
        <v/>
      </c>
      <c r="Q179" s="85">
        <f>IF(O179=1,IF(K179&lt;&gt;"",K179,IF(H179="High",AsOf,"")),"")</f>
        <v/>
      </c>
      <c r="R179" s="63">
        <f>IF(Q179="","",IF(H179="High",1,IF(Q179="","",IF(Q179&lt;AsOf,1,IF(Q179&lt;=AsOf+AlertDays,2,IF(Q179&lt;=AsOf+2*AlertDays,3,""))))))</f>
        <v/>
      </c>
      <c r="S179" s="63">
        <f>IF(R179="","",IF(H179="High","High-severity issue: ",IF(C179="Punch item","Punch item: ","Issue action due: "))&amp;F179&amp;IF(J179="",""," → "&amp;J179))</f>
        <v/>
      </c>
      <c r="T179" s="63">
        <f>IF(O179=1,IF(I179="",0,I179),0)</f>
        <v/>
      </c>
      <c r="U179" s="63">
        <f>IF(AND(O179=1,H179="High"),1,0)</f>
        <v/>
      </c>
      <c r="V179" s="63">
        <f>IF(AND(O179=1,C179="Punch item"),1,0)</f>
        <v/>
      </c>
    </row>
    <row r="180" ht="24" customHeight="1">
      <c r="B180" s="100" t="n">
        <v>173</v>
      </c>
      <c r="C180" s="65" t="n"/>
      <c r="D180" s="81" t="n"/>
      <c r="E180" s="65" t="n"/>
      <c r="F180" s="88" t="n"/>
      <c r="G180" s="65" t="n"/>
      <c r="H180" s="67" t="n"/>
      <c r="I180" s="66" t="n"/>
      <c r="J180" s="88" t="n"/>
      <c r="K180" s="81" t="n"/>
      <c r="L180" s="65" t="n"/>
      <c r="M180" s="81" t="n"/>
      <c r="N180" s="65" t="n"/>
      <c r="O180" s="63">
        <f>IF(AND(F180&lt;&gt;"",L180&lt;&gt;"Resolved"),1,0)</f>
        <v/>
      </c>
      <c r="P180" s="63">
        <f>IF(F180="","",IF(O180=0,0,IF(H180="High",2,1)))</f>
        <v/>
      </c>
      <c r="Q180" s="85">
        <f>IF(O180=1,IF(K180&lt;&gt;"",K180,IF(H180="High",AsOf,"")),"")</f>
        <v/>
      </c>
      <c r="R180" s="63">
        <f>IF(Q180="","",IF(H180="High",1,IF(Q180="","",IF(Q180&lt;AsOf,1,IF(Q180&lt;=AsOf+AlertDays,2,IF(Q180&lt;=AsOf+2*AlertDays,3,""))))))</f>
        <v/>
      </c>
      <c r="S180" s="63">
        <f>IF(R180="","",IF(H180="High","High-severity issue: ",IF(C180="Punch item","Punch item: ","Issue action due: "))&amp;F180&amp;IF(J180="",""," → "&amp;J180))</f>
        <v/>
      </c>
      <c r="T180" s="63">
        <f>IF(O180=1,IF(I180="",0,I180),0)</f>
        <v/>
      </c>
      <c r="U180" s="63">
        <f>IF(AND(O180=1,H180="High"),1,0)</f>
        <v/>
      </c>
      <c r="V180" s="63">
        <f>IF(AND(O180=1,C180="Punch item"),1,0)</f>
        <v/>
      </c>
    </row>
    <row r="181" ht="24" customHeight="1">
      <c r="B181" s="100" t="n">
        <v>174</v>
      </c>
      <c r="C181" s="65" t="n"/>
      <c r="D181" s="81" t="n"/>
      <c r="E181" s="65" t="n"/>
      <c r="F181" s="88" t="n"/>
      <c r="G181" s="65" t="n"/>
      <c r="H181" s="67" t="n"/>
      <c r="I181" s="66" t="n"/>
      <c r="J181" s="88" t="n"/>
      <c r="K181" s="81" t="n"/>
      <c r="L181" s="65" t="n"/>
      <c r="M181" s="81" t="n"/>
      <c r="N181" s="65" t="n"/>
      <c r="O181" s="63">
        <f>IF(AND(F181&lt;&gt;"",L181&lt;&gt;"Resolved"),1,0)</f>
        <v/>
      </c>
      <c r="P181" s="63">
        <f>IF(F181="","",IF(O181=0,0,IF(H181="High",2,1)))</f>
        <v/>
      </c>
      <c r="Q181" s="85">
        <f>IF(O181=1,IF(K181&lt;&gt;"",K181,IF(H181="High",AsOf,"")),"")</f>
        <v/>
      </c>
      <c r="R181" s="63">
        <f>IF(Q181="","",IF(H181="High",1,IF(Q181="","",IF(Q181&lt;AsOf,1,IF(Q181&lt;=AsOf+AlertDays,2,IF(Q181&lt;=AsOf+2*AlertDays,3,""))))))</f>
        <v/>
      </c>
      <c r="S181" s="63">
        <f>IF(R181="","",IF(H181="High","High-severity issue: ",IF(C181="Punch item","Punch item: ","Issue action due: "))&amp;F181&amp;IF(J181="",""," → "&amp;J181))</f>
        <v/>
      </c>
      <c r="T181" s="63">
        <f>IF(O181=1,IF(I181="",0,I181),0)</f>
        <v/>
      </c>
      <c r="U181" s="63">
        <f>IF(AND(O181=1,H181="High"),1,0)</f>
        <v/>
      </c>
      <c r="V181" s="63">
        <f>IF(AND(O181=1,C181="Punch item"),1,0)</f>
        <v/>
      </c>
    </row>
    <row r="182" ht="24" customHeight="1">
      <c r="B182" s="100" t="n">
        <v>175</v>
      </c>
      <c r="C182" s="65" t="n"/>
      <c r="D182" s="81" t="n"/>
      <c r="E182" s="65" t="n"/>
      <c r="F182" s="88" t="n"/>
      <c r="G182" s="65" t="n"/>
      <c r="H182" s="67" t="n"/>
      <c r="I182" s="66" t="n"/>
      <c r="J182" s="88" t="n"/>
      <c r="K182" s="81" t="n"/>
      <c r="L182" s="65" t="n"/>
      <c r="M182" s="81" t="n"/>
      <c r="N182" s="65" t="n"/>
      <c r="O182" s="63">
        <f>IF(AND(F182&lt;&gt;"",L182&lt;&gt;"Resolved"),1,0)</f>
        <v/>
      </c>
      <c r="P182" s="63">
        <f>IF(F182="","",IF(O182=0,0,IF(H182="High",2,1)))</f>
        <v/>
      </c>
      <c r="Q182" s="85">
        <f>IF(O182=1,IF(K182&lt;&gt;"",K182,IF(H182="High",AsOf,"")),"")</f>
        <v/>
      </c>
      <c r="R182" s="63">
        <f>IF(Q182="","",IF(H182="High",1,IF(Q182="","",IF(Q182&lt;AsOf,1,IF(Q182&lt;=AsOf+AlertDays,2,IF(Q182&lt;=AsOf+2*AlertDays,3,""))))))</f>
        <v/>
      </c>
      <c r="S182" s="63">
        <f>IF(R182="","",IF(H182="High","High-severity issue: ",IF(C182="Punch item","Punch item: ","Issue action due: "))&amp;F182&amp;IF(J182="",""," → "&amp;J182))</f>
        <v/>
      </c>
      <c r="T182" s="63">
        <f>IF(O182=1,IF(I182="",0,I182),0)</f>
        <v/>
      </c>
      <c r="U182" s="63">
        <f>IF(AND(O182=1,H182="High"),1,0)</f>
        <v/>
      </c>
      <c r="V182" s="63">
        <f>IF(AND(O182=1,C182="Punch item"),1,0)</f>
        <v/>
      </c>
    </row>
    <row r="183" ht="24" customHeight="1">
      <c r="B183" s="100" t="n">
        <v>176</v>
      </c>
      <c r="C183" s="65" t="n"/>
      <c r="D183" s="81" t="n"/>
      <c r="E183" s="65" t="n"/>
      <c r="F183" s="88" t="n"/>
      <c r="G183" s="65" t="n"/>
      <c r="H183" s="67" t="n"/>
      <c r="I183" s="66" t="n"/>
      <c r="J183" s="88" t="n"/>
      <c r="K183" s="81" t="n"/>
      <c r="L183" s="65" t="n"/>
      <c r="M183" s="81" t="n"/>
      <c r="N183" s="65" t="n"/>
      <c r="O183" s="63">
        <f>IF(AND(F183&lt;&gt;"",L183&lt;&gt;"Resolved"),1,0)</f>
        <v/>
      </c>
      <c r="P183" s="63">
        <f>IF(F183="","",IF(O183=0,0,IF(H183="High",2,1)))</f>
        <v/>
      </c>
      <c r="Q183" s="85">
        <f>IF(O183=1,IF(K183&lt;&gt;"",K183,IF(H183="High",AsOf,"")),"")</f>
        <v/>
      </c>
      <c r="R183" s="63">
        <f>IF(Q183="","",IF(H183="High",1,IF(Q183="","",IF(Q183&lt;AsOf,1,IF(Q183&lt;=AsOf+AlertDays,2,IF(Q183&lt;=AsOf+2*AlertDays,3,""))))))</f>
        <v/>
      </c>
      <c r="S183" s="63">
        <f>IF(R183="","",IF(H183="High","High-severity issue: ",IF(C183="Punch item","Punch item: ","Issue action due: "))&amp;F183&amp;IF(J183="",""," → "&amp;J183))</f>
        <v/>
      </c>
      <c r="T183" s="63">
        <f>IF(O183=1,IF(I183="",0,I183),0)</f>
        <v/>
      </c>
      <c r="U183" s="63">
        <f>IF(AND(O183=1,H183="High"),1,0)</f>
        <v/>
      </c>
      <c r="V183" s="63">
        <f>IF(AND(O183=1,C183="Punch item"),1,0)</f>
        <v/>
      </c>
    </row>
    <row r="184" ht="24" customHeight="1">
      <c r="B184" s="100" t="n">
        <v>177</v>
      </c>
      <c r="C184" s="65" t="n"/>
      <c r="D184" s="81" t="n"/>
      <c r="E184" s="65" t="n"/>
      <c r="F184" s="88" t="n"/>
      <c r="G184" s="65" t="n"/>
      <c r="H184" s="67" t="n"/>
      <c r="I184" s="66" t="n"/>
      <c r="J184" s="88" t="n"/>
      <c r="K184" s="81" t="n"/>
      <c r="L184" s="65" t="n"/>
      <c r="M184" s="81" t="n"/>
      <c r="N184" s="65" t="n"/>
      <c r="O184" s="63">
        <f>IF(AND(F184&lt;&gt;"",L184&lt;&gt;"Resolved"),1,0)</f>
        <v/>
      </c>
      <c r="P184" s="63">
        <f>IF(F184="","",IF(O184=0,0,IF(H184="High",2,1)))</f>
        <v/>
      </c>
      <c r="Q184" s="85">
        <f>IF(O184=1,IF(K184&lt;&gt;"",K184,IF(H184="High",AsOf,"")),"")</f>
        <v/>
      </c>
      <c r="R184" s="63">
        <f>IF(Q184="","",IF(H184="High",1,IF(Q184="","",IF(Q184&lt;AsOf,1,IF(Q184&lt;=AsOf+AlertDays,2,IF(Q184&lt;=AsOf+2*AlertDays,3,""))))))</f>
        <v/>
      </c>
      <c r="S184" s="63">
        <f>IF(R184="","",IF(H184="High","High-severity issue: ",IF(C184="Punch item","Punch item: ","Issue action due: "))&amp;F184&amp;IF(J184="",""," → "&amp;J184))</f>
        <v/>
      </c>
      <c r="T184" s="63">
        <f>IF(O184=1,IF(I184="",0,I184),0)</f>
        <v/>
      </c>
      <c r="U184" s="63">
        <f>IF(AND(O184=1,H184="High"),1,0)</f>
        <v/>
      </c>
      <c r="V184" s="63">
        <f>IF(AND(O184=1,C184="Punch item"),1,0)</f>
        <v/>
      </c>
    </row>
    <row r="185" ht="24" customHeight="1">
      <c r="B185" s="100" t="n">
        <v>178</v>
      </c>
      <c r="C185" s="65" t="n"/>
      <c r="D185" s="81" t="n"/>
      <c r="E185" s="65" t="n"/>
      <c r="F185" s="88" t="n"/>
      <c r="G185" s="65" t="n"/>
      <c r="H185" s="67" t="n"/>
      <c r="I185" s="66" t="n"/>
      <c r="J185" s="88" t="n"/>
      <c r="K185" s="81" t="n"/>
      <c r="L185" s="65" t="n"/>
      <c r="M185" s="81" t="n"/>
      <c r="N185" s="65" t="n"/>
      <c r="O185" s="63">
        <f>IF(AND(F185&lt;&gt;"",L185&lt;&gt;"Resolved"),1,0)</f>
        <v/>
      </c>
      <c r="P185" s="63">
        <f>IF(F185="","",IF(O185=0,0,IF(H185="High",2,1)))</f>
        <v/>
      </c>
      <c r="Q185" s="85">
        <f>IF(O185=1,IF(K185&lt;&gt;"",K185,IF(H185="High",AsOf,"")),"")</f>
        <v/>
      </c>
      <c r="R185" s="63">
        <f>IF(Q185="","",IF(H185="High",1,IF(Q185="","",IF(Q185&lt;AsOf,1,IF(Q185&lt;=AsOf+AlertDays,2,IF(Q185&lt;=AsOf+2*AlertDays,3,""))))))</f>
        <v/>
      </c>
      <c r="S185" s="63">
        <f>IF(R185="","",IF(H185="High","High-severity issue: ",IF(C185="Punch item","Punch item: ","Issue action due: "))&amp;F185&amp;IF(J185="",""," → "&amp;J185))</f>
        <v/>
      </c>
      <c r="T185" s="63">
        <f>IF(O185=1,IF(I185="",0,I185),0)</f>
        <v/>
      </c>
      <c r="U185" s="63">
        <f>IF(AND(O185=1,H185="High"),1,0)</f>
        <v/>
      </c>
      <c r="V185" s="63">
        <f>IF(AND(O185=1,C185="Punch item"),1,0)</f>
        <v/>
      </c>
    </row>
    <row r="186" ht="24" customHeight="1">
      <c r="B186" s="100" t="n">
        <v>179</v>
      </c>
      <c r="C186" s="65" t="n"/>
      <c r="D186" s="81" t="n"/>
      <c r="E186" s="65" t="n"/>
      <c r="F186" s="88" t="n"/>
      <c r="G186" s="65" t="n"/>
      <c r="H186" s="67" t="n"/>
      <c r="I186" s="66" t="n"/>
      <c r="J186" s="88" t="n"/>
      <c r="K186" s="81" t="n"/>
      <c r="L186" s="65" t="n"/>
      <c r="M186" s="81" t="n"/>
      <c r="N186" s="65" t="n"/>
      <c r="O186" s="63">
        <f>IF(AND(F186&lt;&gt;"",L186&lt;&gt;"Resolved"),1,0)</f>
        <v/>
      </c>
      <c r="P186" s="63">
        <f>IF(F186="","",IF(O186=0,0,IF(H186="High",2,1)))</f>
        <v/>
      </c>
      <c r="Q186" s="85">
        <f>IF(O186=1,IF(K186&lt;&gt;"",K186,IF(H186="High",AsOf,"")),"")</f>
        <v/>
      </c>
      <c r="R186" s="63">
        <f>IF(Q186="","",IF(H186="High",1,IF(Q186="","",IF(Q186&lt;AsOf,1,IF(Q186&lt;=AsOf+AlertDays,2,IF(Q186&lt;=AsOf+2*AlertDays,3,""))))))</f>
        <v/>
      </c>
      <c r="S186" s="63">
        <f>IF(R186="","",IF(H186="High","High-severity issue: ",IF(C186="Punch item","Punch item: ","Issue action due: "))&amp;F186&amp;IF(J186="",""," → "&amp;J186))</f>
        <v/>
      </c>
      <c r="T186" s="63">
        <f>IF(O186=1,IF(I186="",0,I186),0)</f>
        <v/>
      </c>
      <c r="U186" s="63">
        <f>IF(AND(O186=1,H186="High"),1,0)</f>
        <v/>
      </c>
      <c r="V186" s="63">
        <f>IF(AND(O186=1,C186="Punch item"),1,0)</f>
        <v/>
      </c>
    </row>
    <row r="187" ht="24" customHeight="1">
      <c r="B187" s="100" t="n">
        <v>180</v>
      </c>
      <c r="C187" s="65" t="n"/>
      <c r="D187" s="81" t="n"/>
      <c r="E187" s="65" t="n"/>
      <c r="F187" s="88" t="n"/>
      <c r="G187" s="65" t="n"/>
      <c r="H187" s="67" t="n"/>
      <c r="I187" s="66" t="n"/>
      <c r="J187" s="88" t="n"/>
      <c r="K187" s="81" t="n"/>
      <c r="L187" s="65" t="n"/>
      <c r="M187" s="81" t="n"/>
      <c r="N187" s="65" t="n"/>
      <c r="O187" s="63">
        <f>IF(AND(F187&lt;&gt;"",L187&lt;&gt;"Resolved"),1,0)</f>
        <v/>
      </c>
      <c r="P187" s="63">
        <f>IF(F187="","",IF(O187=0,0,IF(H187="High",2,1)))</f>
        <v/>
      </c>
      <c r="Q187" s="85">
        <f>IF(O187=1,IF(K187&lt;&gt;"",K187,IF(H187="High",AsOf,"")),"")</f>
        <v/>
      </c>
      <c r="R187" s="63">
        <f>IF(Q187="","",IF(H187="High",1,IF(Q187="","",IF(Q187&lt;AsOf,1,IF(Q187&lt;=AsOf+AlertDays,2,IF(Q187&lt;=AsOf+2*AlertDays,3,""))))))</f>
        <v/>
      </c>
      <c r="S187" s="63">
        <f>IF(R187="","",IF(H187="High","High-severity issue: ",IF(C187="Punch item","Punch item: ","Issue action due: "))&amp;F187&amp;IF(J187="",""," → "&amp;J187))</f>
        <v/>
      </c>
      <c r="T187" s="63">
        <f>IF(O187=1,IF(I187="",0,I187),0)</f>
        <v/>
      </c>
      <c r="U187" s="63">
        <f>IF(AND(O187=1,H187="High"),1,0)</f>
        <v/>
      </c>
      <c r="V187" s="63">
        <f>IF(AND(O187=1,C187="Punch item"),1,0)</f>
        <v/>
      </c>
    </row>
    <row r="188" ht="24" customHeight="1">
      <c r="B188" s="100" t="n">
        <v>181</v>
      </c>
      <c r="C188" s="65" t="n"/>
      <c r="D188" s="81" t="n"/>
      <c r="E188" s="65" t="n"/>
      <c r="F188" s="88" t="n"/>
      <c r="G188" s="65" t="n"/>
      <c r="H188" s="67" t="n"/>
      <c r="I188" s="66" t="n"/>
      <c r="J188" s="88" t="n"/>
      <c r="K188" s="81" t="n"/>
      <c r="L188" s="65" t="n"/>
      <c r="M188" s="81" t="n"/>
      <c r="N188" s="65" t="n"/>
      <c r="O188" s="63">
        <f>IF(AND(F188&lt;&gt;"",L188&lt;&gt;"Resolved"),1,0)</f>
        <v/>
      </c>
      <c r="P188" s="63">
        <f>IF(F188="","",IF(O188=0,0,IF(H188="High",2,1)))</f>
        <v/>
      </c>
      <c r="Q188" s="85">
        <f>IF(O188=1,IF(K188&lt;&gt;"",K188,IF(H188="High",AsOf,"")),"")</f>
        <v/>
      </c>
      <c r="R188" s="63">
        <f>IF(Q188="","",IF(H188="High",1,IF(Q188="","",IF(Q188&lt;AsOf,1,IF(Q188&lt;=AsOf+AlertDays,2,IF(Q188&lt;=AsOf+2*AlertDays,3,""))))))</f>
        <v/>
      </c>
      <c r="S188" s="63">
        <f>IF(R188="","",IF(H188="High","High-severity issue: ",IF(C188="Punch item","Punch item: ","Issue action due: "))&amp;F188&amp;IF(J188="",""," → "&amp;J188))</f>
        <v/>
      </c>
      <c r="T188" s="63">
        <f>IF(O188=1,IF(I188="",0,I188),0)</f>
        <v/>
      </c>
      <c r="U188" s="63">
        <f>IF(AND(O188=1,H188="High"),1,0)</f>
        <v/>
      </c>
      <c r="V188" s="63">
        <f>IF(AND(O188=1,C188="Punch item"),1,0)</f>
        <v/>
      </c>
    </row>
    <row r="189" ht="24" customHeight="1">
      <c r="B189" s="100" t="n">
        <v>182</v>
      </c>
      <c r="C189" s="65" t="n"/>
      <c r="D189" s="81" t="n"/>
      <c r="E189" s="65" t="n"/>
      <c r="F189" s="88" t="n"/>
      <c r="G189" s="65" t="n"/>
      <c r="H189" s="67" t="n"/>
      <c r="I189" s="66" t="n"/>
      <c r="J189" s="88" t="n"/>
      <c r="K189" s="81" t="n"/>
      <c r="L189" s="65" t="n"/>
      <c r="M189" s="81" t="n"/>
      <c r="N189" s="65" t="n"/>
      <c r="O189" s="63">
        <f>IF(AND(F189&lt;&gt;"",L189&lt;&gt;"Resolved"),1,0)</f>
        <v/>
      </c>
      <c r="P189" s="63">
        <f>IF(F189="","",IF(O189=0,0,IF(H189="High",2,1)))</f>
        <v/>
      </c>
      <c r="Q189" s="85">
        <f>IF(O189=1,IF(K189&lt;&gt;"",K189,IF(H189="High",AsOf,"")),"")</f>
        <v/>
      </c>
      <c r="R189" s="63">
        <f>IF(Q189="","",IF(H189="High",1,IF(Q189="","",IF(Q189&lt;AsOf,1,IF(Q189&lt;=AsOf+AlertDays,2,IF(Q189&lt;=AsOf+2*AlertDays,3,""))))))</f>
        <v/>
      </c>
      <c r="S189" s="63">
        <f>IF(R189="","",IF(H189="High","High-severity issue: ",IF(C189="Punch item","Punch item: ","Issue action due: "))&amp;F189&amp;IF(J189="",""," → "&amp;J189))</f>
        <v/>
      </c>
      <c r="T189" s="63">
        <f>IF(O189=1,IF(I189="",0,I189),0)</f>
        <v/>
      </c>
      <c r="U189" s="63">
        <f>IF(AND(O189=1,H189="High"),1,0)</f>
        <v/>
      </c>
      <c r="V189" s="63">
        <f>IF(AND(O189=1,C189="Punch item"),1,0)</f>
        <v/>
      </c>
    </row>
    <row r="190" ht="24" customHeight="1">
      <c r="B190" s="100" t="n">
        <v>183</v>
      </c>
      <c r="C190" s="65" t="n"/>
      <c r="D190" s="81" t="n"/>
      <c r="E190" s="65" t="n"/>
      <c r="F190" s="88" t="n"/>
      <c r="G190" s="65" t="n"/>
      <c r="H190" s="67" t="n"/>
      <c r="I190" s="66" t="n"/>
      <c r="J190" s="88" t="n"/>
      <c r="K190" s="81" t="n"/>
      <c r="L190" s="65" t="n"/>
      <c r="M190" s="81" t="n"/>
      <c r="N190" s="65" t="n"/>
      <c r="O190" s="63">
        <f>IF(AND(F190&lt;&gt;"",L190&lt;&gt;"Resolved"),1,0)</f>
        <v/>
      </c>
      <c r="P190" s="63">
        <f>IF(F190="","",IF(O190=0,0,IF(H190="High",2,1)))</f>
        <v/>
      </c>
      <c r="Q190" s="85">
        <f>IF(O190=1,IF(K190&lt;&gt;"",K190,IF(H190="High",AsOf,"")),"")</f>
        <v/>
      </c>
      <c r="R190" s="63">
        <f>IF(Q190="","",IF(H190="High",1,IF(Q190="","",IF(Q190&lt;AsOf,1,IF(Q190&lt;=AsOf+AlertDays,2,IF(Q190&lt;=AsOf+2*AlertDays,3,""))))))</f>
        <v/>
      </c>
      <c r="S190" s="63">
        <f>IF(R190="","",IF(H190="High","High-severity issue: ",IF(C190="Punch item","Punch item: ","Issue action due: "))&amp;F190&amp;IF(J190="",""," → "&amp;J190))</f>
        <v/>
      </c>
      <c r="T190" s="63">
        <f>IF(O190=1,IF(I190="",0,I190),0)</f>
        <v/>
      </c>
      <c r="U190" s="63">
        <f>IF(AND(O190=1,H190="High"),1,0)</f>
        <v/>
      </c>
      <c r="V190" s="63">
        <f>IF(AND(O190=1,C190="Punch item"),1,0)</f>
        <v/>
      </c>
    </row>
    <row r="191" ht="24" customHeight="1">
      <c r="B191" s="100" t="n">
        <v>184</v>
      </c>
      <c r="C191" s="65" t="n"/>
      <c r="D191" s="81" t="n"/>
      <c r="E191" s="65" t="n"/>
      <c r="F191" s="88" t="n"/>
      <c r="G191" s="65" t="n"/>
      <c r="H191" s="67" t="n"/>
      <c r="I191" s="66" t="n"/>
      <c r="J191" s="88" t="n"/>
      <c r="K191" s="81" t="n"/>
      <c r="L191" s="65" t="n"/>
      <c r="M191" s="81" t="n"/>
      <c r="N191" s="65" t="n"/>
      <c r="O191" s="63">
        <f>IF(AND(F191&lt;&gt;"",L191&lt;&gt;"Resolved"),1,0)</f>
        <v/>
      </c>
      <c r="P191" s="63">
        <f>IF(F191="","",IF(O191=0,0,IF(H191="High",2,1)))</f>
        <v/>
      </c>
      <c r="Q191" s="85">
        <f>IF(O191=1,IF(K191&lt;&gt;"",K191,IF(H191="High",AsOf,"")),"")</f>
        <v/>
      </c>
      <c r="R191" s="63">
        <f>IF(Q191="","",IF(H191="High",1,IF(Q191="","",IF(Q191&lt;AsOf,1,IF(Q191&lt;=AsOf+AlertDays,2,IF(Q191&lt;=AsOf+2*AlertDays,3,""))))))</f>
        <v/>
      </c>
      <c r="S191" s="63">
        <f>IF(R191="","",IF(H191="High","High-severity issue: ",IF(C191="Punch item","Punch item: ","Issue action due: "))&amp;F191&amp;IF(J191="",""," → "&amp;J191))</f>
        <v/>
      </c>
      <c r="T191" s="63">
        <f>IF(O191=1,IF(I191="",0,I191),0)</f>
        <v/>
      </c>
      <c r="U191" s="63">
        <f>IF(AND(O191=1,H191="High"),1,0)</f>
        <v/>
      </c>
      <c r="V191" s="63">
        <f>IF(AND(O191=1,C191="Punch item"),1,0)</f>
        <v/>
      </c>
    </row>
    <row r="192" ht="24" customHeight="1">
      <c r="B192" s="100" t="n">
        <v>185</v>
      </c>
      <c r="C192" s="65" t="n"/>
      <c r="D192" s="81" t="n"/>
      <c r="E192" s="65" t="n"/>
      <c r="F192" s="88" t="n"/>
      <c r="G192" s="65" t="n"/>
      <c r="H192" s="67" t="n"/>
      <c r="I192" s="66" t="n"/>
      <c r="J192" s="88" t="n"/>
      <c r="K192" s="81" t="n"/>
      <c r="L192" s="65" t="n"/>
      <c r="M192" s="81" t="n"/>
      <c r="N192" s="65" t="n"/>
      <c r="O192" s="63">
        <f>IF(AND(F192&lt;&gt;"",L192&lt;&gt;"Resolved"),1,0)</f>
        <v/>
      </c>
      <c r="P192" s="63">
        <f>IF(F192="","",IF(O192=0,0,IF(H192="High",2,1)))</f>
        <v/>
      </c>
      <c r="Q192" s="85">
        <f>IF(O192=1,IF(K192&lt;&gt;"",K192,IF(H192="High",AsOf,"")),"")</f>
        <v/>
      </c>
      <c r="R192" s="63">
        <f>IF(Q192="","",IF(H192="High",1,IF(Q192="","",IF(Q192&lt;AsOf,1,IF(Q192&lt;=AsOf+AlertDays,2,IF(Q192&lt;=AsOf+2*AlertDays,3,""))))))</f>
        <v/>
      </c>
      <c r="S192" s="63">
        <f>IF(R192="","",IF(H192="High","High-severity issue: ",IF(C192="Punch item","Punch item: ","Issue action due: "))&amp;F192&amp;IF(J192="",""," → "&amp;J192))</f>
        <v/>
      </c>
      <c r="T192" s="63">
        <f>IF(O192=1,IF(I192="",0,I192),0)</f>
        <v/>
      </c>
      <c r="U192" s="63">
        <f>IF(AND(O192=1,H192="High"),1,0)</f>
        <v/>
      </c>
      <c r="V192" s="63">
        <f>IF(AND(O192=1,C192="Punch item"),1,0)</f>
        <v/>
      </c>
    </row>
    <row r="193" ht="24" customHeight="1">
      <c r="B193" s="100" t="n">
        <v>186</v>
      </c>
      <c r="C193" s="65" t="n"/>
      <c r="D193" s="81" t="n"/>
      <c r="E193" s="65" t="n"/>
      <c r="F193" s="88" t="n"/>
      <c r="G193" s="65" t="n"/>
      <c r="H193" s="67" t="n"/>
      <c r="I193" s="66" t="n"/>
      <c r="J193" s="88" t="n"/>
      <c r="K193" s="81" t="n"/>
      <c r="L193" s="65" t="n"/>
      <c r="M193" s="81" t="n"/>
      <c r="N193" s="65" t="n"/>
      <c r="O193" s="63">
        <f>IF(AND(F193&lt;&gt;"",L193&lt;&gt;"Resolved"),1,0)</f>
        <v/>
      </c>
      <c r="P193" s="63">
        <f>IF(F193="","",IF(O193=0,0,IF(H193="High",2,1)))</f>
        <v/>
      </c>
      <c r="Q193" s="85">
        <f>IF(O193=1,IF(K193&lt;&gt;"",K193,IF(H193="High",AsOf,"")),"")</f>
        <v/>
      </c>
      <c r="R193" s="63">
        <f>IF(Q193="","",IF(H193="High",1,IF(Q193="","",IF(Q193&lt;AsOf,1,IF(Q193&lt;=AsOf+AlertDays,2,IF(Q193&lt;=AsOf+2*AlertDays,3,""))))))</f>
        <v/>
      </c>
      <c r="S193" s="63">
        <f>IF(R193="","",IF(H193="High","High-severity issue: ",IF(C193="Punch item","Punch item: ","Issue action due: "))&amp;F193&amp;IF(J193="",""," → "&amp;J193))</f>
        <v/>
      </c>
      <c r="T193" s="63">
        <f>IF(O193=1,IF(I193="",0,I193),0)</f>
        <v/>
      </c>
      <c r="U193" s="63">
        <f>IF(AND(O193=1,H193="High"),1,0)</f>
        <v/>
      </c>
      <c r="V193" s="63">
        <f>IF(AND(O193=1,C193="Punch item"),1,0)</f>
        <v/>
      </c>
    </row>
    <row r="194" ht="24" customHeight="1">
      <c r="B194" s="100" t="n">
        <v>187</v>
      </c>
      <c r="C194" s="65" t="n"/>
      <c r="D194" s="81" t="n"/>
      <c r="E194" s="65" t="n"/>
      <c r="F194" s="88" t="n"/>
      <c r="G194" s="65" t="n"/>
      <c r="H194" s="67" t="n"/>
      <c r="I194" s="66" t="n"/>
      <c r="J194" s="88" t="n"/>
      <c r="K194" s="81" t="n"/>
      <c r="L194" s="65" t="n"/>
      <c r="M194" s="81" t="n"/>
      <c r="N194" s="65" t="n"/>
      <c r="O194" s="63">
        <f>IF(AND(F194&lt;&gt;"",L194&lt;&gt;"Resolved"),1,0)</f>
        <v/>
      </c>
      <c r="P194" s="63">
        <f>IF(F194="","",IF(O194=0,0,IF(H194="High",2,1)))</f>
        <v/>
      </c>
      <c r="Q194" s="85">
        <f>IF(O194=1,IF(K194&lt;&gt;"",K194,IF(H194="High",AsOf,"")),"")</f>
        <v/>
      </c>
      <c r="R194" s="63">
        <f>IF(Q194="","",IF(H194="High",1,IF(Q194="","",IF(Q194&lt;AsOf,1,IF(Q194&lt;=AsOf+AlertDays,2,IF(Q194&lt;=AsOf+2*AlertDays,3,""))))))</f>
        <v/>
      </c>
      <c r="S194" s="63">
        <f>IF(R194="","",IF(H194="High","High-severity issue: ",IF(C194="Punch item","Punch item: ","Issue action due: "))&amp;F194&amp;IF(J194="",""," → "&amp;J194))</f>
        <v/>
      </c>
      <c r="T194" s="63">
        <f>IF(O194=1,IF(I194="",0,I194),0)</f>
        <v/>
      </c>
      <c r="U194" s="63">
        <f>IF(AND(O194=1,H194="High"),1,0)</f>
        <v/>
      </c>
      <c r="V194" s="63">
        <f>IF(AND(O194=1,C194="Punch item"),1,0)</f>
        <v/>
      </c>
    </row>
    <row r="195" ht="24" customHeight="1">
      <c r="B195" s="100" t="n">
        <v>188</v>
      </c>
      <c r="C195" s="65" t="n"/>
      <c r="D195" s="81" t="n"/>
      <c r="E195" s="65" t="n"/>
      <c r="F195" s="88" t="n"/>
      <c r="G195" s="65" t="n"/>
      <c r="H195" s="67" t="n"/>
      <c r="I195" s="66" t="n"/>
      <c r="J195" s="88" t="n"/>
      <c r="K195" s="81" t="n"/>
      <c r="L195" s="65" t="n"/>
      <c r="M195" s="81" t="n"/>
      <c r="N195" s="65" t="n"/>
      <c r="O195" s="63">
        <f>IF(AND(F195&lt;&gt;"",L195&lt;&gt;"Resolved"),1,0)</f>
        <v/>
      </c>
      <c r="P195" s="63">
        <f>IF(F195="","",IF(O195=0,0,IF(H195="High",2,1)))</f>
        <v/>
      </c>
      <c r="Q195" s="85">
        <f>IF(O195=1,IF(K195&lt;&gt;"",K195,IF(H195="High",AsOf,"")),"")</f>
        <v/>
      </c>
      <c r="R195" s="63">
        <f>IF(Q195="","",IF(H195="High",1,IF(Q195="","",IF(Q195&lt;AsOf,1,IF(Q195&lt;=AsOf+AlertDays,2,IF(Q195&lt;=AsOf+2*AlertDays,3,""))))))</f>
        <v/>
      </c>
      <c r="S195" s="63">
        <f>IF(R195="","",IF(H195="High","High-severity issue: ",IF(C195="Punch item","Punch item: ","Issue action due: "))&amp;F195&amp;IF(J195="",""," → "&amp;J195))</f>
        <v/>
      </c>
      <c r="T195" s="63">
        <f>IF(O195=1,IF(I195="",0,I195),0)</f>
        <v/>
      </c>
      <c r="U195" s="63">
        <f>IF(AND(O195=1,H195="High"),1,0)</f>
        <v/>
      </c>
      <c r="V195" s="63">
        <f>IF(AND(O195=1,C195="Punch item"),1,0)</f>
        <v/>
      </c>
    </row>
    <row r="196" ht="24" customHeight="1">
      <c r="B196" s="100" t="n">
        <v>189</v>
      </c>
      <c r="C196" s="65" t="n"/>
      <c r="D196" s="81" t="n"/>
      <c r="E196" s="65" t="n"/>
      <c r="F196" s="88" t="n"/>
      <c r="G196" s="65" t="n"/>
      <c r="H196" s="67" t="n"/>
      <c r="I196" s="66" t="n"/>
      <c r="J196" s="88" t="n"/>
      <c r="K196" s="81" t="n"/>
      <c r="L196" s="65" t="n"/>
      <c r="M196" s="81" t="n"/>
      <c r="N196" s="65" t="n"/>
      <c r="O196" s="63">
        <f>IF(AND(F196&lt;&gt;"",L196&lt;&gt;"Resolved"),1,0)</f>
        <v/>
      </c>
      <c r="P196" s="63">
        <f>IF(F196="","",IF(O196=0,0,IF(H196="High",2,1)))</f>
        <v/>
      </c>
      <c r="Q196" s="85">
        <f>IF(O196=1,IF(K196&lt;&gt;"",K196,IF(H196="High",AsOf,"")),"")</f>
        <v/>
      </c>
      <c r="R196" s="63">
        <f>IF(Q196="","",IF(H196="High",1,IF(Q196="","",IF(Q196&lt;AsOf,1,IF(Q196&lt;=AsOf+AlertDays,2,IF(Q196&lt;=AsOf+2*AlertDays,3,""))))))</f>
        <v/>
      </c>
      <c r="S196" s="63">
        <f>IF(R196="","",IF(H196="High","High-severity issue: ",IF(C196="Punch item","Punch item: ","Issue action due: "))&amp;F196&amp;IF(J196="",""," → "&amp;J196))</f>
        <v/>
      </c>
      <c r="T196" s="63">
        <f>IF(O196=1,IF(I196="",0,I196),0)</f>
        <v/>
      </c>
      <c r="U196" s="63">
        <f>IF(AND(O196=1,H196="High"),1,0)</f>
        <v/>
      </c>
      <c r="V196" s="63">
        <f>IF(AND(O196=1,C196="Punch item"),1,0)</f>
        <v/>
      </c>
    </row>
    <row r="197" ht="24" customHeight="1">
      <c r="B197" s="100" t="n">
        <v>190</v>
      </c>
      <c r="C197" s="65" t="n"/>
      <c r="D197" s="81" t="n"/>
      <c r="E197" s="65" t="n"/>
      <c r="F197" s="88" t="n"/>
      <c r="G197" s="65" t="n"/>
      <c r="H197" s="67" t="n"/>
      <c r="I197" s="66" t="n"/>
      <c r="J197" s="88" t="n"/>
      <c r="K197" s="81" t="n"/>
      <c r="L197" s="65" t="n"/>
      <c r="M197" s="81" t="n"/>
      <c r="N197" s="65" t="n"/>
      <c r="O197" s="63">
        <f>IF(AND(F197&lt;&gt;"",L197&lt;&gt;"Resolved"),1,0)</f>
        <v/>
      </c>
      <c r="P197" s="63">
        <f>IF(F197="","",IF(O197=0,0,IF(H197="High",2,1)))</f>
        <v/>
      </c>
      <c r="Q197" s="85">
        <f>IF(O197=1,IF(K197&lt;&gt;"",K197,IF(H197="High",AsOf,"")),"")</f>
        <v/>
      </c>
      <c r="R197" s="63">
        <f>IF(Q197="","",IF(H197="High",1,IF(Q197="","",IF(Q197&lt;AsOf,1,IF(Q197&lt;=AsOf+AlertDays,2,IF(Q197&lt;=AsOf+2*AlertDays,3,""))))))</f>
        <v/>
      </c>
      <c r="S197" s="63">
        <f>IF(R197="","",IF(H197="High","High-severity issue: ",IF(C197="Punch item","Punch item: ","Issue action due: "))&amp;F197&amp;IF(J197="",""," → "&amp;J197))</f>
        <v/>
      </c>
      <c r="T197" s="63">
        <f>IF(O197=1,IF(I197="",0,I197),0)</f>
        <v/>
      </c>
      <c r="U197" s="63">
        <f>IF(AND(O197=1,H197="High"),1,0)</f>
        <v/>
      </c>
      <c r="V197" s="63">
        <f>IF(AND(O197=1,C197="Punch item"),1,0)</f>
        <v/>
      </c>
    </row>
    <row r="198" ht="24" customHeight="1">
      <c r="B198" s="100" t="n">
        <v>191</v>
      </c>
      <c r="C198" s="65" t="n"/>
      <c r="D198" s="81" t="n"/>
      <c r="E198" s="65" t="n"/>
      <c r="F198" s="88" t="n"/>
      <c r="G198" s="65" t="n"/>
      <c r="H198" s="67" t="n"/>
      <c r="I198" s="66" t="n"/>
      <c r="J198" s="88" t="n"/>
      <c r="K198" s="81" t="n"/>
      <c r="L198" s="65" t="n"/>
      <c r="M198" s="81" t="n"/>
      <c r="N198" s="65" t="n"/>
      <c r="O198" s="63">
        <f>IF(AND(F198&lt;&gt;"",L198&lt;&gt;"Resolved"),1,0)</f>
        <v/>
      </c>
      <c r="P198" s="63">
        <f>IF(F198="","",IF(O198=0,0,IF(H198="High",2,1)))</f>
        <v/>
      </c>
      <c r="Q198" s="85">
        <f>IF(O198=1,IF(K198&lt;&gt;"",K198,IF(H198="High",AsOf,"")),"")</f>
        <v/>
      </c>
      <c r="R198" s="63">
        <f>IF(Q198="","",IF(H198="High",1,IF(Q198="","",IF(Q198&lt;AsOf,1,IF(Q198&lt;=AsOf+AlertDays,2,IF(Q198&lt;=AsOf+2*AlertDays,3,""))))))</f>
        <v/>
      </c>
      <c r="S198" s="63">
        <f>IF(R198="","",IF(H198="High","High-severity issue: ",IF(C198="Punch item","Punch item: ","Issue action due: "))&amp;F198&amp;IF(J198="",""," → "&amp;J198))</f>
        <v/>
      </c>
      <c r="T198" s="63">
        <f>IF(O198=1,IF(I198="",0,I198),0)</f>
        <v/>
      </c>
      <c r="U198" s="63">
        <f>IF(AND(O198=1,H198="High"),1,0)</f>
        <v/>
      </c>
      <c r="V198" s="63">
        <f>IF(AND(O198=1,C198="Punch item"),1,0)</f>
        <v/>
      </c>
    </row>
    <row r="199" ht="24" customHeight="1">
      <c r="B199" s="100" t="n">
        <v>192</v>
      </c>
      <c r="C199" s="65" t="n"/>
      <c r="D199" s="81" t="n"/>
      <c r="E199" s="65" t="n"/>
      <c r="F199" s="88" t="n"/>
      <c r="G199" s="65" t="n"/>
      <c r="H199" s="67" t="n"/>
      <c r="I199" s="66" t="n"/>
      <c r="J199" s="88" t="n"/>
      <c r="K199" s="81" t="n"/>
      <c r="L199" s="65" t="n"/>
      <c r="M199" s="81" t="n"/>
      <c r="N199" s="65" t="n"/>
      <c r="O199" s="63">
        <f>IF(AND(F199&lt;&gt;"",L199&lt;&gt;"Resolved"),1,0)</f>
        <v/>
      </c>
      <c r="P199" s="63">
        <f>IF(F199="","",IF(O199=0,0,IF(H199="High",2,1)))</f>
        <v/>
      </c>
      <c r="Q199" s="85">
        <f>IF(O199=1,IF(K199&lt;&gt;"",K199,IF(H199="High",AsOf,"")),"")</f>
        <v/>
      </c>
      <c r="R199" s="63">
        <f>IF(Q199="","",IF(H199="High",1,IF(Q199="","",IF(Q199&lt;AsOf,1,IF(Q199&lt;=AsOf+AlertDays,2,IF(Q199&lt;=AsOf+2*AlertDays,3,""))))))</f>
        <v/>
      </c>
      <c r="S199" s="63">
        <f>IF(R199="","",IF(H199="High","High-severity issue: ",IF(C199="Punch item","Punch item: ","Issue action due: "))&amp;F199&amp;IF(J199="",""," → "&amp;J199))</f>
        <v/>
      </c>
      <c r="T199" s="63">
        <f>IF(O199=1,IF(I199="",0,I199),0)</f>
        <v/>
      </c>
      <c r="U199" s="63">
        <f>IF(AND(O199=1,H199="High"),1,0)</f>
        <v/>
      </c>
      <c r="V199" s="63">
        <f>IF(AND(O199=1,C199="Punch item"),1,0)</f>
        <v/>
      </c>
    </row>
    <row r="200" ht="24" customHeight="1">
      <c r="B200" s="100" t="n">
        <v>193</v>
      </c>
      <c r="C200" s="65" t="n"/>
      <c r="D200" s="81" t="n"/>
      <c r="E200" s="65" t="n"/>
      <c r="F200" s="88" t="n"/>
      <c r="G200" s="65" t="n"/>
      <c r="H200" s="67" t="n"/>
      <c r="I200" s="66" t="n"/>
      <c r="J200" s="88" t="n"/>
      <c r="K200" s="81" t="n"/>
      <c r="L200" s="65" t="n"/>
      <c r="M200" s="81" t="n"/>
      <c r="N200" s="65" t="n"/>
      <c r="O200" s="63">
        <f>IF(AND(F200&lt;&gt;"",L200&lt;&gt;"Resolved"),1,0)</f>
        <v/>
      </c>
      <c r="P200" s="63">
        <f>IF(F200="","",IF(O200=0,0,IF(H200="High",2,1)))</f>
        <v/>
      </c>
      <c r="Q200" s="85">
        <f>IF(O200=1,IF(K200&lt;&gt;"",K200,IF(H200="High",AsOf,"")),"")</f>
        <v/>
      </c>
      <c r="R200" s="63">
        <f>IF(Q200="","",IF(H200="High",1,IF(Q200="","",IF(Q200&lt;AsOf,1,IF(Q200&lt;=AsOf+AlertDays,2,IF(Q200&lt;=AsOf+2*AlertDays,3,""))))))</f>
        <v/>
      </c>
      <c r="S200" s="63">
        <f>IF(R200="","",IF(H200="High","High-severity issue: ",IF(C200="Punch item","Punch item: ","Issue action due: "))&amp;F200&amp;IF(J200="",""," → "&amp;J200))</f>
        <v/>
      </c>
      <c r="T200" s="63">
        <f>IF(O200=1,IF(I200="",0,I200),0)</f>
        <v/>
      </c>
      <c r="U200" s="63">
        <f>IF(AND(O200=1,H200="High"),1,0)</f>
        <v/>
      </c>
      <c r="V200" s="63">
        <f>IF(AND(O200=1,C200="Punch item"),1,0)</f>
        <v/>
      </c>
    </row>
    <row r="201" ht="24" customHeight="1">
      <c r="B201" s="100" t="n">
        <v>194</v>
      </c>
      <c r="C201" s="65" t="n"/>
      <c r="D201" s="81" t="n"/>
      <c r="E201" s="65" t="n"/>
      <c r="F201" s="88" t="n"/>
      <c r="G201" s="65" t="n"/>
      <c r="H201" s="67" t="n"/>
      <c r="I201" s="66" t="n"/>
      <c r="J201" s="88" t="n"/>
      <c r="K201" s="81" t="n"/>
      <c r="L201" s="65" t="n"/>
      <c r="M201" s="81" t="n"/>
      <c r="N201" s="65" t="n"/>
      <c r="O201" s="63">
        <f>IF(AND(F201&lt;&gt;"",L201&lt;&gt;"Resolved"),1,0)</f>
        <v/>
      </c>
      <c r="P201" s="63">
        <f>IF(F201="","",IF(O201=0,0,IF(H201="High",2,1)))</f>
        <v/>
      </c>
      <c r="Q201" s="85">
        <f>IF(O201=1,IF(K201&lt;&gt;"",K201,IF(H201="High",AsOf,"")),"")</f>
        <v/>
      </c>
      <c r="R201" s="63">
        <f>IF(Q201="","",IF(H201="High",1,IF(Q201="","",IF(Q201&lt;AsOf,1,IF(Q201&lt;=AsOf+AlertDays,2,IF(Q201&lt;=AsOf+2*AlertDays,3,""))))))</f>
        <v/>
      </c>
      <c r="S201" s="63">
        <f>IF(R201="","",IF(H201="High","High-severity issue: ",IF(C201="Punch item","Punch item: ","Issue action due: "))&amp;F201&amp;IF(J201="",""," → "&amp;J201))</f>
        <v/>
      </c>
      <c r="T201" s="63">
        <f>IF(O201=1,IF(I201="",0,I201),0)</f>
        <v/>
      </c>
      <c r="U201" s="63">
        <f>IF(AND(O201=1,H201="High"),1,0)</f>
        <v/>
      </c>
      <c r="V201" s="63">
        <f>IF(AND(O201=1,C201="Punch item"),1,0)</f>
        <v/>
      </c>
    </row>
    <row r="202" ht="24" customHeight="1">
      <c r="B202" s="100" t="n">
        <v>195</v>
      </c>
      <c r="C202" s="65" t="n"/>
      <c r="D202" s="81" t="n"/>
      <c r="E202" s="65" t="n"/>
      <c r="F202" s="88" t="n"/>
      <c r="G202" s="65" t="n"/>
      <c r="H202" s="67" t="n"/>
      <c r="I202" s="66" t="n"/>
      <c r="J202" s="88" t="n"/>
      <c r="K202" s="81" t="n"/>
      <c r="L202" s="65" t="n"/>
      <c r="M202" s="81" t="n"/>
      <c r="N202" s="65" t="n"/>
      <c r="O202" s="63">
        <f>IF(AND(F202&lt;&gt;"",L202&lt;&gt;"Resolved"),1,0)</f>
        <v/>
      </c>
      <c r="P202" s="63">
        <f>IF(F202="","",IF(O202=0,0,IF(H202="High",2,1)))</f>
        <v/>
      </c>
      <c r="Q202" s="85">
        <f>IF(O202=1,IF(K202&lt;&gt;"",K202,IF(H202="High",AsOf,"")),"")</f>
        <v/>
      </c>
      <c r="R202" s="63">
        <f>IF(Q202="","",IF(H202="High",1,IF(Q202="","",IF(Q202&lt;AsOf,1,IF(Q202&lt;=AsOf+AlertDays,2,IF(Q202&lt;=AsOf+2*AlertDays,3,""))))))</f>
        <v/>
      </c>
      <c r="S202" s="63">
        <f>IF(R202="","",IF(H202="High","High-severity issue: ",IF(C202="Punch item","Punch item: ","Issue action due: "))&amp;F202&amp;IF(J202="",""," → "&amp;J202))</f>
        <v/>
      </c>
      <c r="T202" s="63">
        <f>IF(O202=1,IF(I202="",0,I202),0)</f>
        <v/>
      </c>
      <c r="U202" s="63">
        <f>IF(AND(O202=1,H202="High"),1,0)</f>
        <v/>
      </c>
      <c r="V202" s="63">
        <f>IF(AND(O202=1,C202="Punch item"),1,0)</f>
        <v/>
      </c>
    </row>
    <row r="203" ht="24" customHeight="1">
      <c r="B203" s="100" t="n">
        <v>196</v>
      </c>
      <c r="C203" s="65" t="n"/>
      <c r="D203" s="81" t="n"/>
      <c r="E203" s="65" t="n"/>
      <c r="F203" s="88" t="n"/>
      <c r="G203" s="65" t="n"/>
      <c r="H203" s="67" t="n"/>
      <c r="I203" s="66" t="n"/>
      <c r="J203" s="88" t="n"/>
      <c r="K203" s="81" t="n"/>
      <c r="L203" s="65" t="n"/>
      <c r="M203" s="81" t="n"/>
      <c r="N203" s="65" t="n"/>
      <c r="O203" s="63">
        <f>IF(AND(F203&lt;&gt;"",L203&lt;&gt;"Resolved"),1,0)</f>
        <v/>
      </c>
      <c r="P203" s="63">
        <f>IF(F203="","",IF(O203=0,0,IF(H203="High",2,1)))</f>
        <v/>
      </c>
      <c r="Q203" s="85">
        <f>IF(O203=1,IF(K203&lt;&gt;"",K203,IF(H203="High",AsOf,"")),"")</f>
        <v/>
      </c>
      <c r="R203" s="63">
        <f>IF(Q203="","",IF(H203="High",1,IF(Q203="","",IF(Q203&lt;AsOf,1,IF(Q203&lt;=AsOf+AlertDays,2,IF(Q203&lt;=AsOf+2*AlertDays,3,""))))))</f>
        <v/>
      </c>
      <c r="S203" s="63">
        <f>IF(R203="","",IF(H203="High","High-severity issue: ",IF(C203="Punch item","Punch item: ","Issue action due: "))&amp;F203&amp;IF(J203="",""," → "&amp;J203))</f>
        <v/>
      </c>
      <c r="T203" s="63">
        <f>IF(O203=1,IF(I203="",0,I203),0)</f>
        <v/>
      </c>
      <c r="U203" s="63">
        <f>IF(AND(O203=1,H203="High"),1,0)</f>
        <v/>
      </c>
      <c r="V203" s="63">
        <f>IF(AND(O203=1,C203="Punch item"),1,0)</f>
        <v/>
      </c>
    </row>
    <row r="204" ht="24" customHeight="1">
      <c r="B204" s="100" t="n">
        <v>197</v>
      </c>
      <c r="C204" s="65" t="n"/>
      <c r="D204" s="81" t="n"/>
      <c r="E204" s="65" t="n"/>
      <c r="F204" s="88" t="n"/>
      <c r="G204" s="65" t="n"/>
      <c r="H204" s="67" t="n"/>
      <c r="I204" s="66" t="n"/>
      <c r="J204" s="88" t="n"/>
      <c r="K204" s="81" t="n"/>
      <c r="L204" s="65" t="n"/>
      <c r="M204" s="81" t="n"/>
      <c r="N204" s="65" t="n"/>
      <c r="O204" s="63">
        <f>IF(AND(F204&lt;&gt;"",L204&lt;&gt;"Resolved"),1,0)</f>
        <v/>
      </c>
      <c r="P204" s="63">
        <f>IF(F204="","",IF(O204=0,0,IF(H204="High",2,1)))</f>
        <v/>
      </c>
      <c r="Q204" s="85">
        <f>IF(O204=1,IF(K204&lt;&gt;"",K204,IF(H204="High",AsOf,"")),"")</f>
        <v/>
      </c>
      <c r="R204" s="63">
        <f>IF(Q204="","",IF(H204="High",1,IF(Q204="","",IF(Q204&lt;AsOf,1,IF(Q204&lt;=AsOf+AlertDays,2,IF(Q204&lt;=AsOf+2*AlertDays,3,""))))))</f>
        <v/>
      </c>
      <c r="S204" s="63">
        <f>IF(R204="","",IF(H204="High","High-severity issue: ",IF(C204="Punch item","Punch item: ","Issue action due: "))&amp;F204&amp;IF(J204="",""," → "&amp;J204))</f>
        <v/>
      </c>
      <c r="T204" s="63">
        <f>IF(O204=1,IF(I204="",0,I204),0)</f>
        <v/>
      </c>
      <c r="U204" s="63">
        <f>IF(AND(O204=1,H204="High"),1,0)</f>
        <v/>
      </c>
      <c r="V204" s="63">
        <f>IF(AND(O204=1,C204="Punch item"),1,0)</f>
        <v/>
      </c>
    </row>
    <row r="205" ht="24" customHeight="1">
      <c r="B205" s="100" t="n">
        <v>198</v>
      </c>
      <c r="C205" s="65" t="n"/>
      <c r="D205" s="81" t="n"/>
      <c r="E205" s="65" t="n"/>
      <c r="F205" s="88" t="n"/>
      <c r="G205" s="65" t="n"/>
      <c r="H205" s="67" t="n"/>
      <c r="I205" s="66" t="n"/>
      <c r="J205" s="88" t="n"/>
      <c r="K205" s="81" t="n"/>
      <c r="L205" s="65" t="n"/>
      <c r="M205" s="81" t="n"/>
      <c r="N205" s="65" t="n"/>
      <c r="O205" s="63">
        <f>IF(AND(F205&lt;&gt;"",L205&lt;&gt;"Resolved"),1,0)</f>
        <v/>
      </c>
      <c r="P205" s="63">
        <f>IF(F205="","",IF(O205=0,0,IF(H205="High",2,1)))</f>
        <v/>
      </c>
      <c r="Q205" s="85">
        <f>IF(O205=1,IF(K205&lt;&gt;"",K205,IF(H205="High",AsOf,"")),"")</f>
        <v/>
      </c>
      <c r="R205" s="63">
        <f>IF(Q205="","",IF(H205="High",1,IF(Q205="","",IF(Q205&lt;AsOf,1,IF(Q205&lt;=AsOf+AlertDays,2,IF(Q205&lt;=AsOf+2*AlertDays,3,""))))))</f>
        <v/>
      </c>
      <c r="S205" s="63">
        <f>IF(R205="","",IF(H205="High","High-severity issue: ",IF(C205="Punch item","Punch item: ","Issue action due: "))&amp;F205&amp;IF(J205="",""," → "&amp;J205))</f>
        <v/>
      </c>
      <c r="T205" s="63">
        <f>IF(O205=1,IF(I205="",0,I205),0)</f>
        <v/>
      </c>
      <c r="U205" s="63">
        <f>IF(AND(O205=1,H205="High"),1,0)</f>
        <v/>
      </c>
      <c r="V205" s="63">
        <f>IF(AND(O205=1,C205="Punch item"),1,0)</f>
        <v/>
      </c>
    </row>
    <row r="206" ht="24" customHeight="1">
      <c r="B206" s="100" t="n">
        <v>199</v>
      </c>
      <c r="C206" s="65" t="n"/>
      <c r="D206" s="81" t="n"/>
      <c r="E206" s="65" t="n"/>
      <c r="F206" s="88" t="n"/>
      <c r="G206" s="65" t="n"/>
      <c r="H206" s="67" t="n"/>
      <c r="I206" s="66" t="n"/>
      <c r="J206" s="88" t="n"/>
      <c r="K206" s="81" t="n"/>
      <c r="L206" s="65" t="n"/>
      <c r="M206" s="81" t="n"/>
      <c r="N206" s="65" t="n"/>
      <c r="O206" s="63">
        <f>IF(AND(F206&lt;&gt;"",L206&lt;&gt;"Resolved"),1,0)</f>
        <v/>
      </c>
      <c r="P206" s="63">
        <f>IF(F206="","",IF(O206=0,0,IF(H206="High",2,1)))</f>
        <v/>
      </c>
      <c r="Q206" s="85">
        <f>IF(O206=1,IF(K206&lt;&gt;"",K206,IF(H206="High",AsOf,"")),"")</f>
        <v/>
      </c>
      <c r="R206" s="63">
        <f>IF(Q206="","",IF(H206="High",1,IF(Q206="","",IF(Q206&lt;AsOf,1,IF(Q206&lt;=AsOf+AlertDays,2,IF(Q206&lt;=AsOf+2*AlertDays,3,""))))))</f>
        <v/>
      </c>
      <c r="S206" s="63">
        <f>IF(R206="","",IF(H206="High","High-severity issue: ",IF(C206="Punch item","Punch item: ","Issue action due: "))&amp;F206&amp;IF(J206="",""," → "&amp;J206))</f>
        <v/>
      </c>
      <c r="T206" s="63">
        <f>IF(O206=1,IF(I206="",0,I206),0)</f>
        <v/>
      </c>
      <c r="U206" s="63">
        <f>IF(AND(O206=1,H206="High"),1,0)</f>
        <v/>
      </c>
      <c r="V206" s="63">
        <f>IF(AND(O206=1,C206="Punch item"),1,0)</f>
        <v/>
      </c>
    </row>
    <row r="207" ht="24" customHeight="1">
      <c r="B207" s="100" t="n">
        <v>200</v>
      </c>
      <c r="C207" s="65" t="n"/>
      <c r="D207" s="81" t="n"/>
      <c r="E207" s="65" t="n"/>
      <c r="F207" s="88" t="n"/>
      <c r="G207" s="65" t="n"/>
      <c r="H207" s="67" t="n"/>
      <c r="I207" s="66" t="n"/>
      <c r="J207" s="88" t="n"/>
      <c r="K207" s="81" t="n"/>
      <c r="L207" s="65" t="n"/>
      <c r="M207" s="81" t="n"/>
      <c r="N207" s="65" t="n"/>
      <c r="O207" s="63">
        <f>IF(AND(F207&lt;&gt;"",L207&lt;&gt;"Resolved"),1,0)</f>
        <v/>
      </c>
      <c r="P207" s="63">
        <f>IF(F207="","",IF(O207=0,0,IF(H207="High",2,1)))</f>
        <v/>
      </c>
      <c r="Q207" s="85">
        <f>IF(O207=1,IF(K207&lt;&gt;"",K207,IF(H207="High",AsOf,"")),"")</f>
        <v/>
      </c>
      <c r="R207" s="63">
        <f>IF(Q207="","",IF(H207="High",1,IF(Q207="","",IF(Q207&lt;AsOf,1,IF(Q207&lt;=AsOf+AlertDays,2,IF(Q207&lt;=AsOf+2*AlertDays,3,""))))))</f>
        <v/>
      </c>
      <c r="S207" s="63">
        <f>IF(R207="","",IF(H207="High","High-severity issue: ",IF(C207="Punch item","Punch item: ","Issue action due: "))&amp;F207&amp;IF(J207="",""," → "&amp;J207))</f>
        <v/>
      </c>
      <c r="T207" s="63">
        <f>IF(O207=1,IF(I207="",0,I207),0)</f>
        <v/>
      </c>
      <c r="U207" s="63">
        <f>IF(AND(O207=1,H207="High"),1,0)</f>
        <v/>
      </c>
      <c r="V207" s="63">
        <f>IF(AND(O207=1,C207="Punch item"),1,0)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mergeCells count="6">
    <mergeCell ref="I4:J4"/>
    <mergeCell ref="B5:C5"/>
    <mergeCell ref="D5:E5"/>
    <mergeCell ref="I5:J5"/>
    <mergeCell ref="D4:E4"/>
    <mergeCell ref="B4:C4"/>
  </mergeCells>
  <conditionalFormatting sqref="L8:L207">
    <cfRule type="expression" priority="1" dxfId="0" stopIfTrue="0">
      <formula>$P8=2</formula>
    </cfRule>
    <cfRule type="expression" priority="2" dxfId="2" stopIfTrue="0">
      <formula>$P8=1</formula>
    </cfRule>
    <cfRule type="expression" priority="3" dxfId="3" stopIfTrue="0">
      <formula>$P8=0</formula>
    </cfRule>
  </conditionalFormatting>
  <conditionalFormatting sqref="H8:H207">
    <cfRule type="expression" priority="4" dxfId="0" stopIfTrue="0">
      <formula>AND(H8="High",$O8=1)</formula>
    </cfRule>
  </conditionalFormatting>
  <conditionalFormatting sqref="B5">
    <cfRule type="expression" priority="5" dxfId="0" stopIfTrue="0">
      <formula>B5&gt;0</formula>
    </cfRule>
  </conditionalFormatting>
  <conditionalFormatting sqref="D5">
    <cfRule type="expression" priority="6" dxfId="2" stopIfTrue="0">
      <formula>D5&gt;0</formula>
    </cfRule>
  </conditionalFormatting>
  <conditionalFormatting sqref="F5">
    <cfRule type="expression" priority="7" dxfId="2" stopIfTrue="0">
      <formula>F5&gt;0</formula>
    </cfRule>
  </conditionalFormatting>
  <conditionalFormatting sqref="G5">
    <cfRule type="expression" priority="8" dxfId="2" stopIfTrue="0">
      <formula>G5&gt;0</formula>
    </cfRule>
  </conditionalFormatting>
  <conditionalFormatting sqref="I5">
    <cfRule type="expression" priority="9" dxfId="2" stopIfTrue="0">
      <formula>I5&gt;0</formula>
    </cfRule>
  </conditionalFormatting>
  <dataValidations count="5">
    <dataValidation sqref="C8:C207" showDropDown="0" showInputMessage="0" showErrorMessage="1" allowBlank="1" errorTitle="Renovation OS" error="Please pick a value from the dropdown list." type="list">
      <formula1>='Lists'!$I$2:$I$3</formula1>
    </dataValidation>
    <dataValidation sqref="E8:E207" showDropDown="0" showInputMessage="0" showErrorMessage="1" allowBlank="1" errorTitle="Renovation OS" error="This name is not in the list. Keep it anyway?" type="list" errorStyle="warning">
      <formula1>='Lists'!$W$2:$W$8</formula1>
    </dataValidation>
    <dataValidation sqref="G8:G207" showDropDown="0" showInputMessage="0" showErrorMessage="1" allowBlank="1" errorTitle="Renovation OS" error="This name is not in the list. Keep it anyway?" type="list" errorStyle="warning">
      <formula1>='Lists'!$X$2:$X$31</formula1>
    </dataValidation>
    <dataValidation sqref="H8:H207" showDropDown="0" showInputMessage="0" showErrorMessage="1" allowBlank="1" errorTitle="Renovation OS" error="Please pick a value from the dropdown list." type="list">
      <formula1>='Lists'!$J$2:$J$4</formula1>
    </dataValidation>
    <dataValidation sqref="L8:L207" showDropDown="0" showInputMessage="0" showErrorMessage="1" allowBlank="1" errorTitle="Renovation OS" error="Please pick a value from the dropdown list." type="list">
      <formula1>='Lists'!$K$2:$K$4</formula1>
    </dataValidation>
  </dataValidations>
  <pageMargins left="0.75" right="0.75" top="1" bottom="1" header="0.5" footer="0.5"/>
  <headerFooter>
    <oddHeader/>
    <oddFooter>&amp;L&amp;8 © 2026 Hang Nguyen · Renovation OS&amp;R&amp;8 Personal licence — do not share or resell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9CA3AF"/>
    <outlinePr summaryBelow="1" summaryRight="1"/>
    <pageSetUpPr/>
  </sheetPr>
  <dimension ref="A1:AD733"/>
  <sheetViews>
    <sheetView workbookViewId="0">
      <selection activeCell="A1" sqref="A1"/>
    </sheetView>
  </sheetViews>
  <sheetFormatPr baseColWidth="8" defaultRowHeight="15"/>
  <sheetData>
    <row r="1">
      <c r="A1" s="107" t="inlineStr">
        <is>
          <t>Source tab</t>
        </is>
      </c>
      <c r="B1" s="107" t="inlineStr">
        <is>
          <t>Alert</t>
        </is>
      </c>
      <c r="C1" s="107" t="inlineStr">
        <is>
          <t>Due</t>
        </is>
      </c>
      <c r="D1" s="107" t="inlineStr">
        <is>
          <t>Priority</t>
        </is>
      </c>
      <c r="E1" s="107" t="inlineStr">
        <is>
          <t>Sort key</t>
        </is>
      </c>
      <c r="F1" s="107" t="inlineStr">
        <is>
          <t>Week key</t>
        </is>
      </c>
      <c r="H1" s="107" t="inlineStr">
        <is>
          <t>Rank</t>
        </is>
      </c>
      <c r="I1" s="107" t="inlineStr">
        <is>
          <t>Key</t>
        </is>
      </c>
      <c r="J1" s="107" t="inlineStr">
        <is>
          <t>Row</t>
        </is>
      </c>
      <c r="K1" s="107" t="inlineStr">
        <is>
          <t>Tab</t>
        </is>
      </c>
      <c r="L1" s="107" t="inlineStr">
        <is>
          <t>Alert</t>
        </is>
      </c>
      <c r="M1" s="107" t="inlineStr">
        <is>
          <t>Due</t>
        </is>
      </c>
      <c r="N1" s="107" t="inlineStr">
        <is>
          <t>Priority</t>
        </is>
      </c>
      <c r="AA1" t="inlineStr">
        <is>
          <t>Rank</t>
        </is>
      </c>
      <c r="AB1" t="inlineStr">
        <is>
          <t>Category</t>
        </is>
      </c>
      <c r="AC1" t="inlineStr">
        <is>
          <t>Budget</t>
        </is>
      </c>
      <c r="AD1" t="inlineStr">
        <is>
          <t>Forecast</t>
        </is>
      </c>
    </row>
    <row r="2">
      <c r="A2" t="inlineStr">
        <is>
          <t>Payments</t>
        </is>
      </c>
      <c r="B2" s="47">
        <f>'Payments'!W6</f>
        <v/>
      </c>
      <c r="C2" s="77">
        <f>'Payments'!U6</f>
        <v/>
      </c>
      <c r="D2" s="47">
        <f>'Payments'!V6</f>
        <v/>
      </c>
      <c r="E2" s="47">
        <f>IF(OR(B2="",C2="",D2=""),"",D2*100000+(C2-DATE(2000,1,1))+ROW()/100000)</f>
        <v/>
      </c>
      <c r="H2" t="n">
        <v>1</v>
      </c>
      <c r="I2" s="47">
        <f>IFERROR(SMALL($E$2:$E$733,H2),"")</f>
        <v/>
      </c>
      <c r="J2" s="47">
        <f>IF(I2="","",MATCH(I2,$E$2:$E$733,0))</f>
        <v/>
      </c>
      <c r="K2" s="47">
        <f>IF(J2="","",INDEX($A$2:$A$733,J2))</f>
        <v/>
      </c>
      <c r="L2" s="47">
        <f>IF(J2="","",INDEX($B$2:$B$733,J2))</f>
        <v/>
      </c>
      <c r="M2" s="77">
        <f>IF(J2="","",INDEX($C$2:$C$733,J2))</f>
        <v/>
      </c>
      <c r="N2" s="47">
        <f>IF(J2="","",INDEX($D$2:$D$733,J2))</f>
        <v/>
      </c>
      <c r="X2" t="inlineStr">
        <is>
          <t>AlertCount</t>
        </is>
      </c>
      <c r="Y2" s="47">
        <f>COUNT($E$2:$E$733)</f>
        <v/>
      </c>
      <c r="AA2" t="n">
        <v>1</v>
      </c>
      <c r="AB2" s="47">
        <f>IFERROR(INDEX('Budget'!$B$8:$B$37,MATCH(LARGE('Budget'!$P$8:$P$37,AA2),'Budget'!$P$8:$P$37,0)),"")</f>
        <v/>
      </c>
      <c r="AC2" s="47">
        <f>IF(AB2="","",SUMIFS('Budget'!$C$8:$C$37,'Budget'!$B$8:$B$37,AB2))</f>
        <v/>
      </c>
      <c r="AD2" s="47">
        <f>IF(AB2="","",SUMIFS('Budget'!$L$8:$L$37,'Budget'!$B$8:$B$37,AB2))</f>
        <v/>
      </c>
    </row>
    <row r="3">
      <c r="A3" t="inlineStr">
        <is>
          <t>Payments</t>
        </is>
      </c>
      <c r="B3" s="47">
        <f>'Payments'!W7</f>
        <v/>
      </c>
      <c r="C3" s="77">
        <f>'Payments'!U7</f>
        <v/>
      </c>
      <c r="D3" s="47">
        <f>'Payments'!V7</f>
        <v/>
      </c>
      <c r="E3" s="47">
        <f>IF(OR(B3="",C3="",D3=""),"",D3*100000+(C3-DATE(2000,1,1))+ROW()/100000)</f>
        <v/>
      </c>
      <c r="H3" t="n">
        <v>2</v>
      </c>
      <c r="I3" s="47">
        <f>IFERROR(SMALL($E$2:$E$733,H3),"")</f>
        <v/>
      </c>
      <c r="J3" s="47">
        <f>IF(I3="","",MATCH(I3,$E$2:$E$733,0))</f>
        <v/>
      </c>
      <c r="K3" s="47">
        <f>IF(J3="","",INDEX($A$2:$A$733,J3))</f>
        <v/>
      </c>
      <c r="L3" s="47">
        <f>IF(J3="","",INDEX($B$2:$B$733,J3))</f>
        <v/>
      </c>
      <c r="M3" s="77">
        <f>IF(J3="","",INDEX($C$2:$C$733,J3))</f>
        <v/>
      </c>
      <c r="N3" s="47">
        <f>IF(J3="","",INDEX($D$2:$D$733,J3))</f>
        <v/>
      </c>
      <c r="X3" t="inlineStr">
        <is>
          <t>OverdueCount</t>
        </is>
      </c>
      <c r="Y3" s="47">
        <f>COUNTIFS($C$2:$C$733,"&lt;"&amp;AsOf,$D$2:$D$733,"&gt;=1")</f>
        <v/>
      </c>
      <c r="AA3" t="n">
        <v>2</v>
      </c>
      <c r="AB3" s="47">
        <f>IFERROR(INDEX('Budget'!$B$8:$B$37,MATCH(LARGE('Budget'!$P$8:$P$37,AA3),'Budget'!$P$8:$P$37,0)),"")</f>
        <v/>
      </c>
      <c r="AC3" s="47">
        <f>IF(AB3="","",SUMIFS('Budget'!$C$8:$C$37,'Budget'!$B$8:$B$37,AB3))</f>
        <v/>
      </c>
      <c r="AD3" s="47">
        <f>IF(AB3="","",SUMIFS('Budget'!$L$8:$L$37,'Budget'!$B$8:$B$37,AB3))</f>
        <v/>
      </c>
    </row>
    <row r="4">
      <c r="A4" t="inlineStr">
        <is>
          <t>Payments</t>
        </is>
      </c>
      <c r="B4" s="47">
        <f>'Payments'!W8</f>
        <v/>
      </c>
      <c r="C4" s="77">
        <f>'Payments'!U8</f>
        <v/>
      </c>
      <c r="D4" s="47">
        <f>'Payments'!V8</f>
        <v/>
      </c>
      <c r="E4" s="47">
        <f>IF(OR(B4="",C4="",D4=""),"",D4*100000+(C4-DATE(2000,1,1))+ROW()/100000)</f>
        <v/>
      </c>
      <c r="H4" t="n">
        <v>3</v>
      </c>
      <c r="I4" s="47">
        <f>IFERROR(SMALL($E$2:$E$733,H4),"")</f>
        <v/>
      </c>
      <c r="J4" s="47">
        <f>IF(I4="","",MATCH(I4,$E$2:$E$733,0))</f>
        <v/>
      </c>
      <c r="K4" s="47">
        <f>IF(J4="","",INDEX($A$2:$A$733,J4))</f>
        <v/>
      </c>
      <c r="L4" s="47">
        <f>IF(J4="","",INDEX($B$2:$B$733,J4))</f>
        <v/>
      </c>
      <c r="M4" s="77">
        <f>IF(J4="","",INDEX($C$2:$C$733,J4))</f>
        <v/>
      </c>
      <c r="N4" s="47">
        <f>IF(J4="","",INDEX($D$2:$D$733,J4))</f>
        <v/>
      </c>
      <c r="X4" t="inlineStr">
        <is>
          <t>UrgentCount</t>
        </is>
      </c>
      <c r="Y4" s="47">
        <f>COUNTIF($D$2:$D$733,1)</f>
        <v/>
      </c>
      <c r="AA4" t="n">
        <v>3</v>
      </c>
      <c r="AB4" s="47">
        <f>IFERROR(INDEX('Budget'!$B$8:$B$37,MATCH(LARGE('Budget'!$P$8:$P$37,AA4),'Budget'!$P$8:$P$37,0)),"")</f>
        <v/>
      </c>
      <c r="AC4" s="47">
        <f>IF(AB4="","",SUMIFS('Budget'!$C$8:$C$37,'Budget'!$B$8:$B$37,AB4))</f>
        <v/>
      </c>
      <c r="AD4" s="47">
        <f>IF(AB4="","",SUMIFS('Budget'!$L$8:$L$37,'Budget'!$B$8:$B$37,AB4))</f>
        <v/>
      </c>
    </row>
    <row r="5">
      <c r="A5" t="inlineStr">
        <is>
          <t>Payments</t>
        </is>
      </c>
      <c r="B5" s="47">
        <f>'Payments'!W9</f>
        <v/>
      </c>
      <c r="C5" s="77">
        <f>'Payments'!U9</f>
        <v/>
      </c>
      <c r="D5" s="47">
        <f>'Payments'!V9</f>
        <v/>
      </c>
      <c r="E5" s="47">
        <f>IF(OR(B5="",C5="",D5=""),"",D5*100000+(C5-DATE(2000,1,1))+ROW()/100000)</f>
        <v/>
      </c>
      <c r="H5" t="n">
        <v>4</v>
      </c>
      <c r="I5" s="47">
        <f>IFERROR(SMALL($E$2:$E$733,H5),"")</f>
        <v/>
      </c>
      <c r="J5" s="47">
        <f>IF(I5="","",MATCH(I5,$E$2:$E$733,0))</f>
        <v/>
      </c>
      <c r="K5" s="47">
        <f>IF(J5="","",INDEX($A$2:$A$733,J5))</f>
        <v/>
      </c>
      <c r="L5" s="47">
        <f>IF(J5="","",INDEX($B$2:$B$733,J5))</f>
        <v/>
      </c>
      <c r="M5" s="77">
        <f>IF(J5="","",INDEX($C$2:$C$733,J5))</f>
        <v/>
      </c>
      <c r="N5" s="47">
        <f>IF(J5="","",INDEX($D$2:$D$733,J5))</f>
        <v/>
      </c>
      <c r="AA5" t="n">
        <v>4</v>
      </c>
      <c r="AB5" s="47">
        <f>IFERROR(INDEX('Budget'!$B$8:$B$37,MATCH(LARGE('Budget'!$P$8:$P$37,AA5),'Budget'!$P$8:$P$37,0)),"")</f>
        <v/>
      </c>
      <c r="AC5" s="47">
        <f>IF(AB5="","",SUMIFS('Budget'!$C$8:$C$37,'Budget'!$B$8:$B$37,AB5))</f>
        <v/>
      </c>
      <c r="AD5" s="47">
        <f>IF(AB5="","",SUMIFS('Budget'!$L$8:$L$37,'Budget'!$B$8:$B$37,AB5))</f>
        <v/>
      </c>
    </row>
    <row r="6">
      <c r="A6" t="inlineStr">
        <is>
          <t>Payments</t>
        </is>
      </c>
      <c r="B6" s="47">
        <f>'Payments'!W10</f>
        <v/>
      </c>
      <c r="C6" s="77">
        <f>'Payments'!U10</f>
        <v/>
      </c>
      <c r="D6" s="47">
        <f>'Payments'!V10</f>
        <v/>
      </c>
      <c r="E6" s="47">
        <f>IF(OR(B6="",C6="",D6=""),"",D6*100000+(C6-DATE(2000,1,1))+ROW()/100000)</f>
        <v/>
      </c>
      <c r="H6" t="n">
        <v>5</v>
      </c>
      <c r="I6" s="47">
        <f>IFERROR(SMALL($E$2:$E$733,H6),"")</f>
        <v/>
      </c>
      <c r="J6" s="47">
        <f>IF(I6="","",MATCH(I6,$E$2:$E$733,0))</f>
        <v/>
      </c>
      <c r="K6" s="47">
        <f>IF(J6="","",INDEX($A$2:$A$733,J6))</f>
        <v/>
      </c>
      <c r="L6" s="47">
        <f>IF(J6="","",INDEX($B$2:$B$733,J6))</f>
        <v/>
      </c>
      <c r="M6" s="77">
        <f>IF(J6="","",INDEX($C$2:$C$733,J6))</f>
        <v/>
      </c>
      <c r="N6" s="47">
        <f>IF(J6="","",INDEX($D$2:$D$733,J6))</f>
        <v/>
      </c>
      <c r="AA6" t="n">
        <v>5</v>
      </c>
      <c r="AB6" s="47">
        <f>IFERROR(INDEX('Budget'!$B$8:$B$37,MATCH(LARGE('Budget'!$P$8:$P$37,AA6),'Budget'!$P$8:$P$37,0)),"")</f>
        <v/>
      </c>
      <c r="AC6" s="47">
        <f>IF(AB6="","",SUMIFS('Budget'!$C$8:$C$37,'Budget'!$B$8:$B$37,AB6))</f>
        <v/>
      </c>
      <c r="AD6" s="47">
        <f>IF(AB6="","",SUMIFS('Budget'!$L$8:$L$37,'Budget'!$B$8:$B$37,AB6))</f>
        <v/>
      </c>
    </row>
    <row r="7">
      <c r="A7" t="inlineStr">
        <is>
          <t>Payments</t>
        </is>
      </c>
      <c r="B7" s="47">
        <f>'Payments'!W11</f>
        <v/>
      </c>
      <c r="C7" s="77">
        <f>'Payments'!U11</f>
        <v/>
      </c>
      <c r="D7" s="47">
        <f>'Payments'!V11</f>
        <v/>
      </c>
      <c r="E7" s="47">
        <f>IF(OR(B7="",C7="",D7=""),"",D7*100000+(C7-DATE(2000,1,1))+ROW()/100000)</f>
        <v/>
      </c>
      <c r="H7" t="n">
        <v>6</v>
      </c>
      <c r="I7" s="47">
        <f>IFERROR(SMALL($E$2:$E$733,H7),"")</f>
        <v/>
      </c>
      <c r="J7" s="47">
        <f>IF(I7="","",MATCH(I7,$E$2:$E$733,0))</f>
        <v/>
      </c>
      <c r="K7" s="47">
        <f>IF(J7="","",INDEX($A$2:$A$733,J7))</f>
        <v/>
      </c>
      <c r="L7" s="47">
        <f>IF(J7="","",INDEX($B$2:$B$733,J7))</f>
        <v/>
      </c>
      <c r="M7" s="77">
        <f>IF(J7="","",INDEX($C$2:$C$733,J7))</f>
        <v/>
      </c>
      <c r="N7" s="47">
        <f>IF(J7="","",INDEX($D$2:$D$733,J7))</f>
        <v/>
      </c>
      <c r="AA7" t="n">
        <v>6</v>
      </c>
      <c r="AB7" s="47">
        <f>IFERROR(INDEX('Budget'!$B$8:$B$37,MATCH(LARGE('Budget'!$P$8:$P$37,AA7),'Budget'!$P$8:$P$37,0)),"")</f>
        <v/>
      </c>
      <c r="AC7" s="47">
        <f>IF(AB7="","",SUMIFS('Budget'!$C$8:$C$37,'Budget'!$B$8:$B$37,AB7))</f>
        <v/>
      </c>
      <c r="AD7" s="47">
        <f>IF(AB7="","",SUMIFS('Budget'!$L$8:$L$37,'Budget'!$B$8:$B$37,AB7))</f>
        <v/>
      </c>
    </row>
    <row r="8">
      <c r="A8" t="inlineStr">
        <is>
          <t>Payments</t>
        </is>
      </c>
      <c r="B8" s="47">
        <f>'Payments'!W12</f>
        <v/>
      </c>
      <c r="C8" s="77">
        <f>'Payments'!U12</f>
        <v/>
      </c>
      <c r="D8" s="47">
        <f>'Payments'!V12</f>
        <v/>
      </c>
      <c r="E8" s="47">
        <f>IF(OR(B8="",C8="",D8=""),"",D8*100000+(C8-DATE(2000,1,1))+ROW()/100000)</f>
        <v/>
      </c>
      <c r="H8" t="n">
        <v>7</v>
      </c>
      <c r="I8" s="47">
        <f>IFERROR(SMALL($E$2:$E$733,H8),"")</f>
        <v/>
      </c>
      <c r="J8" s="47">
        <f>IF(I8="","",MATCH(I8,$E$2:$E$733,0))</f>
        <v/>
      </c>
      <c r="K8" s="47">
        <f>IF(J8="","",INDEX($A$2:$A$733,J8))</f>
        <v/>
      </c>
      <c r="L8" s="47">
        <f>IF(J8="","",INDEX($B$2:$B$733,J8))</f>
        <v/>
      </c>
      <c r="M8" s="77">
        <f>IF(J8="","",INDEX($C$2:$C$733,J8))</f>
        <v/>
      </c>
      <c r="N8" s="47">
        <f>IF(J8="","",INDEX($D$2:$D$733,J8))</f>
        <v/>
      </c>
      <c r="AA8" t="n">
        <v>7</v>
      </c>
      <c r="AB8" s="47">
        <f>IFERROR(INDEX('Budget'!$B$8:$B$37,MATCH(LARGE('Budget'!$P$8:$P$37,AA8),'Budget'!$P$8:$P$37,0)),"")</f>
        <v/>
      </c>
      <c r="AC8" s="47">
        <f>IF(AB8="","",SUMIFS('Budget'!$C$8:$C$37,'Budget'!$B$8:$B$37,AB8))</f>
        <v/>
      </c>
      <c r="AD8" s="47">
        <f>IF(AB8="","",SUMIFS('Budget'!$L$8:$L$37,'Budget'!$B$8:$B$37,AB8))</f>
        <v/>
      </c>
    </row>
    <row r="9">
      <c r="A9" t="inlineStr">
        <is>
          <t>Payments</t>
        </is>
      </c>
      <c r="B9" s="47">
        <f>'Payments'!W13</f>
        <v/>
      </c>
      <c r="C9" s="77">
        <f>'Payments'!U13</f>
        <v/>
      </c>
      <c r="D9" s="47">
        <f>'Payments'!V13</f>
        <v/>
      </c>
      <c r="E9" s="47">
        <f>IF(OR(B9="",C9="",D9=""),"",D9*100000+(C9-DATE(2000,1,1))+ROW()/100000)</f>
        <v/>
      </c>
      <c r="H9" t="n">
        <v>8</v>
      </c>
      <c r="I9" s="47">
        <f>IFERROR(SMALL($E$2:$E$733,H9),"")</f>
        <v/>
      </c>
      <c r="J9" s="47">
        <f>IF(I9="","",MATCH(I9,$E$2:$E$733,0))</f>
        <v/>
      </c>
      <c r="K9" s="47">
        <f>IF(J9="","",INDEX($A$2:$A$733,J9))</f>
        <v/>
      </c>
      <c r="L9" s="47">
        <f>IF(J9="","",INDEX($B$2:$B$733,J9))</f>
        <v/>
      </c>
      <c r="M9" s="77">
        <f>IF(J9="","",INDEX($C$2:$C$733,J9))</f>
        <v/>
      </c>
      <c r="N9" s="47">
        <f>IF(J9="","",INDEX($D$2:$D$733,J9))</f>
        <v/>
      </c>
      <c r="AA9" t="n">
        <v>8</v>
      </c>
      <c r="AB9" s="47">
        <f>IFERROR(INDEX('Budget'!$B$8:$B$37,MATCH(LARGE('Budget'!$P$8:$P$37,AA9),'Budget'!$P$8:$P$37,0)),"")</f>
        <v/>
      </c>
      <c r="AC9" s="47">
        <f>IF(AB9="","",SUMIFS('Budget'!$C$8:$C$37,'Budget'!$B$8:$B$37,AB9))</f>
        <v/>
      </c>
      <c r="AD9" s="47">
        <f>IF(AB9="","",SUMIFS('Budget'!$L$8:$L$37,'Budget'!$B$8:$B$37,AB9))</f>
        <v/>
      </c>
    </row>
    <row r="10">
      <c r="A10" t="inlineStr">
        <is>
          <t>Payments</t>
        </is>
      </c>
      <c r="B10" s="47">
        <f>'Payments'!W14</f>
        <v/>
      </c>
      <c r="C10" s="77">
        <f>'Payments'!U14</f>
        <v/>
      </c>
      <c r="D10" s="47">
        <f>'Payments'!V14</f>
        <v/>
      </c>
      <c r="E10" s="47">
        <f>IF(OR(B10="",C10="",D10=""),"",D10*100000+(C10-DATE(2000,1,1))+ROW()/100000)</f>
        <v/>
      </c>
      <c r="H10" t="n">
        <v>9</v>
      </c>
      <c r="I10" s="47">
        <f>IFERROR(SMALL($E$2:$E$733,H10),"")</f>
        <v/>
      </c>
      <c r="J10" s="47">
        <f>IF(I10="","",MATCH(I10,$E$2:$E$733,0))</f>
        <v/>
      </c>
      <c r="K10" s="47">
        <f>IF(J10="","",INDEX($A$2:$A$733,J10))</f>
        <v/>
      </c>
      <c r="L10" s="47">
        <f>IF(J10="","",INDEX($B$2:$B$733,J10))</f>
        <v/>
      </c>
      <c r="M10" s="77">
        <f>IF(J10="","",INDEX($C$2:$C$733,J10))</f>
        <v/>
      </c>
      <c r="N10" s="47">
        <f>IF(J10="","",INDEX($D$2:$D$733,J10))</f>
        <v/>
      </c>
      <c r="AA10" t="n">
        <v>9</v>
      </c>
      <c r="AB10" s="47">
        <f>IFERROR(INDEX('Budget'!$B$8:$B$37,MATCH(LARGE('Budget'!$P$8:$P$37,AA10),'Budget'!$P$8:$P$37,0)),"")</f>
        <v/>
      </c>
      <c r="AC10" s="47">
        <f>IF(AB10="","",SUMIFS('Budget'!$C$8:$C$37,'Budget'!$B$8:$B$37,AB10))</f>
        <v/>
      </c>
      <c r="AD10" s="47">
        <f>IF(AB10="","",SUMIFS('Budget'!$L$8:$L$37,'Budget'!$B$8:$B$37,AB10))</f>
        <v/>
      </c>
    </row>
    <row r="11">
      <c r="A11" t="inlineStr">
        <is>
          <t>Payments</t>
        </is>
      </c>
      <c r="B11" s="47">
        <f>'Payments'!W15</f>
        <v/>
      </c>
      <c r="C11" s="77">
        <f>'Payments'!U15</f>
        <v/>
      </c>
      <c r="D11" s="47">
        <f>'Payments'!V15</f>
        <v/>
      </c>
      <c r="E11" s="47">
        <f>IF(OR(B11="",C11="",D11=""),"",D11*100000+(C11-DATE(2000,1,1))+ROW()/100000)</f>
        <v/>
      </c>
      <c r="H11" t="n">
        <v>10</v>
      </c>
      <c r="I11" s="47">
        <f>IFERROR(SMALL($E$2:$E$733,H11),"")</f>
        <v/>
      </c>
      <c r="J11" s="47">
        <f>IF(I11="","",MATCH(I11,$E$2:$E$733,0))</f>
        <v/>
      </c>
      <c r="K11" s="47">
        <f>IF(J11="","",INDEX($A$2:$A$733,J11))</f>
        <v/>
      </c>
      <c r="L11" s="47">
        <f>IF(J11="","",INDEX($B$2:$B$733,J11))</f>
        <v/>
      </c>
      <c r="M11" s="77">
        <f>IF(J11="","",INDEX($C$2:$C$733,J11))</f>
        <v/>
      </c>
      <c r="N11" s="47">
        <f>IF(J11="","",INDEX($D$2:$D$733,J11))</f>
        <v/>
      </c>
      <c r="AA11" t="n">
        <v>10</v>
      </c>
      <c r="AB11" s="47">
        <f>IFERROR(INDEX('Budget'!$B$8:$B$37,MATCH(LARGE('Budget'!$P$8:$P$37,AA11),'Budget'!$P$8:$P$37,0)),"")</f>
        <v/>
      </c>
      <c r="AC11" s="47">
        <f>IF(AB11="","",SUMIFS('Budget'!$C$8:$C$37,'Budget'!$B$8:$B$37,AB11))</f>
        <v/>
      </c>
      <c r="AD11" s="47">
        <f>IF(AB11="","",SUMIFS('Budget'!$L$8:$L$37,'Budget'!$B$8:$B$37,AB11))</f>
        <v/>
      </c>
    </row>
    <row r="12">
      <c r="A12" t="inlineStr">
        <is>
          <t>Payments</t>
        </is>
      </c>
      <c r="B12" s="47">
        <f>'Payments'!W16</f>
        <v/>
      </c>
      <c r="C12" s="77">
        <f>'Payments'!U16</f>
        <v/>
      </c>
      <c r="D12" s="47">
        <f>'Payments'!V16</f>
        <v/>
      </c>
      <c r="E12" s="47">
        <f>IF(OR(B12="",C12="",D12=""),"",D12*100000+(C12-DATE(2000,1,1))+ROW()/100000)</f>
        <v/>
      </c>
      <c r="H12" t="n">
        <v>11</v>
      </c>
      <c r="I12" s="47">
        <f>IFERROR(SMALL($E$2:$E$733,H12),"")</f>
        <v/>
      </c>
      <c r="J12" s="47">
        <f>IF(I12="","",MATCH(I12,$E$2:$E$733,0))</f>
        <v/>
      </c>
      <c r="K12" s="47">
        <f>IF(J12="","",INDEX($A$2:$A$733,J12))</f>
        <v/>
      </c>
      <c r="L12" s="47">
        <f>IF(J12="","",INDEX($B$2:$B$733,J12))</f>
        <v/>
      </c>
      <c r="M12" s="77">
        <f>IF(J12="","",INDEX($C$2:$C$733,J12))</f>
        <v/>
      </c>
      <c r="N12" s="47">
        <f>IF(J12="","",INDEX($D$2:$D$733,J12))</f>
        <v/>
      </c>
      <c r="AA12" t="n">
        <v>11</v>
      </c>
      <c r="AB12" s="47">
        <f>IFERROR(INDEX('Budget'!$B$8:$B$37,MATCH(LARGE('Budget'!$P$8:$P$37,AA12),'Budget'!$P$8:$P$37,0)),"")</f>
        <v/>
      </c>
      <c r="AC12" s="47">
        <f>IF(AB12="","",SUMIFS('Budget'!$C$8:$C$37,'Budget'!$B$8:$B$37,AB12))</f>
        <v/>
      </c>
      <c r="AD12" s="47">
        <f>IF(AB12="","",SUMIFS('Budget'!$L$8:$L$37,'Budget'!$B$8:$B$37,AB12))</f>
        <v/>
      </c>
    </row>
    <row r="13">
      <c r="A13" t="inlineStr">
        <is>
          <t>Payments</t>
        </is>
      </c>
      <c r="B13" s="47">
        <f>'Payments'!W17</f>
        <v/>
      </c>
      <c r="C13" s="77">
        <f>'Payments'!U17</f>
        <v/>
      </c>
      <c r="D13" s="47">
        <f>'Payments'!V17</f>
        <v/>
      </c>
      <c r="E13" s="47">
        <f>IF(OR(B13="",C13="",D13=""),"",D13*100000+(C13-DATE(2000,1,1))+ROW()/100000)</f>
        <v/>
      </c>
      <c r="H13" t="n">
        <v>12</v>
      </c>
      <c r="I13" s="47">
        <f>IFERROR(SMALL($E$2:$E$733,H13),"")</f>
        <v/>
      </c>
      <c r="J13" s="47">
        <f>IF(I13="","",MATCH(I13,$E$2:$E$733,0))</f>
        <v/>
      </c>
      <c r="K13" s="47">
        <f>IF(J13="","",INDEX($A$2:$A$733,J13))</f>
        <v/>
      </c>
      <c r="L13" s="47">
        <f>IF(J13="","",INDEX($B$2:$B$733,J13))</f>
        <v/>
      </c>
      <c r="M13" s="77">
        <f>IF(J13="","",INDEX($C$2:$C$733,J13))</f>
        <v/>
      </c>
      <c r="N13" s="47">
        <f>IF(J13="","",INDEX($D$2:$D$733,J13))</f>
        <v/>
      </c>
      <c r="AA13" t="n">
        <v>12</v>
      </c>
      <c r="AB13" s="47">
        <f>IFERROR(INDEX('Budget'!$B$8:$B$37,MATCH(LARGE('Budget'!$P$8:$P$37,AA13),'Budget'!$P$8:$P$37,0)),"")</f>
        <v/>
      </c>
      <c r="AC13" s="47">
        <f>IF(AB13="","",SUMIFS('Budget'!$C$8:$C$37,'Budget'!$B$8:$B$37,AB13))</f>
        <v/>
      </c>
      <c r="AD13" s="47">
        <f>IF(AB13="","",SUMIFS('Budget'!$L$8:$L$37,'Budget'!$B$8:$B$37,AB13))</f>
        <v/>
      </c>
    </row>
    <row r="14">
      <c r="A14" t="inlineStr">
        <is>
          <t>Payments</t>
        </is>
      </c>
      <c r="B14" s="47">
        <f>'Payments'!W18</f>
        <v/>
      </c>
      <c r="C14" s="77">
        <f>'Payments'!U18</f>
        <v/>
      </c>
      <c r="D14" s="47">
        <f>'Payments'!V18</f>
        <v/>
      </c>
      <c r="E14" s="47">
        <f>IF(OR(B14="",C14="",D14=""),"",D14*100000+(C14-DATE(2000,1,1))+ROW()/100000)</f>
        <v/>
      </c>
      <c r="H14" t="n">
        <v>13</v>
      </c>
      <c r="I14" s="47">
        <f>IFERROR(SMALL($E$2:$E$733,H14),"")</f>
        <v/>
      </c>
      <c r="J14" s="47">
        <f>IF(I14="","",MATCH(I14,$E$2:$E$733,0))</f>
        <v/>
      </c>
      <c r="K14" s="47">
        <f>IF(J14="","",INDEX($A$2:$A$733,J14))</f>
        <v/>
      </c>
      <c r="L14" s="47">
        <f>IF(J14="","",INDEX($B$2:$B$733,J14))</f>
        <v/>
      </c>
      <c r="M14" s="77">
        <f>IF(J14="","",INDEX($C$2:$C$733,J14))</f>
        <v/>
      </c>
      <c r="N14" s="47">
        <f>IF(J14="","",INDEX($D$2:$D$733,J14))</f>
        <v/>
      </c>
    </row>
    <row r="15">
      <c r="A15" t="inlineStr">
        <is>
          <t>Payments</t>
        </is>
      </c>
      <c r="B15" s="47">
        <f>'Payments'!W19</f>
        <v/>
      </c>
      <c r="C15" s="77">
        <f>'Payments'!U19</f>
        <v/>
      </c>
      <c r="D15" s="47">
        <f>'Payments'!V19</f>
        <v/>
      </c>
      <c r="E15" s="47">
        <f>IF(OR(B15="",C15="",D15=""),"",D15*100000+(C15-DATE(2000,1,1))+ROW()/100000)</f>
        <v/>
      </c>
      <c r="H15" t="n">
        <v>14</v>
      </c>
      <c r="I15" s="47">
        <f>IFERROR(SMALL($E$2:$E$733,H15),"")</f>
        <v/>
      </c>
      <c r="J15" s="47">
        <f>IF(I15="","",MATCH(I15,$E$2:$E$733,0))</f>
        <v/>
      </c>
      <c r="K15" s="47">
        <f>IF(J15="","",INDEX($A$2:$A$733,J15))</f>
        <v/>
      </c>
      <c r="L15" s="47">
        <f>IF(J15="","",INDEX($B$2:$B$733,J15))</f>
        <v/>
      </c>
      <c r="M15" s="77">
        <f>IF(J15="","",INDEX($C$2:$C$733,J15))</f>
        <v/>
      </c>
      <c r="N15" s="47">
        <f>IF(J15="","",INDEX($D$2:$D$733,J15))</f>
        <v/>
      </c>
    </row>
    <row r="16">
      <c r="A16" t="inlineStr">
        <is>
          <t>Payments</t>
        </is>
      </c>
      <c r="B16" s="47">
        <f>'Payments'!W20</f>
        <v/>
      </c>
      <c r="C16" s="77">
        <f>'Payments'!U20</f>
        <v/>
      </c>
      <c r="D16" s="47">
        <f>'Payments'!V20</f>
        <v/>
      </c>
      <c r="E16" s="47">
        <f>IF(OR(B16="",C16="",D16=""),"",D16*100000+(C16-DATE(2000,1,1))+ROW()/100000)</f>
        <v/>
      </c>
      <c r="H16" t="n">
        <v>15</v>
      </c>
      <c r="I16" s="47">
        <f>IFERROR(SMALL($E$2:$E$733,H16),"")</f>
        <v/>
      </c>
      <c r="J16" s="47">
        <f>IF(I16="","",MATCH(I16,$E$2:$E$733,0))</f>
        <v/>
      </c>
      <c r="K16" s="47">
        <f>IF(J16="","",INDEX($A$2:$A$733,J16))</f>
        <v/>
      </c>
      <c r="L16" s="47">
        <f>IF(J16="","",INDEX($B$2:$B$733,J16))</f>
        <v/>
      </c>
      <c r="M16" s="77">
        <f>IF(J16="","",INDEX($C$2:$C$733,J16))</f>
        <v/>
      </c>
      <c r="N16" s="47">
        <f>IF(J16="","",INDEX($D$2:$D$733,J16))</f>
        <v/>
      </c>
    </row>
    <row r="17">
      <c r="A17" t="inlineStr">
        <is>
          <t>Payments</t>
        </is>
      </c>
      <c r="B17" s="47">
        <f>'Payments'!W21</f>
        <v/>
      </c>
      <c r="C17" s="77">
        <f>'Payments'!U21</f>
        <v/>
      </c>
      <c r="D17" s="47">
        <f>'Payments'!V21</f>
        <v/>
      </c>
      <c r="E17" s="47">
        <f>IF(OR(B17="",C17="",D17=""),"",D17*100000+(C17-DATE(2000,1,1))+ROW()/100000)</f>
        <v/>
      </c>
      <c r="H17" t="n">
        <v>16</v>
      </c>
      <c r="I17" s="47">
        <f>IFERROR(SMALL($E$2:$E$733,H17),"")</f>
        <v/>
      </c>
      <c r="J17" s="47">
        <f>IF(I17="","",MATCH(I17,$E$2:$E$733,0))</f>
        <v/>
      </c>
      <c r="K17" s="47">
        <f>IF(J17="","",INDEX($A$2:$A$733,J17))</f>
        <v/>
      </c>
      <c r="L17" s="47">
        <f>IF(J17="","",INDEX($B$2:$B$733,J17))</f>
        <v/>
      </c>
      <c r="M17" s="77">
        <f>IF(J17="","",INDEX($C$2:$C$733,J17))</f>
        <v/>
      </c>
      <c r="N17" s="47">
        <f>IF(J17="","",INDEX($D$2:$D$733,J17))</f>
        <v/>
      </c>
    </row>
    <row r="18">
      <c r="A18" t="inlineStr">
        <is>
          <t>Payments</t>
        </is>
      </c>
      <c r="B18" s="47">
        <f>'Payments'!W22</f>
        <v/>
      </c>
      <c r="C18" s="77">
        <f>'Payments'!U22</f>
        <v/>
      </c>
      <c r="D18" s="47">
        <f>'Payments'!V22</f>
        <v/>
      </c>
      <c r="E18" s="47">
        <f>IF(OR(B18="",C18="",D18=""),"",D18*100000+(C18-DATE(2000,1,1))+ROW()/100000)</f>
        <v/>
      </c>
      <c r="H18" t="n">
        <v>17</v>
      </c>
      <c r="I18" s="47">
        <f>IFERROR(SMALL($E$2:$E$733,H18),"")</f>
        <v/>
      </c>
      <c r="J18" s="47">
        <f>IF(I18="","",MATCH(I18,$E$2:$E$733,0))</f>
        <v/>
      </c>
      <c r="K18" s="47">
        <f>IF(J18="","",INDEX($A$2:$A$733,J18))</f>
        <v/>
      </c>
      <c r="L18" s="47">
        <f>IF(J18="","",INDEX($B$2:$B$733,J18))</f>
        <v/>
      </c>
      <c r="M18" s="77">
        <f>IF(J18="","",INDEX($C$2:$C$733,J18))</f>
        <v/>
      </c>
      <c r="N18" s="47">
        <f>IF(J18="","",INDEX($D$2:$D$733,J18))</f>
        <v/>
      </c>
    </row>
    <row r="19">
      <c r="A19" t="inlineStr">
        <is>
          <t>Payments</t>
        </is>
      </c>
      <c r="B19" s="47">
        <f>'Payments'!W23</f>
        <v/>
      </c>
      <c r="C19" s="77">
        <f>'Payments'!U23</f>
        <v/>
      </c>
      <c r="D19" s="47">
        <f>'Payments'!V23</f>
        <v/>
      </c>
      <c r="E19" s="47">
        <f>IF(OR(B19="",C19="",D19=""),"",D19*100000+(C19-DATE(2000,1,1))+ROW()/100000)</f>
        <v/>
      </c>
      <c r="H19" t="n">
        <v>18</v>
      </c>
      <c r="I19" s="47">
        <f>IFERROR(SMALL($E$2:$E$733,H19),"")</f>
        <v/>
      </c>
      <c r="J19" s="47">
        <f>IF(I19="","",MATCH(I19,$E$2:$E$733,0))</f>
        <v/>
      </c>
      <c r="K19" s="47">
        <f>IF(J19="","",INDEX($A$2:$A$733,J19))</f>
        <v/>
      </c>
      <c r="L19" s="47">
        <f>IF(J19="","",INDEX($B$2:$B$733,J19))</f>
        <v/>
      </c>
      <c r="M19" s="77">
        <f>IF(J19="","",INDEX($C$2:$C$733,J19))</f>
        <v/>
      </c>
      <c r="N19" s="47">
        <f>IF(J19="","",INDEX($D$2:$D$733,J19))</f>
        <v/>
      </c>
    </row>
    <row r="20">
      <c r="A20" t="inlineStr">
        <is>
          <t>Payments</t>
        </is>
      </c>
      <c r="B20" s="47">
        <f>'Payments'!W24</f>
        <v/>
      </c>
      <c r="C20" s="77">
        <f>'Payments'!U24</f>
        <v/>
      </c>
      <c r="D20" s="47">
        <f>'Payments'!V24</f>
        <v/>
      </c>
      <c r="E20" s="47">
        <f>IF(OR(B20="",C20="",D20=""),"",D20*100000+(C20-DATE(2000,1,1))+ROW()/100000)</f>
        <v/>
      </c>
      <c r="H20" t="n">
        <v>19</v>
      </c>
      <c r="I20" s="47">
        <f>IFERROR(SMALL($E$2:$E$733,H20),"")</f>
        <v/>
      </c>
      <c r="J20" s="47">
        <f>IF(I20="","",MATCH(I20,$E$2:$E$733,0))</f>
        <v/>
      </c>
      <c r="K20" s="47">
        <f>IF(J20="","",INDEX($A$2:$A$733,J20))</f>
        <v/>
      </c>
      <c r="L20" s="47">
        <f>IF(J20="","",INDEX($B$2:$B$733,J20))</f>
        <v/>
      </c>
      <c r="M20" s="77">
        <f>IF(J20="","",INDEX($C$2:$C$733,J20))</f>
        <v/>
      </c>
      <c r="N20" s="47">
        <f>IF(J20="","",INDEX($D$2:$D$733,J20))</f>
        <v/>
      </c>
    </row>
    <row r="21">
      <c r="A21" t="inlineStr">
        <is>
          <t>Payments</t>
        </is>
      </c>
      <c r="B21" s="47">
        <f>'Payments'!W25</f>
        <v/>
      </c>
      <c r="C21" s="77">
        <f>'Payments'!U25</f>
        <v/>
      </c>
      <c r="D21" s="47">
        <f>'Payments'!V25</f>
        <v/>
      </c>
      <c r="E21" s="47">
        <f>IF(OR(B21="",C21="",D21=""),"",D21*100000+(C21-DATE(2000,1,1))+ROW()/100000)</f>
        <v/>
      </c>
      <c r="H21" t="n">
        <v>20</v>
      </c>
      <c r="I21" s="47">
        <f>IFERROR(SMALL($E$2:$E$733,H21),"")</f>
        <v/>
      </c>
      <c r="J21" s="47">
        <f>IF(I21="","",MATCH(I21,$E$2:$E$733,0))</f>
        <v/>
      </c>
      <c r="K21" s="47">
        <f>IF(J21="","",INDEX($A$2:$A$733,J21))</f>
        <v/>
      </c>
      <c r="L21" s="47">
        <f>IF(J21="","",INDEX($B$2:$B$733,J21))</f>
        <v/>
      </c>
      <c r="M21" s="77">
        <f>IF(J21="","",INDEX($C$2:$C$733,J21))</f>
        <v/>
      </c>
      <c r="N21" s="47">
        <f>IF(J21="","",INDEX($D$2:$D$733,J21))</f>
        <v/>
      </c>
    </row>
    <row r="22">
      <c r="A22" t="inlineStr">
        <is>
          <t>Payments</t>
        </is>
      </c>
      <c r="B22" s="47">
        <f>'Payments'!W26</f>
        <v/>
      </c>
      <c r="C22" s="77">
        <f>'Payments'!U26</f>
        <v/>
      </c>
      <c r="D22" s="47">
        <f>'Payments'!V26</f>
        <v/>
      </c>
      <c r="E22" s="47">
        <f>IF(OR(B22="",C22="",D22=""),"",D22*100000+(C22-DATE(2000,1,1))+ROW()/100000)</f>
        <v/>
      </c>
      <c r="H22" t="n">
        <v>21</v>
      </c>
      <c r="I22" s="47">
        <f>IFERROR(SMALL($E$2:$E$733,H22),"")</f>
        <v/>
      </c>
      <c r="J22" s="47">
        <f>IF(I22="","",MATCH(I22,$E$2:$E$733,0))</f>
        <v/>
      </c>
      <c r="K22" s="47">
        <f>IF(J22="","",INDEX($A$2:$A$733,J22))</f>
        <v/>
      </c>
      <c r="L22" s="47">
        <f>IF(J22="","",INDEX($B$2:$B$733,J22))</f>
        <v/>
      </c>
      <c r="M22" s="77">
        <f>IF(J22="","",INDEX($C$2:$C$733,J22))</f>
        <v/>
      </c>
      <c r="N22" s="47">
        <f>IF(J22="","",INDEX($D$2:$D$733,J22))</f>
        <v/>
      </c>
    </row>
    <row r="23">
      <c r="A23" t="inlineStr">
        <is>
          <t>Payments</t>
        </is>
      </c>
      <c r="B23" s="47">
        <f>'Payments'!W27</f>
        <v/>
      </c>
      <c r="C23" s="77">
        <f>'Payments'!U27</f>
        <v/>
      </c>
      <c r="D23" s="47">
        <f>'Payments'!V27</f>
        <v/>
      </c>
      <c r="E23" s="47">
        <f>IF(OR(B23="",C23="",D23=""),"",D23*100000+(C23-DATE(2000,1,1))+ROW()/100000)</f>
        <v/>
      </c>
      <c r="H23" t="n">
        <v>22</v>
      </c>
      <c r="I23" s="47">
        <f>IFERROR(SMALL($E$2:$E$733,H23),"")</f>
        <v/>
      </c>
      <c r="J23" s="47">
        <f>IF(I23="","",MATCH(I23,$E$2:$E$733,0))</f>
        <v/>
      </c>
      <c r="K23" s="47">
        <f>IF(J23="","",INDEX($A$2:$A$733,J23))</f>
        <v/>
      </c>
      <c r="L23" s="47">
        <f>IF(J23="","",INDEX($B$2:$B$733,J23))</f>
        <v/>
      </c>
      <c r="M23" s="77">
        <f>IF(J23="","",INDEX($C$2:$C$733,J23))</f>
        <v/>
      </c>
      <c r="N23" s="47">
        <f>IF(J23="","",INDEX($D$2:$D$733,J23))</f>
        <v/>
      </c>
    </row>
    <row r="24">
      <c r="A24" t="inlineStr">
        <is>
          <t>Payments</t>
        </is>
      </c>
      <c r="B24" s="47">
        <f>'Payments'!W28</f>
        <v/>
      </c>
      <c r="C24" s="77">
        <f>'Payments'!U28</f>
        <v/>
      </c>
      <c r="D24" s="47">
        <f>'Payments'!V28</f>
        <v/>
      </c>
      <c r="E24" s="47">
        <f>IF(OR(B24="",C24="",D24=""),"",D24*100000+(C24-DATE(2000,1,1))+ROW()/100000)</f>
        <v/>
      </c>
      <c r="H24" t="n">
        <v>23</v>
      </c>
      <c r="I24" s="47">
        <f>IFERROR(SMALL($E$2:$E$733,H24),"")</f>
        <v/>
      </c>
      <c r="J24" s="47">
        <f>IF(I24="","",MATCH(I24,$E$2:$E$733,0))</f>
        <v/>
      </c>
      <c r="K24" s="47">
        <f>IF(J24="","",INDEX($A$2:$A$733,J24))</f>
        <v/>
      </c>
      <c r="L24" s="47">
        <f>IF(J24="","",INDEX($B$2:$B$733,J24))</f>
        <v/>
      </c>
      <c r="M24" s="77">
        <f>IF(J24="","",INDEX($C$2:$C$733,J24))</f>
        <v/>
      </c>
      <c r="N24" s="47">
        <f>IF(J24="","",INDEX($D$2:$D$733,J24))</f>
        <v/>
      </c>
    </row>
    <row r="25">
      <c r="A25" t="inlineStr">
        <is>
          <t>Payments</t>
        </is>
      </c>
      <c r="B25" s="47">
        <f>'Payments'!W29</f>
        <v/>
      </c>
      <c r="C25" s="77">
        <f>'Payments'!U29</f>
        <v/>
      </c>
      <c r="D25" s="47">
        <f>'Payments'!V29</f>
        <v/>
      </c>
      <c r="E25" s="47">
        <f>IF(OR(B25="",C25="",D25=""),"",D25*100000+(C25-DATE(2000,1,1))+ROW()/100000)</f>
        <v/>
      </c>
      <c r="H25" t="n">
        <v>24</v>
      </c>
      <c r="I25" s="47">
        <f>IFERROR(SMALL($E$2:$E$733,H25),"")</f>
        <v/>
      </c>
      <c r="J25" s="47">
        <f>IF(I25="","",MATCH(I25,$E$2:$E$733,0))</f>
        <v/>
      </c>
      <c r="K25" s="47">
        <f>IF(J25="","",INDEX($A$2:$A$733,J25))</f>
        <v/>
      </c>
      <c r="L25" s="47">
        <f>IF(J25="","",INDEX($B$2:$B$733,J25))</f>
        <v/>
      </c>
      <c r="M25" s="77">
        <f>IF(J25="","",INDEX($C$2:$C$733,J25))</f>
        <v/>
      </c>
      <c r="N25" s="47">
        <f>IF(J25="","",INDEX($D$2:$D$733,J25))</f>
        <v/>
      </c>
    </row>
    <row r="26">
      <c r="A26" t="inlineStr">
        <is>
          <t>Payments</t>
        </is>
      </c>
      <c r="B26" s="47">
        <f>'Payments'!W30</f>
        <v/>
      </c>
      <c r="C26" s="77">
        <f>'Payments'!U30</f>
        <v/>
      </c>
      <c r="D26" s="47">
        <f>'Payments'!V30</f>
        <v/>
      </c>
      <c r="E26" s="47">
        <f>IF(OR(B26="",C26="",D26=""),"",D26*100000+(C26-DATE(2000,1,1))+ROW()/100000)</f>
        <v/>
      </c>
      <c r="H26" t="n">
        <v>25</v>
      </c>
      <c r="I26" s="47">
        <f>IFERROR(SMALL($E$2:$E$733,H26),"")</f>
        <v/>
      </c>
      <c r="J26" s="47">
        <f>IF(I26="","",MATCH(I26,$E$2:$E$733,0))</f>
        <v/>
      </c>
      <c r="K26" s="47">
        <f>IF(J26="","",INDEX($A$2:$A$733,J26))</f>
        <v/>
      </c>
      <c r="L26" s="47">
        <f>IF(J26="","",INDEX($B$2:$B$733,J26))</f>
        <v/>
      </c>
      <c r="M26" s="77">
        <f>IF(J26="","",INDEX($C$2:$C$733,J26))</f>
        <v/>
      </c>
      <c r="N26" s="47">
        <f>IF(J26="","",INDEX($D$2:$D$733,J26))</f>
        <v/>
      </c>
    </row>
    <row r="27">
      <c r="A27" t="inlineStr">
        <is>
          <t>Payments</t>
        </is>
      </c>
      <c r="B27" s="47">
        <f>'Payments'!W31</f>
        <v/>
      </c>
      <c r="C27" s="77">
        <f>'Payments'!U31</f>
        <v/>
      </c>
      <c r="D27" s="47">
        <f>'Payments'!V31</f>
        <v/>
      </c>
      <c r="E27" s="47">
        <f>IF(OR(B27="",C27="",D27=""),"",D27*100000+(C27-DATE(2000,1,1))+ROW()/100000)</f>
        <v/>
      </c>
    </row>
    <row r="28">
      <c r="A28" t="inlineStr">
        <is>
          <t>Payments</t>
        </is>
      </c>
      <c r="B28" s="47">
        <f>'Payments'!W32</f>
        <v/>
      </c>
      <c r="C28" s="77">
        <f>'Payments'!U32</f>
        <v/>
      </c>
      <c r="D28" s="47">
        <f>'Payments'!V32</f>
        <v/>
      </c>
      <c r="E28" s="47">
        <f>IF(OR(B28="",C28="",D28=""),"",D28*100000+(C28-DATE(2000,1,1))+ROW()/100000)</f>
        <v/>
      </c>
      <c r="H28" t="inlineStr">
        <is>
          <t>TOP 25 (all)</t>
        </is>
      </c>
    </row>
    <row r="29">
      <c r="A29" t="inlineStr">
        <is>
          <t>Payments</t>
        </is>
      </c>
      <c r="B29" s="47">
        <f>'Payments'!W33</f>
        <v/>
      </c>
      <c r="C29" s="77">
        <f>'Payments'!U33</f>
        <v/>
      </c>
      <c r="D29" s="47">
        <f>'Payments'!V33</f>
        <v/>
      </c>
      <c r="E29" s="47">
        <f>IF(OR(B29="",C29="",D29=""),"",D29*100000+(C29-DATE(2000,1,1))+ROW()/100000)</f>
        <v/>
      </c>
    </row>
    <row r="30">
      <c r="A30" t="inlineStr">
        <is>
          <t>Payments</t>
        </is>
      </c>
      <c r="B30" s="47">
        <f>'Payments'!W34</f>
        <v/>
      </c>
      <c r="C30" s="77">
        <f>'Payments'!U34</f>
        <v/>
      </c>
      <c r="D30" s="47">
        <f>'Payments'!V34</f>
        <v/>
      </c>
      <c r="E30" s="47">
        <f>IF(OR(B30="",C30="",D30=""),"",D30*100000+(C30-DATE(2000,1,1))+ROW()/100000)</f>
        <v/>
      </c>
    </row>
    <row r="31">
      <c r="A31" t="inlineStr">
        <is>
          <t>Payments</t>
        </is>
      </c>
      <c r="B31" s="47">
        <f>'Payments'!W35</f>
        <v/>
      </c>
      <c r="C31" s="77">
        <f>'Payments'!U35</f>
        <v/>
      </c>
      <c r="D31" s="47">
        <f>'Payments'!V35</f>
        <v/>
      </c>
      <c r="E31" s="47">
        <f>IF(OR(B31="",C31="",D31=""),"",D31*100000+(C31-DATE(2000,1,1))+ROW()/100000)</f>
        <v/>
      </c>
    </row>
    <row r="32">
      <c r="A32" t="inlineStr">
        <is>
          <t>Payments</t>
        </is>
      </c>
      <c r="B32" s="47">
        <f>'Payments'!W36</f>
        <v/>
      </c>
      <c r="C32" s="77">
        <f>'Payments'!U36</f>
        <v/>
      </c>
      <c r="D32" s="47">
        <f>'Payments'!V36</f>
        <v/>
      </c>
      <c r="E32" s="47">
        <f>IF(OR(B32="",C32="",D32=""),"",D32*100000+(C32-DATE(2000,1,1))+ROW()/100000)</f>
        <v/>
      </c>
    </row>
    <row r="33">
      <c r="A33" t="inlineStr">
        <is>
          <t>Payments</t>
        </is>
      </c>
      <c r="B33" s="47">
        <f>'Payments'!W37</f>
        <v/>
      </c>
      <c r="C33" s="77">
        <f>'Payments'!U37</f>
        <v/>
      </c>
      <c r="D33" s="47">
        <f>'Payments'!V37</f>
        <v/>
      </c>
      <c r="E33" s="47">
        <f>IF(OR(B33="",C33="",D33=""),"",D33*100000+(C33-DATE(2000,1,1))+ROW()/100000)</f>
        <v/>
      </c>
    </row>
    <row r="34">
      <c r="A34" t="inlineStr">
        <is>
          <t>Payments</t>
        </is>
      </c>
      <c r="B34" s="47">
        <f>'Payments'!W38</f>
        <v/>
      </c>
      <c r="C34" s="77">
        <f>'Payments'!U38</f>
        <v/>
      </c>
      <c r="D34" s="47">
        <f>'Payments'!V38</f>
        <v/>
      </c>
      <c r="E34" s="47">
        <f>IF(OR(B34="",C34="",D34=""),"",D34*100000+(C34-DATE(2000,1,1))+ROW()/100000)</f>
        <v/>
      </c>
    </row>
    <row r="35">
      <c r="A35" t="inlineStr">
        <is>
          <t>Payments</t>
        </is>
      </c>
      <c r="B35" s="47">
        <f>'Payments'!W39</f>
        <v/>
      </c>
      <c r="C35" s="77">
        <f>'Payments'!U39</f>
        <v/>
      </c>
      <c r="D35" s="47">
        <f>'Payments'!V39</f>
        <v/>
      </c>
      <c r="E35" s="47">
        <f>IF(OR(B35="",C35="",D35=""),"",D35*100000+(C35-DATE(2000,1,1))+ROW()/100000)</f>
        <v/>
      </c>
    </row>
    <row r="36">
      <c r="A36" t="inlineStr">
        <is>
          <t>Payments</t>
        </is>
      </c>
      <c r="B36" s="47">
        <f>'Payments'!W40</f>
        <v/>
      </c>
      <c r="C36" s="77">
        <f>'Payments'!U40</f>
        <v/>
      </c>
      <c r="D36" s="47">
        <f>'Payments'!V40</f>
        <v/>
      </c>
      <c r="E36" s="47">
        <f>IF(OR(B36="",C36="",D36=""),"",D36*100000+(C36-DATE(2000,1,1))+ROW()/100000)</f>
        <v/>
      </c>
    </row>
    <row r="37">
      <c r="A37" t="inlineStr">
        <is>
          <t>Payments</t>
        </is>
      </c>
      <c r="B37" s="47">
        <f>'Payments'!W41</f>
        <v/>
      </c>
      <c r="C37" s="77">
        <f>'Payments'!U41</f>
        <v/>
      </c>
      <c r="D37" s="47">
        <f>'Payments'!V41</f>
        <v/>
      </c>
      <c r="E37" s="47">
        <f>IF(OR(B37="",C37="",D37=""),"",D37*100000+(C37-DATE(2000,1,1))+ROW()/100000)</f>
        <v/>
      </c>
    </row>
    <row r="38">
      <c r="A38" t="inlineStr">
        <is>
          <t>Payments</t>
        </is>
      </c>
      <c r="B38" s="47">
        <f>'Payments'!W42</f>
        <v/>
      </c>
      <c r="C38" s="77">
        <f>'Payments'!U42</f>
        <v/>
      </c>
      <c r="D38" s="47">
        <f>'Payments'!V42</f>
        <v/>
      </c>
      <c r="E38" s="47">
        <f>IF(OR(B38="",C38="",D38=""),"",D38*100000+(C38-DATE(2000,1,1))+ROW()/100000)</f>
        <v/>
      </c>
    </row>
    <row r="39">
      <c r="A39" t="inlineStr">
        <is>
          <t>Payments</t>
        </is>
      </c>
      <c r="B39" s="47">
        <f>'Payments'!W43</f>
        <v/>
      </c>
      <c r="C39" s="77">
        <f>'Payments'!U43</f>
        <v/>
      </c>
      <c r="D39" s="47">
        <f>'Payments'!V43</f>
        <v/>
      </c>
      <c r="E39" s="47">
        <f>IF(OR(B39="",C39="",D39=""),"",D39*100000+(C39-DATE(2000,1,1))+ROW()/100000)</f>
        <v/>
      </c>
    </row>
    <row r="40">
      <c r="A40" t="inlineStr">
        <is>
          <t>Payments</t>
        </is>
      </c>
      <c r="B40" s="47">
        <f>'Payments'!W44</f>
        <v/>
      </c>
      <c r="C40" s="77">
        <f>'Payments'!U44</f>
        <v/>
      </c>
      <c r="D40" s="47">
        <f>'Payments'!V44</f>
        <v/>
      </c>
      <c r="E40" s="47">
        <f>IF(OR(B40="",C40="",D40=""),"",D40*100000+(C40-DATE(2000,1,1))+ROW()/100000)</f>
        <v/>
      </c>
    </row>
    <row r="41">
      <c r="A41" t="inlineStr">
        <is>
          <t>Payments</t>
        </is>
      </c>
      <c r="B41" s="47">
        <f>'Payments'!W45</f>
        <v/>
      </c>
      <c r="C41" s="77">
        <f>'Payments'!U45</f>
        <v/>
      </c>
      <c r="D41" s="47">
        <f>'Payments'!V45</f>
        <v/>
      </c>
      <c r="E41" s="47">
        <f>IF(OR(B41="",C41="",D41=""),"",D41*100000+(C41-DATE(2000,1,1))+ROW()/100000)</f>
        <v/>
      </c>
    </row>
    <row r="42">
      <c r="A42" t="inlineStr">
        <is>
          <t>Payments</t>
        </is>
      </c>
      <c r="B42" s="47">
        <f>'Payments'!W46</f>
        <v/>
      </c>
      <c r="C42" s="77">
        <f>'Payments'!U46</f>
        <v/>
      </c>
      <c r="D42" s="47">
        <f>'Payments'!V46</f>
        <v/>
      </c>
      <c r="E42" s="47">
        <f>IF(OR(B42="",C42="",D42=""),"",D42*100000+(C42-DATE(2000,1,1))+ROW()/100000)</f>
        <v/>
      </c>
    </row>
    <row r="43">
      <c r="A43" t="inlineStr">
        <is>
          <t>Payments</t>
        </is>
      </c>
      <c r="B43" s="47">
        <f>'Payments'!W47</f>
        <v/>
      </c>
      <c r="C43" s="77">
        <f>'Payments'!U47</f>
        <v/>
      </c>
      <c r="D43" s="47">
        <f>'Payments'!V47</f>
        <v/>
      </c>
      <c r="E43" s="47">
        <f>IF(OR(B43="",C43="",D43=""),"",D43*100000+(C43-DATE(2000,1,1))+ROW()/100000)</f>
        <v/>
      </c>
    </row>
    <row r="44">
      <c r="A44" t="inlineStr">
        <is>
          <t>Payments</t>
        </is>
      </c>
      <c r="B44" s="47">
        <f>'Payments'!W48</f>
        <v/>
      </c>
      <c r="C44" s="77">
        <f>'Payments'!U48</f>
        <v/>
      </c>
      <c r="D44" s="47">
        <f>'Payments'!V48</f>
        <v/>
      </c>
      <c r="E44" s="47">
        <f>IF(OR(B44="",C44="",D44=""),"",D44*100000+(C44-DATE(2000,1,1))+ROW()/100000)</f>
        <v/>
      </c>
    </row>
    <row r="45">
      <c r="A45" t="inlineStr">
        <is>
          <t>Payments</t>
        </is>
      </c>
      <c r="B45" s="47">
        <f>'Payments'!W49</f>
        <v/>
      </c>
      <c r="C45" s="77">
        <f>'Payments'!U49</f>
        <v/>
      </c>
      <c r="D45" s="47">
        <f>'Payments'!V49</f>
        <v/>
      </c>
      <c r="E45" s="47">
        <f>IF(OR(B45="",C45="",D45=""),"",D45*100000+(C45-DATE(2000,1,1))+ROW()/100000)</f>
        <v/>
      </c>
    </row>
    <row r="46">
      <c r="A46" t="inlineStr">
        <is>
          <t>Payments</t>
        </is>
      </c>
      <c r="B46" s="47">
        <f>'Payments'!W50</f>
        <v/>
      </c>
      <c r="C46" s="77">
        <f>'Payments'!U50</f>
        <v/>
      </c>
      <c r="D46" s="47">
        <f>'Payments'!V50</f>
        <v/>
      </c>
      <c r="E46" s="47">
        <f>IF(OR(B46="",C46="",D46=""),"",D46*100000+(C46-DATE(2000,1,1))+ROW()/100000)</f>
        <v/>
      </c>
    </row>
    <row r="47">
      <c r="A47" t="inlineStr">
        <is>
          <t>Payments</t>
        </is>
      </c>
      <c r="B47" s="47">
        <f>'Payments'!W51</f>
        <v/>
      </c>
      <c r="C47" s="77">
        <f>'Payments'!U51</f>
        <v/>
      </c>
      <c r="D47" s="47">
        <f>'Payments'!V51</f>
        <v/>
      </c>
      <c r="E47" s="47">
        <f>IF(OR(B47="",C47="",D47=""),"",D47*100000+(C47-DATE(2000,1,1))+ROW()/100000)</f>
        <v/>
      </c>
    </row>
    <row r="48">
      <c r="A48" t="inlineStr">
        <is>
          <t>Payments</t>
        </is>
      </c>
      <c r="B48" s="47">
        <f>'Payments'!W52</f>
        <v/>
      </c>
      <c r="C48" s="77">
        <f>'Payments'!U52</f>
        <v/>
      </c>
      <c r="D48" s="47">
        <f>'Payments'!V52</f>
        <v/>
      </c>
      <c r="E48" s="47">
        <f>IF(OR(B48="",C48="",D48=""),"",D48*100000+(C48-DATE(2000,1,1))+ROW()/100000)</f>
        <v/>
      </c>
    </row>
    <row r="49">
      <c r="A49" t="inlineStr">
        <is>
          <t>Payments</t>
        </is>
      </c>
      <c r="B49" s="47">
        <f>'Payments'!W53</f>
        <v/>
      </c>
      <c r="C49" s="77">
        <f>'Payments'!U53</f>
        <v/>
      </c>
      <c r="D49" s="47">
        <f>'Payments'!V53</f>
        <v/>
      </c>
      <c r="E49" s="47">
        <f>IF(OR(B49="",C49="",D49=""),"",D49*100000+(C49-DATE(2000,1,1))+ROW()/100000)</f>
        <v/>
      </c>
    </row>
    <row r="50">
      <c r="A50" t="inlineStr">
        <is>
          <t>Payments</t>
        </is>
      </c>
      <c r="B50" s="47">
        <f>'Payments'!W54</f>
        <v/>
      </c>
      <c r="C50" s="77">
        <f>'Payments'!U54</f>
        <v/>
      </c>
      <c r="D50" s="47">
        <f>'Payments'!V54</f>
        <v/>
      </c>
      <c r="E50" s="47">
        <f>IF(OR(B50="",C50="",D50=""),"",D50*100000+(C50-DATE(2000,1,1))+ROW()/100000)</f>
        <v/>
      </c>
    </row>
    <row r="51">
      <c r="A51" t="inlineStr">
        <is>
          <t>Payments</t>
        </is>
      </c>
      <c r="B51" s="47">
        <f>'Payments'!W55</f>
        <v/>
      </c>
      <c r="C51" s="77">
        <f>'Payments'!U55</f>
        <v/>
      </c>
      <c r="D51" s="47">
        <f>'Payments'!V55</f>
        <v/>
      </c>
      <c r="E51" s="47">
        <f>IF(OR(B51="",C51="",D51=""),"",D51*100000+(C51-DATE(2000,1,1))+ROW()/100000)</f>
        <v/>
      </c>
    </row>
    <row r="52">
      <c r="A52" t="inlineStr">
        <is>
          <t>Payments</t>
        </is>
      </c>
      <c r="B52" s="47">
        <f>'Payments'!W56</f>
        <v/>
      </c>
      <c r="C52" s="77">
        <f>'Payments'!U56</f>
        <v/>
      </c>
      <c r="D52" s="47">
        <f>'Payments'!V56</f>
        <v/>
      </c>
      <c r="E52" s="47">
        <f>IF(OR(B52="",C52="",D52=""),"",D52*100000+(C52-DATE(2000,1,1))+ROW()/100000)</f>
        <v/>
      </c>
    </row>
    <row r="53">
      <c r="A53" t="inlineStr">
        <is>
          <t>Payments</t>
        </is>
      </c>
      <c r="B53" s="47">
        <f>'Payments'!W57</f>
        <v/>
      </c>
      <c r="C53" s="77">
        <f>'Payments'!U57</f>
        <v/>
      </c>
      <c r="D53" s="47">
        <f>'Payments'!V57</f>
        <v/>
      </c>
      <c r="E53" s="47">
        <f>IF(OR(B53="",C53="",D53=""),"",D53*100000+(C53-DATE(2000,1,1))+ROW()/100000)</f>
        <v/>
      </c>
    </row>
    <row r="54">
      <c r="A54" t="inlineStr">
        <is>
          <t>Payments</t>
        </is>
      </c>
      <c r="B54" s="47">
        <f>'Payments'!W58</f>
        <v/>
      </c>
      <c r="C54" s="77">
        <f>'Payments'!U58</f>
        <v/>
      </c>
      <c r="D54" s="47">
        <f>'Payments'!V58</f>
        <v/>
      </c>
      <c r="E54" s="47">
        <f>IF(OR(B54="",C54="",D54=""),"",D54*100000+(C54-DATE(2000,1,1))+ROW()/100000)</f>
        <v/>
      </c>
    </row>
    <row r="55">
      <c r="A55" t="inlineStr">
        <is>
          <t>Payments</t>
        </is>
      </c>
      <c r="B55" s="47">
        <f>'Payments'!W59</f>
        <v/>
      </c>
      <c r="C55" s="77">
        <f>'Payments'!U59</f>
        <v/>
      </c>
      <c r="D55" s="47">
        <f>'Payments'!V59</f>
        <v/>
      </c>
      <c r="E55" s="47">
        <f>IF(OR(B55="",C55="",D55=""),"",D55*100000+(C55-DATE(2000,1,1))+ROW()/100000)</f>
        <v/>
      </c>
    </row>
    <row r="56">
      <c r="A56" t="inlineStr">
        <is>
          <t>Payments</t>
        </is>
      </c>
      <c r="B56" s="47">
        <f>'Payments'!W60</f>
        <v/>
      </c>
      <c r="C56" s="77">
        <f>'Payments'!U60</f>
        <v/>
      </c>
      <c r="D56" s="47">
        <f>'Payments'!V60</f>
        <v/>
      </c>
      <c r="E56" s="47">
        <f>IF(OR(B56="",C56="",D56=""),"",D56*100000+(C56-DATE(2000,1,1))+ROW()/100000)</f>
        <v/>
      </c>
    </row>
    <row r="57">
      <c r="A57" t="inlineStr">
        <is>
          <t>Payments</t>
        </is>
      </c>
      <c r="B57" s="47">
        <f>'Payments'!W61</f>
        <v/>
      </c>
      <c r="C57" s="77">
        <f>'Payments'!U61</f>
        <v/>
      </c>
      <c r="D57" s="47">
        <f>'Payments'!V61</f>
        <v/>
      </c>
      <c r="E57" s="47">
        <f>IF(OR(B57="",C57="",D57=""),"",D57*100000+(C57-DATE(2000,1,1))+ROW()/100000)</f>
        <v/>
      </c>
    </row>
    <row r="58">
      <c r="A58" t="inlineStr">
        <is>
          <t>Payments</t>
        </is>
      </c>
      <c r="B58" s="47">
        <f>'Payments'!W62</f>
        <v/>
      </c>
      <c r="C58" s="77">
        <f>'Payments'!U62</f>
        <v/>
      </c>
      <c r="D58" s="47">
        <f>'Payments'!V62</f>
        <v/>
      </c>
      <c r="E58" s="47">
        <f>IF(OR(B58="",C58="",D58=""),"",D58*100000+(C58-DATE(2000,1,1))+ROW()/100000)</f>
        <v/>
      </c>
    </row>
    <row r="59">
      <c r="A59" t="inlineStr">
        <is>
          <t>Payments</t>
        </is>
      </c>
      <c r="B59" s="47">
        <f>'Payments'!W63</f>
        <v/>
      </c>
      <c r="C59" s="77">
        <f>'Payments'!U63</f>
        <v/>
      </c>
      <c r="D59" s="47">
        <f>'Payments'!V63</f>
        <v/>
      </c>
      <c r="E59" s="47">
        <f>IF(OR(B59="",C59="",D59=""),"",D59*100000+(C59-DATE(2000,1,1))+ROW()/100000)</f>
        <v/>
      </c>
    </row>
    <row r="60">
      <c r="A60" t="inlineStr">
        <is>
          <t>Payments</t>
        </is>
      </c>
      <c r="B60" s="47">
        <f>'Payments'!W64</f>
        <v/>
      </c>
      <c r="C60" s="77">
        <f>'Payments'!U64</f>
        <v/>
      </c>
      <c r="D60" s="47">
        <f>'Payments'!V64</f>
        <v/>
      </c>
      <c r="E60" s="47">
        <f>IF(OR(B60="",C60="",D60=""),"",D60*100000+(C60-DATE(2000,1,1))+ROW()/100000)</f>
        <v/>
      </c>
    </row>
    <row r="61">
      <c r="A61" t="inlineStr">
        <is>
          <t>Payments</t>
        </is>
      </c>
      <c r="B61" s="47">
        <f>'Payments'!W65</f>
        <v/>
      </c>
      <c r="C61" s="77">
        <f>'Payments'!U65</f>
        <v/>
      </c>
      <c r="D61" s="47">
        <f>'Payments'!V65</f>
        <v/>
      </c>
      <c r="E61" s="47">
        <f>IF(OR(B61="",C61="",D61=""),"",D61*100000+(C61-DATE(2000,1,1))+ROW()/100000)</f>
        <v/>
      </c>
    </row>
    <row r="62">
      <c r="A62" t="inlineStr">
        <is>
          <t>Payments</t>
        </is>
      </c>
      <c r="B62" s="47">
        <f>'Payments'!W66</f>
        <v/>
      </c>
      <c r="C62" s="77">
        <f>'Payments'!U66</f>
        <v/>
      </c>
      <c r="D62" s="47">
        <f>'Payments'!V66</f>
        <v/>
      </c>
      <c r="E62" s="47">
        <f>IF(OR(B62="",C62="",D62=""),"",D62*100000+(C62-DATE(2000,1,1))+ROW()/100000)</f>
        <v/>
      </c>
    </row>
    <row r="63">
      <c r="A63" t="inlineStr">
        <is>
          <t>Payments</t>
        </is>
      </c>
      <c r="B63" s="47">
        <f>'Payments'!W67</f>
        <v/>
      </c>
      <c r="C63" s="77">
        <f>'Payments'!U67</f>
        <v/>
      </c>
      <c r="D63" s="47">
        <f>'Payments'!V67</f>
        <v/>
      </c>
      <c r="E63" s="47">
        <f>IF(OR(B63="",C63="",D63=""),"",D63*100000+(C63-DATE(2000,1,1))+ROW()/100000)</f>
        <v/>
      </c>
    </row>
    <row r="64">
      <c r="A64" t="inlineStr">
        <is>
          <t>Payments</t>
        </is>
      </c>
      <c r="B64" s="47">
        <f>'Payments'!W68</f>
        <v/>
      </c>
      <c r="C64" s="77">
        <f>'Payments'!U68</f>
        <v/>
      </c>
      <c r="D64" s="47">
        <f>'Payments'!V68</f>
        <v/>
      </c>
      <c r="E64" s="47">
        <f>IF(OR(B64="",C64="",D64=""),"",D64*100000+(C64-DATE(2000,1,1))+ROW()/100000)</f>
        <v/>
      </c>
    </row>
    <row r="65">
      <c r="A65" t="inlineStr">
        <is>
          <t>Payments</t>
        </is>
      </c>
      <c r="B65" s="47">
        <f>'Payments'!W69</f>
        <v/>
      </c>
      <c r="C65" s="77">
        <f>'Payments'!U69</f>
        <v/>
      </c>
      <c r="D65" s="47">
        <f>'Payments'!V69</f>
        <v/>
      </c>
      <c r="E65" s="47">
        <f>IF(OR(B65="",C65="",D65=""),"",D65*100000+(C65-DATE(2000,1,1))+ROW()/100000)</f>
        <v/>
      </c>
    </row>
    <row r="66">
      <c r="A66" t="inlineStr">
        <is>
          <t>Payments</t>
        </is>
      </c>
      <c r="B66" s="47">
        <f>'Payments'!W70</f>
        <v/>
      </c>
      <c r="C66" s="77">
        <f>'Payments'!U70</f>
        <v/>
      </c>
      <c r="D66" s="47">
        <f>'Payments'!V70</f>
        <v/>
      </c>
      <c r="E66" s="47">
        <f>IF(OR(B66="",C66="",D66=""),"",D66*100000+(C66-DATE(2000,1,1))+ROW()/100000)</f>
        <v/>
      </c>
    </row>
    <row r="67">
      <c r="A67" t="inlineStr">
        <is>
          <t>Payments</t>
        </is>
      </c>
      <c r="B67" s="47">
        <f>'Payments'!W71</f>
        <v/>
      </c>
      <c r="C67" s="77">
        <f>'Payments'!U71</f>
        <v/>
      </c>
      <c r="D67" s="47">
        <f>'Payments'!V71</f>
        <v/>
      </c>
      <c r="E67" s="47">
        <f>IF(OR(B67="",C67="",D67=""),"",D67*100000+(C67-DATE(2000,1,1))+ROW()/100000)</f>
        <v/>
      </c>
    </row>
    <row r="68">
      <c r="A68" t="inlineStr">
        <is>
          <t>Payments</t>
        </is>
      </c>
      <c r="B68" s="47">
        <f>'Payments'!W72</f>
        <v/>
      </c>
      <c r="C68" s="77">
        <f>'Payments'!U72</f>
        <v/>
      </c>
      <c r="D68" s="47">
        <f>'Payments'!V72</f>
        <v/>
      </c>
      <c r="E68" s="47">
        <f>IF(OR(B68="",C68="",D68=""),"",D68*100000+(C68-DATE(2000,1,1))+ROW()/100000)</f>
        <v/>
      </c>
    </row>
    <row r="69">
      <c r="A69" t="inlineStr">
        <is>
          <t>Payments</t>
        </is>
      </c>
      <c r="B69" s="47">
        <f>'Payments'!W73</f>
        <v/>
      </c>
      <c r="C69" s="77">
        <f>'Payments'!U73</f>
        <v/>
      </c>
      <c r="D69" s="47">
        <f>'Payments'!V73</f>
        <v/>
      </c>
      <c r="E69" s="47">
        <f>IF(OR(B69="",C69="",D69=""),"",D69*100000+(C69-DATE(2000,1,1))+ROW()/100000)</f>
        <v/>
      </c>
    </row>
    <row r="70">
      <c r="A70" t="inlineStr">
        <is>
          <t>Payments</t>
        </is>
      </c>
      <c r="B70" s="47">
        <f>'Payments'!W74</f>
        <v/>
      </c>
      <c r="C70" s="77">
        <f>'Payments'!U74</f>
        <v/>
      </c>
      <c r="D70" s="47">
        <f>'Payments'!V74</f>
        <v/>
      </c>
      <c r="E70" s="47">
        <f>IF(OR(B70="",C70="",D70=""),"",D70*100000+(C70-DATE(2000,1,1))+ROW()/100000)</f>
        <v/>
      </c>
    </row>
    <row r="71">
      <c r="A71" t="inlineStr">
        <is>
          <t>Payments</t>
        </is>
      </c>
      <c r="B71" s="47">
        <f>'Payments'!W75</f>
        <v/>
      </c>
      <c r="C71" s="77">
        <f>'Payments'!U75</f>
        <v/>
      </c>
      <c r="D71" s="47">
        <f>'Payments'!V75</f>
        <v/>
      </c>
      <c r="E71" s="47">
        <f>IF(OR(B71="",C71="",D71=""),"",D71*100000+(C71-DATE(2000,1,1))+ROW()/100000)</f>
        <v/>
      </c>
    </row>
    <row r="72">
      <c r="A72" t="inlineStr">
        <is>
          <t>Payments</t>
        </is>
      </c>
      <c r="B72" s="47">
        <f>'Payments'!W76</f>
        <v/>
      </c>
      <c r="C72" s="77">
        <f>'Payments'!U76</f>
        <v/>
      </c>
      <c r="D72" s="47">
        <f>'Payments'!V76</f>
        <v/>
      </c>
      <c r="E72" s="47">
        <f>IF(OR(B72="",C72="",D72=""),"",D72*100000+(C72-DATE(2000,1,1))+ROW()/100000)</f>
        <v/>
      </c>
    </row>
    <row r="73">
      <c r="A73" t="inlineStr">
        <is>
          <t>Payments</t>
        </is>
      </c>
      <c r="B73" s="47">
        <f>'Payments'!W77</f>
        <v/>
      </c>
      <c r="C73" s="77">
        <f>'Payments'!U77</f>
        <v/>
      </c>
      <c r="D73" s="47">
        <f>'Payments'!V77</f>
        <v/>
      </c>
      <c r="E73" s="47">
        <f>IF(OR(B73="",C73="",D73=""),"",D73*100000+(C73-DATE(2000,1,1))+ROW()/100000)</f>
        <v/>
      </c>
    </row>
    <row r="74">
      <c r="A74" t="inlineStr">
        <is>
          <t>Payments</t>
        </is>
      </c>
      <c r="B74" s="47">
        <f>'Payments'!W78</f>
        <v/>
      </c>
      <c r="C74" s="77">
        <f>'Payments'!U78</f>
        <v/>
      </c>
      <c r="D74" s="47">
        <f>'Payments'!V78</f>
        <v/>
      </c>
      <c r="E74" s="47">
        <f>IF(OR(B74="",C74="",D74=""),"",D74*100000+(C74-DATE(2000,1,1))+ROW()/100000)</f>
        <v/>
      </c>
    </row>
    <row r="75">
      <c r="A75" t="inlineStr">
        <is>
          <t>Payments</t>
        </is>
      </c>
      <c r="B75" s="47">
        <f>'Payments'!W79</f>
        <v/>
      </c>
      <c r="C75" s="77">
        <f>'Payments'!U79</f>
        <v/>
      </c>
      <c r="D75" s="47">
        <f>'Payments'!V79</f>
        <v/>
      </c>
      <c r="E75" s="47">
        <f>IF(OR(B75="",C75="",D75=""),"",D75*100000+(C75-DATE(2000,1,1))+ROW()/100000)</f>
        <v/>
      </c>
    </row>
    <row r="76">
      <c r="A76" t="inlineStr">
        <is>
          <t>Payments</t>
        </is>
      </c>
      <c r="B76" s="47">
        <f>'Payments'!W80</f>
        <v/>
      </c>
      <c r="C76" s="77">
        <f>'Payments'!U80</f>
        <v/>
      </c>
      <c r="D76" s="47">
        <f>'Payments'!V80</f>
        <v/>
      </c>
      <c r="E76" s="47">
        <f>IF(OR(B76="",C76="",D76=""),"",D76*100000+(C76-DATE(2000,1,1))+ROW()/100000)</f>
        <v/>
      </c>
    </row>
    <row r="77">
      <c r="A77" t="inlineStr">
        <is>
          <t>Payments</t>
        </is>
      </c>
      <c r="B77" s="47">
        <f>'Payments'!W81</f>
        <v/>
      </c>
      <c r="C77" s="77">
        <f>'Payments'!U81</f>
        <v/>
      </c>
      <c r="D77" s="47">
        <f>'Payments'!V81</f>
        <v/>
      </c>
      <c r="E77" s="47">
        <f>IF(OR(B77="",C77="",D77=""),"",D77*100000+(C77-DATE(2000,1,1))+ROW()/100000)</f>
        <v/>
      </c>
    </row>
    <row r="78">
      <c r="A78" t="inlineStr">
        <is>
          <t>Payments</t>
        </is>
      </c>
      <c r="B78" s="47">
        <f>'Payments'!W82</f>
        <v/>
      </c>
      <c r="C78" s="77">
        <f>'Payments'!U82</f>
        <v/>
      </c>
      <c r="D78" s="47">
        <f>'Payments'!V82</f>
        <v/>
      </c>
      <c r="E78" s="47">
        <f>IF(OR(B78="",C78="",D78=""),"",D78*100000+(C78-DATE(2000,1,1))+ROW()/100000)</f>
        <v/>
      </c>
    </row>
    <row r="79">
      <c r="A79" t="inlineStr">
        <is>
          <t>Payments</t>
        </is>
      </c>
      <c r="B79" s="47">
        <f>'Payments'!W83</f>
        <v/>
      </c>
      <c r="C79" s="77">
        <f>'Payments'!U83</f>
        <v/>
      </c>
      <c r="D79" s="47">
        <f>'Payments'!V83</f>
        <v/>
      </c>
      <c r="E79" s="47">
        <f>IF(OR(B79="",C79="",D79=""),"",D79*100000+(C79-DATE(2000,1,1))+ROW()/100000)</f>
        <v/>
      </c>
    </row>
    <row r="80">
      <c r="A80" t="inlineStr">
        <is>
          <t>Payments</t>
        </is>
      </c>
      <c r="B80" s="47">
        <f>'Payments'!W84</f>
        <v/>
      </c>
      <c r="C80" s="77">
        <f>'Payments'!U84</f>
        <v/>
      </c>
      <c r="D80" s="47">
        <f>'Payments'!V84</f>
        <v/>
      </c>
      <c r="E80" s="47">
        <f>IF(OR(B80="",C80="",D80=""),"",D80*100000+(C80-DATE(2000,1,1))+ROW()/100000)</f>
        <v/>
      </c>
    </row>
    <row r="81">
      <c r="A81" t="inlineStr">
        <is>
          <t>Payments</t>
        </is>
      </c>
      <c r="B81" s="47">
        <f>'Payments'!W85</f>
        <v/>
      </c>
      <c r="C81" s="77">
        <f>'Payments'!U85</f>
        <v/>
      </c>
      <c r="D81" s="47">
        <f>'Payments'!V85</f>
        <v/>
      </c>
      <c r="E81" s="47">
        <f>IF(OR(B81="",C81="",D81=""),"",D81*100000+(C81-DATE(2000,1,1))+ROW()/100000)</f>
        <v/>
      </c>
    </row>
    <row r="82">
      <c r="A82" t="inlineStr">
        <is>
          <t>Payments</t>
        </is>
      </c>
      <c r="B82" s="47">
        <f>'Payments'!W86</f>
        <v/>
      </c>
      <c r="C82" s="77">
        <f>'Payments'!U86</f>
        <v/>
      </c>
      <c r="D82" s="47">
        <f>'Payments'!V86</f>
        <v/>
      </c>
      <c r="E82" s="47">
        <f>IF(OR(B82="",C82="",D82=""),"",D82*100000+(C82-DATE(2000,1,1))+ROW()/100000)</f>
        <v/>
      </c>
    </row>
    <row r="83">
      <c r="A83" t="inlineStr">
        <is>
          <t>Payments</t>
        </is>
      </c>
      <c r="B83" s="47">
        <f>'Payments'!W87</f>
        <v/>
      </c>
      <c r="C83" s="77">
        <f>'Payments'!U87</f>
        <v/>
      </c>
      <c r="D83" s="47">
        <f>'Payments'!V87</f>
        <v/>
      </c>
      <c r="E83" s="47">
        <f>IF(OR(B83="",C83="",D83=""),"",D83*100000+(C83-DATE(2000,1,1))+ROW()/100000)</f>
        <v/>
      </c>
    </row>
    <row r="84">
      <c r="A84" t="inlineStr">
        <is>
          <t>Payments</t>
        </is>
      </c>
      <c r="B84" s="47">
        <f>'Payments'!W88</f>
        <v/>
      </c>
      <c r="C84" s="77">
        <f>'Payments'!U88</f>
        <v/>
      </c>
      <c r="D84" s="47">
        <f>'Payments'!V88</f>
        <v/>
      </c>
      <c r="E84" s="47">
        <f>IF(OR(B84="",C84="",D84=""),"",D84*100000+(C84-DATE(2000,1,1))+ROW()/100000)</f>
        <v/>
      </c>
    </row>
    <row r="85">
      <c r="A85" t="inlineStr">
        <is>
          <t>Payments</t>
        </is>
      </c>
      <c r="B85" s="47">
        <f>'Payments'!W89</f>
        <v/>
      </c>
      <c r="C85" s="77">
        <f>'Payments'!U89</f>
        <v/>
      </c>
      <c r="D85" s="47">
        <f>'Payments'!V89</f>
        <v/>
      </c>
      <c r="E85" s="47">
        <f>IF(OR(B85="",C85="",D85=""),"",D85*100000+(C85-DATE(2000,1,1))+ROW()/100000)</f>
        <v/>
      </c>
    </row>
    <row r="86">
      <c r="A86" t="inlineStr">
        <is>
          <t>Payments</t>
        </is>
      </c>
      <c r="B86" s="47">
        <f>'Payments'!W90</f>
        <v/>
      </c>
      <c r="C86" s="77">
        <f>'Payments'!U90</f>
        <v/>
      </c>
      <c r="D86" s="47">
        <f>'Payments'!V90</f>
        <v/>
      </c>
      <c r="E86" s="47">
        <f>IF(OR(B86="",C86="",D86=""),"",D86*100000+(C86-DATE(2000,1,1))+ROW()/100000)</f>
        <v/>
      </c>
    </row>
    <row r="87">
      <c r="A87" t="inlineStr">
        <is>
          <t>Payments</t>
        </is>
      </c>
      <c r="B87" s="47">
        <f>'Payments'!W91</f>
        <v/>
      </c>
      <c r="C87" s="77">
        <f>'Payments'!U91</f>
        <v/>
      </c>
      <c r="D87" s="47">
        <f>'Payments'!V91</f>
        <v/>
      </c>
      <c r="E87" s="47">
        <f>IF(OR(B87="",C87="",D87=""),"",D87*100000+(C87-DATE(2000,1,1))+ROW()/100000)</f>
        <v/>
      </c>
    </row>
    <row r="88">
      <c r="A88" t="inlineStr">
        <is>
          <t>Payments</t>
        </is>
      </c>
      <c r="B88" s="47">
        <f>'Payments'!W92</f>
        <v/>
      </c>
      <c r="C88" s="77">
        <f>'Payments'!U92</f>
        <v/>
      </c>
      <c r="D88" s="47">
        <f>'Payments'!V92</f>
        <v/>
      </c>
      <c r="E88" s="47">
        <f>IF(OR(B88="",C88="",D88=""),"",D88*100000+(C88-DATE(2000,1,1))+ROW()/100000)</f>
        <v/>
      </c>
    </row>
    <row r="89">
      <c r="A89" t="inlineStr">
        <is>
          <t>Payments</t>
        </is>
      </c>
      <c r="B89" s="47">
        <f>'Payments'!W93</f>
        <v/>
      </c>
      <c r="C89" s="77">
        <f>'Payments'!U93</f>
        <v/>
      </c>
      <c r="D89" s="47">
        <f>'Payments'!V93</f>
        <v/>
      </c>
      <c r="E89" s="47">
        <f>IF(OR(B89="",C89="",D89=""),"",D89*100000+(C89-DATE(2000,1,1))+ROW()/100000)</f>
        <v/>
      </c>
    </row>
    <row r="90">
      <c r="A90" t="inlineStr">
        <is>
          <t>Payments</t>
        </is>
      </c>
      <c r="B90" s="47">
        <f>'Payments'!W94</f>
        <v/>
      </c>
      <c r="C90" s="77">
        <f>'Payments'!U94</f>
        <v/>
      </c>
      <c r="D90" s="47">
        <f>'Payments'!V94</f>
        <v/>
      </c>
      <c r="E90" s="47">
        <f>IF(OR(B90="",C90="",D90=""),"",D90*100000+(C90-DATE(2000,1,1))+ROW()/100000)</f>
        <v/>
      </c>
    </row>
    <row r="91">
      <c r="A91" t="inlineStr">
        <is>
          <t>Payments</t>
        </is>
      </c>
      <c r="B91" s="47">
        <f>'Payments'!W95</f>
        <v/>
      </c>
      <c r="C91" s="77">
        <f>'Payments'!U95</f>
        <v/>
      </c>
      <c r="D91" s="47">
        <f>'Payments'!V95</f>
        <v/>
      </c>
      <c r="E91" s="47">
        <f>IF(OR(B91="",C91="",D91=""),"",D91*100000+(C91-DATE(2000,1,1))+ROW()/100000)</f>
        <v/>
      </c>
    </row>
    <row r="92">
      <c r="A92" t="inlineStr">
        <is>
          <t>Payments</t>
        </is>
      </c>
      <c r="B92" s="47">
        <f>'Payments'!W96</f>
        <v/>
      </c>
      <c r="C92" s="77">
        <f>'Payments'!U96</f>
        <v/>
      </c>
      <c r="D92" s="47">
        <f>'Payments'!V96</f>
        <v/>
      </c>
      <c r="E92" s="47">
        <f>IF(OR(B92="",C92="",D92=""),"",D92*100000+(C92-DATE(2000,1,1))+ROW()/100000)</f>
        <v/>
      </c>
    </row>
    <row r="93">
      <c r="A93" t="inlineStr">
        <is>
          <t>Payments</t>
        </is>
      </c>
      <c r="B93" s="47">
        <f>'Payments'!W97</f>
        <v/>
      </c>
      <c r="C93" s="77">
        <f>'Payments'!U97</f>
        <v/>
      </c>
      <c r="D93" s="47">
        <f>'Payments'!V97</f>
        <v/>
      </c>
      <c r="E93" s="47">
        <f>IF(OR(B93="",C93="",D93=""),"",D93*100000+(C93-DATE(2000,1,1))+ROW()/100000)</f>
        <v/>
      </c>
    </row>
    <row r="94">
      <c r="A94" t="inlineStr">
        <is>
          <t>Payments</t>
        </is>
      </c>
      <c r="B94" s="47">
        <f>'Payments'!W98</f>
        <v/>
      </c>
      <c r="C94" s="77">
        <f>'Payments'!U98</f>
        <v/>
      </c>
      <c r="D94" s="47">
        <f>'Payments'!V98</f>
        <v/>
      </c>
      <c r="E94" s="47">
        <f>IF(OR(B94="",C94="",D94=""),"",D94*100000+(C94-DATE(2000,1,1))+ROW()/100000)</f>
        <v/>
      </c>
    </row>
    <row r="95">
      <c r="A95" t="inlineStr">
        <is>
          <t>Payments</t>
        </is>
      </c>
      <c r="B95" s="47">
        <f>'Payments'!W99</f>
        <v/>
      </c>
      <c r="C95" s="77">
        <f>'Payments'!U99</f>
        <v/>
      </c>
      <c r="D95" s="47">
        <f>'Payments'!V99</f>
        <v/>
      </c>
      <c r="E95" s="47">
        <f>IF(OR(B95="",C95="",D95=""),"",D95*100000+(C95-DATE(2000,1,1))+ROW()/100000)</f>
        <v/>
      </c>
    </row>
    <row r="96">
      <c r="A96" t="inlineStr">
        <is>
          <t>Payments</t>
        </is>
      </c>
      <c r="B96" s="47">
        <f>'Payments'!W100</f>
        <v/>
      </c>
      <c r="C96" s="77">
        <f>'Payments'!U100</f>
        <v/>
      </c>
      <c r="D96" s="47">
        <f>'Payments'!V100</f>
        <v/>
      </c>
      <c r="E96" s="47">
        <f>IF(OR(B96="",C96="",D96=""),"",D96*100000+(C96-DATE(2000,1,1))+ROW()/100000)</f>
        <v/>
      </c>
    </row>
    <row r="97">
      <c r="A97" t="inlineStr">
        <is>
          <t>Payments</t>
        </is>
      </c>
      <c r="B97" s="47">
        <f>'Payments'!W101</f>
        <v/>
      </c>
      <c r="C97" s="77">
        <f>'Payments'!U101</f>
        <v/>
      </c>
      <c r="D97" s="47">
        <f>'Payments'!V101</f>
        <v/>
      </c>
      <c r="E97" s="47">
        <f>IF(OR(B97="",C97="",D97=""),"",D97*100000+(C97-DATE(2000,1,1))+ROW()/100000)</f>
        <v/>
      </c>
    </row>
    <row r="98">
      <c r="A98" t="inlineStr">
        <is>
          <t>Payments</t>
        </is>
      </c>
      <c r="B98" s="47">
        <f>'Payments'!W102</f>
        <v/>
      </c>
      <c r="C98" s="77">
        <f>'Payments'!U102</f>
        <v/>
      </c>
      <c r="D98" s="47">
        <f>'Payments'!V102</f>
        <v/>
      </c>
      <c r="E98" s="47">
        <f>IF(OR(B98="",C98="",D98=""),"",D98*100000+(C98-DATE(2000,1,1))+ROW()/100000)</f>
        <v/>
      </c>
    </row>
    <row r="99">
      <c r="A99" t="inlineStr">
        <is>
          <t>Payments</t>
        </is>
      </c>
      <c r="B99" s="47">
        <f>'Payments'!W103</f>
        <v/>
      </c>
      <c r="C99" s="77">
        <f>'Payments'!U103</f>
        <v/>
      </c>
      <c r="D99" s="47">
        <f>'Payments'!V103</f>
        <v/>
      </c>
      <c r="E99" s="47">
        <f>IF(OR(B99="",C99="",D99=""),"",D99*100000+(C99-DATE(2000,1,1))+ROW()/100000)</f>
        <v/>
      </c>
    </row>
    <row r="100">
      <c r="A100" t="inlineStr">
        <is>
          <t>Payments</t>
        </is>
      </c>
      <c r="B100" s="47">
        <f>'Payments'!W104</f>
        <v/>
      </c>
      <c r="C100" s="77">
        <f>'Payments'!U104</f>
        <v/>
      </c>
      <c r="D100" s="47">
        <f>'Payments'!V104</f>
        <v/>
      </c>
      <c r="E100" s="47">
        <f>IF(OR(B100="",C100="",D100=""),"",D100*100000+(C100-DATE(2000,1,1))+ROW()/100000)</f>
        <v/>
      </c>
    </row>
    <row r="101">
      <c r="A101" t="inlineStr">
        <is>
          <t>Payments</t>
        </is>
      </c>
      <c r="B101" s="47">
        <f>'Payments'!W105</f>
        <v/>
      </c>
      <c r="C101" s="77">
        <f>'Payments'!U105</f>
        <v/>
      </c>
      <c r="D101" s="47">
        <f>'Payments'!V105</f>
        <v/>
      </c>
      <c r="E101" s="47">
        <f>IF(OR(B101="",C101="",D101=""),"",D101*100000+(C101-DATE(2000,1,1))+ROW()/100000)</f>
        <v/>
      </c>
    </row>
    <row r="102">
      <c r="A102" t="inlineStr">
        <is>
          <t>Payments</t>
        </is>
      </c>
      <c r="B102" s="47">
        <f>'Payments'!W106</f>
        <v/>
      </c>
      <c r="C102" s="77">
        <f>'Payments'!U106</f>
        <v/>
      </c>
      <c r="D102" s="47">
        <f>'Payments'!V106</f>
        <v/>
      </c>
      <c r="E102" s="47">
        <f>IF(OR(B102="",C102="",D102=""),"",D102*100000+(C102-DATE(2000,1,1))+ROW()/100000)</f>
        <v/>
      </c>
    </row>
    <row r="103">
      <c r="A103" t="inlineStr">
        <is>
          <t>Payments</t>
        </is>
      </c>
      <c r="B103" s="47">
        <f>'Payments'!W107</f>
        <v/>
      </c>
      <c r="C103" s="77">
        <f>'Payments'!U107</f>
        <v/>
      </c>
      <c r="D103" s="47">
        <f>'Payments'!V107</f>
        <v/>
      </c>
      <c r="E103" s="47">
        <f>IF(OR(B103="",C103="",D103=""),"",D103*100000+(C103-DATE(2000,1,1))+ROW()/100000)</f>
        <v/>
      </c>
    </row>
    <row r="104">
      <c r="A104" t="inlineStr">
        <is>
          <t>Payments</t>
        </is>
      </c>
      <c r="B104" s="47">
        <f>'Payments'!W108</f>
        <v/>
      </c>
      <c r="C104" s="77">
        <f>'Payments'!U108</f>
        <v/>
      </c>
      <c r="D104" s="47">
        <f>'Payments'!V108</f>
        <v/>
      </c>
      <c r="E104" s="47">
        <f>IF(OR(B104="",C104="",D104=""),"",D104*100000+(C104-DATE(2000,1,1))+ROW()/100000)</f>
        <v/>
      </c>
    </row>
    <row r="105">
      <c r="A105" t="inlineStr">
        <is>
          <t>Payments</t>
        </is>
      </c>
      <c r="B105" s="47">
        <f>'Payments'!W109</f>
        <v/>
      </c>
      <c r="C105" s="77">
        <f>'Payments'!U109</f>
        <v/>
      </c>
      <c r="D105" s="47">
        <f>'Payments'!V109</f>
        <v/>
      </c>
      <c r="E105" s="47">
        <f>IF(OR(B105="",C105="",D105=""),"",D105*100000+(C105-DATE(2000,1,1))+ROW()/100000)</f>
        <v/>
      </c>
    </row>
    <row r="106">
      <c r="A106" t="inlineStr">
        <is>
          <t>Payments</t>
        </is>
      </c>
      <c r="B106" s="47">
        <f>'Payments'!W110</f>
        <v/>
      </c>
      <c r="C106" s="77">
        <f>'Payments'!U110</f>
        <v/>
      </c>
      <c r="D106" s="47">
        <f>'Payments'!V110</f>
        <v/>
      </c>
      <c r="E106" s="47">
        <f>IF(OR(B106="",C106="",D106=""),"",D106*100000+(C106-DATE(2000,1,1))+ROW()/100000)</f>
        <v/>
      </c>
    </row>
    <row r="107">
      <c r="A107" t="inlineStr">
        <is>
          <t>Payments</t>
        </is>
      </c>
      <c r="B107" s="47">
        <f>'Payments'!W111</f>
        <v/>
      </c>
      <c r="C107" s="77">
        <f>'Payments'!U111</f>
        <v/>
      </c>
      <c r="D107" s="47">
        <f>'Payments'!V111</f>
        <v/>
      </c>
      <c r="E107" s="47">
        <f>IF(OR(B107="",C107="",D107=""),"",D107*100000+(C107-DATE(2000,1,1))+ROW()/100000)</f>
        <v/>
      </c>
    </row>
    <row r="108">
      <c r="A108" t="inlineStr">
        <is>
          <t>Payments</t>
        </is>
      </c>
      <c r="B108" s="47">
        <f>'Payments'!W112</f>
        <v/>
      </c>
      <c r="C108" s="77">
        <f>'Payments'!U112</f>
        <v/>
      </c>
      <c r="D108" s="47">
        <f>'Payments'!V112</f>
        <v/>
      </c>
      <c r="E108" s="47">
        <f>IF(OR(B108="",C108="",D108=""),"",D108*100000+(C108-DATE(2000,1,1))+ROW()/100000)</f>
        <v/>
      </c>
    </row>
    <row r="109">
      <c r="A109" t="inlineStr">
        <is>
          <t>Payments</t>
        </is>
      </c>
      <c r="B109" s="47">
        <f>'Payments'!W113</f>
        <v/>
      </c>
      <c r="C109" s="77">
        <f>'Payments'!U113</f>
        <v/>
      </c>
      <c r="D109" s="47">
        <f>'Payments'!V113</f>
        <v/>
      </c>
      <c r="E109" s="47">
        <f>IF(OR(B109="",C109="",D109=""),"",D109*100000+(C109-DATE(2000,1,1))+ROW()/100000)</f>
        <v/>
      </c>
    </row>
    <row r="110">
      <c r="A110" t="inlineStr">
        <is>
          <t>Payments</t>
        </is>
      </c>
      <c r="B110" s="47">
        <f>'Payments'!W114</f>
        <v/>
      </c>
      <c r="C110" s="77">
        <f>'Payments'!U114</f>
        <v/>
      </c>
      <c r="D110" s="47">
        <f>'Payments'!V114</f>
        <v/>
      </c>
      <c r="E110" s="47">
        <f>IF(OR(B110="",C110="",D110=""),"",D110*100000+(C110-DATE(2000,1,1))+ROW()/100000)</f>
        <v/>
      </c>
    </row>
    <row r="111">
      <c r="A111" t="inlineStr">
        <is>
          <t>Payments</t>
        </is>
      </c>
      <c r="B111" s="47">
        <f>'Payments'!W115</f>
        <v/>
      </c>
      <c r="C111" s="77">
        <f>'Payments'!U115</f>
        <v/>
      </c>
      <c r="D111" s="47">
        <f>'Payments'!V115</f>
        <v/>
      </c>
      <c r="E111" s="47">
        <f>IF(OR(B111="",C111="",D111=""),"",D111*100000+(C111-DATE(2000,1,1))+ROW()/100000)</f>
        <v/>
      </c>
    </row>
    <row r="112">
      <c r="A112" t="inlineStr">
        <is>
          <t>Payments</t>
        </is>
      </c>
      <c r="B112" s="47">
        <f>'Payments'!W116</f>
        <v/>
      </c>
      <c r="C112" s="77">
        <f>'Payments'!U116</f>
        <v/>
      </c>
      <c r="D112" s="47">
        <f>'Payments'!V116</f>
        <v/>
      </c>
      <c r="E112" s="47">
        <f>IF(OR(B112="",C112="",D112=""),"",D112*100000+(C112-DATE(2000,1,1))+ROW()/100000)</f>
        <v/>
      </c>
    </row>
    <row r="113">
      <c r="A113" t="inlineStr">
        <is>
          <t>Payments</t>
        </is>
      </c>
      <c r="B113" s="47">
        <f>'Payments'!W117</f>
        <v/>
      </c>
      <c r="C113" s="77">
        <f>'Payments'!U117</f>
        <v/>
      </c>
      <c r="D113" s="47">
        <f>'Payments'!V117</f>
        <v/>
      </c>
      <c r="E113" s="47">
        <f>IF(OR(B113="",C113="",D113=""),"",D113*100000+(C113-DATE(2000,1,1))+ROW()/100000)</f>
        <v/>
      </c>
    </row>
    <row r="114">
      <c r="A114" t="inlineStr">
        <is>
          <t>Payments</t>
        </is>
      </c>
      <c r="B114" s="47">
        <f>'Payments'!W118</f>
        <v/>
      </c>
      <c r="C114" s="77">
        <f>'Payments'!U118</f>
        <v/>
      </c>
      <c r="D114" s="47">
        <f>'Payments'!V118</f>
        <v/>
      </c>
      <c r="E114" s="47">
        <f>IF(OR(B114="",C114="",D114=""),"",D114*100000+(C114-DATE(2000,1,1))+ROW()/100000)</f>
        <v/>
      </c>
    </row>
    <row r="115">
      <c r="A115" t="inlineStr">
        <is>
          <t>Payments</t>
        </is>
      </c>
      <c r="B115" s="47">
        <f>'Payments'!W119</f>
        <v/>
      </c>
      <c r="C115" s="77">
        <f>'Payments'!U119</f>
        <v/>
      </c>
      <c r="D115" s="47">
        <f>'Payments'!V119</f>
        <v/>
      </c>
      <c r="E115" s="47">
        <f>IF(OR(B115="",C115="",D115=""),"",D115*100000+(C115-DATE(2000,1,1))+ROW()/100000)</f>
        <v/>
      </c>
    </row>
    <row r="116">
      <c r="A116" t="inlineStr">
        <is>
          <t>Payments</t>
        </is>
      </c>
      <c r="B116" s="47">
        <f>'Payments'!W120</f>
        <v/>
      </c>
      <c r="C116" s="77">
        <f>'Payments'!U120</f>
        <v/>
      </c>
      <c r="D116" s="47">
        <f>'Payments'!V120</f>
        <v/>
      </c>
      <c r="E116" s="47">
        <f>IF(OR(B116="",C116="",D116=""),"",D116*100000+(C116-DATE(2000,1,1))+ROW()/100000)</f>
        <v/>
      </c>
    </row>
    <row r="117">
      <c r="A117" t="inlineStr">
        <is>
          <t>Payments</t>
        </is>
      </c>
      <c r="B117" s="47">
        <f>'Payments'!W121</f>
        <v/>
      </c>
      <c r="C117" s="77">
        <f>'Payments'!U121</f>
        <v/>
      </c>
      <c r="D117" s="47">
        <f>'Payments'!V121</f>
        <v/>
      </c>
      <c r="E117" s="47">
        <f>IF(OR(B117="",C117="",D117=""),"",D117*100000+(C117-DATE(2000,1,1))+ROW()/100000)</f>
        <v/>
      </c>
    </row>
    <row r="118">
      <c r="A118" t="inlineStr">
        <is>
          <t>Payments</t>
        </is>
      </c>
      <c r="B118" s="47">
        <f>'Payments'!W122</f>
        <v/>
      </c>
      <c r="C118" s="77">
        <f>'Payments'!U122</f>
        <v/>
      </c>
      <c r="D118" s="47">
        <f>'Payments'!V122</f>
        <v/>
      </c>
      <c r="E118" s="47">
        <f>IF(OR(B118="",C118="",D118=""),"",D118*100000+(C118-DATE(2000,1,1))+ROW()/100000)</f>
        <v/>
      </c>
    </row>
    <row r="119">
      <c r="A119" t="inlineStr">
        <is>
          <t>Payments</t>
        </is>
      </c>
      <c r="B119" s="47">
        <f>'Payments'!W123</f>
        <v/>
      </c>
      <c r="C119" s="77">
        <f>'Payments'!U123</f>
        <v/>
      </c>
      <c r="D119" s="47">
        <f>'Payments'!V123</f>
        <v/>
      </c>
      <c r="E119" s="47">
        <f>IF(OR(B119="",C119="",D119=""),"",D119*100000+(C119-DATE(2000,1,1))+ROW()/100000)</f>
        <v/>
      </c>
    </row>
    <row r="120">
      <c r="A120" t="inlineStr">
        <is>
          <t>Payments</t>
        </is>
      </c>
      <c r="B120" s="47">
        <f>'Payments'!W124</f>
        <v/>
      </c>
      <c r="C120" s="77">
        <f>'Payments'!U124</f>
        <v/>
      </c>
      <c r="D120" s="47">
        <f>'Payments'!V124</f>
        <v/>
      </c>
      <c r="E120" s="47">
        <f>IF(OR(B120="",C120="",D120=""),"",D120*100000+(C120-DATE(2000,1,1))+ROW()/100000)</f>
        <v/>
      </c>
    </row>
    <row r="121">
      <c r="A121" t="inlineStr">
        <is>
          <t>Payments</t>
        </is>
      </c>
      <c r="B121" s="47">
        <f>'Payments'!W125</f>
        <v/>
      </c>
      <c r="C121" s="77">
        <f>'Payments'!U125</f>
        <v/>
      </c>
      <c r="D121" s="47">
        <f>'Payments'!V125</f>
        <v/>
      </c>
      <c r="E121" s="47">
        <f>IF(OR(B121="",C121="",D121=""),"",D121*100000+(C121-DATE(2000,1,1))+ROW()/100000)</f>
        <v/>
      </c>
    </row>
    <row r="122">
      <c r="A122" t="inlineStr">
        <is>
          <t>Payments</t>
        </is>
      </c>
      <c r="B122" s="47">
        <f>'Payments'!W126</f>
        <v/>
      </c>
      <c r="C122" s="77">
        <f>'Payments'!U126</f>
        <v/>
      </c>
      <c r="D122" s="47">
        <f>'Payments'!V126</f>
        <v/>
      </c>
      <c r="E122" s="47">
        <f>IF(OR(B122="",C122="",D122=""),"",D122*100000+(C122-DATE(2000,1,1))+ROW()/100000)</f>
        <v/>
      </c>
    </row>
    <row r="123">
      <c r="A123" t="inlineStr">
        <is>
          <t>Payments</t>
        </is>
      </c>
      <c r="B123" s="47">
        <f>'Payments'!W127</f>
        <v/>
      </c>
      <c r="C123" s="77">
        <f>'Payments'!U127</f>
        <v/>
      </c>
      <c r="D123" s="47">
        <f>'Payments'!V127</f>
        <v/>
      </c>
      <c r="E123" s="47">
        <f>IF(OR(B123="",C123="",D123=""),"",D123*100000+(C123-DATE(2000,1,1))+ROW()/100000)</f>
        <v/>
      </c>
    </row>
    <row r="124">
      <c r="A124" t="inlineStr">
        <is>
          <t>Payments</t>
        </is>
      </c>
      <c r="B124" s="47">
        <f>'Payments'!W128</f>
        <v/>
      </c>
      <c r="C124" s="77">
        <f>'Payments'!U128</f>
        <v/>
      </c>
      <c r="D124" s="47">
        <f>'Payments'!V128</f>
        <v/>
      </c>
      <c r="E124" s="47">
        <f>IF(OR(B124="",C124="",D124=""),"",D124*100000+(C124-DATE(2000,1,1))+ROW()/100000)</f>
        <v/>
      </c>
    </row>
    <row r="125">
      <c r="A125" t="inlineStr">
        <is>
          <t>Payments</t>
        </is>
      </c>
      <c r="B125" s="47">
        <f>'Payments'!W129</f>
        <v/>
      </c>
      <c r="C125" s="77">
        <f>'Payments'!U129</f>
        <v/>
      </c>
      <c r="D125" s="47">
        <f>'Payments'!V129</f>
        <v/>
      </c>
      <c r="E125" s="47">
        <f>IF(OR(B125="",C125="",D125=""),"",D125*100000+(C125-DATE(2000,1,1))+ROW()/100000)</f>
        <v/>
      </c>
    </row>
    <row r="126">
      <c r="A126" t="inlineStr">
        <is>
          <t>Payments</t>
        </is>
      </c>
      <c r="B126" s="47">
        <f>'Payments'!W130</f>
        <v/>
      </c>
      <c r="C126" s="77">
        <f>'Payments'!U130</f>
        <v/>
      </c>
      <c r="D126" s="47">
        <f>'Payments'!V130</f>
        <v/>
      </c>
      <c r="E126" s="47">
        <f>IF(OR(B126="",C126="",D126=""),"",D126*100000+(C126-DATE(2000,1,1))+ROW()/100000)</f>
        <v/>
      </c>
    </row>
    <row r="127">
      <c r="A127" t="inlineStr">
        <is>
          <t>Payments</t>
        </is>
      </c>
      <c r="B127" s="47">
        <f>'Payments'!W131</f>
        <v/>
      </c>
      <c r="C127" s="77">
        <f>'Payments'!U131</f>
        <v/>
      </c>
      <c r="D127" s="47">
        <f>'Payments'!V131</f>
        <v/>
      </c>
      <c r="E127" s="47">
        <f>IF(OR(B127="",C127="",D127=""),"",D127*100000+(C127-DATE(2000,1,1))+ROW()/100000)</f>
        <v/>
      </c>
    </row>
    <row r="128">
      <c r="A128" t="inlineStr">
        <is>
          <t>Payments</t>
        </is>
      </c>
      <c r="B128" s="47">
        <f>'Payments'!W132</f>
        <v/>
      </c>
      <c r="C128" s="77">
        <f>'Payments'!U132</f>
        <v/>
      </c>
      <c r="D128" s="47">
        <f>'Payments'!V132</f>
        <v/>
      </c>
      <c r="E128" s="47">
        <f>IF(OR(B128="",C128="",D128=""),"",D128*100000+(C128-DATE(2000,1,1))+ROW()/100000)</f>
        <v/>
      </c>
    </row>
    <row r="129">
      <c r="A129" t="inlineStr">
        <is>
          <t>Payments</t>
        </is>
      </c>
      <c r="B129" s="47">
        <f>'Payments'!W133</f>
        <v/>
      </c>
      <c r="C129" s="77">
        <f>'Payments'!U133</f>
        <v/>
      </c>
      <c r="D129" s="47">
        <f>'Payments'!V133</f>
        <v/>
      </c>
      <c r="E129" s="47">
        <f>IF(OR(B129="",C129="",D129=""),"",D129*100000+(C129-DATE(2000,1,1))+ROW()/100000)</f>
        <v/>
      </c>
    </row>
    <row r="130">
      <c r="A130" t="inlineStr">
        <is>
          <t>Payments</t>
        </is>
      </c>
      <c r="B130" s="47">
        <f>'Payments'!W134</f>
        <v/>
      </c>
      <c r="C130" s="77">
        <f>'Payments'!U134</f>
        <v/>
      </c>
      <c r="D130" s="47">
        <f>'Payments'!V134</f>
        <v/>
      </c>
      <c r="E130" s="47">
        <f>IF(OR(B130="",C130="",D130=""),"",D130*100000+(C130-DATE(2000,1,1))+ROW()/100000)</f>
        <v/>
      </c>
    </row>
    <row r="131">
      <c r="A131" t="inlineStr">
        <is>
          <t>Payments</t>
        </is>
      </c>
      <c r="B131" s="47">
        <f>'Payments'!W135</f>
        <v/>
      </c>
      <c r="C131" s="77">
        <f>'Payments'!U135</f>
        <v/>
      </c>
      <c r="D131" s="47">
        <f>'Payments'!V135</f>
        <v/>
      </c>
      <c r="E131" s="47">
        <f>IF(OR(B131="",C131="",D131=""),"",D131*100000+(C131-DATE(2000,1,1))+ROW()/100000)</f>
        <v/>
      </c>
    </row>
    <row r="132">
      <c r="A132" t="inlineStr">
        <is>
          <t>Payments</t>
        </is>
      </c>
      <c r="B132" s="47">
        <f>'Payments'!W136</f>
        <v/>
      </c>
      <c r="C132" s="77">
        <f>'Payments'!U136</f>
        <v/>
      </c>
      <c r="D132" s="47">
        <f>'Payments'!V136</f>
        <v/>
      </c>
      <c r="E132" s="47">
        <f>IF(OR(B132="",C132="",D132=""),"",D132*100000+(C132-DATE(2000,1,1))+ROW()/100000)</f>
        <v/>
      </c>
    </row>
    <row r="133">
      <c r="A133" t="inlineStr">
        <is>
          <t>Payments</t>
        </is>
      </c>
      <c r="B133" s="47">
        <f>'Payments'!W137</f>
        <v/>
      </c>
      <c r="C133" s="77">
        <f>'Payments'!U137</f>
        <v/>
      </c>
      <c r="D133" s="47">
        <f>'Payments'!V137</f>
        <v/>
      </c>
      <c r="E133" s="47">
        <f>IF(OR(B133="",C133="",D133=""),"",D133*100000+(C133-DATE(2000,1,1))+ROW()/100000)</f>
        <v/>
      </c>
    </row>
    <row r="134">
      <c r="A134" t="inlineStr">
        <is>
          <t>Payments</t>
        </is>
      </c>
      <c r="B134" s="47">
        <f>'Payments'!W138</f>
        <v/>
      </c>
      <c r="C134" s="77">
        <f>'Payments'!U138</f>
        <v/>
      </c>
      <c r="D134" s="47">
        <f>'Payments'!V138</f>
        <v/>
      </c>
      <c r="E134" s="47">
        <f>IF(OR(B134="",C134="",D134=""),"",D134*100000+(C134-DATE(2000,1,1))+ROW()/100000)</f>
        <v/>
      </c>
    </row>
    <row r="135">
      <c r="A135" t="inlineStr">
        <is>
          <t>Payments</t>
        </is>
      </c>
      <c r="B135" s="47">
        <f>'Payments'!W139</f>
        <v/>
      </c>
      <c r="C135" s="77">
        <f>'Payments'!U139</f>
        <v/>
      </c>
      <c r="D135" s="47">
        <f>'Payments'!V139</f>
        <v/>
      </c>
      <c r="E135" s="47">
        <f>IF(OR(B135="",C135="",D135=""),"",D135*100000+(C135-DATE(2000,1,1))+ROW()/100000)</f>
        <v/>
      </c>
    </row>
    <row r="136">
      <c r="A136" t="inlineStr">
        <is>
          <t>Payments</t>
        </is>
      </c>
      <c r="B136" s="47">
        <f>'Payments'!W140</f>
        <v/>
      </c>
      <c r="C136" s="77">
        <f>'Payments'!U140</f>
        <v/>
      </c>
      <c r="D136" s="47">
        <f>'Payments'!V140</f>
        <v/>
      </c>
      <c r="E136" s="47">
        <f>IF(OR(B136="",C136="",D136=""),"",D136*100000+(C136-DATE(2000,1,1))+ROW()/100000)</f>
        <v/>
      </c>
    </row>
    <row r="137">
      <c r="A137" t="inlineStr">
        <is>
          <t>Payments</t>
        </is>
      </c>
      <c r="B137" s="47">
        <f>'Payments'!W141</f>
        <v/>
      </c>
      <c r="C137" s="77">
        <f>'Payments'!U141</f>
        <v/>
      </c>
      <c r="D137" s="47">
        <f>'Payments'!V141</f>
        <v/>
      </c>
      <c r="E137" s="47">
        <f>IF(OR(B137="",C137="",D137=""),"",D137*100000+(C137-DATE(2000,1,1))+ROW()/100000)</f>
        <v/>
      </c>
    </row>
    <row r="138">
      <c r="A138" t="inlineStr">
        <is>
          <t>Payments</t>
        </is>
      </c>
      <c r="B138" s="47">
        <f>'Payments'!W142</f>
        <v/>
      </c>
      <c r="C138" s="77">
        <f>'Payments'!U142</f>
        <v/>
      </c>
      <c r="D138" s="47">
        <f>'Payments'!V142</f>
        <v/>
      </c>
      <c r="E138" s="47">
        <f>IF(OR(B138="",C138="",D138=""),"",D138*100000+(C138-DATE(2000,1,1))+ROW()/100000)</f>
        <v/>
      </c>
    </row>
    <row r="139">
      <c r="A139" t="inlineStr">
        <is>
          <t>Payments</t>
        </is>
      </c>
      <c r="B139" s="47">
        <f>'Payments'!W143</f>
        <v/>
      </c>
      <c r="C139" s="77">
        <f>'Payments'!U143</f>
        <v/>
      </c>
      <c r="D139" s="47">
        <f>'Payments'!V143</f>
        <v/>
      </c>
      <c r="E139" s="47">
        <f>IF(OR(B139="",C139="",D139=""),"",D139*100000+(C139-DATE(2000,1,1))+ROW()/100000)</f>
        <v/>
      </c>
    </row>
    <row r="140">
      <c r="A140" t="inlineStr">
        <is>
          <t>Payments</t>
        </is>
      </c>
      <c r="B140" s="47">
        <f>'Payments'!W144</f>
        <v/>
      </c>
      <c r="C140" s="77">
        <f>'Payments'!U144</f>
        <v/>
      </c>
      <c r="D140" s="47">
        <f>'Payments'!V144</f>
        <v/>
      </c>
      <c r="E140" s="47">
        <f>IF(OR(B140="",C140="",D140=""),"",D140*100000+(C140-DATE(2000,1,1))+ROW()/100000)</f>
        <v/>
      </c>
    </row>
    <row r="141">
      <c r="A141" t="inlineStr">
        <is>
          <t>Payments</t>
        </is>
      </c>
      <c r="B141" s="47">
        <f>'Payments'!W145</f>
        <v/>
      </c>
      <c r="C141" s="77">
        <f>'Payments'!U145</f>
        <v/>
      </c>
      <c r="D141" s="47">
        <f>'Payments'!V145</f>
        <v/>
      </c>
      <c r="E141" s="47">
        <f>IF(OR(B141="",C141="",D141=""),"",D141*100000+(C141-DATE(2000,1,1))+ROW()/100000)</f>
        <v/>
      </c>
    </row>
    <row r="142">
      <c r="A142" t="inlineStr">
        <is>
          <t>Payments</t>
        </is>
      </c>
      <c r="B142" s="47">
        <f>'Payments'!W146</f>
        <v/>
      </c>
      <c r="C142" s="77">
        <f>'Payments'!U146</f>
        <v/>
      </c>
      <c r="D142" s="47">
        <f>'Payments'!V146</f>
        <v/>
      </c>
      <c r="E142" s="47">
        <f>IF(OR(B142="",C142="",D142=""),"",D142*100000+(C142-DATE(2000,1,1))+ROW()/100000)</f>
        <v/>
      </c>
    </row>
    <row r="143">
      <c r="A143" t="inlineStr">
        <is>
          <t>Payments</t>
        </is>
      </c>
      <c r="B143" s="47">
        <f>'Payments'!W147</f>
        <v/>
      </c>
      <c r="C143" s="77">
        <f>'Payments'!U147</f>
        <v/>
      </c>
      <c r="D143" s="47">
        <f>'Payments'!V147</f>
        <v/>
      </c>
      <c r="E143" s="47">
        <f>IF(OR(B143="",C143="",D143=""),"",D143*100000+(C143-DATE(2000,1,1))+ROW()/100000)</f>
        <v/>
      </c>
    </row>
    <row r="144">
      <c r="A144" t="inlineStr">
        <is>
          <t>Payments</t>
        </is>
      </c>
      <c r="B144" s="47">
        <f>'Payments'!W148</f>
        <v/>
      </c>
      <c r="C144" s="77">
        <f>'Payments'!U148</f>
        <v/>
      </c>
      <c r="D144" s="47">
        <f>'Payments'!V148</f>
        <v/>
      </c>
      <c r="E144" s="47">
        <f>IF(OR(B144="",C144="",D144=""),"",D144*100000+(C144-DATE(2000,1,1))+ROW()/100000)</f>
        <v/>
      </c>
    </row>
    <row r="145">
      <c r="A145" t="inlineStr">
        <is>
          <t>Payments</t>
        </is>
      </c>
      <c r="B145" s="47">
        <f>'Payments'!W149</f>
        <v/>
      </c>
      <c r="C145" s="77">
        <f>'Payments'!U149</f>
        <v/>
      </c>
      <c r="D145" s="47">
        <f>'Payments'!V149</f>
        <v/>
      </c>
      <c r="E145" s="47">
        <f>IF(OR(B145="",C145="",D145=""),"",D145*100000+(C145-DATE(2000,1,1))+ROW()/100000)</f>
        <v/>
      </c>
    </row>
    <row r="146">
      <c r="A146" t="inlineStr">
        <is>
          <t>Payments</t>
        </is>
      </c>
      <c r="B146" s="47">
        <f>'Payments'!W150</f>
        <v/>
      </c>
      <c r="C146" s="77">
        <f>'Payments'!U150</f>
        <v/>
      </c>
      <c r="D146" s="47">
        <f>'Payments'!V150</f>
        <v/>
      </c>
      <c r="E146" s="47">
        <f>IF(OR(B146="",C146="",D146=""),"",D146*100000+(C146-DATE(2000,1,1))+ROW()/100000)</f>
        <v/>
      </c>
    </row>
    <row r="147">
      <c r="A147" t="inlineStr">
        <is>
          <t>Payments</t>
        </is>
      </c>
      <c r="B147" s="47">
        <f>'Payments'!W151</f>
        <v/>
      </c>
      <c r="C147" s="77">
        <f>'Payments'!U151</f>
        <v/>
      </c>
      <c r="D147" s="47">
        <f>'Payments'!V151</f>
        <v/>
      </c>
      <c r="E147" s="47">
        <f>IF(OR(B147="",C147="",D147=""),"",D147*100000+(C147-DATE(2000,1,1))+ROW()/100000)</f>
        <v/>
      </c>
    </row>
    <row r="148">
      <c r="A148" t="inlineStr">
        <is>
          <t>Payments</t>
        </is>
      </c>
      <c r="B148" s="47">
        <f>'Payments'!W152</f>
        <v/>
      </c>
      <c r="C148" s="77">
        <f>'Payments'!U152</f>
        <v/>
      </c>
      <c r="D148" s="47">
        <f>'Payments'!V152</f>
        <v/>
      </c>
      <c r="E148" s="47">
        <f>IF(OR(B148="",C148="",D148=""),"",D148*100000+(C148-DATE(2000,1,1))+ROW()/100000)</f>
        <v/>
      </c>
    </row>
    <row r="149">
      <c r="A149" t="inlineStr">
        <is>
          <t>Payments</t>
        </is>
      </c>
      <c r="B149" s="47">
        <f>'Payments'!W153</f>
        <v/>
      </c>
      <c r="C149" s="77">
        <f>'Payments'!U153</f>
        <v/>
      </c>
      <c r="D149" s="47">
        <f>'Payments'!V153</f>
        <v/>
      </c>
      <c r="E149" s="47">
        <f>IF(OR(B149="",C149="",D149=""),"",D149*100000+(C149-DATE(2000,1,1))+ROW()/100000)</f>
        <v/>
      </c>
    </row>
    <row r="150">
      <c r="A150" t="inlineStr">
        <is>
          <t>Payments</t>
        </is>
      </c>
      <c r="B150" s="47">
        <f>'Payments'!W154</f>
        <v/>
      </c>
      <c r="C150" s="77">
        <f>'Payments'!U154</f>
        <v/>
      </c>
      <c r="D150" s="47">
        <f>'Payments'!V154</f>
        <v/>
      </c>
      <c r="E150" s="47">
        <f>IF(OR(B150="",C150="",D150=""),"",D150*100000+(C150-DATE(2000,1,1))+ROW()/100000)</f>
        <v/>
      </c>
    </row>
    <row r="151">
      <c r="A151" t="inlineStr">
        <is>
          <t>Payments</t>
        </is>
      </c>
      <c r="B151" s="47">
        <f>'Payments'!W155</f>
        <v/>
      </c>
      <c r="C151" s="77">
        <f>'Payments'!U155</f>
        <v/>
      </c>
      <c r="D151" s="47">
        <f>'Payments'!V155</f>
        <v/>
      </c>
      <c r="E151" s="47">
        <f>IF(OR(B151="",C151="",D151=""),"",D151*100000+(C151-DATE(2000,1,1))+ROW()/100000)</f>
        <v/>
      </c>
    </row>
    <row r="152">
      <c r="A152" t="inlineStr">
        <is>
          <t>Payments</t>
        </is>
      </c>
      <c r="B152" s="47">
        <f>'Payments'!W156</f>
        <v/>
      </c>
      <c r="C152" s="77">
        <f>'Payments'!U156</f>
        <v/>
      </c>
      <c r="D152" s="47">
        <f>'Payments'!V156</f>
        <v/>
      </c>
      <c r="E152" s="47">
        <f>IF(OR(B152="",C152="",D152=""),"",D152*100000+(C152-DATE(2000,1,1))+ROW()/100000)</f>
        <v/>
      </c>
    </row>
    <row r="153">
      <c r="A153" t="inlineStr">
        <is>
          <t>Payments</t>
        </is>
      </c>
      <c r="B153" s="47">
        <f>'Payments'!W157</f>
        <v/>
      </c>
      <c r="C153" s="77">
        <f>'Payments'!U157</f>
        <v/>
      </c>
      <c r="D153" s="47">
        <f>'Payments'!V157</f>
        <v/>
      </c>
      <c r="E153" s="47">
        <f>IF(OR(B153="",C153="",D153=""),"",D153*100000+(C153-DATE(2000,1,1))+ROW()/100000)</f>
        <v/>
      </c>
    </row>
    <row r="154">
      <c r="A154" t="inlineStr">
        <is>
          <t>Payments</t>
        </is>
      </c>
      <c r="B154" s="47">
        <f>'Payments'!W158</f>
        <v/>
      </c>
      <c r="C154" s="77">
        <f>'Payments'!U158</f>
        <v/>
      </c>
      <c r="D154" s="47">
        <f>'Payments'!V158</f>
        <v/>
      </c>
      <c r="E154" s="47">
        <f>IF(OR(B154="",C154="",D154=""),"",D154*100000+(C154-DATE(2000,1,1))+ROW()/100000)</f>
        <v/>
      </c>
    </row>
    <row r="155">
      <c r="A155" t="inlineStr">
        <is>
          <t>Payments</t>
        </is>
      </c>
      <c r="B155" s="47">
        <f>'Payments'!W159</f>
        <v/>
      </c>
      <c r="C155" s="77">
        <f>'Payments'!U159</f>
        <v/>
      </c>
      <c r="D155" s="47">
        <f>'Payments'!V159</f>
        <v/>
      </c>
      <c r="E155" s="47">
        <f>IF(OR(B155="",C155="",D155=""),"",D155*100000+(C155-DATE(2000,1,1))+ROW()/100000)</f>
        <v/>
      </c>
    </row>
    <row r="156">
      <c r="A156" t="inlineStr">
        <is>
          <t>Payments</t>
        </is>
      </c>
      <c r="B156" s="47">
        <f>'Payments'!W160</f>
        <v/>
      </c>
      <c r="C156" s="77">
        <f>'Payments'!U160</f>
        <v/>
      </c>
      <c r="D156" s="47">
        <f>'Payments'!V160</f>
        <v/>
      </c>
      <c r="E156" s="47">
        <f>IF(OR(B156="",C156="",D156=""),"",D156*100000+(C156-DATE(2000,1,1))+ROW()/100000)</f>
        <v/>
      </c>
    </row>
    <row r="157">
      <c r="A157" t="inlineStr">
        <is>
          <t>Payments</t>
        </is>
      </c>
      <c r="B157" s="47">
        <f>'Payments'!W161</f>
        <v/>
      </c>
      <c r="C157" s="77">
        <f>'Payments'!U161</f>
        <v/>
      </c>
      <c r="D157" s="47">
        <f>'Payments'!V161</f>
        <v/>
      </c>
      <c r="E157" s="47">
        <f>IF(OR(B157="",C157="",D157=""),"",D157*100000+(C157-DATE(2000,1,1))+ROW()/100000)</f>
        <v/>
      </c>
    </row>
    <row r="158">
      <c r="A158" t="inlineStr">
        <is>
          <t>Payments</t>
        </is>
      </c>
      <c r="B158" s="47">
        <f>'Payments'!W162</f>
        <v/>
      </c>
      <c r="C158" s="77">
        <f>'Payments'!U162</f>
        <v/>
      </c>
      <c r="D158" s="47">
        <f>'Payments'!V162</f>
        <v/>
      </c>
      <c r="E158" s="47">
        <f>IF(OR(B158="",C158="",D158=""),"",D158*100000+(C158-DATE(2000,1,1))+ROW()/100000)</f>
        <v/>
      </c>
    </row>
    <row r="159">
      <c r="A159" t="inlineStr">
        <is>
          <t>Payments</t>
        </is>
      </c>
      <c r="B159" s="47">
        <f>'Payments'!W163</f>
        <v/>
      </c>
      <c r="C159" s="77">
        <f>'Payments'!U163</f>
        <v/>
      </c>
      <c r="D159" s="47">
        <f>'Payments'!V163</f>
        <v/>
      </c>
      <c r="E159" s="47">
        <f>IF(OR(B159="",C159="",D159=""),"",D159*100000+(C159-DATE(2000,1,1))+ROW()/100000)</f>
        <v/>
      </c>
    </row>
    <row r="160">
      <c r="A160" t="inlineStr">
        <is>
          <t>Payments</t>
        </is>
      </c>
      <c r="B160" s="47">
        <f>'Payments'!W164</f>
        <v/>
      </c>
      <c r="C160" s="77">
        <f>'Payments'!U164</f>
        <v/>
      </c>
      <c r="D160" s="47">
        <f>'Payments'!V164</f>
        <v/>
      </c>
      <c r="E160" s="47">
        <f>IF(OR(B160="",C160="",D160=""),"",D160*100000+(C160-DATE(2000,1,1))+ROW()/100000)</f>
        <v/>
      </c>
    </row>
    <row r="161">
      <c r="A161" t="inlineStr">
        <is>
          <t>Payments</t>
        </is>
      </c>
      <c r="B161" s="47">
        <f>'Payments'!W165</f>
        <v/>
      </c>
      <c r="C161" s="77">
        <f>'Payments'!U165</f>
        <v/>
      </c>
      <c r="D161" s="47">
        <f>'Payments'!V165</f>
        <v/>
      </c>
      <c r="E161" s="47">
        <f>IF(OR(B161="",C161="",D161=""),"",D161*100000+(C161-DATE(2000,1,1))+ROW()/100000)</f>
        <v/>
      </c>
    </row>
    <row r="162">
      <c r="A162" t="inlineStr">
        <is>
          <t>Payments</t>
        </is>
      </c>
      <c r="B162" s="47">
        <f>'Payments'!W166</f>
        <v/>
      </c>
      <c r="C162" s="77">
        <f>'Payments'!U166</f>
        <v/>
      </c>
      <c r="D162" s="47">
        <f>'Payments'!V166</f>
        <v/>
      </c>
      <c r="E162" s="47">
        <f>IF(OR(B162="",C162="",D162=""),"",D162*100000+(C162-DATE(2000,1,1))+ROW()/100000)</f>
        <v/>
      </c>
    </row>
    <row r="163">
      <c r="A163" t="inlineStr">
        <is>
          <t>Payments</t>
        </is>
      </c>
      <c r="B163" s="47">
        <f>'Payments'!W167</f>
        <v/>
      </c>
      <c r="C163" s="77">
        <f>'Payments'!U167</f>
        <v/>
      </c>
      <c r="D163" s="47">
        <f>'Payments'!V167</f>
        <v/>
      </c>
      <c r="E163" s="47">
        <f>IF(OR(B163="",C163="",D163=""),"",D163*100000+(C163-DATE(2000,1,1))+ROW()/100000)</f>
        <v/>
      </c>
    </row>
    <row r="164">
      <c r="A164" t="inlineStr">
        <is>
          <t>Payments</t>
        </is>
      </c>
      <c r="B164" s="47">
        <f>'Payments'!W168</f>
        <v/>
      </c>
      <c r="C164" s="77">
        <f>'Payments'!U168</f>
        <v/>
      </c>
      <c r="D164" s="47">
        <f>'Payments'!V168</f>
        <v/>
      </c>
      <c r="E164" s="47">
        <f>IF(OR(B164="",C164="",D164=""),"",D164*100000+(C164-DATE(2000,1,1))+ROW()/100000)</f>
        <v/>
      </c>
    </row>
    <row r="165">
      <c r="A165" t="inlineStr">
        <is>
          <t>Payments</t>
        </is>
      </c>
      <c r="B165" s="47">
        <f>'Payments'!W169</f>
        <v/>
      </c>
      <c r="C165" s="77">
        <f>'Payments'!U169</f>
        <v/>
      </c>
      <c r="D165" s="47">
        <f>'Payments'!V169</f>
        <v/>
      </c>
      <c r="E165" s="47">
        <f>IF(OR(B165="",C165="",D165=""),"",D165*100000+(C165-DATE(2000,1,1))+ROW()/100000)</f>
        <v/>
      </c>
    </row>
    <row r="166">
      <c r="A166" t="inlineStr">
        <is>
          <t>Payments</t>
        </is>
      </c>
      <c r="B166" s="47">
        <f>'Payments'!W170</f>
        <v/>
      </c>
      <c r="C166" s="77">
        <f>'Payments'!U170</f>
        <v/>
      </c>
      <c r="D166" s="47">
        <f>'Payments'!V170</f>
        <v/>
      </c>
      <c r="E166" s="47">
        <f>IF(OR(B166="",C166="",D166=""),"",D166*100000+(C166-DATE(2000,1,1))+ROW()/100000)</f>
        <v/>
      </c>
    </row>
    <row r="167">
      <c r="A167" t="inlineStr">
        <is>
          <t>Payments</t>
        </is>
      </c>
      <c r="B167" s="47">
        <f>'Payments'!W171</f>
        <v/>
      </c>
      <c r="C167" s="77">
        <f>'Payments'!U171</f>
        <v/>
      </c>
      <c r="D167" s="47">
        <f>'Payments'!V171</f>
        <v/>
      </c>
      <c r="E167" s="47">
        <f>IF(OR(B167="",C167="",D167=""),"",D167*100000+(C167-DATE(2000,1,1))+ROW()/100000)</f>
        <v/>
      </c>
    </row>
    <row r="168">
      <c r="A168" t="inlineStr">
        <is>
          <t>Payments</t>
        </is>
      </c>
      <c r="B168" s="47">
        <f>'Payments'!W172</f>
        <v/>
      </c>
      <c r="C168" s="77">
        <f>'Payments'!U172</f>
        <v/>
      </c>
      <c r="D168" s="47">
        <f>'Payments'!V172</f>
        <v/>
      </c>
      <c r="E168" s="47">
        <f>IF(OR(B168="",C168="",D168=""),"",D168*100000+(C168-DATE(2000,1,1))+ROW()/100000)</f>
        <v/>
      </c>
    </row>
    <row r="169">
      <c r="A169" t="inlineStr">
        <is>
          <t>Payments</t>
        </is>
      </c>
      <c r="B169" s="47">
        <f>'Payments'!W173</f>
        <v/>
      </c>
      <c r="C169" s="77">
        <f>'Payments'!U173</f>
        <v/>
      </c>
      <c r="D169" s="47">
        <f>'Payments'!V173</f>
        <v/>
      </c>
      <c r="E169" s="47">
        <f>IF(OR(B169="",C169="",D169=""),"",D169*100000+(C169-DATE(2000,1,1))+ROW()/100000)</f>
        <v/>
      </c>
    </row>
    <row r="170">
      <c r="A170" t="inlineStr">
        <is>
          <t>Payments</t>
        </is>
      </c>
      <c r="B170" s="47">
        <f>'Payments'!W174</f>
        <v/>
      </c>
      <c r="C170" s="77">
        <f>'Payments'!U174</f>
        <v/>
      </c>
      <c r="D170" s="47">
        <f>'Payments'!V174</f>
        <v/>
      </c>
      <c r="E170" s="47">
        <f>IF(OR(B170="",C170="",D170=""),"",D170*100000+(C170-DATE(2000,1,1))+ROW()/100000)</f>
        <v/>
      </c>
    </row>
    <row r="171">
      <c r="A171" t="inlineStr">
        <is>
          <t>Payments</t>
        </is>
      </c>
      <c r="B171" s="47">
        <f>'Payments'!W175</f>
        <v/>
      </c>
      <c r="C171" s="77">
        <f>'Payments'!U175</f>
        <v/>
      </c>
      <c r="D171" s="47">
        <f>'Payments'!V175</f>
        <v/>
      </c>
      <c r="E171" s="47">
        <f>IF(OR(B171="",C171="",D171=""),"",D171*100000+(C171-DATE(2000,1,1))+ROW()/100000)</f>
        <v/>
      </c>
    </row>
    <row r="172">
      <c r="A172" t="inlineStr">
        <is>
          <t>Payments</t>
        </is>
      </c>
      <c r="B172" s="47">
        <f>'Payments'!W176</f>
        <v/>
      </c>
      <c r="C172" s="77">
        <f>'Payments'!U176</f>
        <v/>
      </c>
      <c r="D172" s="47">
        <f>'Payments'!V176</f>
        <v/>
      </c>
      <c r="E172" s="47">
        <f>IF(OR(B172="",C172="",D172=""),"",D172*100000+(C172-DATE(2000,1,1))+ROW()/100000)</f>
        <v/>
      </c>
    </row>
    <row r="173">
      <c r="A173" t="inlineStr">
        <is>
          <t>Payments</t>
        </is>
      </c>
      <c r="B173" s="47">
        <f>'Payments'!W177</f>
        <v/>
      </c>
      <c r="C173" s="77">
        <f>'Payments'!U177</f>
        <v/>
      </c>
      <c r="D173" s="47">
        <f>'Payments'!V177</f>
        <v/>
      </c>
      <c r="E173" s="47">
        <f>IF(OR(B173="",C173="",D173=""),"",D173*100000+(C173-DATE(2000,1,1))+ROW()/100000)</f>
        <v/>
      </c>
    </row>
    <row r="174">
      <c r="A174" t="inlineStr">
        <is>
          <t>Payments</t>
        </is>
      </c>
      <c r="B174" s="47">
        <f>'Payments'!W178</f>
        <v/>
      </c>
      <c r="C174" s="77">
        <f>'Payments'!U178</f>
        <v/>
      </c>
      <c r="D174" s="47">
        <f>'Payments'!V178</f>
        <v/>
      </c>
      <c r="E174" s="47">
        <f>IF(OR(B174="",C174="",D174=""),"",D174*100000+(C174-DATE(2000,1,1))+ROW()/100000)</f>
        <v/>
      </c>
    </row>
    <row r="175">
      <c r="A175" t="inlineStr">
        <is>
          <t>Payments</t>
        </is>
      </c>
      <c r="B175" s="47">
        <f>'Payments'!W179</f>
        <v/>
      </c>
      <c r="C175" s="77">
        <f>'Payments'!U179</f>
        <v/>
      </c>
      <c r="D175" s="47">
        <f>'Payments'!V179</f>
        <v/>
      </c>
      <c r="E175" s="47">
        <f>IF(OR(B175="",C175="",D175=""),"",D175*100000+(C175-DATE(2000,1,1))+ROW()/100000)</f>
        <v/>
      </c>
    </row>
    <row r="176">
      <c r="A176" t="inlineStr">
        <is>
          <t>Payments</t>
        </is>
      </c>
      <c r="B176" s="47">
        <f>'Payments'!W180</f>
        <v/>
      </c>
      <c r="C176" s="77">
        <f>'Payments'!U180</f>
        <v/>
      </c>
      <c r="D176" s="47">
        <f>'Payments'!V180</f>
        <v/>
      </c>
      <c r="E176" s="47">
        <f>IF(OR(B176="",C176="",D176=""),"",D176*100000+(C176-DATE(2000,1,1))+ROW()/100000)</f>
        <v/>
      </c>
    </row>
    <row r="177">
      <c r="A177" t="inlineStr">
        <is>
          <t>Payments</t>
        </is>
      </c>
      <c r="B177" s="47">
        <f>'Payments'!W181</f>
        <v/>
      </c>
      <c r="C177" s="77">
        <f>'Payments'!U181</f>
        <v/>
      </c>
      <c r="D177" s="47">
        <f>'Payments'!V181</f>
        <v/>
      </c>
      <c r="E177" s="47">
        <f>IF(OR(B177="",C177="",D177=""),"",D177*100000+(C177-DATE(2000,1,1))+ROW()/100000)</f>
        <v/>
      </c>
    </row>
    <row r="178">
      <c r="A178" t="inlineStr">
        <is>
          <t>Payments</t>
        </is>
      </c>
      <c r="B178" s="47">
        <f>'Payments'!W182</f>
        <v/>
      </c>
      <c r="C178" s="77">
        <f>'Payments'!U182</f>
        <v/>
      </c>
      <c r="D178" s="47">
        <f>'Payments'!V182</f>
        <v/>
      </c>
      <c r="E178" s="47">
        <f>IF(OR(B178="",C178="",D178=""),"",D178*100000+(C178-DATE(2000,1,1))+ROW()/100000)</f>
        <v/>
      </c>
    </row>
    <row r="179">
      <c r="A179" t="inlineStr">
        <is>
          <t>Payments</t>
        </is>
      </c>
      <c r="B179" s="47">
        <f>'Payments'!W183</f>
        <v/>
      </c>
      <c r="C179" s="77">
        <f>'Payments'!U183</f>
        <v/>
      </c>
      <c r="D179" s="47">
        <f>'Payments'!V183</f>
        <v/>
      </c>
      <c r="E179" s="47">
        <f>IF(OR(B179="",C179="",D179=""),"",D179*100000+(C179-DATE(2000,1,1))+ROW()/100000)</f>
        <v/>
      </c>
    </row>
    <row r="180">
      <c r="A180" t="inlineStr">
        <is>
          <t>Payments</t>
        </is>
      </c>
      <c r="B180" s="47">
        <f>'Payments'!W184</f>
        <v/>
      </c>
      <c r="C180" s="77">
        <f>'Payments'!U184</f>
        <v/>
      </c>
      <c r="D180" s="47">
        <f>'Payments'!V184</f>
        <v/>
      </c>
      <c r="E180" s="47">
        <f>IF(OR(B180="",C180="",D180=""),"",D180*100000+(C180-DATE(2000,1,1))+ROW()/100000)</f>
        <v/>
      </c>
    </row>
    <row r="181">
      <c r="A181" t="inlineStr">
        <is>
          <t>Payments</t>
        </is>
      </c>
      <c r="B181" s="47">
        <f>'Payments'!W185</f>
        <v/>
      </c>
      <c r="C181" s="77">
        <f>'Payments'!U185</f>
        <v/>
      </c>
      <c r="D181" s="47">
        <f>'Payments'!V185</f>
        <v/>
      </c>
      <c r="E181" s="47">
        <f>IF(OR(B181="",C181="",D181=""),"",D181*100000+(C181-DATE(2000,1,1))+ROW()/100000)</f>
        <v/>
      </c>
    </row>
    <row r="182">
      <c r="A182" t="inlineStr">
        <is>
          <t>Payments</t>
        </is>
      </c>
      <c r="B182" s="47">
        <f>'Payments'!W186</f>
        <v/>
      </c>
      <c r="C182" s="77">
        <f>'Payments'!U186</f>
        <v/>
      </c>
      <c r="D182" s="47">
        <f>'Payments'!V186</f>
        <v/>
      </c>
      <c r="E182" s="47">
        <f>IF(OR(B182="",C182="",D182=""),"",D182*100000+(C182-DATE(2000,1,1))+ROW()/100000)</f>
        <v/>
      </c>
    </row>
    <row r="183">
      <c r="A183" t="inlineStr">
        <is>
          <t>Payments</t>
        </is>
      </c>
      <c r="B183" s="47">
        <f>'Payments'!W187</f>
        <v/>
      </c>
      <c r="C183" s="77">
        <f>'Payments'!U187</f>
        <v/>
      </c>
      <c r="D183" s="47">
        <f>'Payments'!V187</f>
        <v/>
      </c>
      <c r="E183" s="47">
        <f>IF(OR(B183="",C183="",D183=""),"",D183*100000+(C183-DATE(2000,1,1))+ROW()/100000)</f>
        <v/>
      </c>
    </row>
    <row r="184">
      <c r="A184" t="inlineStr">
        <is>
          <t>Payments</t>
        </is>
      </c>
      <c r="B184" s="47">
        <f>'Payments'!W188</f>
        <v/>
      </c>
      <c r="C184" s="77">
        <f>'Payments'!U188</f>
        <v/>
      </c>
      <c r="D184" s="47">
        <f>'Payments'!V188</f>
        <v/>
      </c>
      <c r="E184" s="47">
        <f>IF(OR(B184="",C184="",D184=""),"",D184*100000+(C184-DATE(2000,1,1))+ROW()/100000)</f>
        <v/>
      </c>
    </row>
    <row r="185">
      <c r="A185" t="inlineStr">
        <is>
          <t>Payments</t>
        </is>
      </c>
      <c r="B185" s="47">
        <f>'Payments'!W189</f>
        <v/>
      </c>
      <c r="C185" s="77">
        <f>'Payments'!U189</f>
        <v/>
      </c>
      <c r="D185" s="47">
        <f>'Payments'!V189</f>
        <v/>
      </c>
      <c r="E185" s="47">
        <f>IF(OR(B185="",C185="",D185=""),"",D185*100000+(C185-DATE(2000,1,1))+ROW()/100000)</f>
        <v/>
      </c>
    </row>
    <row r="186">
      <c r="A186" t="inlineStr">
        <is>
          <t>Payments</t>
        </is>
      </c>
      <c r="B186" s="47">
        <f>'Payments'!W190</f>
        <v/>
      </c>
      <c r="C186" s="77">
        <f>'Payments'!U190</f>
        <v/>
      </c>
      <c r="D186" s="47">
        <f>'Payments'!V190</f>
        <v/>
      </c>
      <c r="E186" s="47">
        <f>IF(OR(B186="",C186="",D186=""),"",D186*100000+(C186-DATE(2000,1,1))+ROW()/100000)</f>
        <v/>
      </c>
    </row>
    <row r="187">
      <c r="A187" t="inlineStr">
        <is>
          <t>Payments</t>
        </is>
      </c>
      <c r="B187" s="47">
        <f>'Payments'!W191</f>
        <v/>
      </c>
      <c r="C187" s="77">
        <f>'Payments'!U191</f>
        <v/>
      </c>
      <c r="D187" s="47">
        <f>'Payments'!V191</f>
        <v/>
      </c>
      <c r="E187" s="47">
        <f>IF(OR(B187="",C187="",D187=""),"",D187*100000+(C187-DATE(2000,1,1))+ROW()/100000)</f>
        <v/>
      </c>
    </row>
    <row r="188">
      <c r="A188" t="inlineStr">
        <is>
          <t>Payments</t>
        </is>
      </c>
      <c r="B188" s="47">
        <f>'Payments'!W192</f>
        <v/>
      </c>
      <c r="C188" s="77">
        <f>'Payments'!U192</f>
        <v/>
      </c>
      <c r="D188" s="47">
        <f>'Payments'!V192</f>
        <v/>
      </c>
      <c r="E188" s="47">
        <f>IF(OR(B188="",C188="",D188=""),"",D188*100000+(C188-DATE(2000,1,1))+ROW()/100000)</f>
        <v/>
      </c>
    </row>
    <row r="189">
      <c r="A189" t="inlineStr">
        <is>
          <t>Payments</t>
        </is>
      </c>
      <c r="B189" s="47">
        <f>'Payments'!W193</f>
        <v/>
      </c>
      <c r="C189" s="77">
        <f>'Payments'!U193</f>
        <v/>
      </c>
      <c r="D189" s="47">
        <f>'Payments'!V193</f>
        <v/>
      </c>
      <c r="E189" s="47">
        <f>IF(OR(B189="",C189="",D189=""),"",D189*100000+(C189-DATE(2000,1,1))+ROW()/100000)</f>
        <v/>
      </c>
    </row>
    <row r="190">
      <c r="A190" t="inlineStr">
        <is>
          <t>Payments</t>
        </is>
      </c>
      <c r="B190" s="47">
        <f>'Payments'!W194</f>
        <v/>
      </c>
      <c r="C190" s="77">
        <f>'Payments'!U194</f>
        <v/>
      </c>
      <c r="D190" s="47">
        <f>'Payments'!V194</f>
        <v/>
      </c>
      <c r="E190" s="47">
        <f>IF(OR(B190="",C190="",D190=""),"",D190*100000+(C190-DATE(2000,1,1))+ROW()/100000)</f>
        <v/>
      </c>
    </row>
    <row r="191">
      <c r="A191" t="inlineStr">
        <is>
          <t>Payments</t>
        </is>
      </c>
      <c r="B191" s="47">
        <f>'Payments'!W195</f>
        <v/>
      </c>
      <c r="C191" s="77">
        <f>'Payments'!U195</f>
        <v/>
      </c>
      <c r="D191" s="47">
        <f>'Payments'!V195</f>
        <v/>
      </c>
      <c r="E191" s="47">
        <f>IF(OR(B191="",C191="",D191=""),"",D191*100000+(C191-DATE(2000,1,1))+ROW()/100000)</f>
        <v/>
      </c>
    </row>
    <row r="192">
      <c r="A192" t="inlineStr">
        <is>
          <t>Payments</t>
        </is>
      </c>
      <c r="B192" s="47">
        <f>'Payments'!W196</f>
        <v/>
      </c>
      <c r="C192" s="77">
        <f>'Payments'!U196</f>
        <v/>
      </c>
      <c r="D192" s="47">
        <f>'Payments'!V196</f>
        <v/>
      </c>
      <c r="E192" s="47">
        <f>IF(OR(B192="",C192="",D192=""),"",D192*100000+(C192-DATE(2000,1,1))+ROW()/100000)</f>
        <v/>
      </c>
    </row>
    <row r="193">
      <c r="A193" t="inlineStr">
        <is>
          <t>Payments</t>
        </is>
      </c>
      <c r="B193" s="47">
        <f>'Payments'!W197</f>
        <v/>
      </c>
      <c r="C193" s="77">
        <f>'Payments'!U197</f>
        <v/>
      </c>
      <c r="D193" s="47">
        <f>'Payments'!V197</f>
        <v/>
      </c>
      <c r="E193" s="47">
        <f>IF(OR(B193="",C193="",D193=""),"",D193*100000+(C193-DATE(2000,1,1))+ROW()/100000)</f>
        <v/>
      </c>
    </row>
    <row r="194">
      <c r="A194" t="inlineStr">
        <is>
          <t>Payments</t>
        </is>
      </c>
      <c r="B194" s="47">
        <f>'Payments'!W198</f>
        <v/>
      </c>
      <c r="C194" s="77">
        <f>'Payments'!U198</f>
        <v/>
      </c>
      <c r="D194" s="47">
        <f>'Payments'!V198</f>
        <v/>
      </c>
      <c r="E194" s="47">
        <f>IF(OR(B194="",C194="",D194=""),"",D194*100000+(C194-DATE(2000,1,1))+ROW()/100000)</f>
        <v/>
      </c>
    </row>
    <row r="195">
      <c r="A195" t="inlineStr">
        <is>
          <t>Payments</t>
        </is>
      </c>
      <c r="B195" s="47">
        <f>'Payments'!W199</f>
        <v/>
      </c>
      <c r="C195" s="77">
        <f>'Payments'!U199</f>
        <v/>
      </c>
      <c r="D195" s="47">
        <f>'Payments'!V199</f>
        <v/>
      </c>
      <c r="E195" s="47">
        <f>IF(OR(B195="",C195="",D195=""),"",D195*100000+(C195-DATE(2000,1,1))+ROW()/100000)</f>
        <v/>
      </c>
    </row>
    <row r="196">
      <c r="A196" t="inlineStr">
        <is>
          <t>Payments</t>
        </is>
      </c>
      <c r="B196" s="47">
        <f>'Payments'!W200</f>
        <v/>
      </c>
      <c r="C196" s="77">
        <f>'Payments'!U200</f>
        <v/>
      </c>
      <c r="D196" s="47">
        <f>'Payments'!V200</f>
        <v/>
      </c>
      <c r="E196" s="47">
        <f>IF(OR(B196="",C196="",D196=""),"",D196*100000+(C196-DATE(2000,1,1))+ROW()/100000)</f>
        <v/>
      </c>
    </row>
    <row r="197">
      <c r="A197" t="inlineStr">
        <is>
          <t>Payments</t>
        </is>
      </c>
      <c r="B197" s="47">
        <f>'Payments'!W201</f>
        <v/>
      </c>
      <c r="C197" s="77">
        <f>'Payments'!U201</f>
        <v/>
      </c>
      <c r="D197" s="47">
        <f>'Payments'!V201</f>
        <v/>
      </c>
      <c r="E197" s="47">
        <f>IF(OR(B197="",C197="",D197=""),"",D197*100000+(C197-DATE(2000,1,1))+ROW()/100000)</f>
        <v/>
      </c>
    </row>
    <row r="198">
      <c r="A198" t="inlineStr">
        <is>
          <t>Payments</t>
        </is>
      </c>
      <c r="B198" s="47">
        <f>'Payments'!W202</f>
        <v/>
      </c>
      <c r="C198" s="77">
        <f>'Payments'!U202</f>
        <v/>
      </c>
      <c r="D198" s="47">
        <f>'Payments'!V202</f>
        <v/>
      </c>
      <c r="E198" s="47">
        <f>IF(OR(B198="",C198="",D198=""),"",D198*100000+(C198-DATE(2000,1,1))+ROW()/100000)</f>
        <v/>
      </c>
    </row>
    <row r="199">
      <c r="A199" t="inlineStr">
        <is>
          <t>Payments</t>
        </is>
      </c>
      <c r="B199" s="47">
        <f>'Payments'!W203</f>
        <v/>
      </c>
      <c r="C199" s="77">
        <f>'Payments'!U203</f>
        <v/>
      </c>
      <c r="D199" s="47">
        <f>'Payments'!V203</f>
        <v/>
      </c>
      <c r="E199" s="47">
        <f>IF(OR(B199="",C199="",D199=""),"",D199*100000+(C199-DATE(2000,1,1))+ROW()/100000)</f>
        <v/>
      </c>
    </row>
    <row r="200">
      <c r="A200" t="inlineStr">
        <is>
          <t>Payments</t>
        </is>
      </c>
      <c r="B200" s="47">
        <f>'Payments'!W204</f>
        <v/>
      </c>
      <c r="C200" s="77">
        <f>'Payments'!U204</f>
        <v/>
      </c>
      <c r="D200" s="47">
        <f>'Payments'!V204</f>
        <v/>
      </c>
      <c r="E200" s="47">
        <f>IF(OR(B200="",C200="",D200=""),"",D200*100000+(C200-DATE(2000,1,1))+ROW()/100000)</f>
        <v/>
      </c>
    </row>
    <row r="201">
      <c r="A201" t="inlineStr">
        <is>
          <t>Payments</t>
        </is>
      </c>
      <c r="B201" s="47">
        <f>'Payments'!W205</f>
        <v/>
      </c>
      <c r="C201" s="77">
        <f>'Payments'!U205</f>
        <v/>
      </c>
      <c r="D201" s="47">
        <f>'Payments'!V205</f>
        <v/>
      </c>
      <c r="E201" s="47">
        <f>IF(OR(B201="",C201="",D201=""),"",D201*100000+(C201-DATE(2000,1,1))+ROW()/100000)</f>
        <v/>
      </c>
    </row>
    <row r="202">
      <c r="A202" t="inlineStr">
        <is>
          <t>Timeline</t>
        </is>
      </c>
      <c r="B202" s="47">
        <f>'Timeline'!V7</f>
        <v/>
      </c>
      <c r="C202" s="77">
        <f>'Timeline'!T7</f>
        <v/>
      </c>
      <c r="D202" s="47">
        <f>'Timeline'!U7</f>
        <v/>
      </c>
      <c r="E202" s="47">
        <f>IF(OR(B202="",C202="",D202=""),"",D202*100000+(C202-DATE(2000,1,1))+ROW()/100000)</f>
        <v/>
      </c>
    </row>
    <row r="203">
      <c r="A203" t="inlineStr">
        <is>
          <t>Timeline</t>
        </is>
      </c>
      <c r="B203" s="47">
        <f>'Timeline'!V8</f>
        <v/>
      </c>
      <c r="C203" s="77">
        <f>'Timeline'!T8</f>
        <v/>
      </c>
      <c r="D203" s="47">
        <f>'Timeline'!U8</f>
        <v/>
      </c>
      <c r="E203" s="47">
        <f>IF(OR(B203="",C203="",D203=""),"",D203*100000+(C203-DATE(2000,1,1))+ROW()/100000)</f>
        <v/>
      </c>
    </row>
    <row r="204">
      <c r="A204" t="inlineStr">
        <is>
          <t>Timeline</t>
        </is>
      </c>
      <c r="B204" s="47">
        <f>'Timeline'!V9</f>
        <v/>
      </c>
      <c r="C204" s="77">
        <f>'Timeline'!T9</f>
        <v/>
      </c>
      <c r="D204" s="47">
        <f>'Timeline'!U9</f>
        <v/>
      </c>
      <c r="E204" s="47">
        <f>IF(OR(B204="",C204="",D204=""),"",D204*100000+(C204-DATE(2000,1,1))+ROW()/100000)</f>
        <v/>
      </c>
    </row>
    <row r="205">
      <c r="A205" t="inlineStr">
        <is>
          <t>Timeline</t>
        </is>
      </c>
      <c r="B205" s="47">
        <f>'Timeline'!V10</f>
        <v/>
      </c>
      <c r="C205" s="77">
        <f>'Timeline'!T10</f>
        <v/>
      </c>
      <c r="D205" s="47">
        <f>'Timeline'!U10</f>
        <v/>
      </c>
      <c r="E205" s="47">
        <f>IF(OR(B205="",C205="",D205=""),"",D205*100000+(C205-DATE(2000,1,1))+ROW()/100000)</f>
        <v/>
      </c>
    </row>
    <row r="206">
      <c r="A206" t="inlineStr">
        <is>
          <t>Timeline</t>
        </is>
      </c>
      <c r="B206" s="47">
        <f>'Timeline'!V11</f>
        <v/>
      </c>
      <c r="C206" s="77">
        <f>'Timeline'!T11</f>
        <v/>
      </c>
      <c r="D206" s="47">
        <f>'Timeline'!U11</f>
        <v/>
      </c>
      <c r="E206" s="47">
        <f>IF(OR(B206="",C206="",D206=""),"",D206*100000+(C206-DATE(2000,1,1))+ROW()/100000)</f>
        <v/>
      </c>
    </row>
    <row r="207">
      <c r="A207" t="inlineStr">
        <is>
          <t>Timeline</t>
        </is>
      </c>
      <c r="B207" s="47">
        <f>'Timeline'!V12</f>
        <v/>
      </c>
      <c r="C207" s="77">
        <f>'Timeline'!T12</f>
        <v/>
      </c>
      <c r="D207" s="47">
        <f>'Timeline'!U12</f>
        <v/>
      </c>
      <c r="E207" s="47">
        <f>IF(OR(B207="",C207="",D207=""),"",D207*100000+(C207-DATE(2000,1,1))+ROW()/100000)</f>
        <v/>
      </c>
    </row>
    <row r="208">
      <c r="A208" t="inlineStr">
        <is>
          <t>Timeline</t>
        </is>
      </c>
      <c r="B208" s="47">
        <f>'Timeline'!V13</f>
        <v/>
      </c>
      <c r="C208" s="77">
        <f>'Timeline'!T13</f>
        <v/>
      </c>
      <c r="D208" s="47">
        <f>'Timeline'!U13</f>
        <v/>
      </c>
      <c r="E208" s="47">
        <f>IF(OR(B208="",C208="",D208=""),"",D208*100000+(C208-DATE(2000,1,1))+ROW()/100000)</f>
        <v/>
      </c>
    </row>
    <row r="209">
      <c r="A209" t="inlineStr">
        <is>
          <t>Timeline</t>
        </is>
      </c>
      <c r="B209" s="47">
        <f>'Timeline'!V14</f>
        <v/>
      </c>
      <c r="C209" s="77">
        <f>'Timeline'!T14</f>
        <v/>
      </c>
      <c r="D209" s="47">
        <f>'Timeline'!U14</f>
        <v/>
      </c>
      <c r="E209" s="47">
        <f>IF(OR(B209="",C209="",D209=""),"",D209*100000+(C209-DATE(2000,1,1))+ROW()/100000)</f>
        <v/>
      </c>
    </row>
    <row r="210">
      <c r="A210" t="inlineStr">
        <is>
          <t>Timeline</t>
        </is>
      </c>
      <c r="B210" s="47">
        <f>'Timeline'!V15</f>
        <v/>
      </c>
      <c r="C210" s="77">
        <f>'Timeline'!T15</f>
        <v/>
      </c>
      <c r="D210" s="47">
        <f>'Timeline'!U15</f>
        <v/>
      </c>
      <c r="E210" s="47">
        <f>IF(OR(B210="",C210="",D210=""),"",D210*100000+(C210-DATE(2000,1,1))+ROW()/100000)</f>
        <v/>
      </c>
    </row>
    <row r="211">
      <c r="A211" t="inlineStr">
        <is>
          <t>Timeline</t>
        </is>
      </c>
      <c r="B211" s="47">
        <f>'Timeline'!V16</f>
        <v/>
      </c>
      <c r="C211" s="77">
        <f>'Timeline'!T16</f>
        <v/>
      </c>
      <c r="D211" s="47">
        <f>'Timeline'!U16</f>
        <v/>
      </c>
      <c r="E211" s="47">
        <f>IF(OR(B211="",C211="",D211=""),"",D211*100000+(C211-DATE(2000,1,1))+ROW()/100000)</f>
        <v/>
      </c>
    </row>
    <row r="212">
      <c r="A212" t="inlineStr">
        <is>
          <t>Timeline</t>
        </is>
      </c>
      <c r="B212" s="47">
        <f>'Timeline'!V17</f>
        <v/>
      </c>
      <c r="C212" s="77">
        <f>'Timeline'!T17</f>
        <v/>
      </c>
      <c r="D212" s="47">
        <f>'Timeline'!U17</f>
        <v/>
      </c>
      <c r="E212" s="47">
        <f>IF(OR(B212="",C212="",D212=""),"",D212*100000+(C212-DATE(2000,1,1))+ROW()/100000)</f>
        <v/>
      </c>
    </row>
    <row r="213">
      <c r="A213" t="inlineStr">
        <is>
          <t>Timeline</t>
        </is>
      </c>
      <c r="B213" s="47">
        <f>'Timeline'!V18</f>
        <v/>
      </c>
      <c r="C213" s="77">
        <f>'Timeline'!T18</f>
        <v/>
      </c>
      <c r="D213" s="47">
        <f>'Timeline'!U18</f>
        <v/>
      </c>
      <c r="E213" s="47">
        <f>IF(OR(B213="",C213="",D213=""),"",D213*100000+(C213-DATE(2000,1,1))+ROW()/100000)</f>
        <v/>
      </c>
    </row>
    <row r="214">
      <c r="A214" t="inlineStr">
        <is>
          <t>Timeline</t>
        </is>
      </c>
      <c r="B214" s="47">
        <f>'Timeline'!V19</f>
        <v/>
      </c>
      <c r="C214" s="77">
        <f>'Timeline'!T19</f>
        <v/>
      </c>
      <c r="D214" s="47">
        <f>'Timeline'!U19</f>
        <v/>
      </c>
      <c r="E214" s="47">
        <f>IF(OR(B214="",C214="",D214=""),"",D214*100000+(C214-DATE(2000,1,1))+ROW()/100000)</f>
        <v/>
      </c>
    </row>
    <row r="215">
      <c r="A215" t="inlineStr">
        <is>
          <t>Timeline</t>
        </is>
      </c>
      <c r="B215" s="47">
        <f>'Timeline'!V20</f>
        <v/>
      </c>
      <c r="C215" s="77">
        <f>'Timeline'!T20</f>
        <v/>
      </c>
      <c r="D215" s="47">
        <f>'Timeline'!U20</f>
        <v/>
      </c>
      <c r="E215" s="47">
        <f>IF(OR(B215="",C215="",D215=""),"",D215*100000+(C215-DATE(2000,1,1))+ROW()/100000)</f>
        <v/>
      </c>
    </row>
    <row r="216">
      <c r="A216" t="inlineStr">
        <is>
          <t>Timeline</t>
        </is>
      </c>
      <c r="B216" s="47">
        <f>'Timeline'!V21</f>
        <v/>
      </c>
      <c r="C216" s="77">
        <f>'Timeline'!T21</f>
        <v/>
      </c>
      <c r="D216" s="47">
        <f>'Timeline'!U21</f>
        <v/>
      </c>
      <c r="E216" s="47">
        <f>IF(OR(B216="",C216="",D216=""),"",D216*100000+(C216-DATE(2000,1,1))+ROW()/100000)</f>
        <v/>
      </c>
    </row>
    <row r="217">
      <c r="A217" t="inlineStr">
        <is>
          <t>Timeline</t>
        </is>
      </c>
      <c r="B217" s="47">
        <f>'Timeline'!V22</f>
        <v/>
      </c>
      <c r="C217" s="77">
        <f>'Timeline'!T22</f>
        <v/>
      </c>
      <c r="D217" s="47">
        <f>'Timeline'!U22</f>
        <v/>
      </c>
      <c r="E217" s="47">
        <f>IF(OR(B217="",C217="",D217=""),"",D217*100000+(C217-DATE(2000,1,1))+ROW()/100000)</f>
        <v/>
      </c>
    </row>
    <row r="218">
      <c r="A218" t="inlineStr">
        <is>
          <t>Timeline</t>
        </is>
      </c>
      <c r="B218" s="47">
        <f>'Timeline'!V23</f>
        <v/>
      </c>
      <c r="C218" s="77">
        <f>'Timeline'!T23</f>
        <v/>
      </c>
      <c r="D218" s="47">
        <f>'Timeline'!U23</f>
        <v/>
      </c>
      <c r="E218" s="47">
        <f>IF(OR(B218="",C218="",D218=""),"",D218*100000+(C218-DATE(2000,1,1))+ROW()/100000)</f>
        <v/>
      </c>
    </row>
    <row r="219">
      <c r="A219" t="inlineStr">
        <is>
          <t>Timeline</t>
        </is>
      </c>
      <c r="B219" s="47">
        <f>'Timeline'!V24</f>
        <v/>
      </c>
      <c r="C219" s="77">
        <f>'Timeline'!T24</f>
        <v/>
      </c>
      <c r="D219" s="47">
        <f>'Timeline'!U24</f>
        <v/>
      </c>
      <c r="E219" s="47">
        <f>IF(OR(B219="",C219="",D219=""),"",D219*100000+(C219-DATE(2000,1,1))+ROW()/100000)</f>
        <v/>
      </c>
    </row>
    <row r="220">
      <c r="A220" t="inlineStr">
        <is>
          <t>Timeline</t>
        </is>
      </c>
      <c r="B220" s="47">
        <f>'Timeline'!V25</f>
        <v/>
      </c>
      <c r="C220" s="77">
        <f>'Timeline'!T25</f>
        <v/>
      </c>
      <c r="D220" s="47">
        <f>'Timeline'!U25</f>
        <v/>
      </c>
      <c r="E220" s="47">
        <f>IF(OR(B220="",C220="",D220=""),"",D220*100000+(C220-DATE(2000,1,1))+ROW()/100000)</f>
        <v/>
      </c>
    </row>
    <row r="221">
      <c r="A221" t="inlineStr">
        <is>
          <t>Timeline</t>
        </is>
      </c>
      <c r="B221" s="47">
        <f>'Timeline'!V26</f>
        <v/>
      </c>
      <c r="C221" s="77">
        <f>'Timeline'!T26</f>
        <v/>
      </c>
      <c r="D221" s="47">
        <f>'Timeline'!U26</f>
        <v/>
      </c>
      <c r="E221" s="47">
        <f>IF(OR(B221="",C221="",D221=""),"",D221*100000+(C221-DATE(2000,1,1))+ROW()/100000)</f>
        <v/>
      </c>
    </row>
    <row r="222">
      <c r="A222" t="inlineStr">
        <is>
          <t>Timeline</t>
        </is>
      </c>
      <c r="B222" s="47">
        <f>'Timeline'!V27</f>
        <v/>
      </c>
      <c r="C222" s="77">
        <f>'Timeline'!T27</f>
        <v/>
      </c>
      <c r="D222" s="47">
        <f>'Timeline'!U27</f>
        <v/>
      </c>
      <c r="E222" s="47">
        <f>IF(OR(B222="",C222="",D222=""),"",D222*100000+(C222-DATE(2000,1,1))+ROW()/100000)</f>
        <v/>
      </c>
    </row>
    <row r="223">
      <c r="A223" t="inlineStr">
        <is>
          <t>Timeline</t>
        </is>
      </c>
      <c r="B223" s="47">
        <f>'Timeline'!V28</f>
        <v/>
      </c>
      <c r="C223" s="77">
        <f>'Timeline'!T28</f>
        <v/>
      </c>
      <c r="D223" s="47">
        <f>'Timeline'!U28</f>
        <v/>
      </c>
      <c r="E223" s="47">
        <f>IF(OR(B223="",C223="",D223=""),"",D223*100000+(C223-DATE(2000,1,1))+ROW()/100000)</f>
        <v/>
      </c>
    </row>
    <row r="224">
      <c r="A224" t="inlineStr">
        <is>
          <t>Timeline</t>
        </is>
      </c>
      <c r="B224" s="47">
        <f>'Timeline'!V29</f>
        <v/>
      </c>
      <c r="C224" s="77">
        <f>'Timeline'!T29</f>
        <v/>
      </c>
      <c r="D224" s="47">
        <f>'Timeline'!U29</f>
        <v/>
      </c>
      <c r="E224" s="47">
        <f>IF(OR(B224="",C224="",D224=""),"",D224*100000+(C224-DATE(2000,1,1))+ROW()/100000)</f>
        <v/>
      </c>
    </row>
    <row r="225">
      <c r="A225" t="inlineStr">
        <is>
          <t>Timeline</t>
        </is>
      </c>
      <c r="B225" s="47">
        <f>'Timeline'!V30</f>
        <v/>
      </c>
      <c r="C225" s="77">
        <f>'Timeline'!T30</f>
        <v/>
      </c>
      <c r="D225" s="47">
        <f>'Timeline'!U30</f>
        <v/>
      </c>
      <c r="E225" s="47">
        <f>IF(OR(B225="",C225="",D225=""),"",D225*100000+(C225-DATE(2000,1,1))+ROW()/100000)</f>
        <v/>
      </c>
    </row>
    <row r="226">
      <c r="A226" t="inlineStr">
        <is>
          <t>Timeline</t>
        </is>
      </c>
      <c r="B226" s="47">
        <f>'Timeline'!V31</f>
        <v/>
      </c>
      <c r="C226" s="77">
        <f>'Timeline'!T31</f>
        <v/>
      </c>
      <c r="D226" s="47">
        <f>'Timeline'!U31</f>
        <v/>
      </c>
      <c r="E226" s="47">
        <f>IF(OR(B226="",C226="",D226=""),"",D226*100000+(C226-DATE(2000,1,1))+ROW()/100000)</f>
        <v/>
      </c>
    </row>
    <row r="227">
      <c r="A227" t="inlineStr">
        <is>
          <t>Timeline</t>
        </is>
      </c>
      <c r="B227" s="47">
        <f>'Timeline'!V32</f>
        <v/>
      </c>
      <c r="C227" s="77">
        <f>'Timeline'!T32</f>
        <v/>
      </c>
      <c r="D227" s="47">
        <f>'Timeline'!U32</f>
        <v/>
      </c>
      <c r="E227" s="47">
        <f>IF(OR(B227="",C227="",D227=""),"",D227*100000+(C227-DATE(2000,1,1))+ROW()/100000)</f>
        <v/>
      </c>
    </row>
    <row r="228">
      <c r="A228" t="inlineStr">
        <is>
          <t>Timeline</t>
        </is>
      </c>
      <c r="B228" s="47">
        <f>'Timeline'!V33</f>
        <v/>
      </c>
      <c r="C228" s="77">
        <f>'Timeline'!T33</f>
        <v/>
      </c>
      <c r="D228" s="47">
        <f>'Timeline'!U33</f>
        <v/>
      </c>
      <c r="E228" s="47">
        <f>IF(OR(B228="",C228="",D228=""),"",D228*100000+(C228-DATE(2000,1,1))+ROW()/100000)</f>
        <v/>
      </c>
    </row>
    <row r="229">
      <c r="A229" t="inlineStr">
        <is>
          <t>Timeline</t>
        </is>
      </c>
      <c r="B229" s="47">
        <f>'Timeline'!V34</f>
        <v/>
      </c>
      <c r="C229" s="77">
        <f>'Timeline'!T34</f>
        <v/>
      </c>
      <c r="D229" s="47">
        <f>'Timeline'!U34</f>
        <v/>
      </c>
      <c r="E229" s="47">
        <f>IF(OR(B229="",C229="",D229=""),"",D229*100000+(C229-DATE(2000,1,1))+ROW()/100000)</f>
        <v/>
      </c>
    </row>
    <row r="230">
      <c r="A230" t="inlineStr">
        <is>
          <t>Timeline</t>
        </is>
      </c>
      <c r="B230" s="47">
        <f>'Timeline'!V35</f>
        <v/>
      </c>
      <c r="C230" s="77">
        <f>'Timeline'!T35</f>
        <v/>
      </c>
      <c r="D230" s="47">
        <f>'Timeline'!U35</f>
        <v/>
      </c>
      <c r="E230" s="47">
        <f>IF(OR(B230="",C230="",D230=""),"",D230*100000+(C230-DATE(2000,1,1))+ROW()/100000)</f>
        <v/>
      </c>
    </row>
    <row r="231">
      <c r="A231" t="inlineStr">
        <is>
          <t>Timeline</t>
        </is>
      </c>
      <c r="B231" s="47">
        <f>'Timeline'!V36</f>
        <v/>
      </c>
      <c r="C231" s="77">
        <f>'Timeline'!T36</f>
        <v/>
      </c>
      <c r="D231" s="47">
        <f>'Timeline'!U36</f>
        <v/>
      </c>
      <c r="E231" s="47">
        <f>IF(OR(B231="",C231="",D231=""),"",D231*100000+(C231-DATE(2000,1,1))+ROW()/100000)</f>
        <v/>
      </c>
    </row>
    <row r="232">
      <c r="A232" t="inlineStr">
        <is>
          <t>Timeline</t>
        </is>
      </c>
      <c r="B232" s="47">
        <f>'Timeline'!V37</f>
        <v/>
      </c>
      <c r="C232" s="77">
        <f>'Timeline'!T37</f>
        <v/>
      </c>
      <c r="D232" s="47">
        <f>'Timeline'!U37</f>
        <v/>
      </c>
      <c r="E232" s="47">
        <f>IF(OR(B232="",C232="",D232=""),"",D232*100000+(C232-DATE(2000,1,1))+ROW()/100000)</f>
        <v/>
      </c>
    </row>
    <row r="233">
      <c r="A233" t="inlineStr">
        <is>
          <t>Timeline</t>
        </is>
      </c>
      <c r="B233" s="47">
        <f>'Timeline'!V38</f>
        <v/>
      </c>
      <c r="C233" s="77">
        <f>'Timeline'!T38</f>
        <v/>
      </c>
      <c r="D233" s="47">
        <f>'Timeline'!U38</f>
        <v/>
      </c>
      <c r="E233" s="47">
        <f>IF(OR(B233="",C233="",D233=""),"",D233*100000+(C233-DATE(2000,1,1))+ROW()/100000)</f>
        <v/>
      </c>
    </row>
    <row r="234">
      <c r="A234" t="inlineStr">
        <is>
          <t>Timeline</t>
        </is>
      </c>
      <c r="B234" s="47">
        <f>'Timeline'!V39</f>
        <v/>
      </c>
      <c r="C234" s="77">
        <f>'Timeline'!T39</f>
        <v/>
      </c>
      <c r="D234" s="47">
        <f>'Timeline'!U39</f>
        <v/>
      </c>
      <c r="E234" s="47">
        <f>IF(OR(B234="",C234="",D234=""),"",D234*100000+(C234-DATE(2000,1,1))+ROW()/100000)</f>
        <v/>
      </c>
    </row>
    <row r="235">
      <c r="A235" t="inlineStr">
        <is>
          <t>Timeline</t>
        </is>
      </c>
      <c r="B235" s="47">
        <f>'Timeline'!V40</f>
        <v/>
      </c>
      <c r="C235" s="77">
        <f>'Timeline'!T40</f>
        <v/>
      </c>
      <c r="D235" s="47">
        <f>'Timeline'!U40</f>
        <v/>
      </c>
      <c r="E235" s="47">
        <f>IF(OR(B235="",C235="",D235=""),"",D235*100000+(C235-DATE(2000,1,1))+ROW()/100000)</f>
        <v/>
      </c>
    </row>
    <row r="236">
      <c r="A236" t="inlineStr">
        <is>
          <t>Timeline</t>
        </is>
      </c>
      <c r="B236" s="47">
        <f>'Timeline'!V41</f>
        <v/>
      </c>
      <c r="C236" s="77">
        <f>'Timeline'!T41</f>
        <v/>
      </c>
      <c r="D236" s="47">
        <f>'Timeline'!U41</f>
        <v/>
      </c>
      <c r="E236" s="47">
        <f>IF(OR(B236="",C236="",D236=""),"",D236*100000+(C236-DATE(2000,1,1))+ROW()/100000)</f>
        <v/>
      </c>
    </row>
    <row r="237">
      <c r="A237" t="inlineStr">
        <is>
          <t>Timeline</t>
        </is>
      </c>
      <c r="B237" s="47">
        <f>'Timeline'!V42</f>
        <v/>
      </c>
      <c r="C237" s="77">
        <f>'Timeline'!T42</f>
        <v/>
      </c>
      <c r="D237" s="47">
        <f>'Timeline'!U42</f>
        <v/>
      </c>
      <c r="E237" s="47">
        <f>IF(OR(B237="",C237="",D237=""),"",D237*100000+(C237-DATE(2000,1,1))+ROW()/100000)</f>
        <v/>
      </c>
    </row>
    <row r="238">
      <c r="A238" t="inlineStr">
        <is>
          <t>Timeline</t>
        </is>
      </c>
      <c r="B238" s="47">
        <f>'Timeline'!V43</f>
        <v/>
      </c>
      <c r="C238" s="77">
        <f>'Timeline'!T43</f>
        <v/>
      </c>
      <c r="D238" s="47">
        <f>'Timeline'!U43</f>
        <v/>
      </c>
      <c r="E238" s="47">
        <f>IF(OR(B238="",C238="",D238=""),"",D238*100000+(C238-DATE(2000,1,1))+ROW()/100000)</f>
        <v/>
      </c>
    </row>
    <row r="239">
      <c r="A239" t="inlineStr">
        <is>
          <t>Timeline</t>
        </is>
      </c>
      <c r="B239" s="47">
        <f>'Timeline'!V44</f>
        <v/>
      </c>
      <c r="C239" s="77">
        <f>'Timeline'!T44</f>
        <v/>
      </c>
      <c r="D239" s="47">
        <f>'Timeline'!U44</f>
        <v/>
      </c>
      <c r="E239" s="47">
        <f>IF(OR(B239="",C239="",D239=""),"",D239*100000+(C239-DATE(2000,1,1))+ROW()/100000)</f>
        <v/>
      </c>
    </row>
    <row r="240">
      <c r="A240" t="inlineStr">
        <is>
          <t>Timeline</t>
        </is>
      </c>
      <c r="B240" s="47">
        <f>'Timeline'!V45</f>
        <v/>
      </c>
      <c r="C240" s="77">
        <f>'Timeline'!T45</f>
        <v/>
      </c>
      <c r="D240" s="47">
        <f>'Timeline'!U45</f>
        <v/>
      </c>
      <c r="E240" s="47">
        <f>IF(OR(B240="",C240="",D240=""),"",D240*100000+(C240-DATE(2000,1,1))+ROW()/100000)</f>
        <v/>
      </c>
    </row>
    <row r="241">
      <c r="A241" t="inlineStr">
        <is>
          <t>Timeline</t>
        </is>
      </c>
      <c r="B241" s="47">
        <f>'Timeline'!V46</f>
        <v/>
      </c>
      <c r="C241" s="77">
        <f>'Timeline'!T46</f>
        <v/>
      </c>
      <c r="D241" s="47">
        <f>'Timeline'!U46</f>
        <v/>
      </c>
      <c r="E241" s="47">
        <f>IF(OR(B241="",C241="",D241=""),"",D241*100000+(C241-DATE(2000,1,1))+ROW()/100000)</f>
        <v/>
      </c>
    </row>
    <row r="242">
      <c r="A242" t="inlineStr">
        <is>
          <t>Timeline</t>
        </is>
      </c>
      <c r="B242" s="47">
        <f>'Timeline'!V47</f>
        <v/>
      </c>
      <c r="C242" s="77">
        <f>'Timeline'!T47</f>
        <v/>
      </c>
      <c r="D242" s="47">
        <f>'Timeline'!U47</f>
        <v/>
      </c>
      <c r="E242" s="47">
        <f>IF(OR(B242="",C242="",D242=""),"",D242*100000+(C242-DATE(2000,1,1))+ROW()/100000)</f>
        <v/>
      </c>
    </row>
    <row r="243">
      <c r="A243" t="inlineStr">
        <is>
          <t>Timeline</t>
        </is>
      </c>
      <c r="B243" s="47">
        <f>'Timeline'!V48</f>
        <v/>
      </c>
      <c r="C243" s="77">
        <f>'Timeline'!T48</f>
        <v/>
      </c>
      <c r="D243" s="47">
        <f>'Timeline'!U48</f>
        <v/>
      </c>
      <c r="E243" s="47">
        <f>IF(OR(B243="",C243="",D243=""),"",D243*100000+(C243-DATE(2000,1,1))+ROW()/100000)</f>
        <v/>
      </c>
    </row>
    <row r="244">
      <c r="A244" t="inlineStr">
        <is>
          <t>Timeline</t>
        </is>
      </c>
      <c r="B244" s="47">
        <f>'Timeline'!V49</f>
        <v/>
      </c>
      <c r="C244" s="77">
        <f>'Timeline'!T49</f>
        <v/>
      </c>
      <c r="D244" s="47">
        <f>'Timeline'!U49</f>
        <v/>
      </c>
      <c r="E244" s="47">
        <f>IF(OR(B244="",C244="",D244=""),"",D244*100000+(C244-DATE(2000,1,1))+ROW()/100000)</f>
        <v/>
      </c>
    </row>
    <row r="245">
      <c r="A245" t="inlineStr">
        <is>
          <t>Timeline</t>
        </is>
      </c>
      <c r="B245" s="47">
        <f>'Timeline'!V50</f>
        <v/>
      </c>
      <c r="C245" s="77">
        <f>'Timeline'!T50</f>
        <v/>
      </c>
      <c r="D245" s="47">
        <f>'Timeline'!U50</f>
        <v/>
      </c>
      <c r="E245" s="47">
        <f>IF(OR(B245="",C245="",D245=""),"",D245*100000+(C245-DATE(2000,1,1))+ROW()/100000)</f>
        <v/>
      </c>
    </row>
    <row r="246">
      <c r="A246" t="inlineStr">
        <is>
          <t>Timeline</t>
        </is>
      </c>
      <c r="B246" s="47">
        <f>'Timeline'!V51</f>
        <v/>
      </c>
      <c r="C246" s="77">
        <f>'Timeline'!T51</f>
        <v/>
      </c>
      <c r="D246" s="47">
        <f>'Timeline'!U51</f>
        <v/>
      </c>
      <c r="E246" s="47">
        <f>IF(OR(B246="",C246="",D246=""),"",D246*100000+(C246-DATE(2000,1,1))+ROW()/100000)</f>
        <v/>
      </c>
    </row>
    <row r="247">
      <c r="A247" t="inlineStr">
        <is>
          <t>Timeline</t>
        </is>
      </c>
      <c r="B247" s="47">
        <f>'Timeline'!V52</f>
        <v/>
      </c>
      <c r="C247" s="77">
        <f>'Timeline'!T52</f>
        <v/>
      </c>
      <c r="D247" s="47">
        <f>'Timeline'!U52</f>
        <v/>
      </c>
      <c r="E247" s="47">
        <f>IF(OR(B247="",C247="",D247=""),"",D247*100000+(C247-DATE(2000,1,1))+ROW()/100000)</f>
        <v/>
      </c>
    </row>
    <row r="248">
      <c r="A248" t="inlineStr">
        <is>
          <t>Timeline</t>
        </is>
      </c>
      <c r="B248" s="47">
        <f>'Timeline'!V53</f>
        <v/>
      </c>
      <c r="C248" s="77">
        <f>'Timeline'!T53</f>
        <v/>
      </c>
      <c r="D248" s="47">
        <f>'Timeline'!U53</f>
        <v/>
      </c>
      <c r="E248" s="47">
        <f>IF(OR(B248="",C248="",D248=""),"",D248*100000+(C248-DATE(2000,1,1))+ROW()/100000)</f>
        <v/>
      </c>
    </row>
    <row r="249">
      <c r="A249" t="inlineStr">
        <is>
          <t>Timeline</t>
        </is>
      </c>
      <c r="B249" s="47">
        <f>'Timeline'!V54</f>
        <v/>
      </c>
      <c r="C249" s="77">
        <f>'Timeline'!T54</f>
        <v/>
      </c>
      <c r="D249" s="47">
        <f>'Timeline'!U54</f>
        <v/>
      </c>
      <c r="E249" s="47">
        <f>IF(OR(B249="",C249="",D249=""),"",D249*100000+(C249-DATE(2000,1,1))+ROW()/100000)</f>
        <v/>
      </c>
    </row>
    <row r="250">
      <c r="A250" t="inlineStr">
        <is>
          <t>Timeline</t>
        </is>
      </c>
      <c r="B250" s="47">
        <f>'Timeline'!V55</f>
        <v/>
      </c>
      <c r="C250" s="77">
        <f>'Timeline'!T55</f>
        <v/>
      </c>
      <c r="D250" s="47">
        <f>'Timeline'!U55</f>
        <v/>
      </c>
      <c r="E250" s="47">
        <f>IF(OR(B250="",C250="",D250=""),"",D250*100000+(C250-DATE(2000,1,1))+ROW()/100000)</f>
        <v/>
      </c>
    </row>
    <row r="251">
      <c r="A251" t="inlineStr">
        <is>
          <t>Timeline</t>
        </is>
      </c>
      <c r="B251" s="47">
        <f>'Timeline'!V56</f>
        <v/>
      </c>
      <c r="C251" s="77">
        <f>'Timeline'!T56</f>
        <v/>
      </c>
      <c r="D251" s="47">
        <f>'Timeline'!U56</f>
        <v/>
      </c>
      <c r="E251" s="47">
        <f>IF(OR(B251="",C251="",D251=""),"",D251*100000+(C251-DATE(2000,1,1))+ROW()/100000)</f>
        <v/>
      </c>
    </row>
    <row r="252">
      <c r="A252" t="inlineStr">
        <is>
          <t>Timeline</t>
        </is>
      </c>
      <c r="B252" s="47">
        <f>'Timeline'!V57</f>
        <v/>
      </c>
      <c r="C252" s="77">
        <f>'Timeline'!T57</f>
        <v/>
      </c>
      <c r="D252" s="47">
        <f>'Timeline'!U57</f>
        <v/>
      </c>
      <c r="E252" s="47">
        <f>IF(OR(B252="",C252="",D252=""),"",D252*100000+(C252-DATE(2000,1,1))+ROW()/100000)</f>
        <v/>
      </c>
    </row>
    <row r="253">
      <c r="A253" t="inlineStr">
        <is>
          <t>Timeline</t>
        </is>
      </c>
      <c r="B253" s="47">
        <f>'Timeline'!V58</f>
        <v/>
      </c>
      <c r="C253" s="77">
        <f>'Timeline'!T58</f>
        <v/>
      </c>
      <c r="D253" s="47">
        <f>'Timeline'!U58</f>
        <v/>
      </c>
      <c r="E253" s="47">
        <f>IF(OR(B253="",C253="",D253=""),"",D253*100000+(C253-DATE(2000,1,1))+ROW()/100000)</f>
        <v/>
      </c>
    </row>
    <row r="254">
      <c r="A254" t="inlineStr">
        <is>
          <t>Timeline</t>
        </is>
      </c>
      <c r="B254" s="47">
        <f>'Timeline'!V59</f>
        <v/>
      </c>
      <c r="C254" s="77">
        <f>'Timeline'!T59</f>
        <v/>
      </c>
      <c r="D254" s="47">
        <f>'Timeline'!U59</f>
        <v/>
      </c>
      <c r="E254" s="47">
        <f>IF(OR(B254="",C254="",D254=""),"",D254*100000+(C254-DATE(2000,1,1))+ROW()/100000)</f>
        <v/>
      </c>
    </row>
    <row r="255">
      <c r="A255" t="inlineStr">
        <is>
          <t>Timeline</t>
        </is>
      </c>
      <c r="B255" s="47">
        <f>'Timeline'!V60</f>
        <v/>
      </c>
      <c r="C255" s="77">
        <f>'Timeline'!T60</f>
        <v/>
      </c>
      <c r="D255" s="47">
        <f>'Timeline'!U60</f>
        <v/>
      </c>
      <c r="E255" s="47">
        <f>IF(OR(B255="",C255="",D255=""),"",D255*100000+(C255-DATE(2000,1,1))+ROW()/100000)</f>
        <v/>
      </c>
    </row>
    <row r="256">
      <c r="A256" t="inlineStr">
        <is>
          <t>Timeline</t>
        </is>
      </c>
      <c r="B256" s="47">
        <f>'Timeline'!V61</f>
        <v/>
      </c>
      <c r="C256" s="77">
        <f>'Timeline'!T61</f>
        <v/>
      </c>
      <c r="D256" s="47">
        <f>'Timeline'!U61</f>
        <v/>
      </c>
      <c r="E256" s="47">
        <f>IF(OR(B256="",C256="",D256=""),"",D256*100000+(C256-DATE(2000,1,1))+ROW()/100000)</f>
        <v/>
      </c>
    </row>
    <row r="257">
      <c r="A257" t="inlineStr">
        <is>
          <t>Timeline</t>
        </is>
      </c>
      <c r="B257" s="47">
        <f>'Timeline'!V62</f>
        <v/>
      </c>
      <c r="C257" s="77">
        <f>'Timeline'!T62</f>
        <v/>
      </c>
      <c r="D257" s="47">
        <f>'Timeline'!U62</f>
        <v/>
      </c>
      <c r="E257" s="47">
        <f>IF(OR(B257="",C257="",D257=""),"",D257*100000+(C257-DATE(2000,1,1))+ROW()/100000)</f>
        <v/>
      </c>
    </row>
    <row r="258">
      <c r="A258" t="inlineStr">
        <is>
          <t>Timeline</t>
        </is>
      </c>
      <c r="B258" s="47">
        <f>'Timeline'!V63</f>
        <v/>
      </c>
      <c r="C258" s="77">
        <f>'Timeline'!T63</f>
        <v/>
      </c>
      <c r="D258" s="47">
        <f>'Timeline'!U63</f>
        <v/>
      </c>
      <c r="E258" s="47">
        <f>IF(OR(B258="",C258="",D258=""),"",D258*100000+(C258-DATE(2000,1,1))+ROW()/100000)</f>
        <v/>
      </c>
    </row>
    <row r="259">
      <c r="A259" t="inlineStr">
        <is>
          <t>Timeline</t>
        </is>
      </c>
      <c r="B259" s="47">
        <f>'Timeline'!V64</f>
        <v/>
      </c>
      <c r="C259" s="77">
        <f>'Timeline'!T64</f>
        <v/>
      </c>
      <c r="D259" s="47">
        <f>'Timeline'!U64</f>
        <v/>
      </c>
      <c r="E259" s="47">
        <f>IF(OR(B259="",C259="",D259=""),"",D259*100000+(C259-DATE(2000,1,1))+ROW()/100000)</f>
        <v/>
      </c>
    </row>
    <row r="260">
      <c r="A260" t="inlineStr">
        <is>
          <t>Timeline</t>
        </is>
      </c>
      <c r="B260" s="47">
        <f>'Timeline'!V65</f>
        <v/>
      </c>
      <c r="C260" s="77">
        <f>'Timeline'!T65</f>
        <v/>
      </c>
      <c r="D260" s="47">
        <f>'Timeline'!U65</f>
        <v/>
      </c>
      <c r="E260" s="47">
        <f>IF(OR(B260="",C260="",D260=""),"",D260*100000+(C260-DATE(2000,1,1))+ROW()/100000)</f>
        <v/>
      </c>
    </row>
    <row r="261">
      <c r="A261" t="inlineStr">
        <is>
          <t>Timeline</t>
        </is>
      </c>
      <c r="B261" s="47">
        <f>'Timeline'!V66</f>
        <v/>
      </c>
      <c r="C261" s="77">
        <f>'Timeline'!T66</f>
        <v/>
      </c>
      <c r="D261" s="47">
        <f>'Timeline'!U66</f>
        <v/>
      </c>
      <c r="E261" s="47">
        <f>IF(OR(B261="",C261="",D261=""),"",D261*100000+(C261-DATE(2000,1,1))+ROW()/100000)</f>
        <v/>
      </c>
    </row>
    <row r="262">
      <c r="A262" t="inlineStr">
        <is>
          <t>Timeline</t>
        </is>
      </c>
      <c r="B262" s="47">
        <f>'Timeline'!V67</f>
        <v/>
      </c>
      <c r="C262" s="77">
        <f>'Timeline'!T67</f>
        <v/>
      </c>
      <c r="D262" s="47">
        <f>'Timeline'!U67</f>
        <v/>
      </c>
      <c r="E262" s="47">
        <f>IF(OR(B262="",C262="",D262=""),"",D262*100000+(C262-DATE(2000,1,1))+ROW()/100000)</f>
        <v/>
      </c>
    </row>
    <row r="263">
      <c r="A263" t="inlineStr">
        <is>
          <t>Timeline</t>
        </is>
      </c>
      <c r="B263" s="47">
        <f>'Timeline'!V68</f>
        <v/>
      </c>
      <c r="C263" s="77">
        <f>'Timeline'!T68</f>
        <v/>
      </c>
      <c r="D263" s="47">
        <f>'Timeline'!U68</f>
        <v/>
      </c>
      <c r="E263" s="47">
        <f>IF(OR(B263="",C263="",D263=""),"",D263*100000+(C263-DATE(2000,1,1))+ROW()/100000)</f>
        <v/>
      </c>
    </row>
    <row r="264">
      <c r="A264" t="inlineStr">
        <is>
          <t>Timeline</t>
        </is>
      </c>
      <c r="B264" s="47">
        <f>'Timeline'!V69</f>
        <v/>
      </c>
      <c r="C264" s="77">
        <f>'Timeline'!T69</f>
        <v/>
      </c>
      <c r="D264" s="47">
        <f>'Timeline'!U69</f>
        <v/>
      </c>
      <c r="E264" s="47">
        <f>IF(OR(B264="",C264="",D264=""),"",D264*100000+(C264-DATE(2000,1,1))+ROW()/100000)</f>
        <v/>
      </c>
    </row>
    <row r="265">
      <c r="A265" t="inlineStr">
        <is>
          <t>Timeline</t>
        </is>
      </c>
      <c r="B265" s="47">
        <f>'Timeline'!V70</f>
        <v/>
      </c>
      <c r="C265" s="77">
        <f>'Timeline'!T70</f>
        <v/>
      </c>
      <c r="D265" s="47">
        <f>'Timeline'!U70</f>
        <v/>
      </c>
      <c r="E265" s="47">
        <f>IF(OR(B265="",C265="",D265=""),"",D265*100000+(C265-DATE(2000,1,1))+ROW()/100000)</f>
        <v/>
      </c>
    </row>
    <row r="266">
      <c r="A266" t="inlineStr">
        <is>
          <t>Timeline</t>
        </is>
      </c>
      <c r="B266" s="47">
        <f>'Timeline'!V71</f>
        <v/>
      </c>
      <c r="C266" s="77">
        <f>'Timeline'!T71</f>
        <v/>
      </c>
      <c r="D266" s="47">
        <f>'Timeline'!U71</f>
        <v/>
      </c>
      <c r="E266" s="47">
        <f>IF(OR(B266="",C266="",D266=""),"",D266*100000+(C266-DATE(2000,1,1))+ROW()/100000)</f>
        <v/>
      </c>
    </row>
    <row r="267">
      <c r="A267" t="inlineStr">
        <is>
          <t>Timeline</t>
        </is>
      </c>
      <c r="B267" s="47">
        <f>'Timeline'!V72</f>
        <v/>
      </c>
      <c r="C267" s="77">
        <f>'Timeline'!T72</f>
        <v/>
      </c>
      <c r="D267" s="47">
        <f>'Timeline'!U72</f>
        <v/>
      </c>
      <c r="E267" s="47">
        <f>IF(OR(B267="",C267="",D267=""),"",D267*100000+(C267-DATE(2000,1,1))+ROW()/100000)</f>
        <v/>
      </c>
    </row>
    <row r="268">
      <c r="A268" t="inlineStr">
        <is>
          <t>Timeline</t>
        </is>
      </c>
      <c r="B268" s="47">
        <f>'Timeline'!V73</f>
        <v/>
      </c>
      <c r="C268" s="77">
        <f>'Timeline'!T73</f>
        <v/>
      </c>
      <c r="D268" s="47">
        <f>'Timeline'!U73</f>
        <v/>
      </c>
      <c r="E268" s="47">
        <f>IF(OR(B268="",C268="",D268=""),"",D268*100000+(C268-DATE(2000,1,1))+ROW()/100000)</f>
        <v/>
      </c>
    </row>
    <row r="269">
      <c r="A269" t="inlineStr">
        <is>
          <t>Timeline</t>
        </is>
      </c>
      <c r="B269" s="47">
        <f>'Timeline'!V74</f>
        <v/>
      </c>
      <c r="C269" s="77">
        <f>'Timeline'!T74</f>
        <v/>
      </c>
      <c r="D269" s="47">
        <f>'Timeline'!U74</f>
        <v/>
      </c>
      <c r="E269" s="47">
        <f>IF(OR(B269="",C269="",D269=""),"",D269*100000+(C269-DATE(2000,1,1))+ROW()/100000)</f>
        <v/>
      </c>
    </row>
    <row r="270">
      <c r="A270" t="inlineStr">
        <is>
          <t>Timeline</t>
        </is>
      </c>
      <c r="B270" s="47">
        <f>'Timeline'!V75</f>
        <v/>
      </c>
      <c r="C270" s="77">
        <f>'Timeline'!T75</f>
        <v/>
      </c>
      <c r="D270" s="47">
        <f>'Timeline'!U75</f>
        <v/>
      </c>
      <c r="E270" s="47">
        <f>IF(OR(B270="",C270="",D270=""),"",D270*100000+(C270-DATE(2000,1,1))+ROW()/100000)</f>
        <v/>
      </c>
    </row>
    <row r="271">
      <c r="A271" t="inlineStr">
        <is>
          <t>Timeline</t>
        </is>
      </c>
      <c r="B271" s="47">
        <f>'Timeline'!V76</f>
        <v/>
      </c>
      <c r="C271" s="77">
        <f>'Timeline'!T76</f>
        <v/>
      </c>
      <c r="D271" s="47">
        <f>'Timeline'!U76</f>
        <v/>
      </c>
      <c r="E271" s="47">
        <f>IF(OR(B271="",C271="",D271=""),"",D271*100000+(C271-DATE(2000,1,1))+ROW()/100000)</f>
        <v/>
      </c>
    </row>
    <row r="272">
      <c r="A272" t="inlineStr">
        <is>
          <t>Timeline</t>
        </is>
      </c>
      <c r="B272" s="47">
        <f>'Timeline'!V77</f>
        <v/>
      </c>
      <c r="C272" s="77">
        <f>'Timeline'!T77</f>
        <v/>
      </c>
      <c r="D272" s="47">
        <f>'Timeline'!U77</f>
        <v/>
      </c>
      <c r="E272" s="47">
        <f>IF(OR(B272="",C272="",D272=""),"",D272*100000+(C272-DATE(2000,1,1))+ROW()/100000)</f>
        <v/>
      </c>
    </row>
    <row r="273">
      <c r="A273" t="inlineStr">
        <is>
          <t>Timeline</t>
        </is>
      </c>
      <c r="B273" s="47">
        <f>'Timeline'!V78</f>
        <v/>
      </c>
      <c r="C273" s="77">
        <f>'Timeline'!T78</f>
        <v/>
      </c>
      <c r="D273" s="47">
        <f>'Timeline'!U78</f>
        <v/>
      </c>
      <c r="E273" s="47">
        <f>IF(OR(B273="",C273="",D273=""),"",D273*100000+(C273-DATE(2000,1,1))+ROW()/100000)</f>
        <v/>
      </c>
    </row>
    <row r="274">
      <c r="A274" t="inlineStr">
        <is>
          <t>Timeline</t>
        </is>
      </c>
      <c r="B274" s="47">
        <f>'Timeline'!V79</f>
        <v/>
      </c>
      <c r="C274" s="77">
        <f>'Timeline'!T79</f>
        <v/>
      </c>
      <c r="D274" s="47">
        <f>'Timeline'!U79</f>
        <v/>
      </c>
      <c r="E274" s="47">
        <f>IF(OR(B274="",C274="",D274=""),"",D274*100000+(C274-DATE(2000,1,1))+ROW()/100000)</f>
        <v/>
      </c>
    </row>
    <row r="275">
      <c r="A275" t="inlineStr">
        <is>
          <t>Timeline</t>
        </is>
      </c>
      <c r="B275" s="47">
        <f>'Timeline'!V80</f>
        <v/>
      </c>
      <c r="C275" s="77">
        <f>'Timeline'!T80</f>
        <v/>
      </c>
      <c r="D275" s="47">
        <f>'Timeline'!U80</f>
        <v/>
      </c>
      <c r="E275" s="47">
        <f>IF(OR(B275="",C275="",D275=""),"",D275*100000+(C275-DATE(2000,1,1))+ROW()/100000)</f>
        <v/>
      </c>
    </row>
    <row r="276">
      <c r="A276" t="inlineStr">
        <is>
          <t>Timeline</t>
        </is>
      </c>
      <c r="B276" s="47">
        <f>'Timeline'!V81</f>
        <v/>
      </c>
      <c r="C276" s="77">
        <f>'Timeline'!T81</f>
        <v/>
      </c>
      <c r="D276" s="47">
        <f>'Timeline'!U81</f>
        <v/>
      </c>
      <c r="E276" s="47">
        <f>IF(OR(B276="",C276="",D276=""),"",D276*100000+(C276-DATE(2000,1,1))+ROW()/100000)</f>
        <v/>
      </c>
    </row>
    <row r="277">
      <c r="A277" t="inlineStr">
        <is>
          <t>Timeline</t>
        </is>
      </c>
      <c r="B277" s="47">
        <f>'Timeline'!V82</f>
        <v/>
      </c>
      <c r="C277" s="77">
        <f>'Timeline'!T82</f>
        <v/>
      </c>
      <c r="D277" s="47">
        <f>'Timeline'!U82</f>
        <v/>
      </c>
      <c r="E277" s="47">
        <f>IF(OR(B277="",C277="",D277=""),"",D277*100000+(C277-DATE(2000,1,1))+ROW()/100000)</f>
        <v/>
      </c>
    </row>
    <row r="278">
      <c r="A278" t="inlineStr">
        <is>
          <t>Timeline</t>
        </is>
      </c>
      <c r="B278" s="47">
        <f>'Timeline'!V83</f>
        <v/>
      </c>
      <c r="C278" s="77">
        <f>'Timeline'!T83</f>
        <v/>
      </c>
      <c r="D278" s="47">
        <f>'Timeline'!U83</f>
        <v/>
      </c>
      <c r="E278" s="47">
        <f>IF(OR(B278="",C278="",D278=""),"",D278*100000+(C278-DATE(2000,1,1))+ROW()/100000)</f>
        <v/>
      </c>
    </row>
    <row r="279">
      <c r="A279" t="inlineStr">
        <is>
          <t>Timeline</t>
        </is>
      </c>
      <c r="B279" s="47">
        <f>'Timeline'!V84</f>
        <v/>
      </c>
      <c r="C279" s="77">
        <f>'Timeline'!T84</f>
        <v/>
      </c>
      <c r="D279" s="47">
        <f>'Timeline'!U84</f>
        <v/>
      </c>
      <c r="E279" s="47">
        <f>IF(OR(B279="",C279="",D279=""),"",D279*100000+(C279-DATE(2000,1,1))+ROW()/100000)</f>
        <v/>
      </c>
    </row>
    <row r="280">
      <c r="A280" t="inlineStr">
        <is>
          <t>Timeline</t>
        </is>
      </c>
      <c r="B280" s="47">
        <f>'Timeline'!V85</f>
        <v/>
      </c>
      <c r="C280" s="77">
        <f>'Timeline'!T85</f>
        <v/>
      </c>
      <c r="D280" s="47">
        <f>'Timeline'!U85</f>
        <v/>
      </c>
      <c r="E280" s="47">
        <f>IF(OR(B280="",C280="",D280=""),"",D280*100000+(C280-DATE(2000,1,1))+ROW()/100000)</f>
        <v/>
      </c>
    </row>
    <row r="281">
      <c r="A281" t="inlineStr">
        <is>
          <t>Timeline</t>
        </is>
      </c>
      <c r="B281" s="47">
        <f>'Timeline'!V86</f>
        <v/>
      </c>
      <c r="C281" s="77">
        <f>'Timeline'!T86</f>
        <v/>
      </c>
      <c r="D281" s="47">
        <f>'Timeline'!U86</f>
        <v/>
      </c>
      <c r="E281" s="47">
        <f>IF(OR(B281="",C281="",D281=""),"",D281*100000+(C281-DATE(2000,1,1))+ROW()/100000)</f>
        <v/>
      </c>
    </row>
    <row r="282">
      <c r="A282" t="inlineStr">
        <is>
          <t>Timeline</t>
        </is>
      </c>
      <c r="B282" s="47">
        <f>'Timeline'!V87</f>
        <v/>
      </c>
      <c r="C282" s="77">
        <f>'Timeline'!T87</f>
        <v/>
      </c>
      <c r="D282" s="47">
        <f>'Timeline'!U87</f>
        <v/>
      </c>
      <c r="E282" s="47">
        <f>IF(OR(B282="",C282="",D282=""),"",D282*100000+(C282-DATE(2000,1,1))+ROW()/100000)</f>
        <v/>
      </c>
    </row>
    <row r="283">
      <c r="A283" t="inlineStr">
        <is>
          <t>Timeline</t>
        </is>
      </c>
      <c r="B283" s="47">
        <f>'Timeline'!V88</f>
        <v/>
      </c>
      <c r="C283" s="77">
        <f>'Timeline'!T88</f>
        <v/>
      </c>
      <c r="D283" s="47">
        <f>'Timeline'!U88</f>
        <v/>
      </c>
      <c r="E283" s="47">
        <f>IF(OR(B283="",C283="",D283=""),"",D283*100000+(C283-DATE(2000,1,1))+ROW()/100000)</f>
        <v/>
      </c>
    </row>
    <row r="284">
      <c r="A284" t="inlineStr">
        <is>
          <t>Timeline</t>
        </is>
      </c>
      <c r="B284" s="47">
        <f>'Timeline'!V89</f>
        <v/>
      </c>
      <c r="C284" s="77">
        <f>'Timeline'!T89</f>
        <v/>
      </c>
      <c r="D284" s="47">
        <f>'Timeline'!U89</f>
        <v/>
      </c>
      <c r="E284" s="47">
        <f>IF(OR(B284="",C284="",D284=""),"",D284*100000+(C284-DATE(2000,1,1))+ROW()/100000)</f>
        <v/>
      </c>
    </row>
    <row r="285">
      <c r="A285" t="inlineStr">
        <is>
          <t>Timeline</t>
        </is>
      </c>
      <c r="B285" s="47">
        <f>'Timeline'!V90</f>
        <v/>
      </c>
      <c r="C285" s="77">
        <f>'Timeline'!T90</f>
        <v/>
      </c>
      <c r="D285" s="47">
        <f>'Timeline'!U90</f>
        <v/>
      </c>
      <c r="E285" s="47">
        <f>IF(OR(B285="",C285="",D285=""),"",D285*100000+(C285-DATE(2000,1,1))+ROW()/100000)</f>
        <v/>
      </c>
    </row>
    <row r="286">
      <c r="A286" t="inlineStr">
        <is>
          <t>Timeline</t>
        </is>
      </c>
      <c r="B286" s="47">
        <f>'Timeline'!V91</f>
        <v/>
      </c>
      <c r="C286" s="77">
        <f>'Timeline'!T91</f>
        <v/>
      </c>
      <c r="D286" s="47">
        <f>'Timeline'!U91</f>
        <v/>
      </c>
      <c r="E286" s="47">
        <f>IF(OR(B286="",C286="",D286=""),"",D286*100000+(C286-DATE(2000,1,1))+ROW()/100000)</f>
        <v/>
      </c>
    </row>
    <row r="287">
      <c r="A287" t="inlineStr">
        <is>
          <t>Timeline</t>
        </is>
      </c>
      <c r="B287" s="47">
        <f>'Timeline'!V92</f>
        <v/>
      </c>
      <c r="C287" s="77">
        <f>'Timeline'!T92</f>
        <v/>
      </c>
      <c r="D287" s="47">
        <f>'Timeline'!U92</f>
        <v/>
      </c>
      <c r="E287" s="47">
        <f>IF(OR(B287="",C287="",D287=""),"",D287*100000+(C287-DATE(2000,1,1))+ROW()/100000)</f>
        <v/>
      </c>
    </row>
    <row r="288">
      <c r="A288" t="inlineStr">
        <is>
          <t>Timeline</t>
        </is>
      </c>
      <c r="B288" s="47">
        <f>'Timeline'!V93</f>
        <v/>
      </c>
      <c r="C288" s="77">
        <f>'Timeline'!T93</f>
        <v/>
      </c>
      <c r="D288" s="47">
        <f>'Timeline'!U93</f>
        <v/>
      </c>
      <c r="E288" s="47">
        <f>IF(OR(B288="",C288="",D288=""),"",D288*100000+(C288-DATE(2000,1,1))+ROW()/100000)</f>
        <v/>
      </c>
    </row>
    <row r="289">
      <c r="A289" t="inlineStr">
        <is>
          <t>Timeline</t>
        </is>
      </c>
      <c r="B289" s="47">
        <f>'Timeline'!V94</f>
        <v/>
      </c>
      <c r="C289" s="77">
        <f>'Timeline'!T94</f>
        <v/>
      </c>
      <c r="D289" s="47">
        <f>'Timeline'!U94</f>
        <v/>
      </c>
      <c r="E289" s="47">
        <f>IF(OR(B289="",C289="",D289=""),"",D289*100000+(C289-DATE(2000,1,1))+ROW()/100000)</f>
        <v/>
      </c>
    </row>
    <row r="290">
      <c r="A290" t="inlineStr">
        <is>
          <t>Timeline</t>
        </is>
      </c>
      <c r="B290" s="47">
        <f>'Timeline'!V95</f>
        <v/>
      </c>
      <c r="C290" s="77">
        <f>'Timeline'!T95</f>
        <v/>
      </c>
      <c r="D290" s="47">
        <f>'Timeline'!U95</f>
        <v/>
      </c>
      <c r="E290" s="47">
        <f>IF(OR(B290="",C290="",D290=""),"",D290*100000+(C290-DATE(2000,1,1))+ROW()/100000)</f>
        <v/>
      </c>
    </row>
    <row r="291">
      <c r="A291" t="inlineStr">
        <is>
          <t>Timeline</t>
        </is>
      </c>
      <c r="B291" s="47">
        <f>'Timeline'!V96</f>
        <v/>
      </c>
      <c r="C291" s="77">
        <f>'Timeline'!T96</f>
        <v/>
      </c>
      <c r="D291" s="47">
        <f>'Timeline'!U96</f>
        <v/>
      </c>
      <c r="E291" s="47">
        <f>IF(OR(B291="",C291="",D291=""),"",D291*100000+(C291-DATE(2000,1,1))+ROW()/100000)</f>
        <v/>
      </c>
    </row>
    <row r="292">
      <c r="A292" t="inlineStr">
        <is>
          <t>Timeline</t>
        </is>
      </c>
      <c r="B292" s="47">
        <f>'Timeline'!V97</f>
        <v/>
      </c>
      <c r="C292" s="77">
        <f>'Timeline'!T97</f>
        <v/>
      </c>
      <c r="D292" s="47">
        <f>'Timeline'!U97</f>
        <v/>
      </c>
      <c r="E292" s="47">
        <f>IF(OR(B292="",C292="",D292=""),"",D292*100000+(C292-DATE(2000,1,1))+ROW()/100000)</f>
        <v/>
      </c>
    </row>
    <row r="293">
      <c r="A293" t="inlineStr">
        <is>
          <t>Timeline</t>
        </is>
      </c>
      <c r="B293" s="47">
        <f>'Timeline'!V98</f>
        <v/>
      </c>
      <c r="C293" s="77">
        <f>'Timeline'!T98</f>
        <v/>
      </c>
      <c r="D293" s="47">
        <f>'Timeline'!U98</f>
        <v/>
      </c>
      <c r="E293" s="47">
        <f>IF(OR(B293="",C293="",D293=""),"",D293*100000+(C293-DATE(2000,1,1))+ROW()/100000)</f>
        <v/>
      </c>
    </row>
    <row r="294">
      <c r="A294" t="inlineStr">
        <is>
          <t>Timeline</t>
        </is>
      </c>
      <c r="B294" s="47">
        <f>'Timeline'!V99</f>
        <v/>
      </c>
      <c r="C294" s="77">
        <f>'Timeline'!T99</f>
        <v/>
      </c>
      <c r="D294" s="47">
        <f>'Timeline'!U99</f>
        <v/>
      </c>
      <c r="E294" s="47">
        <f>IF(OR(B294="",C294="",D294=""),"",D294*100000+(C294-DATE(2000,1,1))+ROW()/100000)</f>
        <v/>
      </c>
    </row>
    <row r="295">
      <c r="A295" t="inlineStr">
        <is>
          <t>Timeline</t>
        </is>
      </c>
      <c r="B295" s="47">
        <f>'Timeline'!V100</f>
        <v/>
      </c>
      <c r="C295" s="77">
        <f>'Timeline'!T100</f>
        <v/>
      </c>
      <c r="D295" s="47">
        <f>'Timeline'!U100</f>
        <v/>
      </c>
      <c r="E295" s="47">
        <f>IF(OR(B295="",C295="",D295=""),"",D295*100000+(C295-DATE(2000,1,1))+ROW()/100000)</f>
        <v/>
      </c>
    </row>
    <row r="296">
      <c r="A296" t="inlineStr">
        <is>
          <t>Timeline</t>
        </is>
      </c>
      <c r="B296" s="47">
        <f>'Timeline'!V101</f>
        <v/>
      </c>
      <c r="C296" s="77">
        <f>'Timeline'!T101</f>
        <v/>
      </c>
      <c r="D296" s="47">
        <f>'Timeline'!U101</f>
        <v/>
      </c>
      <c r="E296" s="47">
        <f>IF(OR(B296="",C296="",D296=""),"",D296*100000+(C296-DATE(2000,1,1))+ROW()/100000)</f>
        <v/>
      </c>
    </row>
    <row r="297">
      <c r="A297" t="inlineStr">
        <is>
          <t>Timeline</t>
        </is>
      </c>
      <c r="B297" s="47">
        <f>'Timeline'!V102</f>
        <v/>
      </c>
      <c r="C297" s="77">
        <f>'Timeline'!T102</f>
        <v/>
      </c>
      <c r="D297" s="47">
        <f>'Timeline'!U102</f>
        <v/>
      </c>
      <c r="E297" s="47">
        <f>IF(OR(B297="",C297="",D297=""),"",D297*100000+(C297-DATE(2000,1,1))+ROW()/100000)</f>
        <v/>
      </c>
    </row>
    <row r="298">
      <c r="A298" t="inlineStr">
        <is>
          <t>Timeline</t>
        </is>
      </c>
      <c r="B298" s="47">
        <f>'Timeline'!V103</f>
        <v/>
      </c>
      <c r="C298" s="77">
        <f>'Timeline'!T103</f>
        <v/>
      </c>
      <c r="D298" s="47">
        <f>'Timeline'!U103</f>
        <v/>
      </c>
      <c r="E298" s="47">
        <f>IF(OR(B298="",C298="",D298=""),"",D298*100000+(C298-DATE(2000,1,1))+ROW()/100000)</f>
        <v/>
      </c>
    </row>
    <row r="299">
      <c r="A299" t="inlineStr">
        <is>
          <t>Timeline</t>
        </is>
      </c>
      <c r="B299" s="47">
        <f>'Timeline'!V104</f>
        <v/>
      </c>
      <c r="C299" s="77">
        <f>'Timeline'!T104</f>
        <v/>
      </c>
      <c r="D299" s="47">
        <f>'Timeline'!U104</f>
        <v/>
      </c>
      <c r="E299" s="47">
        <f>IF(OR(B299="",C299="",D299=""),"",D299*100000+(C299-DATE(2000,1,1))+ROW()/100000)</f>
        <v/>
      </c>
    </row>
    <row r="300">
      <c r="A300" t="inlineStr">
        <is>
          <t>Timeline</t>
        </is>
      </c>
      <c r="B300" s="47">
        <f>'Timeline'!V105</f>
        <v/>
      </c>
      <c r="C300" s="77">
        <f>'Timeline'!T105</f>
        <v/>
      </c>
      <c r="D300" s="47">
        <f>'Timeline'!U105</f>
        <v/>
      </c>
      <c r="E300" s="47">
        <f>IF(OR(B300="",C300="",D300=""),"",D300*100000+(C300-DATE(2000,1,1))+ROW()/100000)</f>
        <v/>
      </c>
    </row>
    <row r="301">
      <c r="A301" t="inlineStr">
        <is>
          <t>Timeline</t>
        </is>
      </c>
      <c r="B301" s="47">
        <f>'Timeline'!V106</f>
        <v/>
      </c>
      <c r="C301" s="77">
        <f>'Timeline'!T106</f>
        <v/>
      </c>
      <c r="D301" s="47">
        <f>'Timeline'!U106</f>
        <v/>
      </c>
      <c r="E301" s="47">
        <f>IF(OR(B301="",C301="",D301=""),"",D301*100000+(C301-DATE(2000,1,1))+ROW()/100000)</f>
        <v/>
      </c>
    </row>
    <row r="302">
      <c r="A302" t="inlineStr">
        <is>
          <t>Timeline</t>
        </is>
      </c>
      <c r="B302" s="47">
        <f>'Timeline'!V107</f>
        <v/>
      </c>
      <c r="C302" s="77">
        <f>'Timeline'!T107</f>
        <v/>
      </c>
      <c r="D302" s="47">
        <f>'Timeline'!U107</f>
        <v/>
      </c>
      <c r="E302" s="47">
        <f>IF(OR(B302="",C302="",D302=""),"",D302*100000+(C302-DATE(2000,1,1))+ROW()/100000)</f>
        <v/>
      </c>
    </row>
    <row r="303">
      <c r="A303" t="inlineStr">
        <is>
          <t>Timeline</t>
        </is>
      </c>
      <c r="B303" s="47">
        <f>'Timeline'!V108</f>
        <v/>
      </c>
      <c r="C303" s="77">
        <f>'Timeline'!T108</f>
        <v/>
      </c>
      <c r="D303" s="47">
        <f>'Timeline'!U108</f>
        <v/>
      </c>
      <c r="E303" s="47">
        <f>IF(OR(B303="",C303="",D303=""),"",D303*100000+(C303-DATE(2000,1,1))+ROW()/100000)</f>
        <v/>
      </c>
    </row>
    <row r="304">
      <c r="A304" t="inlineStr">
        <is>
          <t>Timeline</t>
        </is>
      </c>
      <c r="B304" s="47">
        <f>'Timeline'!V109</f>
        <v/>
      </c>
      <c r="C304" s="77">
        <f>'Timeline'!T109</f>
        <v/>
      </c>
      <c r="D304" s="47">
        <f>'Timeline'!U109</f>
        <v/>
      </c>
      <c r="E304" s="47">
        <f>IF(OR(B304="",C304="",D304=""),"",D304*100000+(C304-DATE(2000,1,1))+ROW()/100000)</f>
        <v/>
      </c>
    </row>
    <row r="305">
      <c r="A305" t="inlineStr">
        <is>
          <t>Timeline</t>
        </is>
      </c>
      <c r="B305" s="47">
        <f>'Timeline'!V110</f>
        <v/>
      </c>
      <c r="C305" s="77">
        <f>'Timeline'!T110</f>
        <v/>
      </c>
      <c r="D305" s="47">
        <f>'Timeline'!U110</f>
        <v/>
      </c>
      <c r="E305" s="47">
        <f>IF(OR(B305="",C305="",D305=""),"",D305*100000+(C305-DATE(2000,1,1))+ROW()/100000)</f>
        <v/>
      </c>
    </row>
    <row r="306">
      <c r="A306" t="inlineStr">
        <is>
          <t>Timeline</t>
        </is>
      </c>
      <c r="B306" s="47">
        <f>'Timeline'!V111</f>
        <v/>
      </c>
      <c r="C306" s="77">
        <f>'Timeline'!T111</f>
        <v/>
      </c>
      <c r="D306" s="47">
        <f>'Timeline'!U111</f>
        <v/>
      </c>
      <c r="E306" s="47">
        <f>IF(OR(B306="",C306="",D306=""),"",D306*100000+(C306-DATE(2000,1,1))+ROW()/100000)</f>
        <v/>
      </c>
    </row>
    <row r="307">
      <c r="A307" t="inlineStr">
        <is>
          <t>Timeline</t>
        </is>
      </c>
      <c r="B307" s="47">
        <f>'Timeline'!V112</f>
        <v/>
      </c>
      <c r="C307" s="77">
        <f>'Timeline'!T112</f>
        <v/>
      </c>
      <c r="D307" s="47">
        <f>'Timeline'!U112</f>
        <v/>
      </c>
      <c r="E307" s="47">
        <f>IF(OR(B307="",C307="",D307=""),"",D307*100000+(C307-DATE(2000,1,1))+ROW()/100000)</f>
        <v/>
      </c>
    </row>
    <row r="308">
      <c r="A308" t="inlineStr">
        <is>
          <t>Timeline</t>
        </is>
      </c>
      <c r="B308" s="47">
        <f>'Timeline'!V113</f>
        <v/>
      </c>
      <c r="C308" s="77">
        <f>'Timeline'!T113</f>
        <v/>
      </c>
      <c r="D308" s="47">
        <f>'Timeline'!U113</f>
        <v/>
      </c>
      <c r="E308" s="47">
        <f>IF(OR(B308="",C308="",D308=""),"",D308*100000+(C308-DATE(2000,1,1))+ROW()/100000)</f>
        <v/>
      </c>
    </row>
    <row r="309">
      <c r="A309" t="inlineStr">
        <is>
          <t>Timeline</t>
        </is>
      </c>
      <c r="B309" s="47">
        <f>'Timeline'!V114</f>
        <v/>
      </c>
      <c r="C309" s="77">
        <f>'Timeline'!T114</f>
        <v/>
      </c>
      <c r="D309" s="47">
        <f>'Timeline'!U114</f>
        <v/>
      </c>
      <c r="E309" s="47">
        <f>IF(OR(B309="",C309="",D309=""),"",D309*100000+(C309-DATE(2000,1,1))+ROW()/100000)</f>
        <v/>
      </c>
    </row>
    <row r="310">
      <c r="A310" t="inlineStr">
        <is>
          <t>Timeline</t>
        </is>
      </c>
      <c r="B310" s="47">
        <f>'Timeline'!V115</f>
        <v/>
      </c>
      <c r="C310" s="77">
        <f>'Timeline'!T115</f>
        <v/>
      </c>
      <c r="D310" s="47">
        <f>'Timeline'!U115</f>
        <v/>
      </c>
      <c r="E310" s="47">
        <f>IF(OR(B310="",C310="",D310=""),"",D310*100000+(C310-DATE(2000,1,1))+ROW()/100000)</f>
        <v/>
      </c>
    </row>
    <row r="311">
      <c r="A311" t="inlineStr">
        <is>
          <t>Timeline</t>
        </is>
      </c>
      <c r="B311" s="47">
        <f>'Timeline'!V116</f>
        <v/>
      </c>
      <c r="C311" s="77">
        <f>'Timeline'!T116</f>
        <v/>
      </c>
      <c r="D311" s="47">
        <f>'Timeline'!U116</f>
        <v/>
      </c>
      <c r="E311" s="47">
        <f>IF(OR(B311="",C311="",D311=""),"",D311*100000+(C311-DATE(2000,1,1))+ROW()/100000)</f>
        <v/>
      </c>
    </row>
    <row r="312">
      <c r="A312" t="inlineStr">
        <is>
          <t>Timeline</t>
        </is>
      </c>
      <c r="B312" s="47">
        <f>'Timeline'!V117</f>
        <v/>
      </c>
      <c r="C312" s="77">
        <f>'Timeline'!T117</f>
        <v/>
      </c>
      <c r="D312" s="47">
        <f>'Timeline'!U117</f>
        <v/>
      </c>
      <c r="E312" s="47">
        <f>IF(OR(B312="",C312="",D312=""),"",D312*100000+(C312-DATE(2000,1,1))+ROW()/100000)</f>
        <v/>
      </c>
    </row>
    <row r="313">
      <c r="A313" t="inlineStr">
        <is>
          <t>Timeline</t>
        </is>
      </c>
      <c r="B313" s="47">
        <f>'Timeline'!V118</f>
        <v/>
      </c>
      <c r="C313" s="77">
        <f>'Timeline'!T118</f>
        <v/>
      </c>
      <c r="D313" s="47">
        <f>'Timeline'!U118</f>
        <v/>
      </c>
      <c r="E313" s="47">
        <f>IF(OR(B313="",C313="",D313=""),"",D313*100000+(C313-DATE(2000,1,1))+ROW()/100000)</f>
        <v/>
      </c>
    </row>
    <row r="314">
      <c r="A314" t="inlineStr">
        <is>
          <t>Timeline</t>
        </is>
      </c>
      <c r="B314" s="47">
        <f>'Timeline'!V119</f>
        <v/>
      </c>
      <c r="C314" s="77">
        <f>'Timeline'!T119</f>
        <v/>
      </c>
      <c r="D314" s="47">
        <f>'Timeline'!U119</f>
        <v/>
      </c>
      <c r="E314" s="47">
        <f>IF(OR(B314="",C314="",D314=""),"",D314*100000+(C314-DATE(2000,1,1))+ROW()/100000)</f>
        <v/>
      </c>
    </row>
    <row r="315">
      <c r="A315" t="inlineStr">
        <is>
          <t>Timeline</t>
        </is>
      </c>
      <c r="B315" s="47">
        <f>'Timeline'!V120</f>
        <v/>
      </c>
      <c r="C315" s="77">
        <f>'Timeline'!T120</f>
        <v/>
      </c>
      <c r="D315" s="47">
        <f>'Timeline'!U120</f>
        <v/>
      </c>
      <c r="E315" s="47">
        <f>IF(OR(B315="",C315="",D315=""),"",D315*100000+(C315-DATE(2000,1,1))+ROW()/100000)</f>
        <v/>
      </c>
    </row>
    <row r="316">
      <c r="A316" t="inlineStr">
        <is>
          <t>Timeline</t>
        </is>
      </c>
      <c r="B316" s="47">
        <f>'Timeline'!V121</f>
        <v/>
      </c>
      <c r="C316" s="77">
        <f>'Timeline'!T121</f>
        <v/>
      </c>
      <c r="D316" s="47">
        <f>'Timeline'!U121</f>
        <v/>
      </c>
      <c r="E316" s="47">
        <f>IF(OR(B316="",C316="",D316=""),"",D316*100000+(C316-DATE(2000,1,1))+ROW()/100000)</f>
        <v/>
      </c>
    </row>
    <row r="317">
      <c r="A317" t="inlineStr">
        <is>
          <t>Timeline</t>
        </is>
      </c>
      <c r="B317" s="47">
        <f>'Timeline'!V122</f>
        <v/>
      </c>
      <c r="C317" s="77">
        <f>'Timeline'!T122</f>
        <v/>
      </c>
      <c r="D317" s="47">
        <f>'Timeline'!U122</f>
        <v/>
      </c>
      <c r="E317" s="47">
        <f>IF(OR(B317="",C317="",D317=""),"",D317*100000+(C317-DATE(2000,1,1))+ROW()/100000)</f>
        <v/>
      </c>
    </row>
    <row r="318">
      <c r="A318" t="inlineStr">
        <is>
          <t>Timeline</t>
        </is>
      </c>
      <c r="B318" s="47">
        <f>'Timeline'!V123</f>
        <v/>
      </c>
      <c r="C318" s="77">
        <f>'Timeline'!T123</f>
        <v/>
      </c>
      <c r="D318" s="47">
        <f>'Timeline'!U123</f>
        <v/>
      </c>
      <c r="E318" s="47">
        <f>IF(OR(B318="",C318="",D318=""),"",D318*100000+(C318-DATE(2000,1,1))+ROW()/100000)</f>
        <v/>
      </c>
    </row>
    <row r="319">
      <c r="A319" t="inlineStr">
        <is>
          <t>Timeline</t>
        </is>
      </c>
      <c r="B319" s="47">
        <f>'Timeline'!V124</f>
        <v/>
      </c>
      <c r="C319" s="77">
        <f>'Timeline'!T124</f>
        <v/>
      </c>
      <c r="D319" s="47">
        <f>'Timeline'!U124</f>
        <v/>
      </c>
      <c r="E319" s="47">
        <f>IF(OR(B319="",C319="",D319=""),"",D319*100000+(C319-DATE(2000,1,1))+ROW()/100000)</f>
        <v/>
      </c>
    </row>
    <row r="320">
      <c r="A320" t="inlineStr">
        <is>
          <t>Timeline</t>
        </is>
      </c>
      <c r="B320" s="47">
        <f>'Timeline'!V125</f>
        <v/>
      </c>
      <c r="C320" s="77">
        <f>'Timeline'!T125</f>
        <v/>
      </c>
      <c r="D320" s="47">
        <f>'Timeline'!U125</f>
        <v/>
      </c>
      <c r="E320" s="47">
        <f>IF(OR(B320="",C320="",D320=""),"",D320*100000+(C320-DATE(2000,1,1))+ROW()/100000)</f>
        <v/>
      </c>
    </row>
    <row r="321">
      <c r="A321" t="inlineStr">
        <is>
          <t>Timeline</t>
        </is>
      </c>
      <c r="B321" s="47">
        <f>'Timeline'!V126</f>
        <v/>
      </c>
      <c r="C321" s="77">
        <f>'Timeline'!T126</f>
        <v/>
      </c>
      <c r="D321" s="47">
        <f>'Timeline'!U126</f>
        <v/>
      </c>
      <c r="E321" s="47">
        <f>IF(OR(B321="",C321="",D321=""),"",D321*100000+(C321-DATE(2000,1,1))+ROW()/100000)</f>
        <v/>
      </c>
    </row>
    <row r="322">
      <c r="A322" t="inlineStr">
        <is>
          <t>Timeline</t>
        </is>
      </c>
      <c r="B322" s="47">
        <f>'Timeline'!V127</f>
        <v/>
      </c>
      <c r="C322" s="77">
        <f>'Timeline'!T127</f>
        <v/>
      </c>
      <c r="D322" s="47">
        <f>'Timeline'!U127</f>
        <v/>
      </c>
      <c r="E322" s="47">
        <f>IF(OR(B322="",C322="",D322=""),"",D322*100000+(C322-DATE(2000,1,1))+ROW()/100000)</f>
        <v/>
      </c>
    </row>
    <row r="323">
      <c r="A323" t="inlineStr">
        <is>
          <t>Timeline</t>
        </is>
      </c>
      <c r="B323" s="47">
        <f>'Timeline'!V128</f>
        <v/>
      </c>
      <c r="C323" s="77">
        <f>'Timeline'!T128</f>
        <v/>
      </c>
      <c r="D323" s="47">
        <f>'Timeline'!U128</f>
        <v/>
      </c>
      <c r="E323" s="47">
        <f>IF(OR(B323="",C323="",D323=""),"",D323*100000+(C323-DATE(2000,1,1))+ROW()/100000)</f>
        <v/>
      </c>
    </row>
    <row r="324">
      <c r="A324" t="inlineStr">
        <is>
          <t>Timeline</t>
        </is>
      </c>
      <c r="B324" s="47">
        <f>'Timeline'!V129</f>
        <v/>
      </c>
      <c r="C324" s="77">
        <f>'Timeline'!T129</f>
        <v/>
      </c>
      <c r="D324" s="47">
        <f>'Timeline'!U129</f>
        <v/>
      </c>
      <c r="E324" s="47">
        <f>IF(OR(B324="",C324="",D324=""),"",D324*100000+(C324-DATE(2000,1,1))+ROW()/100000)</f>
        <v/>
      </c>
    </row>
    <row r="325">
      <c r="A325" t="inlineStr">
        <is>
          <t>Timeline</t>
        </is>
      </c>
      <c r="B325" s="47">
        <f>'Timeline'!V130</f>
        <v/>
      </c>
      <c r="C325" s="77">
        <f>'Timeline'!T130</f>
        <v/>
      </c>
      <c r="D325" s="47">
        <f>'Timeline'!U130</f>
        <v/>
      </c>
      <c r="E325" s="47">
        <f>IF(OR(B325="",C325="",D325=""),"",D325*100000+(C325-DATE(2000,1,1))+ROW()/100000)</f>
        <v/>
      </c>
    </row>
    <row r="326">
      <c r="A326" t="inlineStr">
        <is>
          <t>Timeline</t>
        </is>
      </c>
      <c r="B326" s="47">
        <f>'Timeline'!V131</f>
        <v/>
      </c>
      <c r="C326" s="77">
        <f>'Timeline'!T131</f>
        <v/>
      </c>
      <c r="D326" s="47">
        <f>'Timeline'!U131</f>
        <v/>
      </c>
      <c r="E326" s="47">
        <f>IF(OR(B326="",C326="",D326=""),"",D326*100000+(C326-DATE(2000,1,1))+ROW()/100000)</f>
        <v/>
      </c>
    </row>
    <row r="327">
      <c r="A327" t="inlineStr">
        <is>
          <t>Timeline</t>
        </is>
      </c>
      <c r="B327" s="47">
        <f>'Timeline'!V132</f>
        <v/>
      </c>
      <c r="C327" s="77">
        <f>'Timeline'!T132</f>
        <v/>
      </c>
      <c r="D327" s="47">
        <f>'Timeline'!U132</f>
        <v/>
      </c>
      <c r="E327" s="47">
        <f>IF(OR(B327="",C327="",D327=""),"",D327*100000+(C327-DATE(2000,1,1))+ROW()/100000)</f>
        <v/>
      </c>
    </row>
    <row r="328">
      <c r="A328" t="inlineStr">
        <is>
          <t>Timeline</t>
        </is>
      </c>
      <c r="B328" s="47">
        <f>'Timeline'!V133</f>
        <v/>
      </c>
      <c r="C328" s="77">
        <f>'Timeline'!T133</f>
        <v/>
      </c>
      <c r="D328" s="47">
        <f>'Timeline'!U133</f>
        <v/>
      </c>
      <c r="E328" s="47">
        <f>IF(OR(B328="",C328="",D328=""),"",D328*100000+(C328-DATE(2000,1,1))+ROW()/100000)</f>
        <v/>
      </c>
    </row>
    <row r="329">
      <c r="A329" t="inlineStr">
        <is>
          <t>Timeline</t>
        </is>
      </c>
      <c r="B329" s="47">
        <f>'Timeline'!V134</f>
        <v/>
      </c>
      <c r="C329" s="77">
        <f>'Timeline'!T134</f>
        <v/>
      </c>
      <c r="D329" s="47">
        <f>'Timeline'!U134</f>
        <v/>
      </c>
      <c r="E329" s="47">
        <f>IF(OR(B329="",C329="",D329=""),"",D329*100000+(C329-DATE(2000,1,1))+ROW()/100000)</f>
        <v/>
      </c>
    </row>
    <row r="330">
      <c r="A330" t="inlineStr">
        <is>
          <t>Timeline</t>
        </is>
      </c>
      <c r="B330" s="47">
        <f>'Timeline'!V135</f>
        <v/>
      </c>
      <c r="C330" s="77">
        <f>'Timeline'!T135</f>
        <v/>
      </c>
      <c r="D330" s="47">
        <f>'Timeline'!U135</f>
        <v/>
      </c>
      <c r="E330" s="47">
        <f>IF(OR(B330="",C330="",D330=""),"",D330*100000+(C330-DATE(2000,1,1))+ROW()/100000)</f>
        <v/>
      </c>
    </row>
    <row r="331">
      <c r="A331" t="inlineStr">
        <is>
          <t>Timeline</t>
        </is>
      </c>
      <c r="B331" s="47">
        <f>'Timeline'!V136</f>
        <v/>
      </c>
      <c r="C331" s="77">
        <f>'Timeline'!T136</f>
        <v/>
      </c>
      <c r="D331" s="47">
        <f>'Timeline'!U136</f>
        <v/>
      </c>
      <c r="E331" s="47">
        <f>IF(OR(B331="",C331="",D331=""),"",D331*100000+(C331-DATE(2000,1,1))+ROW()/100000)</f>
        <v/>
      </c>
    </row>
    <row r="332">
      <c r="A332" t="inlineStr">
        <is>
          <t>Timeline</t>
        </is>
      </c>
      <c r="B332" s="47">
        <f>'Timeline'!V137</f>
        <v/>
      </c>
      <c r="C332" s="77">
        <f>'Timeline'!T137</f>
        <v/>
      </c>
      <c r="D332" s="47">
        <f>'Timeline'!U137</f>
        <v/>
      </c>
      <c r="E332" s="47">
        <f>IF(OR(B332="",C332="",D332=""),"",D332*100000+(C332-DATE(2000,1,1))+ROW()/100000)</f>
        <v/>
      </c>
    </row>
    <row r="333">
      <c r="A333" t="inlineStr">
        <is>
          <t>Timeline</t>
        </is>
      </c>
      <c r="B333" s="47">
        <f>'Timeline'!V138</f>
        <v/>
      </c>
      <c r="C333" s="77">
        <f>'Timeline'!T138</f>
        <v/>
      </c>
      <c r="D333" s="47">
        <f>'Timeline'!U138</f>
        <v/>
      </c>
      <c r="E333" s="47">
        <f>IF(OR(B333="",C333="",D333=""),"",D333*100000+(C333-DATE(2000,1,1))+ROW()/100000)</f>
        <v/>
      </c>
    </row>
    <row r="334">
      <c r="A334" t="inlineStr">
        <is>
          <t>Timeline</t>
        </is>
      </c>
      <c r="B334" s="47">
        <f>'Timeline'!V139</f>
        <v/>
      </c>
      <c r="C334" s="77">
        <f>'Timeline'!T139</f>
        <v/>
      </c>
      <c r="D334" s="47">
        <f>'Timeline'!U139</f>
        <v/>
      </c>
      <c r="E334" s="47">
        <f>IF(OR(B334="",C334="",D334=""),"",D334*100000+(C334-DATE(2000,1,1))+ROW()/100000)</f>
        <v/>
      </c>
    </row>
    <row r="335">
      <c r="A335" t="inlineStr">
        <is>
          <t>Timeline</t>
        </is>
      </c>
      <c r="B335" s="47">
        <f>'Timeline'!V140</f>
        <v/>
      </c>
      <c r="C335" s="77">
        <f>'Timeline'!T140</f>
        <v/>
      </c>
      <c r="D335" s="47">
        <f>'Timeline'!U140</f>
        <v/>
      </c>
      <c r="E335" s="47">
        <f>IF(OR(B335="",C335="",D335=""),"",D335*100000+(C335-DATE(2000,1,1))+ROW()/100000)</f>
        <v/>
      </c>
    </row>
    <row r="336">
      <c r="A336" t="inlineStr">
        <is>
          <t>Timeline</t>
        </is>
      </c>
      <c r="B336" s="47">
        <f>'Timeline'!V141</f>
        <v/>
      </c>
      <c r="C336" s="77">
        <f>'Timeline'!T141</f>
        <v/>
      </c>
      <c r="D336" s="47">
        <f>'Timeline'!U141</f>
        <v/>
      </c>
      <c r="E336" s="47">
        <f>IF(OR(B336="",C336="",D336=""),"",D336*100000+(C336-DATE(2000,1,1))+ROW()/100000)</f>
        <v/>
      </c>
    </row>
    <row r="337">
      <c r="A337" t="inlineStr">
        <is>
          <t>Timeline</t>
        </is>
      </c>
      <c r="B337" s="47">
        <f>'Timeline'!V142</f>
        <v/>
      </c>
      <c r="C337" s="77">
        <f>'Timeline'!T142</f>
        <v/>
      </c>
      <c r="D337" s="47">
        <f>'Timeline'!U142</f>
        <v/>
      </c>
      <c r="E337" s="47">
        <f>IF(OR(B337="",C337="",D337=""),"",D337*100000+(C337-DATE(2000,1,1))+ROW()/100000)</f>
        <v/>
      </c>
    </row>
    <row r="338">
      <c r="A338" t="inlineStr">
        <is>
          <t>Timeline</t>
        </is>
      </c>
      <c r="B338" s="47">
        <f>'Timeline'!V143</f>
        <v/>
      </c>
      <c r="C338" s="77">
        <f>'Timeline'!T143</f>
        <v/>
      </c>
      <c r="D338" s="47">
        <f>'Timeline'!U143</f>
        <v/>
      </c>
      <c r="E338" s="47">
        <f>IF(OR(B338="",C338="",D338=""),"",D338*100000+(C338-DATE(2000,1,1))+ROW()/100000)</f>
        <v/>
      </c>
    </row>
    <row r="339">
      <c r="A339" t="inlineStr">
        <is>
          <t>Timeline</t>
        </is>
      </c>
      <c r="B339" s="47">
        <f>'Timeline'!V144</f>
        <v/>
      </c>
      <c r="C339" s="77">
        <f>'Timeline'!T144</f>
        <v/>
      </c>
      <c r="D339" s="47">
        <f>'Timeline'!U144</f>
        <v/>
      </c>
      <c r="E339" s="47">
        <f>IF(OR(B339="",C339="",D339=""),"",D339*100000+(C339-DATE(2000,1,1))+ROW()/100000)</f>
        <v/>
      </c>
    </row>
    <row r="340">
      <c r="A340" t="inlineStr">
        <is>
          <t>Timeline</t>
        </is>
      </c>
      <c r="B340" s="47">
        <f>'Timeline'!V145</f>
        <v/>
      </c>
      <c r="C340" s="77">
        <f>'Timeline'!T145</f>
        <v/>
      </c>
      <c r="D340" s="47">
        <f>'Timeline'!U145</f>
        <v/>
      </c>
      <c r="E340" s="47">
        <f>IF(OR(B340="",C340="",D340=""),"",D340*100000+(C340-DATE(2000,1,1))+ROW()/100000)</f>
        <v/>
      </c>
    </row>
    <row r="341">
      <c r="A341" t="inlineStr">
        <is>
          <t>Timeline</t>
        </is>
      </c>
      <c r="B341" s="47">
        <f>'Timeline'!V146</f>
        <v/>
      </c>
      <c r="C341" s="77">
        <f>'Timeline'!T146</f>
        <v/>
      </c>
      <c r="D341" s="47">
        <f>'Timeline'!U146</f>
        <v/>
      </c>
      <c r="E341" s="47">
        <f>IF(OR(B341="",C341="",D341=""),"",D341*100000+(C341-DATE(2000,1,1))+ROW()/100000)</f>
        <v/>
      </c>
    </row>
    <row r="342">
      <c r="A342" t="inlineStr">
        <is>
          <t>Timeline</t>
        </is>
      </c>
      <c r="B342" s="47">
        <f>'Timeline'!V147</f>
        <v/>
      </c>
      <c r="C342" s="77">
        <f>'Timeline'!T147</f>
        <v/>
      </c>
      <c r="D342" s="47">
        <f>'Timeline'!U147</f>
        <v/>
      </c>
      <c r="E342" s="47">
        <f>IF(OR(B342="",C342="",D342=""),"",D342*100000+(C342-DATE(2000,1,1))+ROW()/100000)</f>
        <v/>
      </c>
    </row>
    <row r="343">
      <c r="A343" t="inlineStr">
        <is>
          <t>Timeline</t>
        </is>
      </c>
      <c r="B343" s="47">
        <f>'Timeline'!V148</f>
        <v/>
      </c>
      <c r="C343" s="77">
        <f>'Timeline'!T148</f>
        <v/>
      </c>
      <c r="D343" s="47">
        <f>'Timeline'!U148</f>
        <v/>
      </c>
      <c r="E343" s="47">
        <f>IF(OR(B343="",C343="",D343=""),"",D343*100000+(C343-DATE(2000,1,1))+ROW()/100000)</f>
        <v/>
      </c>
    </row>
    <row r="344">
      <c r="A344" t="inlineStr">
        <is>
          <t>Timeline</t>
        </is>
      </c>
      <c r="B344" s="47">
        <f>'Timeline'!V149</f>
        <v/>
      </c>
      <c r="C344" s="77">
        <f>'Timeline'!T149</f>
        <v/>
      </c>
      <c r="D344" s="47">
        <f>'Timeline'!U149</f>
        <v/>
      </c>
      <c r="E344" s="47">
        <f>IF(OR(B344="",C344="",D344=""),"",D344*100000+(C344-DATE(2000,1,1))+ROW()/100000)</f>
        <v/>
      </c>
    </row>
    <row r="345">
      <c r="A345" t="inlineStr">
        <is>
          <t>Timeline</t>
        </is>
      </c>
      <c r="B345" s="47">
        <f>'Timeline'!V150</f>
        <v/>
      </c>
      <c r="C345" s="77">
        <f>'Timeline'!T150</f>
        <v/>
      </c>
      <c r="D345" s="47">
        <f>'Timeline'!U150</f>
        <v/>
      </c>
      <c r="E345" s="47">
        <f>IF(OR(B345="",C345="",D345=""),"",D345*100000+(C345-DATE(2000,1,1))+ROW()/100000)</f>
        <v/>
      </c>
    </row>
    <row r="346">
      <c r="A346" t="inlineStr">
        <is>
          <t>Timeline</t>
        </is>
      </c>
      <c r="B346" s="47">
        <f>'Timeline'!V151</f>
        <v/>
      </c>
      <c r="C346" s="77">
        <f>'Timeline'!T151</f>
        <v/>
      </c>
      <c r="D346" s="47">
        <f>'Timeline'!U151</f>
        <v/>
      </c>
      <c r="E346" s="47">
        <f>IF(OR(B346="",C346="",D346=""),"",D346*100000+(C346-DATE(2000,1,1))+ROW()/100000)</f>
        <v/>
      </c>
    </row>
    <row r="347">
      <c r="A347" t="inlineStr">
        <is>
          <t>Timeline</t>
        </is>
      </c>
      <c r="B347" s="47">
        <f>'Timeline'!V152</f>
        <v/>
      </c>
      <c r="C347" s="77">
        <f>'Timeline'!T152</f>
        <v/>
      </c>
      <c r="D347" s="47">
        <f>'Timeline'!U152</f>
        <v/>
      </c>
      <c r="E347" s="47">
        <f>IF(OR(B347="",C347="",D347=""),"",D347*100000+(C347-DATE(2000,1,1))+ROW()/100000)</f>
        <v/>
      </c>
    </row>
    <row r="348">
      <c r="A348" t="inlineStr">
        <is>
          <t>Timeline</t>
        </is>
      </c>
      <c r="B348" s="47">
        <f>'Timeline'!V153</f>
        <v/>
      </c>
      <c r="C348" s="77">
        <f>'Timeline'!T153</f>
        <v/>
      </c>
      <c r="D348" s="47">
        <f>'Timeline'!U153</f>
        <v/>
      </c>
      <c r="E348" s="47">
        <f>IF(OR(B348="",C348="",D348=""),"",D348*100000+(C348-DATE(2000,1,1))+ROW()/100000)</f>
        <v/>
      </c>
    </row>
    <row r="349">
      <c r="A349" t="inlineStr">
        <is>
          <t>Timeline</t>
        </is>
      </c>
      <c r="B349" s="47">
        <f>'Timeline'!V154</f>
        <v/>
      </c>
      <c r="C349" s="77">
        <f>'Timeline'!T154</f>
        <v/>
      </c>
      <c r="D349" s="47">
        <f>'Timeline'!U154</f>
        <v/>
      </c>
      <c r="E349" s="47">
        <f>IF(OR(B349="",C349="",D349=""),"",D349*100000+(C349-DATE(2000,1,1))+ROW()/100000)</f>
        <v/>
      </c>
    </row>
    <row r="350">
      <c r="A350" t="inlineStr">
        <is>
          <t>Timeline</t>
        </is>
      </c>
      <c r="B350" s="47">
        <f>'Timeline'!V155</f>
        <v/>
      </c>
      <c r="C350" s="77">
        <f>'Timeline'!T155</f>
        <v/>
      </c>
      <c r="D350" s="47">
        <f>'Timeline'!U155</f>
        <v/>
      </c>
      <c r="E350" s="47">
        <f>IF(OR(B350="",C350="",D350=""),"",D350*100000+(C350-DATE(2000,1,1))+ROW()/100000)</f>
        <v/>
      </c>
    </row>
    <row r="351">
      <c r="A351" t="inlineStr">
        <is>
          <t>Timeline</t>
        </is>
      </c>
      <c r="B351" s="47">
        <f>'Timeline'!V156</f>
        <v/>
      </c>
      <c r="C351" s="77">
        <f>'Timeline'!T156</f>
        <v/>
      </c>
      <c r="D351" s="47">
        <f>'Timeline'!U156</f>
        <v/>
      </c>
      <c r="E351" s="47">
        <f>IF(OR(B351="",C351="",D351=""),"",D351*100000+(C351-DATE(2000,1,1))+ROW()/100000)</f>
        <v/>
      </c>
    </row>
    <row r="352">
      <c r="A352" t="inlineStr">
        <is>
          <t>Contractors</t>
        </is>
      </c>
      <c r="B352" s="47">
        <f>'Contractors'!Y6</f>
        <v/>
      </c>
      <c r="C352" s="77">
        <f>'Contractors'!W6</f>
        <v/>
      </c>
      <c r="D352" s="47">
        <f>'Contractors'!X6</f>
        <v/>
      </c>
      <c r="E352" s="47">
        <f>IF(OR(B352="",C352="",D352=""),"",D352*100000+(C352-DATE(2000,1,1))+ROW()/100000)</f>
        <v/>
      </c>
    </row>
    <row r="353">
      <c r="A353" t="inlineStr">
        <is>
          <t>Contractors</t>
        </is>
      </c>
      <c r="B353" s="47">
        <f>'Contractors'!Y7</f>
        <v/>
      </c>
      <c r="C353" s="77">
        <f>'Contractors'!W7</f>
        <v/>
      </c>
      <c r="D353" s="47">
        <f>'Contractors'!X7</f>
        <v/>
      </c>
      <c r="E353" s="47">
        <f>IF(OR(B353="",C353="",D353=""),"",D353*100000+(C353-DATE(2000,1,1))+ROW()/100000)</f>
        <v/>
      </c>
    </row>
    <row r="354">
      <c r="A354" t="inlineStr">
        <is>
          <t>Contractors</t>
        </is>
      </c>
      <c r="B354" s="47">
        <f>'Contractors'!Y8</f>
        <v/>
      </c>
      <c r="C354" s="77">
        <f>'Contractors'!W8</f>
        <v/>
      </c>
      <c r="D354" s="47">
        <f>'Contractors'!X8</f>
        <v/>
      </c>
      <c r="E354" s="47">
        <f>IF(OR(B354="",C354="",D354=""),"",D354*100000+(C354-DATE(2000,1,1))+ROW()/100000)</f>
        <v/>
      </c>
    </row>
    <row r="355">
      <c r="A355" t="inlineStr">
        <is>
          <t>Contractors</t>
        </is>
      </c>
      <c r="B355" s="47">
        <f>'Contractors'!Y9</f>
        <v/>
      </c>
      <c r="C355" s="77">
        <f>'Contractors'!W9</f>
        <v/>
      </c>
      <c r="D355" s="47">
        <f>'Contractors'!X9</f>
        <v/>
      </c>
      <c r="E355" s="47">
        <f>IF(OR(B355="",C355="",D355=""),"",D355*100000+(C355-DATE(2000,1,1))+ROW()/100000)</f>
        <v/>
      </c>
    </row>
    <row r="356">
      <c r="A356" t="inlineStr">
        <is>
          <t>Contractors</t>
        </is>
      </c>
      <c r="B356" s="47">
        <f>'Contractors'!Y10</f>
        <v/>
      </c>
      <c r="C356" s="77">
        <f>'Contractors'!W10</f>
        <v/>
      </c>
      <c r="D356" s="47">
        <f>'Contractors'!X10</f>
        <v/>
      </c>
      <c r="E356" s="47">
        <f>IF(OR(B356="",C356="",D356=""),"",D356*100000+(C356-DATE(2000,1,1))+ROW()/100000)</f>
        <v/>
      </c>
    </row>
    <row r="357">
      <c r="A357" t="inlineStr">
        <is>
          <t>Contractors</t>
        </is>
      </c>
      <c r="B357" s="47">
        <f>'Contractors'!Y11</f>
        <v/>
      </c>
      <c r="C357" s="77">
        <f>'Contractors'!W11</f>
        <v/>
      </c>
      <c r="D357" s="47">
        <f>'Contractors'!X11</f>
        <v/>
      </c>
      <c r="E357" s="47">
        <f>IF(OR(B357="",C357="",D357=""),"",D357*100000+(C357-DATE(2000,1,1))+ROW()/100000)</f>
        <v/>
      </c>
    </row>
    <row r="358">
      <c r="A358" t="inlineStr">
        <is>
          <t>Contractors</t>
        </is>
      </c>
      <c r="B358" s="47">
        <f>'Contractors'!Y12</f>
        <v/>
      </c>
      <c r="C358" s="77">
        <f>'Contractors'!W12</f>
        <v/>
      </c>
      <c r="D358" s="47">
        <f>'Contractors'!X12</f>
        <v/>
      </c>
      <c r="E358" s="47">
        <f>IF(OR(B358="",C358="",D358=""),"",D358*100000+(C358-DATE(2000,1,1))+ROW()/100000)</f>
        <v/>
      </c>
    </row>
    <row r="359">
      <c r="A359" t="inlineStr">
        <is>
          <t>Contractors</t>
        </is>
      </c>
      <c r="B359" s="47">
        <f>'Contractors'!Y13</f>
        <v/>
      </c>
      <c r="C359" s="77">
        <f>'Contractors'!W13</f>
        <v/>
      </c>
      <c r="D359" s="47">
        <f>'Contractors'!X13</f>
        <v/>
      </c>
      <c r="E359" s="47">
        <f>IF(OR(B359="",C359="",D359=""),"",D359*100000+(C359-DATE(2000,1,1))+ROW()/100000)</f>
        <v/>
      </c>
    </row>
    <row r="360">
      <c r="A360" t="inlineStr">
        <is>
          <t>Contractors</t>
        </is>
      </c>
      <c r="B360" s="47">
        <f>'Contractors'!Y14</f>
        <v/>
      </c>
      <c r="C360" s="77">
        <f>'Contractors'!W14</f>
        <v/>
      </c>
      <c r="D360" s="47">
        <f>'Contractors'!X14</f>
        <v/>
      </c>
      <c r="E360" s="47">
        <f>IF(OR(B360="",C360="",D360=""),"",D360*100000+(C360-DATE(2000,1,1))+ROW()/100000)</f>
        <v/>
      </c>
    </row>
    <row r="361">
      <c r="A361" t="inlineStr">
        <is>
          <t>Contractors</t>
        </is>
      </c>
      <c r="B361" s="47">
        <f>'Contractors'!Y15</f>
        <v/>
      </c>
      <c r="C361" s="77">
        <f>'Contractors'!W15</f>
        <v/>
      </c>
      <c r="D361" s="47">
        <f>'Contractors'!X15</f>
        <v/>
      </c>
      <c r="E361" s="47">
        <f>IF(OR(B361="",C361="",D361=""),"",D361*100000+(C361-DATE(2000,1,1))+ROW()/100000)</f>
        <v/>
      </c>
    </row>
    <row r="362">
      <c r="A362" t="inlineStr">
        <is>
          <t>Contractors</t>
        </is>
      </c>
      <c r="B362" s="47">
        <f>'Contractors'!Y16</f>
        <v/>
      </c>
      <c r="C362" s="77">
        <f>'Contractors'!W16</f>
        <v/>
      </c>
      <c r="D362" s="47">
        <f>'Contractors'!X16</f>
        <v/>
      </c>
      <c r="E362" s="47">
        <f>IF(OR(B362="",C362="",D362=""),"",D362*100000+(C362-DATE(2000,1,1))+ROW()/100000)</f>
        <v/>
      </c>
    </row>
    <row r="363">
      <c r="A363" t="inlineStr">
        <is>
          <t>Contractors</t>
        </is>
      </c>
      <c r="B363" s="47">
        <f>'Contractors'!Y17</f>
        <v/>
      </c>
      <c r="C363" s="77">
        <f>'Contractors'!W17</f>
        <v/>
      </c>
      <c r="D363" s="47">
        <f>'Contractors'!X17</f>
        <v/>
      </c>
      <c r="E363" s="47">
        <f>IF(OR(B363="",C363="",D363=""),"",D363*100000+(C363-DATE(2000,1,1))+ROW()/100000)</f>
        <v/>
      </c>
    </row>
    <row r="364">
      <c r="A364" t="inlineStr">
        <is>
          <t>Contractors</t>
        </is>
      </c>
      <c r="B364" s="47">
        <f>'Contractors'!Y18</f>
        <v/>
      </c>
      <c r="C364" s="77">
        <f>'Contractors'!W18</f>
        <v/>
      </c>
      <c r="D364" s="47">
        <f>'Contractors'!X18</f>
        <v/>
      </c>
      <c r="E364" s="47">
        <f>IF(OR(B364="",C364="",D364=""),"",D364*100000+(C364-DATE(2000,1,1))+ROW()/100000)</f>
        <v/>
      </c>
    </row>
    <row r="365">
      <c r="A365" t="inlineStr">
        <is>
          <t>Contractors</t>
        </is>
      </c>
      <c r="B365" s="47">
        <f>'Contractors'!Y19</f>
        <v/>
      </c>
      <c r="C365" s="77">
        <f>'Contractors'!W19</f>
        <v/>
      </c>
      <c r="D365" s="47">
        <f>'Contractors'!X19</f>
        <v/>
      </c>
      <c r="E365" s="47">
        <f>IF(OR(B365="",C365="",D365=""),"",D365*100000+(C365-DATE(2000,1,1))+ROW()/100000)</f>
        <v/>
      </c>
    </row>
    <row r="366">
      <c r="A366" t="inlineStr">
        <is>
          <t>Contractors</t>
        </is>
      </c>
      <c r="B366" s="47">
        <f>'Contractors'!Y20</f>
        <v/>
      </c>
      <c r="C366" s="77">
        <f>'Contractors'!W20</f>
        <v/>
      </c>
      <c r="D366" s="47">
        <f>'Contractors'!X20</f>
        <v/>
      </c>
      <c r="E366" s="47">
        <f>IF(OR(B366="",C366="",D366=""),"",D366*100000+(C366-DATE(2000,1,1))+ROW()/100000)</f>
        <v/>
      </c>
    </row>
    <row r="367">
      <c r="A367" t="inlineStr">
        <is>
          <t>Contractors</t>
        </is>
      </c>
      <c r="B367" s="47">
        <f>'Contractors'!Y21</f>
        <v/>
      </c>
      <c r="C367" s="77">
        <f>'Contractors'!W21</f>
        <v/>
      </c>
      <c r="D367" s="47">
        <f>'Contractors'!X21</f>
        <v/>
      </c>
      <c r="E367" s="47">
        <f>IF(OR(B367="",C367="",D367=""),"",D367*100000+(C367-DATE(2000,1,1))+ROW()/100000)</f>
        <v/>
      </c>
    </row>
    <row r="368">
      <c r="A368" t="inlineStr">
        <is>
          <t>Contractors</t>
        </is>
      </c>
      <c r="B368" s="47">
        <f>'Contractors'!Y22</f>
        <v/>
      </c>
      <c r="C368" s="77">
        <f>'Contractors'!W22</f>
        <v/>
      </c>
      <c r="D368" s="47">
        <f>'Contractors'!X22</f>
        <v/>
      </c>
      <c r="E368" s="47">
        <f>IF(OR(B368="",C368="",D368=""),"",D368*100000+(C368-DATE(2000,1,1))+ROW()/100000)</f>
        <v/>
      </c>
    </row>
    <row r="369">
      <c r="A369" t="inlineStr">
        <is>
          <t>Contractors</t>
        </is>
      </c>
      <c r="B369" s="47">
        <f>'Contractors'!Y23</f>
        <v/>
      </c>
      <c r="C369" s="77">
        <f>'Contractors'!W23</f>
        <v/>
      </c>
      <c r="D369" s="47">
        <f>'Contractors'!X23</f>
        <v/>
      </c>
      <c r="E369" s="47">
        <f>IF(OR(B369="",C369="",D369=""),"",D369*100000+(C369-DATE(2000,1,1))+ROW()/100000)</f>
        <v/>
      </c>
    </row>
    <row r="370">
      <c r="A370" t="inlineStr">
        <is>
          <t>Contractors</t>
        </is>
      </c>
      <c r="B370" s="47">
        <f>'Contractors'!Y24</f>
        <v/>
      </c>
      <c r="C370" s="77">
        <f>'Contractors'!W24</f>
        <v/>
      </c>
      <c r="D370" s="47">
        <f>'Contractors'!X24</f>
        <v/>
      </c>
      <c r="E370" s="47">
        <f>IF(OR(B370="",C370="",D370=""),"",D370*100000+(C370-DATE(2000,1,1))+ROW()/100000)</f>
        <v/>
      </c>
    </row>
    <row r="371">
      <c r="A371" t="inlineStr">
        <is>
          <t>Contractors</t>
        </is>
      </c>
      <c r="B371" s="47">
        <f>'Contractors'!Y25</f>
        <v/>
      </c>
      <c r="C371" s="77">
        <f>'Contractors'!W25</f>
        <v/>
      </c>
      <c r="D371" s="47">
        <f>'Contractors'!X25</f>
        <v/>
      </c>
      <c r="E371" s="47">
        <f>IF(OR(B371="",C371="",D371=""),"",D371*100000+(C371-DATE(2000,1,1))+ROW()/100000)</f>
        <v/>
      </c>
    </row>
    <row r="372">
      <c r="A372" t="inlineStr">
        <is>
          <t>Contractors</t>
        </is>
      </c>
      <c r="B372" s="47">
        <f>'Contractors'!Y26</f>
        <v/>
      </c>
      <c r="C372" s="77">
        <f>'Contractors'!W26</f>
        <v/>
      </c>
      <c r="D372" s="47">
        <f>'Contractors'!X26</f>
        <v/>
      </c>
      <c r="E372" s="47">
        <f>IF(OR(B372="",C372="",D372=""),"",D372*100000+(C372-DATE(2000,1,1))+ROW()/100000)</f>
        <v/>
      </c>
    </row>
    <row r="373">
      <c r="A373" t="inlineStr">
        <is>
          <t>Contractors</t>
        </is>
      </c>
      <c r="B373" s="47">
        <f>'Contractors'!Y27</f>
        <v/>
      </c>
      <c r="C373" s="77">
        <f>'Contractors'!W27</f>
        <v/>
      </c>
      <c r="D373" s="47">
        <f>'Contractors'!X27</f>
        <v/>
      </c>
      <c r="E373" s="47">
        <f>IF(OR(B373="",C373="",D373=""),"",D373*100000+(C373-DATE(2000,1,1))+ROW()/100000)</f>
        <v/>
      </c>
    </row>
    <row r="374">
      <c r="A374" t="inlineStr">
        <is>
          <t>Contractors</t>
        </is>
      </c>
      <c r="B374" s="47">
        <f>'Contractors'!Y28</f>
        <v/>
      </c>
      <c r="C374" s="77">
        <f>'Contractors'!W28</f>
        <v/>
      </c>
      <c r="D374" s="47">
        <f>'Contractors'!X28</f>
        <v/>
      </c>
      <c r="E374" s="47">
        <f>IF(OR(B374="",C374="",D374=""),"",D374*100000+(C374-DATE(2000,1,1))+ROW()/100000)</f>
        <v/>
      </c>
    </row>
    <row r="375">
      <c r="A375" t="inlineStr">
        <is>
          <t>Contractors</t>
        </is>
      </c>
      <c r="B375" s="47">
        <f>'Contractors'!Y29</f>
        <v/>
      </c>
      <c r="C375" s="77">
        <f>'Contractors'!W29</f>
        <v/>
      </c>
      <c r="D375" s="47">
        <f>'Contractors'!X29</f>
        <v/>
      </c>
      <c r="E375" s="47">
        <f>IF(OR(B375="",C375="",D375=""),"",D375*100000+(C375-DATE(2000,1,1))+ROW()/100000)</f>
        <v/>
      </c>
    </row>
    <row r="376">
      <c r="A376" t="inlineStr">
        <is>
          <t>Contractors</t>
        </is>
      </c>
      <c r="B376" s="47">
        <f>'Contractors'!Y30</f>
        <v/>
      </c>
      <c r="C376" s="77">
        <f>'Contractors'!W30</f>
        <v/>
      </c>
      <c r="D376" s="47">
        <f>'Contractors'!X30</f>
        <v/>
      </c>
      <c r="E376" s="47">
        <f>IF(OR(B376="",C376="",D376=""),"",D376*100000+(C376-DATE(2000,1,1))+ROW()/100000)</f>
        <v/>
      </c>
    </row>
    <row r="377">
      <c r="A377" t="inlineStr">
        <is>
          <t>Contractors</t>
        </is>
      </c>
      <c r="B377" s="47">
        <f>'Contractors'!Y31</f>
        <v/>
      </c>
      <c r="C377" s="77">
        <f>'Contractors'!W31</f>
        <v/>
      </c>
      <c r="D377" s="47">
        <f>'Contractors'!X31</f>
        <v/>
      </c>
      <c r="E377" s="47">
        <f>IF(OR(B377="",C377="",D377=""),"",D377*100000+(C377-DATE(2000,1,1))+ROW()/100000)</f>
        <v/>
      </c>
    </row>
    <row r="378">
      <c r="A378" t="inlineStr">
        <is>
          <t>Contractors</t>
        </is>
      </c>
      <c r="B378" s="47">
        <f>'Contractors'!Y32</f>
        <v/>
      </c>
      <c r="C378" s="77">
        <f>'Contractors'!W32</f>
        <v/>
      </c>
      <c r="D378" s="47">
        <f>'Contractors'!X32</f>
        <v/>
      </c>
      <c r="E378" s="47">
        <f>IF(OR(B378="",C378="",D378=""),"",D378*100000+(C378-DATE(2000,1,1))+ROW()/100000)</f>
        <v/>
      </c>
    </row>
    <row r="379">
      <c r="A379" t="inlineStr">
        <is>
          <t>Contractors</t>
        </is>
      </c>
      <c r="B379" s="47">
        <f>'Contractors'!Y33</f>
        <v/>
      </c>
      <c r="C379" s="77">
        <f>'Contractors'!W33</f>
        <v/>
      </c>
      <c r="D379" s="47">
        <f>'Contractors'!X33</f>
        <v/>
      </c>
      <c r="E379" s="47">
        <f>IF(OR(B379="",C379="",D379=""),"",D379*100000+(C379-DATE(2000,1,1))+ROW()/100000)</f>
        <v/>
      </c>
    </row>
    <row r="380">
      <c r="A380" t="inlineStr">
        <is>
          <t>Contractors</t>
        </is>
      </c>
      <c r="B380" s="47">
        <f>'Contractors'!Y34</f>
        <v/>
      </c>
      <c r="C380" s="77">
        <f>'Contractors'!W34</f>
        <v/>
      </c>
      <c r="D380" s="47">
        <f>'Contractors'!X34</f>
        <v/>
      </c>
      <c r="E380" s="47">
        <f>IF(OR(B380="",C380="",D380=""),"",D380*100000+(C380-DATE(2000,1,1))+ROW()/100000)</f>
        <v/>
      </c>
    </row>
    <row r="381">
      <c r="A381" t="inlineStr">
        <is>
          <t>Contractors</t>
        </is>
      </c>
      <c r="B381" s="47">
        <f>'Contractors'!Y35</f>
        <v/>
      </c>
      <c r="C381" s="77">
        <f>'Contractors'!W35</f>
        <v/>
      </c>
      <c r="D381" s="47">
        <f>'Contractors'!X35</f>
        <v/>
      </c>
      <c r="E381" s="47">
        <f>IF(OR(B381="",C381="",D381=""),"",D381*100000+(C381-DATE(2000,1,1))+ROW()/100000)</f>
        <v/>
      </c>
    </row>
    <row r="382">
      <c r="A382" t="inlineStr">
        <is>
          <t>Contractors</t>
        </is>
      </c>
      <c r="B382" s="47">
        <f>'Contractors'!Y41</f>
        <v/>
      </c>
      <c r="C382" s="77">
        <f>'Contractors'!W41</f>
        <v/>
      </c>
      <c r="D382" s="47">
        <f>'Contractors'!X41</f>
        <v/>
      </c>
      <c r="E382" s="47">
        <f>IF(OR(B382="",C382="",D382=""),"",D382*100000+(C382-DATE(2000,1,1))+ROW()/100000)</f>
        <v/>
      </c>
    </row>
    <row r="383">
      <c r="A383" t="inlineStr">
        <is>
          <t>Contractors</t>
        </is>
      </c>
      <c r="B383" s="47">
        <f>'Contractors'!Y42</f>
        <v/>
      </c>
      <c r="C383" s="77">
        <f>'Contractors'!W42</f>
        <v/>
      </c>
      <c r="D383" s="47">
        <f>'Contractors'!X42</f>
        <v/>
      </c>
      <c r="E383" s="47">
        <f>IF(OR(B383="",C383="",D383=""),"",D383*100000+(C383-DATE(2000,1,1))+ROW()/100000)</f>
        <v/>
      </c>
    </row>
    <row r="384">
      <c r="A384" t="inlineStr">
        <is>
          <t>Contractors</t>
        </is>
      </c>
      <c r="B384" s="47">
        <f>'Contractors'!Y43</f>
        <v/>
      </c>
      <c r="C384" s="77">
        <f>'Contractors'!W43</f>
        <v/>
      </c>
      <c r="D384" s="47">
        <f>'Contractors'!X43</f>
        <v/>
      </c>
      <c r="E384" s="47">
        <f>IF(OR(B384="",C384="",D384=""),"",D384*100000+(C384-DATE(2000,1,1))+ROW()/100000)</f>
        <v/>
      </c>
    </row>
    <row r="385">
      <c r="A385" t="inlineStr">
        <is>
          <t>Contractors</t>
        </is>
      </c>
      <c r="B385" s="47">
        <f>'Contractors'!Y44</f>
        <v/>
      </c>
      <c r="C385" s="77">
        <f>'Contractors'!W44</f>
        <v/>
      </c>
      <c r="D385" s="47">
        <f>'Contractors'!X44</f>
        <v/>
      </c>
      <c r="E385" s="47">
        <f>IF(OR(B385="",C385="",D385=""),"",D385*100000+(C385-DATE(2000,1,1))+ROW()/100000)</f>
        <v/>
      </c>
    </row>
    <row r="386">
      <c r="A386" t="inlineStr">
        <is>
          <t>Contractors</t>
        </is>
      </c>
      <c r="B386" s="47">
        <f>'Contractors'!Y45</f>
        <v/>
      </c>
      <c r="C386" s="77">
        <f>'Contractors'!W45</f>
        <v/>
      </c>
      <c r="D386" s="47">
        <f>'Contractors'!X45</f>
        <v/>
      </c>
      <c r="E386" s="47">
        <f>IF(OR(B386="",C386="",D386=""),"",D386*100000+(C386-DATE(2000,1,1))+ROW()/100000)</f>
        <v/>
      </c>
    </row>
    <row r="387">
      <c r="A387" t="inlineStr">
        <is>
          <t>Contractors</t>
        </is>
      </c>
      <c r="B387" s="47">
        <f>'Contractors'!Y46</f>
        <v/>
      </c>
      <c r="C387" s="77">
        <f>'Contractors'!W46</f>
        <v/>
      </c>
      <c r="D387" s="47">
        <f>'Contractors'!X46</f>
        <v/>
      </c>
      <c r="E387" s="47">
        <f>IF(OR(B387="",C387="",D387=""),"",D387*100000+(C387-DATE(2000,1,1))+ROW()/100000)</f>
        <v/>
      </c>
    </row>
    <row r="388">
      <c r="A388" t="inlineStr">
        <is>
          <t>Contractors</t>
        </is>
      </c>
      <c r="B388" s="47">
        <f>'Contractors'!Y47</f>
        <v/>
      </c>
      <c r="C388" s="77">
        <f>'Contractors'!W47</f>
        <v/>
      </c>
      <c r="D388" s="47">
        <f>'Contractors'!X47</f>
        <v/>
      </c>
      <c r="E388" s="47">
        <f>IF(OR(B388="",C388="",D388=""),"",D388*100000+(C388-DATE(2000,1,1))+ROW()/100000)</f>
        <v/>
      </c>
    </row>
    <row r="389">
      <c r="A389" t="inlineStr">
        <is>
          <t>Contractors</t>
        </is>
      </c>
      <c r="B389" s="47">
        <f>'Contractors'!Y48</f>
        <v/>
      </c>
      <c r="C389" s="77">
        <f>'Contractors'!W48</f>
        <v/>
      </c>
      <c r="D389" s="47">
        <f>'Contractors'!X48</f>
        <v/>
      </c>
      <c r="E389" s="47">
        <f>IF(OR(B389="",C389="",D389=""),"",D389*100000+(C389-DATE(2000,1,1))+ROW()/100000)</f>
        <v/>
      </c>
    </row>
    <row r="390">
      <c r="A390" t="inlineStr">
        <is>
          <t>Contractors</t>
        </is>
      </c>
      <c r="B390" s="47">
        <f>'Contractors'!Y49</f>
        <v/>
      </c>
      <c r="C390" s="77">
        <f>'Contractors'!W49</f>
        <v/>
      </c>
      <c r="D390" s="47">
        <f>'Contractors'!X49</f>
        <v/>
      </c>
      <c r="E390" s="47">
        <f>IF(OR(B390="",C390="",D390=""),"",D390*100000+(C390-DATE(2000,1,1))+ROW()/100000)</f>
        <v/>
      </c>
    </row>
    <row r="391">
      <c r="A391" t="inlineStr">
        <is>
          <t>Contractors</t>
        </is>
      </c>
      <c r="B391" s="47">
        <f>'Contractors'!Y50</f>
        <v/>
      </c>
      <c r="C391" s="77">
        <f>'Contractors'!W50</f>
        <v/>
      </c>
      <c r="D391" s="47">
        <f>'Contractors'!X50</f>
        <v/>
      </c>
      <c r="E391" s="47">
        <f>IF(OR(B391="",C391="",D391=""),"",D391*100000+(C391-DATE(2000,1,1))+ROW()/100000)</f>
        <v/>
      </c>
    </row>
    <row r="392">
      <c r="A392" t="inlineStr">
        <is>
          <t>Contractors</t>
        </is>
      </c>
      <c r="B392" s="47">
        <f>'Contractors'!Y51</f>
        <v/>
      </c>
      <c r="C392" s="77">
        <f>'Contractors'!W51</f>
        <v/>
      </c>
      <c r="D392" s="47">
        <f>'Contractors'!X51</f>
        <v/>
      </c>
      <c r="E392" s="47">
        <f>IF(OR(B392="",C392="",D392=""),"",D392*100000+(C392-DATE(2000,1,1))+ROW()/100000)</f>
        <v/>
      </c>
    </row>
    <row r="393">
      <c r="A393" t="inlineStr">
        <is>
          <t>Contractors</t>
        </is>
      </c>
      <c r="B393" s="47">
        <f>'Contractors'!Y52</f>
        <v/>
      </c>
      <c r="C393" s="77">
        <f>'Contractors'!W52</f>
        <v/>
      </c>
      <c r="D393" s="47">
        <f>'Contractors'!X52</f>
        <v/>
      </c>
      <c r="E393" s="47">
        <f>IF(OR(B393="",C393="",D393=""),"",D393*100000+(C393-DATE(2000,1,1))+ROW()/100000)</f>
        <v/>
      </c>
    </row>
    <row r="394">
      <c r="A394" t="inlineStr">
        <is>
          <t>Contractors</t>
        </is>
      </c>
      <c r="B394" s="47">
        <f>'Contractors'!Y53</f>
        <v/>
      </c>
      <c r="C394" s="77">
        <f>'Contractors'!W53</f>
        <v/>
      </c>
      <c r="D394" s="47">
        <f>'Contractors'!X53</f>
        <v/>
      </c>
      <c r="E394" s="47">
        <f>IF(OR(B394="",C394="",D394=""),"",D394*100000+(C394-DATE(2000,1,1))+ROW()/100000)</f>
        <v/>
      </c>
    </row>
    <row r="395">
      <c r="A395" t="inlineStr">
        <is>
          <t>Contractors</t>
        </is>
      </c>
      <c r="B395" s="47">
        <f>'Contractors'!Y54</f>
        <v/>
      </c>
      <c r="C395" s="77">
        <f>'Contractors'!W54</f>
        <v/>
      </c>
      <c r="D395" s="47">
        <f>'Contractors'!X54</f>
        <v/>
      </c>
      <c r="E395" s="47">
        <f>IF(OR(B395="",C395="",D395=""),"",D395*100000+(C395-DATE(2000,1,1))+ROW()/100000)</f>
        <v/>
      </c>
    </row>
    <row r="396">
      <c r="A396" t="inlineStr">
        <is>
          <t>Contractors</t>
        </is>
      </c>
      <c r="B396" s="47">
        <f>'Contractors'!Y55</f>
        <v/>
      </c>
      <c r="C396" s="77">
        <f>'Contractors'!W55</f>
        <v/>
      </c>
      <c r="D396" s="47">
        <f>'Contractors'!X55</f>
        <v/>
      </c>
      <c r="E396" s="47">
        <f>IF(OR(B396="",C396="",D396=""),"",D396*100000+(C396-DATE(2000,1,1))+ROW()/100000)</f>
        <v/>
      </c>
    </row>
    <row r="397">
      <c r="A397" t="inlineStr">
        <is>
          <t>Contractors</t>
        </is>
      </c>
      <c r="B397" s="47">
        <f>'Contractors'!Y56</f>
        <v/>
      </c>
      <c r="C397" s="77">
        <f>'Contractors'!W56</f>
        <v/>
      </c>
      <c r="D397" s="47">
        <f>'Contractors'!X56</f>
        <v/>
      </c>
      <c r="E397" s="47">
        <f>IF(OR(B397="",C397="",D397=""),"",D397*100000+(C397-DATE(2000,1,1))+ROW()/100000)</f>
        <v/>
      </c>
    </row>
    <row r="398">
      <c r="A398" t="inlineStr">
        <is>
          <t>Contractors</t>
        </is>
      </c>
      <c r="B398" s="47">
        <f>'Contractors'!Y57</f>
        <v/>
      </c>
      <c r="C398" s="77">
        <f>'Contractors'!W57</f>
        <v/>
      </c>
      <c r="D398" s="47">
        <f>'Contractors'!X57</f>
        <v/>
      </c>
      <c r="E398" s="47">
        <f>IF(OR(B398="",C398="",D398=""),"",D398*100000+(C398-DATE(2000,1,1))+ROW()/100000)</f>
        <v/>
      </c>
    </row>
    <row r="399">
      <c r="A399" t="inlineStr">
        <is>
          <t>Contractors</t>
        </is>
      </c>
      <c r="B399" s="47">
        <f>'Contractors'!Y58</f>
        <v/>
      </c>
      <c r="C399" s="77">
        <f>'Contractors'!W58</f>
        <v/>
      </c>
      <c r="D399" s="47">
        <f>'Contractors'!X58</f>
        <v/>
      </c>
      <c r="E399" s="47">
        <f>IF(OR(B399="",C399="",D399=""),"",D399*100000+(C399-DATE(2000,1,1))+ROW()/100000)</f>
        <v/>
      </c>
    </row>
    <row r="400">
      <c r="A400" t="inlineStr">
        <is>
          <t>Contractors</t>
        </is>
      </c>
      <c r="B400" s="47">
        <f>'Contractors'!Y59</f>
        <v/>
      </c>
      <c r="C400" s="77">
        <f>'Contractors'!W59</f>
        <v/>
      </c>
      <c r="D400" s="47">
        <f>'Contractors'!X59</f>
        <v/>
      </c>
      <c r="E400" s="47">
        <f>IF(OR(B400="",C400="",D400=""),"",D400*100000+(C400-DATE(2000,1,1))+ROW()/100000)</f>
        <v/>
      </c>
    </row>
    <row r="401">
      <c r="A401" t="inlineStr">
        <is>
          <t>Contractors</t>
        </is>
      </c>
      <c r="B401" s="47">
        <f>'Contractors'!Y60</f>
        <v/>
      </c>
      <c r="C401" s="77">
        <f>'Contractors'!W60</f>
        <v/>
      </c>
      <c r="D401" s="47">
        <f>'Contractors'!X60</f>
        <v/>
      </c>
      <c r="E401" s="47">
        <f>IF(OR(B401="",C401="",D401=""),"",D401*100000+(C401-DATE(2000,1,1))+ROW()/100000)</f>
        <v/>
      </c>
    </row>
    <row r="402">
      <c r="A402" t="inlineStr">
        <is>
          <t>Contractors</t>
        </is>
      </c>
      <c r="B402" s="47">
        <f>'Contractors'!Y61</f>
        <v/>
      </c>
      <c r="C402" s="77">
        <f>'Contractors'!W61</f>
        <v/>
      </c>
      <c r="D402" s="47">
        <f>'Contractors'!X61</f>
        <v/>
      </c>
      <c r="E402" s="47">
        <f>IF(OR(B402="",C402="",D402=""),"",D402*100000+(C402-DATE(2000,1,1))+ROW()/100000)</f>
        <v/>
      </c>
    </row>
    <row r="403">
      <c r="A403" t="inlineStr">
        <is>
          <t>Contractors</t>
        </is>
      </c>
      <c r="B403" s="47">
        <f>'Contractors'!Y62</f>
        <v/>
      </c>
      <c r="C403" s="77">
        <f>'Contractors'!W62</f>
        <v/>
      </c>
      <c r="D403" s="47">
        <f>'Contractors'!X62</f>
        <v/>
      </c>
      <c r="E403" s="47">
        <f>IF(OR(B403="",C403="",D403=""),"",D403*100000+(C403-DATE(2000,1,1))+ROW()/100000)</f>
        <v/>
      </c>
    </row>
    <row r="404">
      <c r="A404" t="inlineStr">
        <is>
          <t>Contractors</t>
        </is>
      </c>
      <c r="B404" s="47">
        <f>'Contractors'!Y63</f>
        <v/>
      </c>
      <c r="C404" s="77">
        <f>'Contractors'!W63</f>
        <v/>
      </c>
      <c r="D404" s="47">
        <f>'Contractors'!X63</f>
        <v/>
      </c>
      <c r="E404" s="47">
        <f>IF(OR(B404="",C404="",D404=""),"",D404*100000+(C404-DATE(2000,1,1))+ROW()/100000)</f>
        <v/>
      </c>
    </row>
    <row r="405">
      <c r="A405" t="inlineStr">
        <is>
          <t>Contractors</t>
        </is>
      </c>
      <c r="B405" s="47">
        <f>'Contractors'!Y64</f>
        <v/>
      </c>
      <c r="C405" s="77">
        <f>'Contractors'!W64</f>
        <v/>
      </c>
      <c r="D405" s="47">
        <f>'Contractors'!X64</f>
        <v/>
      </c>
      <c r="E405" s="47">
        <f>IF(OR(B405="",C405="",D405=""),"",D405*100000+(C405-DATE(2000,1,1))+ROW()/100000)</f>
        <v/>
      </c>
    </row>
    <row r="406">
      <c r="A406" t="inlineStr">
        <is>
          <t>Contractors</t>
        </is>
      </c>
      <c r="B406" s="47">
        <f>'Contractors'!Y65</f>
        <v/>
      </c>
      <c r="C406" s="77">
        <f>'Contractors'!W65</f>
        <v/>
      </c>
      <c r="D406" s="47">
        <f>'Contractors'!X65</f>
        <v/>
      </c>
      <c r="E406" s="47">
        <f>IF(OR(B406="",C406="",D406=""),"",D406*100000+(C406-DATE(2000,1,1))+ROW()/100000)</f>
        <v/>
      </c>
    </row>
    <row r="407">
      <c r="A407" t="inlineStr">
        <is>
          <t>Contractors</t>
        </is>
      </c>
      <c r="B407" s="47">
        <f>'Contractors'!Y66</f>
        <v/>
      </c>
      <c r="C407" s="77">
        <f>'Contractors'!W66</f>
        <v/>
      </c>
      <c r="D407" s="47">
        <f>'Contractors'!X66</f>
        <v/>
      </c>
      <c r="E407" s="47">
        <f>IF(OR(B407="",C407="",D407=""),"",D407*100000+(C407-DATE(2000,1,1))+ROW()/100000)</f>
        <v/>
      </c>
    </row>
    <row r="408">
      <c r="A408" t="inlineStr">
        <is>
          <t>Contractors</t>
        </is>
      </c>
      <c r="B408" s="47">
        <f>'Contractors'!Y67</f>
        <v/>
      </c>
      <c r="C408" s="77">
        <f>'Contractors'!W67</f>
        <v/>
      </c>
      <c r="D408" s="47">
        <f>'Contractors'!X67</f>
        <v/>
      </c>
      <c r="E408" s="47">
        <f>IF(OR(B408="",C408="",D408=""),"",D408*100000+(C408-DATE(2000,1,1))+ROW()/100000)</f>
        <v/>
      </c>
    </row>
    <row r="409">
      <c r="A409" t="inlineStr">
        <is>
          <t>Contractors</t>
        </is>
      </c>
      <c r="B409" s="47">
        <f>'Contractors'!Y68</f>
        <v/>
      </c>
      <c r="C409" s="77">
        <f>'Contractors'!W68</f>
        <v/>
      </c>
      <c r="D409" s="47">
        <f>'Contractors'!X68</f>
        <v/>
      </c>
      <c r="E409" s="47">
        <f>IF(OR(B409="",C409="",D409=""),"",D409*100000+(C409-DATE(2000,1,1))+ROW()/100000)</f>
        <v/>
      </c>
    </row>
    <row r="410">
      <c r="A410" t="inlineStr">
        <is>
          <t>Contractors</t>
        </is>
      </c>
      <c r="B410" s="47">
        <f>'Contractors'!Y69</f>
        <v/>
      </c>
      <c r="C410" s="77">
        <f>'Contractors'!W69</f>
        <v/>
      </c>
      <c r="D410" s="47">
        <f>'Contractors'!X69</f>
        <v/>
      </c>
      <c r="E410" s="47">
        <f>IF(OR(B410="",C410="",D410=""),"",D410*100000+(C410-DATE(2000,1,1))+ROW()/100000)</f>
        <v/>
      </c>
    </row>
    <row r="411">
      <c r="A411" t="inlineStr">
        <is>
          <t>Contractors</t>
        </is>
      </c>
      <c r="B411" s="47">
        <f>'Contractors'!Y70</f>
        <v/>
      </c>
      <c r="C411" s="77">
        <f>'Contractors'!W70</f>
        <v/>
      </c>
      <c r="D411" s="47">
        <f>'Contractors'!X70</f>
        <v/>
      </c>
      <c r="E411" s="47">
        <f>IF(OR(B411="",C411="",D411=""),"",D411*100000+(C411-DATE(2000,1,1))+ROW()/100000)</f>
        <v/>
      </c>
    </row>
    <row r="412">
      <c r="A412" t="inlineStr">
        <is>
          <t>Contractors</t>
        </is>
      </c>
      <c r="B412" s="47">
        <f>'Contractors'!Y71</f>
        <v/>
      </c>
      <c r="C412" s="77">
        <f>'Contractors'!W71</f>
        <v/>
      </c>
      <c r="D412" s="47">
        <f>'Contractors'!X71</f>
        <v/>
      </c>
      <c r="E412" s="47">
        <f>IF(OR(B412="",C412="",D412=""),"",D412*100000+(C412-DATE(2000,1,1))+ROW()/100000)</f>
        <v/>
      </c>
    </row>
    <row r="413">
      <c r="A413" t="inlineStr">
        <is>
          <t>Contractors</t>
        </is>
      </c>
      <c r="B413" s="47">
        <f>'Contractors'!Y72</f>
        <v/>
      </c>
      <c r="C413" s="77">
        <f>'Contractors'!W72</f>
        <v/>
      </c>
      <c r="D413" s="47">
        <f>'Contractors'!X72</f>
        <v/>
      </c>
      <c r="E413" s="47">
        <f>IF(OR(B413="",C413="",D413=""),"",D413*100000+(C413-DATE(2000,1,1))+ROW()/100000)</f>
        <v/>
      </c>
    </row>
    <row r="414">
      <c r="A414" t="inlineStr">
        <is>
          <t>Contractors</t>
        </is>
      </c>
      <c r="B414" s="47">
        <f>'Contractors'!Y73</f>
        <v/>
      </c>
      <c r="C414" s="77">
        <f>'Contractors'!W73</f>
        <v/>
      </c>
      <c r="D414" s="47">
        <f>'Contractors'!X73</f>
        <v/>
      </c>
      <c r="E414" s="47">
        <f>IF(OR(B414="",C414="",D414=""),"",D414*100000+(C414-DATE(2000,1,1))+ROW()/100000)</f>
        <v/>
      </c>
    </row>
    <row r="415">
      <c r="A415" t="inlineStr">
        <is>
          <t>Contractors</t>
        </is>
      </c>
      <c r="B415" s="47">
        <f>'Contractors'!Y74</f>
        <v/>
      </c>
      <c r="C415" s="77">
        <f>'Contractors'!W74</f>
        <v/>
      </c>
      <c r="D415" s="47">
        <f>'Contractors'!X74</f>
        <v/>
      </c>
      <c r="E415" s="47">
        <f>IF(OR(B415="",C415="",D415=""),"",D415*100000+(C415-DATE(2000,1,1))+ROW()/100000)</f>
        <v/>
      </c>
    </row>
    <row r="416">
      <c r="A416" t="inlineStr">
        <is>
          <t>Contractors</t>
        </is>
      </c>
      <c r="B416" s="47">
        <f>'Contractors'!Y75</f>
        <v/>
      </c>
      <c r="C416" s="77">
        <f>'Contractors'!W75</f>
        <v/>
      </c>
      <c r="D416" s="47">
        <f>'Contractors'!X75</f>
        <v/>
      </c>
      <c r="E416" s="47">
        <f>IF(OR(B416="",C416="",D416=""),"",D416*100000+(C416-DATE(2000,1,1))+ROW()/100000)</f>
        <v/>
      </c>
    </row>
    <row r="417">
      <c r="A417" t="inlineStr">
        <is>
          <t>Contractors</t>
        </is>
      </c>
      <c r="B417" s="47">
        <f>'Contractors'!Y76</f>
        <v/>
      </c>
      <c r="C417" s="77">
        <f>'Contractors'!W76</f>
        <v/>
      </c>
      <c r="D417" s="47">
        <f>'Contractors'!X76</f>
        <v/>
      </c>
      <c r="E417" s="47">
        <f>IF(OR(B417="",C417="",D417=""),"",D417*100000+(C417-DATE(2000,1,1))+ROW()/100000)</f>
        <v/>
      </c>
    </row>
    <row r="418">
      <c r="A418" t="inlineStr">
        <is>
          <t>Contractors</t>
        </is>
      </c>
      <c r="B418" s="47">
        <f>'Contractors'!Y77</f>
        <v/>
      </c>
      <c r="C418" s="77">
        <f>'Contractors'!W77</f>
        <v/>
      </c>
      <c r="D418" s="47">
        <f>'Contractors'!X77</f>
        <v/>
      </c>
      <c r="E418" s="47">
        <f>IF(OR(B418="",C418="",D418=""),"",D418*100000+(C418-DATE(2000,1,1))+ROW()/100000)</f>
        <v/>
      </c>
    </row>
    <row r="419">
      <c r="A419" t="inlineStr">
        <is>
          <t>Contractors</t>
        </is>
      </c>
      <c r="B419" s="47">
        <f>'Contractors'!Y78</f>
        <v/>
      </c>
      <c r="C419" s="77">
        <f>'Contractors'!W78</f>
        <v/>
      </c>
      <c r="D419" s="47">
        <f>'Contractors'!X78</f>
        <v/>
      </c>
      <c r="E419" s="47">
        <f>IF(OR(B419="",C419="",D419=""),"",D419*100000+(C419-DATE(2000,1,1))+ROW()/100000)</f>
        <v/>
      </c>
    </row>
    <row r="420">
      <c r="A420" t="inlineStr">
        <is>
          <t>Contractors</t>
        </is>
      </c>
      <c r="B420" s="47">
        <f>'Contractors'!Y79</f>
        <v/>
      </c>
      <c r="C420" s="77">
        <f>'Contractors'!W79</f>
        <v/>
      </c>
      <c r="D420" s="47">
        <f>'Contractors'!X79</f>
        <v/>
      </c>
      <c r="E420" s="47">
        <f>IF(OR(B420="",C420="",D420=""),"",D420*100000+(C420-DATE(2000,1,1))+ROW()/100000)</f>
        <v/>
      </c>
    </row>
    <row r="421">
      <c r="A421" t="inlineStr">
        <is>
          <t>Contractors</t>
        </is>
      </c>
      <c r="B421" s="47">
        <f>'Contractors'!Y80</f>
        <v/>
      </c>
      <c r="C421" s="77">
        <f>'Contractors'!W80</f>
        <v/>
      </c>
      <c r="D421" s="47">
        <f>'Contractors'!X80</f>
        <v/>
      </c>
      <c r="E421" s="47">
        <f>IF(OR(B421="",C421="",D421=""),"",D421*100000+(C421-DATE(2000,1,1))+ROW()/100000)</f>
        <v/>
      </c>
    </row>
    <row r="422">
      <c r="A422" t="inlineStr">
        <is>
          <t>Contractors</t>
        </is>
      </c>
      <c r="B422" s="47">
        <f>'Contractors'!Y81</f>
        <v/>
      </c>
      <c r="C422" s="77">
        <f>'Contractors'!W81</f>
        <v/>
      </c>
      <c r="D422" s="47">
        <f>'Contractors'!X81</f>
        <v/>
      </c>
      <c r="E422" s="47">
        <f>IF(OR(B422="",C422="",D422=""),"",D422*100000+(C422-DATE(2000,1,1))+ROW()/100000)</f>
        <v/>
      </c>
    </row>
    <row r="423">
      <c r="A423" t="inlineStr">
        <is>
          <t>Contractors</t>
        </is>
      </c>
      <c r="B423" s="47">
        <f>'Contractors'!Y82</f>
        <v/>
      </c>
      <c r="C423" s="77">
        <f>'Contractors'!W82</f>
        <v/>
      </c>
      <c r="D423" s="47">
        <f>'Contractors'!X82</f>
        <v/>
      </c>
      <c r="E423" s="47">
        <f>IF(OR(B423="",C423="",D423=""),"",D423*100000+(C423-DATE(2000,1,1))+ROW()/100000)</f>
        <v/>
      </c>
    </row>
    <row r="424">
      <c r="A424" t="inlineStr">
        <is>
          <t>Contractors</t>
        </is>
      </c>
      <c r="B424" s="47">
        <f>'Contractors'!Y83</f>
        <v/>
      </c>
      <c r="C424" s="77">
        <f>'Contractors'!W83</f>
        <v/>
      </c>
      <c r="D424" s="47">
        <f>'Contractors'!X83</f>
        <v/>
      </c>
      <c r="E424" s="47">
        <f>IF(OR(B424="",C424="",D424=""),"",D424*100000+(C424-DATE(2000,1,1))+ROW()/100000)</f>
        <v/>
      </c>
    </row>
    <row r="425">
      <c r="A425" t="inlineStr">
        <is>
          <t>Contractors</t>
        </is>
      </c>
      <c r="B425" s="47">
        <f>'Contractors'!Y84</f>
        <v/>
      </c>
      <c r="C425" s="77">
        <f>'Contractors'!W84</f>
        <v/>
      </c>
      <c r="D425" s="47">
        <f>'Contractors'!X84</f>
        <v/>
      </c>
      <c r="E425" s="47">
        <f>IF(OR(B425="",C425="",D425=""),"",D425*100000+(C425-DATE(2000,1,1))+ROW()/100000)</f>
        <v/>
      </c>
    </row>
    <row r="426">
      <c r="A426" t="inlineStr">
        <is>
          <t>Contractors</t>
        </is>
      </c>
      <c r="B426" s="47">
        <f>'Contractors'!Y85</f>
        <v/>
      </c>
      <c r="C426" s="77">
        <f>'Contractors'!W85</f>
        <v/>
      </c>
      <c r="D426" s="47">
        <f>'Contractors'!X85</f>
        <v/>
      </c>
      <c r="E426" s="47">
        <f>IF(OR(B426="",C426="",D426=""),"",D426*100000+(C426-DATE(2000,1,1))+ROW()/100000)</f>
        <v/>
      </c>
    </row>
    <row r="427">
      <c r="A427" t="inlineStr">
        <is>
          <t>Contractors</t>
        </is>
      </c>
      <c r="B427" s="47">
        <f>'Contractors'!Y86</f>
        <v/>
      </c>
      <c r="C427" s="77">
        <f>'Contractors'!W86</f>
        <v/>
      </c>
      <c r="D427" s="47">
        <f>'Contractors'!X86</f>
        <v/>
      </c>
      <c r="E427" s="47">
        <f>IF(OR(B427="",C427="",D427=""),"",D427*100000+(C427-DATE(2000,1,1))+ROW()/100000)</f>
        <v/>
      </c>
    </row>
    <row r="428">
      <c r="A428" t="inlineStr">
        <is>
          <t>Contractors</t>
        </is>
      </c>
      <c r="B428" s="47">
        <f>'Contractors'!Y87</f>
        <v/>
      </c>
      <c r="C428" s="77">
        <f>'Contractors'!W87</f>
        <v/>
      </c>
      <c r="D428" s="47">
        <f>'Contractors'!X87</f>
        <v/>
      </c>
      <c r="E428" s="47">
        <f>IF(OR(B428="",C428="",D428=""),"",D428*100000+(C428-DATE(2000,1,1))+ROW()/100000)</f>
        <v/>
      </c>
    </row>
    <row r="429">
      <c r="A429" t="inlineStr">
        <is>
          <t>Contractors</t>
        </is>
      </c>
      <c r="B429" s="47">
        <f>'Contractors'!Y88</f>
        <v/>
      </c>
      <c r="C429" s="77">
        <f>'Contractors'!W88</f>
        <v/>
      </c>
      <c r="D429" s="47">
        <f>'Contractors'!X88</f>
        <v/>
      </c>
      <c r="E429" s="47">
        <f>IF(OR(B429="",C429="",D429=""),"",D429*100000+(C429-DATE(2000,1,1))+ROW()/100000)</f>
        <v/>
      </c>
    </row>
    <row r="430">
      <c r="A430" t="inlineStr">
        <is>
          <t>Contractors</t>
        </is>
      </c>
      <c r="B430" s="47">
        <f>'Contractors'!Y89</f>
        <v/>
      </c>
      <c r="C430" s="77">
        <f>'Contractors'!W89</f>
        <v/>
      </c>
      <c r="D430" s="47">
        <f>'Contractors'!X89</f>
        <v/>
      </c>
      <c r="E430" s="47">
        <f>IF(OR(B430="",C430="",D430=""),"",D430*100000+(C430-DATE(2000,1,1))+ROW()/100000)</f>
        <v/>
      </c>
    </row>
    <row r="431">
      <c r="A431" t="inlineStr">
        <is>
          <t>Contractors</t>
        </is>
      </c>
      <c r="B431" s="47">
        <f>'Contractors'!Y90</f>
        <v/>
      </c>
      <c r="C431" s="77">
        <f>'Contractors'!W90</f>
        <v/>
      </c>
      <c r="D431" s="47">
        <f>'Contractors'!X90</f>
        <v/>
      </c>
      <c r="E431" s="47">
        <f>IF(OR(B431="",C431="",D431=""),"",D431*100000+(C431-DATE(2000,1,1))+ROW()/100000)</f>
        <v/>
      </c>
    </row>
    <row r="432">
      <c r="A432" t="inlineStr">
        <is>
          <t>Contractors</t>
        </is>
      </c>
      <c r="B432" s="47">
        <f>'Contractors'!Y91</f>
        <v/>
      </c>
      <c r="C432" s="77">
        <f>'Contractors'!W91</f>
        <v/>
      </c>
      <c r="D432" s="47">
        <f>'Contractors'!X91</f>
        <v/>
      </c>
      <c r="E432" s="47">
        <f>IF(OR(B432="",C432="",D432=""),"",D432*100000+(C432-DATE(2000,1,1))+ROW()/100000)</f>
        <v/>
      </c>
    </row>
    <row r="433">
      <c r="A433" t="inlineStr">
        <is>
          <t>Contractors</t>
        </is>
      </c>
      <c r="B433" s="47">
        <f>'Contractors'!Y92</f>
        <v/>
      </c>
      <c r="C433" s="77">
        <f>'Contractors'!W92</f>
        <v/>
      </c>
      <c r="D433" s="47">
        <f>'Contractors'!X92</f>
        <v/>
      </c>
      <c r="E433" s="47">
        <f>IF(OR(B433="",C433="",D433=""),"",D433*100000+(C433-DATE(2000,1,1))+ROW()/100000)</f>
        <v/>
      </c>
    </row>
    <row r="434">
      <c r="A434" t="inlineStr">
        <is>
          <t>Contractors</t>
        </is>
      </c>
      <c r="B434" s="47">
        <f>'Contractors'!Y93</f>
        <v/>
      </c>
      <c r="C434" s="77">
        <f>'Contractors'!W93</f>
        <v/>
      </c>
      <c r="D434" s="47">
        <f>'Contractors'!X93</f>
        <v/>
      </c>
      <c r="E434" s="47">
        <f>IF(OR(B434="",C434="",D434=""),"",D434*100000+(C434-DATE(2000,1,1))+ROW()/100000)</f>
        <v/>
      </c>
    </row>
    <row r="435">
      <c r="A435" t="inlineStr">
        <is>
          <t>Contractors</t>
        </is>
      </c>
      <c r="B435" s="47">
        <f>'Contractors'!Y94</f>
        <v/>
      </c>
      <c r="C435" s="77">
        <f>'Contractors'!W94</f>
        <v/>
      </c>
      <c r="D435" s="47">
        <f>'Contractors'!X94</f>
        <v/>
      </c>
      <c r="E435" s="47">
        <f>IF(OR(B435="",C435="",D435=""),"",D435*100000+(C435-DATE(2000,1,1))+ROW()/100000)</f>
        <v/>
      </c>
    </row>
    <row r="436">
      <c r="A436" t="inlineStr">
        <is>
          <t>Contractors</t>
        </is>
      </c>
      <c r="B436" s="47">
        <f>'Contractors'!Y95</f>
        <v/>
      </c>
      <c r="C436" s="77">
        <f>'Contractors'!W95</f>
        <v/>
      </c>
      <c r="D436" s="47">
        <f>'Contractors'!X95</f>
        <v/>
      </c>
      <c r="E436" s="47">
        <f>IF(OR(B436="",C436="",D436=""),"",D436*100000+(C436-DATE(2000,1,1))+ROW()/100000)</f>
        <v/>
      </c>
    </row>
    <row r="437">
      <c r="A437" t="inlineStr">
        <is>
          <t>Contractors</t>
        </is>
      </c>
      <c r="B437" s="47">
        <f>'Contractors'!Y96</f>
        <v/>
      </c>
      <c r="C437" s="77">
        <f>'Contractors'!W96</f>
        <v/>
      </c>
      <c r="D437" s="47">
        <f>'Contractors'!X96</f>
        <v/>
      </c>
      <c r="E437" s="47">
        <f>IF(OR(B437="",C437="",D437=""),"",D437*100000+(C437-DATE(2000,1,1))+ROW()/100000)</f>
        <v/>
      </c>
    </row>
    <row r="438">
      <c r="A438" t="inlineStr">
        <is>
          <t>Contractors</t>
        </is>
      </c>
      <c r="B438" s="47">
        <f>'Contractors'!Y97</f>
        <v/>
      </c>
      <c r="C438" s="77">
        <f>'Contractors'!W97</f>
        <v/>
      </c>
      <c r="D438" s="47">
        <f>'Contractors'!X97</f>
        <v/>
      </c>
      <c r="E438" s="47">
        <f>IF(OR(B438="",C438="",D438=""),"",D438*100000+(C438-DATE(2000,1,1))+ROW()/100000)</f>
        <v/>
      </c>
    </row>
    <row r="439">
      <c r="A439" t="inlineStr">
        <is>
          <t>Contractors</t>
        </is>
      </c>
      <c r="B439" s="47">
        <f>'Contractors'!Y98</f>
        <v/>
      </c>
      <c r="C439" s="77">
        <f>'Contractors'!W98</f>
        <v/>
      </c>
      <c r="D439" s="47">
        <f>'Contractors'!X98</f>
        <v/>
      </c>
      <c r="E439" s="47">
        <f>IF(OR(B439="",C439="",D439=""),"",D439*100000+(C439-DATE(2000,1,1))+ROW()/100000)</f>
        <v/>
      </c>
    </row>
    <row r="440">
      <c r="A440" t="inlineStr">
        <is>
          <t>Contractors</t>
        </is>
      </c>
      <c r="B440" s="47">
        <f>'Contractors'!Y99</f>
        <v/>
      </c>
      <c r="C440" s="77">
        <f>'Contractors'!W99</f>
        <v/>
      </c>
      <c r="D440" s="47">
        <f>'Contractors'!X99</f>
        <v/>
      </c>
      <c r="E440" s="47">
        <f>IF(OR(B440="",C440="",D440=""),"",D440*100000+(C440-DATE(2000,1,1))+ROW()/100000)</f>
        <v/>
      </c>
    </row>
    <row r="441">
      <c r="A441" t="inlineStr">
        <is>
          <t>Contractors</t>
        </is>
      </c>
      <c r="B441" s="47">
        <f>'Contractors'!Y100</f>
        <v/>
      </c>
      <c r="C441" s="77">
        <f>'Contractors'!W100</f>
        <v/>
      </c>
      <c r="D441" s="47">
        <f>'Contractors'!X100</f>
        <v/>
      </c>
      <c r="E441" s="47">
        <f>IF(OR(B441="",C441="",D441=""),"",D441*100000+(C441-DATE(2000,1,1))+ROW()/100000)</f>
        <v/>
      </c>
    </row>
    <row r="442">
      <c r="A442" t="inlineStr">
        <is>
          <t>Contractors</t>
        </is>
      </c>
      <c r="B442" s="47">
        <f>'Contractors'!Y101</f>
        <v/>
      </c>
      <c r="C442" s="77">
        <f>'Contractors'!W101</f>
        <v/>
      </c>
      <c r="D442" s="47">
        <f>'Contractors'!X101</f>
        <v/>
      </c>
      <c r="E442" s="47">
        <f>IF(OR(B442="",C442="",D442=""),"",D442*100000+(C442-DATE(2000,1,1))+ROW()/100000)</f>
        <v/>
      </c>
    </row>
    <row r="443">
      <c r="A443" t="inlineStr">
        <is>
          <t>Contractors</t>
        </is>
      </c>
      <c r="B443" s="47">
        <f>'Contractors'!Y102</f>
        <v/>
      </c>
      <c r="C443" s="77">
        <f>'Contractors'!W102</f>
        <v/>
      </c>
      <c r="D443" s="47">
        <f>'Contractors'!X102</f>
        <v/>
      </c>
      <c r="E443" s="47">
        <f>IF(OR(B443="",C443="",D443=""),"",D443*100000+(C443-DATE(2000,1,1))+ROW()/100000)</f>
        <v/>
      </c>
    </row>
    <row r="444">
      <c r="A444" t="inlineStr">
        <is>
          <t>Contractors</t>
        </is>
      </c>
      <c r="B444" s="47">
        <f>'Contractors'!Y103</f>
        <v/>
      </c>
      <c r="C444" s="77">
        <f>'Contractors'!W103</f>
        <v/>
      </c>
      <c r="D444" s="47">
        <f>'Contractors'!X103</f>
        <v/>
      </c>
      <c r="E444" s="47">
        <f>IF(OR(B444="",C444="",D444=""),"",D444*100000+(C444-DATE(2000,1,1))+ROW()/100000)</f>
        <v/>
      </c>
    </row>
    <row r="445">
      <c r="A445" t="inlineStr">
        <is>
          <t>Contractors</t>
        </is>
      </c>
      <c r="B445" s="47">
        <f>'Contractors'!Y104</f>
        <v/>
      </c>
      <c r="C445" s="77">
        <f>'Contractors'!W104</f>
        <v/>
      </c>
      <c r="D445" s="47">
        <f>'Contractors'!X104</f>
        <v/>
      </c>
      <c r="E445" s="47">
        <f>IF(OR(B445="",C445="",D445=""),"",D445*100000+(C445-DATE(2000,1,1))+ROW()/100000)</f>
        <v/>
      </c>
    </row>
    <row r="446">
      <c r="A446" t="inlineStr">
        <is>
          <t>Contractors</t>
        </is>
      </c>
      <c r="B446" s="47">
        <f>'Contractors'!Y105</f>
        <v/>
      </c>
      <c r="C446" s="77">
        <f>'Contractors'!W105</f>
        <v/>
      </c>
      <c r="D446" s="47">
        <f>'Contractors'!X105</f>
        <v/>
      </c>
      <c r="E446" s="47">
        <f>IF(OR(B446="",C446="",D446=""),"",D446*100000+(C446-DATE(2000,1,1))+ROW()/100000)</f>
        <v/>
      </c>
    </row>
    <row r="447">
      <c r="A447" t="inlineStr">
        <is>
          <t>Contractors</t>
        </is>
      </c>
      <c r="B447" s="47">
        <f>'Contractors'!Y106</f>
        <v/>
      </c>
      <c r="C447" s="77">
        <f>'Contractors'!W106</f>
        <v/>
      </c>
      <c r="D447" s="47">
        <f>'Contractors'!X106</f>
        <v/>
      </c>
      <c r="E447" s="47">
        <f>IF(OR(B447="",C447="",D447=""),"",D447*100000+(C447-DATE(2000,1,1))+ROW()/100000)</f>
        <v/>
      </c>
    </row>
    <row r="448">
      <c r="A448" t="inlineStr">
        <is>
          <t>Contractors</t>
        </is>
      </c>
      <c r="B448" s="47">
        <f>'Contractors'!Y107</f>
        <v/>
      </c>
      <c r="C448" s="77">
        <f>'Contractors'!W107</f>
        <v/>
      </c>
      <c r="D448" s="47">
        <f>'Contractors'!X107</f>
        <v/>
      </c>
      <c r="E448" s="47">
        <f>IF(OR(B448="",C448="",D448=""),"",D448*100000+(C448-DATE(2000,1,1))+ROW()/100000)</f>
        <v/>
      </c>
    </row>
    <row r="449">
      <c r="A449" t="inlineStr">
        <is>
          <t>Contractors</t>
        </is>
      </c>
      <c r="B449" s="47">
        <f>'Contractors'!Y108</f>
        <v/>
      </c>
      <c r="C449" s="77">
        <f>'Contractors'!W108</f>
        <v/>
      </c>
      <c r="D449" s="47">
        <f>'Contractors'!X108</f>
        <v/>
      </c>
      <c r="E449" s="47">
        <f>IF(OR(B449="",C449="",D449=""),"",D449*100000+(C449-DATE(2000,1,1))+ROW()/100000)</f>
        <v/>
      </c>
    </row>
    <row r="450">
      <c r="A450" t="inlineStr">
        <is>
          <t>Contractors</t>
        </is>
      </c>
      <c r="B450" s="47">
        <f>'Contractors'!Y109</f>
        <v/>
      </c>
      <c r="C450" s="77">
        <f>'Contractors'!W109</f>
        <v/>
      </c>
      <c r="D450" s="47">
        <f>'Contractors'!X109</f>
        <v/>
      </c>
      <c r="E450" s="47">
        <f>IF(OR(B450="",C450="",D450=""),"",D450*100000+(C450-DATE(2000,1,1))+ROW()/100000)</f>
        <v/>
      </c>
    </row>
    <row r="451">
      <c r="A451" t="inlineStr">
        <is>
          <t>Contractors</t>
        </is>
      </c>
      <c r="B451" s="47">
        <f>'Contractors'!Y110</f>
        <v/>
      </c>
      <c r="C451" s="77">
        <f>'Contractors'!W110</f>
        <v/>
      </c>
      <c r="D451" s="47">
        <f>'Contractors'!X110</f>
        <v/>
      </c>
      <c r="E451" s="47">
        <f>IF(OR(B451="",C451="",D451=""),"",D451*100000+(C451-DATE(2000,1,1))+ROW()/100000)</f>
        <v/>
      </c>
    </row>
    <row r="452">
      <c r="A452" t="inlineStr">
        <is>
          <t>Contractors</t>
        </is>
      </c>
      <c r="B452" s="47">
        <f>'Contractors'!Y111</f>
        <v/>
      </c>
      <c r="C452" s="77">
        <f>'Contractors'!W111</f>
        <v/>
      </c>
      <c r="D452" s="47">
        <f>'Contractors'!X111</f>
        <v/>
      </c>
      <c r="E452" s="47">
        <f>IF(OR(B452="",C452="",D452=""),"",D452*100000+(C452-DATE(2000,1,1))+ROW()/100000)</f>
        <v/>
      </c>
    </row>
    <row r="453">
      <c r="A453" t="inlineStr">
        <is>
          <t>Contractors</t>
        </is>
      </c>
      <c r="B453" s="47">
        <f>'Contractors'!Y112</f>
        <v/>
      </c>
      <c r="C453" s="77">
        <f>'Contractors'!W112</f>
        <v/>
      </c>
      <c r="D453" s="47">
        <f>'Contractors'!X112</f>
        <v/>
      </c>
      <c r="E453" s="47">
        <f>IF(OR(B453="",C453="",D453=""),"",D453*100000+(C453-DATE(2000,1,1))+ROW()/100000)</f>
        <v/>
      </c>
    </row>
    <row r="454">
      <c r="A454" t="inlineStr">
        <is>
          <t>Contractors</t>
        </is>
      </c>
      <c r="B454" s="47">
        <f>'Contractors'!Y113</f>
        <v/>
      </c>
      <c r="C454" s="77">
        <f>'Contractors'!W113</f>
        <v/>
      </c>
      <c r="D454" s="47">
        <f>'Contractors'!X113</f>
        <v/>
      </c>
      <c r="E454" s="47">
        <f>IF(OR(B454="",C454="",D454=""),"",D454*100000+(C454-DATE(2000,1,1))+ROW()/100000)</f>
        <v/>
      </c>
    </row>
    <row r="455">
      <c r="A455" t="inlineStr">
        <is>
          <t>Contractors</t>
        </is>
      </c>
      <c r="B455" s="47">
        <f>'Contractors'!Y114</f>
        <v/>
      </c>
      <c r="C455" s="77">
        <f>'Contractors'!W114</f>
        <v/>
      </c>
      <c r="D455" s="47">
        <f>'Contractors'!X114</f>
        <v/>
      </c>
      <c r="E455" s="47">
        <f>IF(OR(B455="",C455="",D455=""),"",D455*100000+(C455-DATE(2000,1,1))+ROW()/100000)</f>
        <v/>
      </c>
    </row>
    <row r="456">
      <c r="A456" t="inlineStr">
        <is>
          <t>Contractors</t>
        </is>
      </c>
      <c r="B456" s="47">
        <f>'Contractors'!Y115</f>
        <v/>
      </c>
      <c r="C456" s="77">
        <f>'Contractors'!W115</f>
        <v/>
      </c>
      <c r="D456" s="47">
        <f>'Contractors'!X115</f>
        <v/>
      </c>
      <c r="E456" s="47">
        <f>IF(OR(B456="",C456="",D456=""),"",D456*100000+(C456-DATE(2000,1,1))+ROW()/100000)</f>
        <v/>
      </c>
    </row>
    <row r="457">
      <c r="A457" t="inlineStr">
        <is>
          <t>Contractors</t>
        </is>
      </c>
      <c r="B457" s="47">
        <f>'Contractors'!Y116</f>
        <v/>
      </c>
      <c r="C457" s="77">
        <f>'Contractors'!W116</f>
        <v/>
      </c>
      <c r="D457" s="47">
        <f>'Contractors'!X116</f>
        <v/>
      </c>
      <c r="E457" s="47">
        <f>IF(OR(B457="",C457="",D457=""),"",D457*100000+(C457-DATE(2000,1,1))+ROW()/100000)</f>
        <v/>
      </c>
    </row>
    <row r="458">
      <c r="A458" t="inlineStr">
        <is>
          <t>Contractors</t>
        </is>
      </c>
      <c r="B458" s="47">
        <f>'Contractors'!Y117</f>
        <v/>
      </c>
      <c r="C458" s="77">
        <f>'Contractors'!W117</f>
        <v/>
      </c>
      <c r="D458" s="47">
        <f>'Contractors'!X117</f>
        <v/>
      </c>
      <c r="E458" s="47">
        <f>IF(OR(B458="",C458="",D458=""),"",D458*100000+(C458-DATE(2000,1,1))+ROW()/100000)</f>
        <v/>
      </c>
    </row>
    <row r="459">
      <c r="A459" t="inlineStr">
        <is>
          <t>Contractors</t>
        </is>
      </c>
      <c r="B459" s="47">
        <f>'Contractors'!Y118</f>
        <v/>
      </c>
      <c r="C459" s="77">
        <f>'Contractors'!W118</f>
        <v/>
      </c>
      <c r="D459" s="47">
        <f>'Contractors'!X118</f>
        <v/>
      </c>
      <c r="E459" s="47">
        <f>IF(OR(B459="",C459="",D459=""),"",D459*100000+(C459-DATE(2000,1,1))+ROW()/100000)</f>
        <v/>
      </c>
    </row>
    <row r="460">
      <c r="A460" t="inlineStr">
        <is>
          <t>Contractors</t>
        </is>
      </c>
      <c r="B460" s="47">
        <f>'Contractors'!Y119</f>
        <v/>
      </c>
      <c r="C460" s="77">
        <f>'Contractors'!W119</f>
        <v/>
      </c>
      <c r="D460" s="47">
        <f>'Contractors'!X119</f>
        <v/>
      </c>
      <c r="E460" s="47">
        <f>IF(OR(B460="",C460="",D460=""),"",D460*100000+(C460-DATE(2000,1,1))+ROW()/100000)</f>
        <v/>
      </c>
    </row>
    <row r="461">
      <c r="A461" t="inlineStr">
        <is>
          <t>Contractors</t>
        </is>
      </c>
      <c r="B461" s="47">
        <f>'Contractors'!Y120</f>
        <v/>
      </c>
      <c r="C461" s="77">
        <f>'Contractors'!W120</f>
        <v/>
      </c>
      <c r="D461" s="47">
        <f>'Contractors'!X120</f>
        <v/>
      </c>
      <c r="E461" s="47">
        <f>IF(OR(B461="",C461="",D461=""),"",D461*100000+(C461-DATE(2000,1,1))+ROW()/100000)</f>
        <v/>
      </c>
    </row>
    <row r="462">
      <c r="A462" t="inlineStr">
        <is>
          <t>Contractors</t>
        </is>
      </c>
      <c r="B462" s="47">
        <f>'Contractors'!Y121</f>
        <v/>
      </c>
      <c r="C462" s="77">
        <f>'Contractors'!W121</f>
        <v/>
      </c>
      <c r="D462" s="47">
        <f>'Contractors'!X121</f>
        <v/>
      </c>
      <c r="E462" s="47">
        <f>IF(OR(B462="",C462="",D462=""),"",D462*100000+(C462-DATE(2000,1,1))+ROW()/100000)</f>
        <v/>
      </c>
    </row>
    <row r="463">
      <c r="A463" t="inlineStr">
        <is>
          <t>Contractors</t>
        </is>
      </c>
      <c r="B463" s="47">
        <f>'Contractors'!Y122</f>
        <v/>
      </c>
      <c r="C463" s="77">
        <f>'Contractors'!W122</f>
        <v/>
      </c>
      <c r="D463" s="47">
        <f>'Contractors'!X122</f>
        <v/>
      </c>
      <c r="E463" s="47">
        <f>IF(OR(B463="",C463="",D463=""),"",D463*100000+(C463-DATE(2000,1,1))+ROW()/100000)</f>
        <v/>
      </c>
    </row>
    <row r="464">
      <c r="A464" t="inlineStr">
        <is>
          <t>Contractors</t>
        </is>
      </c>
      <c r="B464" s="47">
        <f>'Contractors'!Y123</f>
        <v/>
      </c>
      <c r="C464" s="77">
        <f>'Contractors'!W123</f>
        <v/>
      </c>
      <c r="D464" s="47">
        <f>'Contractors'!X123</f>
        <v/>
      </c>
      <c r="E464" s="47">
        <f>IF(OR(B464="",C464="",D464=""),"",D464*100000+(C464-DATE(2000,1,1))+ROW()/100000)</f>
        <v/>
      </c>
    </row>
    <row r="465">
      <c r="A465" t="inlineStr">
        <is>
          <t>Contractors</t>
        </is>
      </c>
      <c r="B465" s="47">
        <f>'Contractors'!Y124</f>
        <v/>
      </c>
      <c r="C465" s="77">
        <f>'Contractors'!W124</f>
        <v/>
      </c>
      <c r="D465" s="47">
        <f>'Contractors'!X124</f>
        <v/>
      </c>
      <c r="E465" s="47">
        <f>IF(OR(B465="",C465="",D465=""),"",D465*100000+(C465-DATE(2000,1,1))+ROW()/100000)</f>
        <v/>
      </c>
    </row>
    <row r="466">
      <c r="A466" t="inlineStr">
        <is>
          <t>Contractors</t>
        </is>
      </c>
      <c r="B466" s="47">
        <f>'Contractors'!Y125</f>
        <v/>
      </c>
      <c r="C466" s="77">
        <f>'Contractors'!W125</f>
        <v/>
      </c>
      <c r="D466" s="47">
        <f>'Contractors'!X125</f>
        <v/>
      </c>
      <c r="E466" s="47">
        <f>IF(OR(B466="",C466="",D466=""),"",D466*100000+(C466-DATE(2000,1,1))+ROW()/100000)</f>
        <v/>
      </c>
    </row>
    <row r="467">
      <c r="A467" t="inlineStr">
        <is>
          <t>Contractors</t>
        </is>
      </c>
      <c r="B467" s="47">
        <f>'Contractors'!Y126</f>
        <v/>
      </c>
      <c r="C467" s="77">
        <f>'Contractors'!W126</f>
        <v/>
      </c>
      <c r="D467" s="47">
        <f>'Contractors'!X126</f>
        <v/>
      </c>
      <c r="E467" s="47">
        <f>IF(OR(B467="",C467="",D467=""),"",D467*100000+(C467-DATE(2000,1,1))+ROW()/100000)</f>
        <v/>
      </c>
    </row>
    <row r="468">
      <c r="A468" t="inlineStr">
        <is>
          <t>Contractors</t>
        </is>
      </c>
      <c r="B468" s="47">
        <f>'Contractors'!Y127</f>
        <v/>
      </c>
      <c r="C468" s="77">
        <f>'Contractors'!W127</f>
        <v/>
      </c>
      <c r="D468" s="47">
        <f>'Contractors'!X127</f>
        <v/>
      </c>
      <c r="E468" s="47">
        <f>IF(OR(B468="",C468="",D468=""),"",D468*100000+(C468-DATE(2000,1,1))+ROW()/100000)</f>
        <v/>
      </c>
    </row>
    <row r="469">
      <c r="A469" t="inlineStr">
        <is>
          <t>Contractors</t>
        </is>
      </c>
      <c r="B469" s="47">
        <f>'Contractors'!Y128</f>
        <v/>
      </c>
      <c r="C469" s="77">
        <f>'Contractors'!W128</f>
        <v/>
      </c>
      <c r="D469" s="47">
        <f>'Contractors'!X128</f>
        <v/>
      </c>
      <c r="E469" s="47">
        <f>IF(OR(B469="",C469="",D469=""),"",D469*100000+(C469-DATE(2000,1,1))+ROW()/100000)</f>
        <v/>
      </c>
    </row>
    <row r="470">
      <c r="A470" t="inlineStr">
        <is>
          <t>Contractors</t>
        </is>
      </c>
      <c r="B470" s="47">
        <f>'Contractors'!Y129</f>
        <v/>
      </c>
      <c r="C470" s="77">
        <f>'Contractors'!W129</f>
        <v/>
      </c>
      <c r="D470" s="47">
        <f>'Contractors'!X129</f>
        <v/>
      </c>
      <c r="E470" s="47">
        <f>IF(OR(B470="",C470="",D470=""),"",D470*100000+(C470-DATE(2000,1,1))+ROW()/100000)</f>
        <v/>
      </c>
    </row>
    <row r="471">
      <c r="A471" t="inlineStr">
        <is>
          <t>Contractors</t>
        </is>
      </c>
      <c r="B471" s="47">
        <f>'Contractors'!Y130</f>
        <v/>
      </c>
      <c r="C471" s="77">
        <f>'Contractors'!W130</f>
        <v/>
      </c>
      <c r="D471" s="47">
        <f>'Contractors'!X130</f>
        <v/>
      </c>
      <c r="E471" s="47">
        <f>IF(OR(B471="",C471="",D471=""),"",D471*100000+(C471-DATE(2000,1,1))+ROW()/100000)</f>
        <v/>
      </c>
    </row>
    <row r="472">
      <c r="A472" t="inlineStr">
        <is>
          <t>Contractors</t>
        </is>
      </c>
      <c r="B472" s="47">
        <f>'Contractors'!Y131</f>
        <v/>
      </c>
      <c r="C472" s="77">
        <f>'Contractors'!W131</f>
        <v/>
      </c>
      <c r="D472" s="47">
        <f>'Contractors'!X131</f>
        <v/>
      </c>
      <c r="E472" s="47">
        <f>IF(OR(B472="",C472="",D472=""),"",D472*100000+(C472-DATE(2000,1,1))+ROW()/100000)</f>
        <v/>
      </c>
    </row>
    <row r="473">
      <c r="A473" t="inlineStr">
        <is>
          <t>Contractors</t>
        </is>
      </c>
      <c r="B473" s="47">
        <f>'Contractors'!Y132</f>
        <v/>
      </c>
      <c r="C473" s="77">
        <f>'Contractors'!W132</f>
        <v/>
      </c>
      <c r="D473" s="47">
        <f>'Contractors'!X132</f>
        <v/>
      </c>
      <c r="E473" s="47">
        <f>IF(OR(B473="",C473="",D473=""),"",D473*100000+(C473-DATE(2000,1,1))+ROW()/100000)</f>
        <v/>
      </c>
    </row>
    <row r="474">
      <c r="A474" t="inlineStr">
        <is>
          <t>Contractors</t>
        </is>
      </c>
      <c r="B474" s="47">
        <f>'Contractors'!Y133</f>
        <v/>
      </c>
      <c r="C474" s="77">
        <f>'Contractors'!W133</f>
        <v/>
      </c>
      <c r="D474" s="47">
        <f>'Contractors'!X133</f>
        <v/>
      </c>
      <c r="E474" s="47">
        <f>IF(OR(B474="",C474="",D474=""),"",D474*100000+(C474-DATE(2000,1,1))+ROW()/100000)</f>
        <v/>
      </c>
    </row>
    <row r="475">
      <c r="A475" t="inlineStr">
        <is>
          <t>Contractors</t>
        </is>
      </c>
      <c r="B475" s="47">
        <f>'Contractors'!Y134</f>
        <v/>
      </c>
      <c r="C475" s="77">
        <f>'Contractors'!W134</f>
        <v/>
      </c>
      <c r="D475" s="47">
        <f>'Contractors'!X134</f>
        <v/>
      </c>
      <c r="E475" s="47">
        <f>IF(OR(B475="",C475="",D475=""),"",D475*100000+(C475-DATE(2000,1,1))+ROW()/100000)</f>
        <v/>
      </c>
    </row>
    <row r="476">
      <c r="A476" t="inlineStr">
        <is>
          <t>Contractors</t>
        </is>
      </c>
      <c r="B476" s="47">
        <f>'Contractors'!Y135</f>
        <v/>
      </c>
      <c r="C476" s="77">
        <f>'Contractors'!W135</f>
        <v/>
      </c>
      <c r="D476" s="47">
        <f>'Contractors'!X135</f>
        <v/>
      </c>
      <c r="E476" s="47">
        <f>IF(OR(B476="",C476="",D476=""),"",D476*100000+(C476-DATE(2000,1,1))+ROW()/100000)</f>
        <v/>
      </c>
    </row>
    <row r="477">
      <c r="A477" t="inlineStr">
        <is>
          <t>Contractors</t>
        </is>
      </c>
      <c r="B477" s="47">
        <f>'Contractors'!Y136</f>
        <v/>
      </c>
      <c r="C477" s="77">
        <f>'Contractors'!W136</f>
        <v/>
      </c>
      <c r="D477" s="47">
        <f>'Contractors'!X136</f>
        <v/>
      </c>
      <c r="E477" s="47">
        <f>IF(OR(B477="",C477="",D477=""),"",D477*100000+(C477-DATE(2000,1,1))+ROW()/100000)</f>
        <v/>
      </c>
    </row>
    <row r="478">
      <c r="A478" t="inlineStr">
        <is>
          <t>Contractors</t>
        </is>
      </c>
      <c r="B478" s="47">
        <f>'Contractors'!Y137</f>
        <v/>
      </c>
      <c r="C478" s="77">
        <f>'Contractors'!W137</f>
        <v/>
      </c>
      <c r="D478" s="47">
        <f>'Contractors'!X137</f>
        <v/>
      </c>
      <c r="E478" s="47">
        <f>IF(OR(B478="",C478="",D478=""),"",D478*100000+(C478-DATE(2000,1,1))+ROW()/100000)</f>
        <v/>
      </c>
    </row>
    <row r="479">
      <c r="A479" t="inlineStr">
        <is>
          <t>Contractors</t>
        </is>
      </c>
      <c r="B479" s="47">
        <f>'Contractors'!Y138</f>
        <v/>
      </c>
      <c r="C479" s="77">
        <f>'Contractors'!W138</f>
        <v/>
      </c>
      <c r="D479" s="47">
        <f>'Contractors'!X138</f>
        <v/>
      </c>
      <c r="E479" s="47">
        <f>IF(OR(B479="",C479="",D479=""),"",D479*100000+(C479-DATE(2000,1,1))+ROW()/100000)</f>
        <v/>
      </c>
    </row>
    <row r="480">
      <c r="A480" t="inlineStr">
        <is>
          <t>Contractors</t>
        </is>
      </c>
      <c r="B480" s="47">
        <f>'Contractors'!Y139</f>
        <v/>
      </c>
      <c r="C480" s="77">
        <f>'Contractors'!W139</f>
        <v/>
      </c>
      <c r="D480" s="47">
        <f>'Contractors'!X139</f>
        <v/>
      </c>
      <c r="E480" s="47">
        <f>IF(OR(B480="",C480="",D480=""),"",D480*100000+(C480-DATE(2000,1,1))+ROW()/100000)</f>
        <v/>
      </c>
    </row>
    <row r="481">
      <c r="A481" t="inlineStr">
        <is>
          <t>Contractors</t>
        </is>
      </c>
      <c r="B481" s="47">
        <f>'Contractors'!Y140</f>
        <v/>
      </c>
      <c r="C481" s="77">
        <f>'Contractors'!W140</f>
        <v/>
      </c>
      <c r="D481" s="47">
        <f>'Contractors'!X140</f>
        <v/>
      </c>
      <c r="E481" s="47">
        <f>IF(OR(B481="",C481="",D481=""),"",D481*100000+(C481-DATE(2000,1,1))+ROW()/100000)</f>
        <v/>
      </c>
    </row>
    <row r="482">
      <c r="A482" t="inlineStr">
        <is>
          <t>Contractors</t>
        </is>
      </c>
      <c r="B482" s="47">
        <f>'Contractors'!Y141</f>
        <v/>
      </c>
      <c r="C482" s="77">
        <f>'Contractors'!W141</f>
        <v/>
      </c>
      <c r="D482" s="47">
        <f>'Contractors'!X141</f>
        <v/>
      </c>
      <c r="E482" s="47">
        <f>IF(OR(B482="",C482="",D482=""),"",D482*100000+(C482-DATE(2000,1,1))+ROW()/100000)</f>
        <v/>
      </c>
    </row>
    <row r="483">
      <c r="A483" t="inlineStr">
        <is>
          <t>Contractors</t>
        </is>
      </c>
      <c r="B483" s="47">
        <f>'Contractors'!Y142</f>
        <v/>
      </c>
      <c r="C483" s="77">
        <f>'Contractors'!W142</f>
        <v/>
      </c>
      <c r="D483" s="47">
        <f>'Contractors'!X142</f>
        <v/>
      </c>
      <c r="E483" s="47">
        <f>IF(OR(B483="",C483="",D483=""),"",D483*100000+(C483-DATE(2000,1,1))+ROW()/100000)</f>
        <v/>
      </c>
    </row>
    <row r="484">
      <c r="A484" t="inlineStr">
        <is>
          <t>Contractors</t>
        </is>
      </c>
      <c r="B484" s="47">
        <f>'Contractors'!Y143</f>
        <v/>
      </c>
      <c r="C484" s="77">
        <f>'Contractors'!W143</f>
        <v/>
      </c>
      <c r="D484" s="47">
        <f>'Contractors'!X143</f>
        <v/>
      </c>
      <c r="E484" s="47">
        <f>IF(OR(B484="",C484="",D484=""),"",D484*100000+(C484-DATE(2000,1,1))+ROW()/100000)</f>
        <v/>
      </c>
    </row>
    <row r="485">
      <c r="A485" t="inlineStr">
        <is>
          <t>Contractors</t>
        </is>
      </c>
      <c r="B485" s="47">
        <f>'Contractors'!Y144</f>
        <v/>
      </c>
      <c r="C485" s="77">
        <f>'Contractors'!W144</f>
        <v/>
      </c>
      <c r="D485" s="47">
        <f>'Contractors'!X144</f>
        <v/>
      </c>
      <c r="E485" s="47">
        <f>IF(OR(B485="",C485="",D485=""),"",D485*100000+(C485-DATE(2000,1,1))+ROW()/100000)</f>
        <v/>
      </c>
    </row>
    <row r="486">
      <c r="A486" t="inlineStr">
        <is>
          <t>Contractors</t>
        </is>
      </c>
      <c r="B486" s="47">
        <f>'Contractors'!Y145</f>
        <v/>
      </c>
      <c r="C486" s="77">
        <f>'Contractors'!W145</f>
        <v/>
      </c>
      <c r="D486" s="47">
        <f>'Contractors'!X145</f>
        <v/>
      </c>
      <c r="E486" s="47">
        <f>IF(OR(B486="",C486="",D486=""),"",D486*100000+(C486-DATE(2000,1,1))+ROW()/100000)</f>
        <v/>
      </c>
    </row>
    <row r="487">
      <c r="A487" t="inlineStr">
        <is>
          <t>Contractors</t>
        </is>
      </c>
      <c r="B487" s="47">
        <f>'Contractors'!Y146</f>
        <v/>
      </c>
      <c r="C487" s="77">
        <f>'Contractors'!W146</f>
        <v/>
      </c>
      <c r="D487" s="47">
        <f>'Contractors'!X146</f>
        <v/>
      </c>
      <c r="E487" s="47">
        <f>IF(OR(B487="",C487="",D487=""),"",D487*100000+(C487-DATE(2000,1,1))+ROW()/100000)</f>
        <v/>
      </c>
    </row>
    <row r="488">
      <c r="A488" t="inlineStr">
        <is>
          <t>Contractors</t>
        </is>
      </c>
      <c r="B488" s="47">
        <f>'Contractors'!Y147</f>
        <v/>
      </c>
      <c r="C488" s="77">
        <f>'Contractors'!W147</f>
        <v/>
      </c>
      <c r="D488" s="47">
        <f>'Contractors'!X147</f>
        <v/>
      </c>
      <c r="E488" s="47">
        <f>IF(OR(B488="",C488="",D488=""),"",D488*100000+(C488-DATE(2000,1,1))+ROW()/100000)</f>
        <v/>
      </c>
    </row>
    <row r="489">
      <c r="A489" t="inlineStr">
        <is>
          <t>Contractors</t>
        </is>
      </c>
      <c r="B489" s="47">
        <f>'Contractors'!Y148</f>
        <v/>
      </c>
      <c r="C489" s="77">
        <f>'Contractors'!W148</f>
        <v/>
      </c>
      <c r="D489" s="47">
        <f>'Contractors'!X148</f>
        <v/>
      </c>
      <c r="E489" s="47">
        <f>IF(OR(B489="",C489="",D489=""),"",D489*100000+(C489-DATE(2000,1,1))+ROW()/100000)</f>
        <v/>
      </c>
    </row>
    <row r="490">
      <c r="A490" t="inlineStr">
        <is>
          <t>Contractors</t>
        </is>
      </c>
      <c r="B490" s="47">
        <f>'Contractors'!Y149</f>
        <v/>
      </c>
      <c r="C490" s="77">
        <f>'Contractors'!W149</f>
        <v/>
      </c>
      <c r="D490" s="47">
        <f>'Contractors'!X149</f>
        <v/>
      </c>
      <c r="E490" s="47">
        <f>IF(OR(B490="",C490="",D490=""),"",D490*100000+(C490-DATE(2000,1,1))+ROW()/100000)</f>
        <v/>
      </c>
    </row>
    <row r="491">
      <c r="A491" t="inlineStr">
        <is>
          <t>Contractors</t>
        </is>
      </c>
      <c r="B491" s="47">
        <f>'Contractors'!Y150</f>
        <v/>
      </c>
      <c r="C491" s="77">
        <f>'Contractors'!W150</f>
        <v/>
      </c>
      <c r="D491" s="47">
        <f>'Contractors'!X150</f>
        <v/>
      </c>
      <c r="E491" s="47">
        <f>IF(OR(B491="",C491="",D491=""),"",D491*100000+(C491-DATE(2000,1,1))+ROW()/100000)</f>
        <v/>
      </c>
    </row>
    <row r="492">
      <c r="A492" t="inlineStr">
        <is>
          <t>Contractors</t>
        </is>
      </c>
      <c r="B492" s="47">
        <f>'Contractors'!Y151</f>
        <v/>
      </c>
      <c r="C492" s="77">
        <f>'Contractors'!W151</f>
        <v/>
      </c>
      <c r="D492" s="47">
        <f>'Contractors'!X151</f>
        <v/>
      </c>
      <c r="E492" s="47">
        <f>IF(OR(B492="",C492="",D492=""),"",D492*100000+(C492-DATE(2000,1,1))+ROW()/100000)</f>
        <v/>
      </c>
    </row>
    <row r="493">
      <c r="A493" t="inlineStr">
        <is>
          <t>Contractors</t>
        </is>
      </c>
      <c r="B493" s="47">
        <f>'Contractors'!Y152</f>
        <v/>
      </c>
      <c r="C493" s="77">
        <f>'Contractors'!W152</f>
        <v/>
      </c>
      <c r="D493" s="47">
        <f>'Contractors'!X152</f>
        <v/>
      </c>
      <c r="E493" s="47">
        <f>IF(OR(B493="",C493="",D493=""),"",D493*100000+(C493-DATE(2000,1,1))+ROW()/100000)</f>
        <v/>
      </c>
    </row>
    <row r="494">
      <c r="A494" t="inlineStr">
        <is>
          <t>Contractors</t>
        </is>
      </c>
      <c r="B494" s="47">
        <f>'Contractors'!Y153</f>
        <v/>
      </c>
      <c r="C494" s="77">
        <f>'Contractors'!W153</f>
        <v/>
      </c>
      <c r="D494" s="47">
        <f>'Contractors'!X153</f>
        <v/>
      </c>
      <c r="E494" s="47">
        <f>IF(OR(B494="",C494="",D494=""),"",D494*100000+(C494-DATE(2000,1,1))+ROW()/100000)</f>
        <v/>
      </c>
    </row>
    <row r="495">
      <c r="A495" t="inlineStr">
        <is>
          <t>Contractors</t>
        </is>
      </c>
      <c r="B495" s="47">
        <f>'Contractors'!Y154</f>
        <v/>
      </c>
      <c r="C495" s="77">
        <f>'Contractors'!W154</f>
        <v/>
      </c>
      <c r="D495" s="47">
        <f>'Contractors'!X154</f>
        <v/>
      </c>
      <c r="E495" s="47">
        <f>IF(OR(B495="",C495="",D495=""),"",D495*100000+(C495-DATE(2000,1,1))+ROW()/100000)</f>
        <v/>
      </c>
    </row>
    <row r="496">
      <c r="A496" t="inlineStr">
        <is>
          <t>Contractors</t>
        </is>
      </c>
      <c r="B496" s="47">
        <f>'Contractors'!Y155</f>
        <v/>
      </c>
      <c r="C496" s="77">
        <f>'Contractors'!W155</f>
        <v/>
      </c>
      <c r="D496" s="47">
        <f>'Contractors'!X155</f>
        <v/>
      </c>
      <c r="E496" s="47">
        <f>IF(OR(B496="",C496="",D496=""),"",D496*100000+(C496-DATE(2000,1,1))+ROW()/100000)</f>
        <v/>
      </c>
    </row>
    <row r="497">
      <c r="A497" t="inlineStr">
        <is>
          <t>Contractors</t>
        </is>
      </c>
      <c r="B497" s="47">
        <f>'Contractors'!Y156</f>
        <v/>
      </c>
      <c r="C497" s="77">
        <f>'Contractors'!W156</f>
        <v/>
      </c>
      <c r="D497" s="47">
        <f>'Contractors'!X156</f>
        <v/>
      </c>
      <c r="E497" s="47">
        <f>IF(OR(B497="",C497="",D497=""),"",D497*100000+(C497-DATE(2000,1,1))+ROW()/100000)</f>
        <v/>
      </c>
    </row>
    <row r="498">
      <c r="A498" t="inlineStr">
        <is>
          <t>Contractors</t>
        </is>
      </c>
      <c r="B498" s="47">
        <f>'Contractors'!Y157</f>
        <v/>
      </c>
      <c r="C498" s="77">
        <f>'Contractors'!W157</f>
        <v/>
      </c>
      <c r="D498" s="47">
        <f>'Contractors'!X157</f>
        <v/>
      </c>
      <c r="E498" s="47">
        <f>IF(OR(B498="",C498="",D498=""),"",D498*100000+(C498-DATE(2000,1,1))+ROW()/100000)</f>
        <v/>
      </c>
    </row>
    <row r="499">
      <c r="A499" t="inlineStr">
        <is>
          <t>Contractors</t>
        </is>
      </c>
      <c r="B499" s="47">
        <f>'Contractors'!Y158</f>
        <v/>
      </c>
      <c r="C499" s="77">
        <f>'Contractors'!W158</f>
        <v/>
      </c>
      <c r="D499" s="47">
        <f>'Contractors'!X158</f>
        <v/>
      </c>
      <c r="E499" s="47">
        <f>IF(OR(B499="",C499="",D499=""),"",D499*100000+(C499-DATE(2000,1,1))+ROW()/100000)</f>
        <v/>
      </c>
    </row>
    <row r="500">
      <c r="A500" t="inlineStr">
        <is>
          <t>Contractors</t>
        </is>
      </c>
      <c r="B500" s="47">
        <f>'Contractors'!Y159</f>
        <v/>
      </c>
      <c r="C500" s="77">
        <f>'Contractors'!W159</f>
        <v/>
      </c>
      <c r="D500" s="47">
        <f>'Contractors'!X159</f>
        <v/>
      </c>
      <c r="E500" s="47">
        <f>IF(OR(B500="",C500="",D500=""),"",D500*100000+(C500-DATE(2000,1,1))+ROW()/100000)</f>
        <v/>
      </c>
    </row>
    <row r="501">
      <c r="A501" t="inlineStr">
        <is>
          <t>Contractors</t>
        </is>
      </c>
      <c r="B501" s="47">
        <f>'Contractors'!Y160</f>
        <v/>
      </c>
      <c r="C501" s="77">
        <f>'Contractors'!W160</f>
        <v/>
      </c>
      <c r="D501" s="47">
        <f>'Contractors'!X160</f>
        <v/>
      </c>
      <c r="E501" s="47">
        <f>IF(OR(B501="",C501="",D501=""),"",D501*100000+(C501-DATE(2000,1,1))+ROW()/100000)</f>
        <v/>
      </c>
    </row>
    <row r="502">
      <c r="A502" t="inlineStr">
        <is>
          <t>Contractors</t>
        </is>
      </c>
      <c r="B502" s="47">
        <f>'Contractors'!Y161</f>
        <v/>
      </c>
      <c r="C502" s="77">
        <f>'Contractors'!W161</f>
        <v/>
      </c>
      <c r="D502" s="47">
        <f>'Contractors'!X161</f>
        <v/>
      </c>
      <c r="E502" s="47">
        <f>IF(OR(B502="",C502="",D502=""),"",D502*100000+(C502-DATE(2000,1,1))+ROW()/100000)</f>
        <v/>
      </c>
    </row>
    <row r="503">
      <c r="A503" t="inlineStr">
        <is>
          <t>Contractors</t>
        </is>
      </c>
      <c r="B503" s="47">
        <f>'Contractors'!Y162</f>
        <v/>
      </c>
      <c r="C503" s="77">
        <f>'Contractors'!W162</f>
        <v/>
      </c>
      <c r="D503" s="47">
        <f>'Contractors'!X162</f>
        <v/>
      </c>
      <c r="E503" s="47">
        <f>IF(OR(B503="",C503="",D503=""),"",D503*100000+(C503-DATE(2000,1,1))+ROW()/100000)</f>
        <v/>
      </c>
    </row>
    <row r="504">
      <c r="A504" t="inlineStr">
        <is>
          <t>Contractors</t>
        </is>
      </c>
      <c r="B504" s="47">
        <f>'Contractors'!Y163</f>
        <v/>
      </c>
      <c r="C504" s="77">
        <f>'Contractors'!W163</f>
        <v/>
      </c>
      <c r="D504" s="47">
        <f>'Contractors'!X163</f>
        <v/>
      </c>
      <c r="E504" s="47">
        <f>IF(OR(B504="",C504="",D504=""),"",D504*100000+(C504-DATE(2000,1,1))+ROW()/100000)</f>
        <v/>
      </c>
    </row>
    <row r="505">
      <c r="A505" t="inlineStr">
        <is>
          <t>Contractors</t>
        </is>
      </c>
      <c r="B505" s="47">
        <f>'Contractors'!Y164</f>
        <v/>
      </c>
      <c r="C505" s="77">
        <f>'Contractors'!W164</f>
        <v/>
      </c>
      <c r="D505" s="47">
        <f>'Contractors'!X164</f>
        <v/>
      </c>
      <c r="E505" s="47">
        <f>IF(OR(B505="",C505="",D505=""),"",D505*100000+(C505-DATE(2000,1,1))+ROW()/100000)</f>
        <v/>
      </c>
    </row>
    <row r="506">
      <c r="A506" t="inlineStr">
        <is>
          <t>Contractors</t>
        </is>
      </c>
      <c r="B506" s="47">
        <f>'Contractors'!Y165</f>
        <v/>
      </c>
      <c r="C506" s="77">
        <f>'Contractors'!W165</f>
        <v/>
      </c>
      <c r="D506" s="47">
        <f>'Contractors'!X165</f>
        <v/>
      </c>
      <c r="E506" s="47">
        <f>IF(OR(B506="",C506="",D506=""),"",D506*100000+(C506-DATE(2000,1,1))+ROW()/100000)</f>
        <v/>
      </c>
    </row>
    <row r="507">
      <c r="A507" t="inlineStr">
        <is>
          <t>Contractors</t>
        </is>
      </c>
      <c r="B507" s="47">
        <f>'Contractors'!Y166</f>
        <v/>
      </c>
      <c r="C507" s="77">
        <f>'Contractors'!W166</f>
        <v/>
      </c>
      <c r="D507" s="47">
        <f>'Contractors'!X166</f>
        <v/>
      </c>
      <c r="E507" s="47">
        <f>IF(OR(B507="",C507="",D507=""),"",D507*100000+(C507-DATE(2000,1,1))+ROW()/100000)</f>
        <v/>
      </c>
    </row>
    <row r="508">
      <c r="A508" t="inlineStr">
        <is>
          <t>Contractors</t>
        </is>
      </c>
      <c r="B508" s="47">
        <f>'Contractors'!Y167</f>
        <v/>
      </c>
      <c r="C508" s="77">
        <f>'Contractors'!W167</f>
        <v/>
      </c>
      <c r="D508" s="47">
        <f>'Contractors'!X167</f>
        <v/>
      </c>
      <c r="E508" s="47">
        <f>IF(OR(B508="",C508="",D508=""),"",D508*100000+(C508-DATE(2000,1,1))+ROW()/100000)</f>
        <v/>
      </c>
    </row>
    <row r="509">
      <c r="A509" t="inlineStr">
        <is>
          <t>Contractors</t>
        </is>
      </c>
      <c r="B509" s="47">
        <f>'Contractors'!Y168</f>
        <v/>
      </c>
      <c r="C509" s="77">
        <f>'Contractors'!W168</f>
        <v/>
      </c>
      <c r="D509" s="47">
        <f>'Contractors'!X168</f>
        <v/>
      </c>
      <c r="E509" s="47">
        <f>IF(OR(B509="",C509="",D509=""),"",D509*100000+(C509-DATE(2000,1,1))+ROW()/100000)</f>
        <v/>
      </c>
    </row>
    <row r="510">
      <c r="A510" t="inlineStr">
        <is>
          <t>Contractors</t>
        </is>
      </c>
      <c r="B510" s="47">
        <f>'Contractors'!Y169</f>
        <v/>
      </c>
      <c r="C510" s="77">
        <f>'Contractors'!W169</f>
        <v/>
      </c>
      <c r="D510" s="47">
        <f>'Contractors'!X169</f>
        <v/>
      </c>
      <c r="E510" s="47">
        <f>IF(OR(B510="",C510="",D510=""),"",D510*100000+(C510-DATE(2000,1,1))+ROW()/100000)</f>
        <v/>
      </c>
    </row>
    <row r="511">
      <c r="A511" t="inlineStr">
        <is>
          <t>Contractors</t>
        </is>
      </c>
      <c r="B511" s="47">
        <f>'Contractors'!Y170</f>
        <v/>
      </c>
      <c r="C511" s="77">
        <f>'Contractors'!W170</f>
        <v/>
      </c>
      <c r="D511" s="47">
        <f>'Contractors'!X170</f>
        <v/>
      </c>
      <c r="E511" s="47">
        <f>IF(OR(B511="",C511="",D511=""),"",D511*100000+(C511-DATE(2000,1,1))+ROW()/100000)</f>
        <v/>
      </c>
    </row>
    <row r="512">
      <c r="A512" t="inlineStr">
        <is>
          <t>Contractors</t>
        </is>
      </c>
      <c r="B512" s="47">
        <f>'Contractors'!Y171</f>
        <v/>
      </c>
      <c r="C512" s="77">
        <f>'Contractors'!W171</f>
        <v/>
      </c>
      <c r="D512" s="47">
        <f>'Contractors'!X171</f>
        <v/>
      </c>
      <c r="E512" s="47">
        <f>IF(OR(B512="",C512="",D512=""),"",D512*100000+(C512-DATE(2000,1,1))+ROW()/100000)</f>
        <v/>
      </c>
    </row>
    <row r="513">
      <c r="A513" t="inlineStr">
        <is>
          <t>Contractors</t>
        </is>
      </c>
      <c r="B513" s="47">
        <f>'Contractors'!Y172</f>
        <v/>
      </c>
      <c r="C513" s="77">
        <f>'Contractors'!W172</f>
        <v/>
      </c>
      <c r="D513" s="47">
        <f>'Contractors'!X172</f>
        <v/>
      </c>
      <c r="E513" s="47">
        <f>IF(OR(B513="",C513="",D513=""),"",D513*100000+(C513-DATE(2000,1,1))+ROW()/100000)</f>
        <v/>
      </c>
    </row>
    <row r="514">
      <c r="A514" t="inlineStr">
        <is>
          <t>Contractors</t>
        </is>
      </c>
      <c r="B514" s="47">
        <f>'Contractors'!Y173</f>
        <v/>
      </c>
      <c r="C514" s="77">
        <f>'Contractors'!W173</f>
        <v/>
      </c>
      <c r="D514" s="47">
        <f>'Contractors'!X173</f>
        <v/>
      </c>
      <c r="E514" s="47">
        <f>IF(OR(B514="",C514="",D514=""),"",D514*100000+(C514-DATE(2000,1,1))+ROW()/100000)</f>
        <v/>
      </c>
    </row>
    <row r="515">
      <c r="A515" t="inlineStr">
        <is>
          <t>Contractors</t>
        </is>
      </c>
      <c r="B515" s="47">
        <f>'Contractors'!Y174</f>
        <v/>
      </c>
      <c r="C515" s="77">
        <f>'Contractors'!W174</f>
        <v/>
      </c>
      <c r="D515" s="47">
        <f>'Contractors'!X174</f>
        <v/>
      </c>
      <c r="E515" s="47">
        <f>IF(OR(B515="",C515="",D515=""),"",D515*100000+(C515-DATE(2000,1,1))+ROW()/100000)</f>
        <v/>
      </c>
    </row>
    <row r="516">
      <c r="A516" t="inlineStr">
        <is>
          <t>Contractors</t>
        </is>
      </c>
      <c r="B516" s="47">
        <f>'Contractors'!Y175</f>
        <v/>
      </c>
      <c r="C516" s="77">
        <f>'Contractors'!W175</f>
        <v/>
      </c>
      <c r="D516" s="47">
        <f>'Contractors'!X175</f>
        <v/>
      </c>
      <c r="E516" s="47">
        <f>IF(OR(B516="",C516="",D516=""),"",D516*100000+(C516-DATE(2000,1,1))+ROW()/100000)</f>
        <v/>
      </c>
    </row>
    <row r="517">
      <c r="A517" t="inlineStr">
        <is>
          <t>Contractors</t>
        </is>
      </c>
      <c r="B517" s="47">
        <f>'Contractors'!Y176</f>
        <v/>
      </c>
      <c r="C517" s="77">
        <f>'Contractors'!W176</f>
        <v/>
      </c>
      <c r="D517" s="47">
        <f>'Contractors'!X176</f>
        <v/>
      </c>
      <c r="E517" s="47">
        <f>IF(OR(B517="",C517="",D517=""),"",D517*100000+(C517-DATE(2000,1,1))+ROW()/100000)</f>
        <v/>
      </c>
    </row>
    <row r="518">
      <c r="A518" t="inlineStr">
        <is>
          <t>Contractors</t>
        </is>
      </c>
      <c r="B518" s="47">
        <f>'Contractors'!Y177</f>
        <v/>
      </c>
      <c r="C518" s="77">
        <f>'Contractors'!W177</f>
        <v/>
      </c>
      <c r="D518" s="47">
        <f>'Contractors'!X177</f>
        <v/>
      </c>
      <c r="E518" s="47">
        <f>IF(OR(B518="",C518="",D518=""),"",D518*100000+(C518-DATE(2000,1,1))+ROW()/100000)</f>
        <v/>
      </c>
    </row>
    <row r="519">
      <c r="A519" t="inlineStr">
        <is>
          <t>Contractors</t>
        </is>
      </c>
      <c r="B519" s="47">
        <f>'Contractors'!Y178</f>
        <v/>
      </c>
      <c r="C519" s="77">
        <f>'Contractors'!W178</f>
        <v/>
      </c>
      <c r="D519" s="47">
        <f>'Contractors'!X178</f>
        <v/>
      </c>
      <c r="E519" s="47">
        <f>IF(OR(B519="",C519="",D519=""),"",D519*100000+(C519-DATE(2000,1,1))+ROW()/100000)</f>
        <v/>
      </c>
    </row>
    <row r="520">
      <c r="A520" t="inlineStr">
        <is>
          <t>Contractors</t>
        </is>
      </c>
      <c r="B520" s="47">
        <f>'Contractors'!Y179</f>
        <v/>
      </c>
      <c r="C520" s="77">
        <f>'Contractors'!W179</f>
        <v/>
      </c>
      <c r="D520" s="47">
        <f>'Contractors'!X179</f>
        <v/>
      </c>
      <c r="E520" s="47">
        <f>IF(OR(B520="",C520="",D520=""),"",D520*100000+(C520-DATE(2000,1,1))+ROW()/100000)</f>
        <v/>
      </c>
    </row>
    <row r="521">
      <c r="A521" t="inlineStr">
        <is>
          <t>Contractors</t>
        </is>
      </c>
      <c r="B521" s="47">
        <f>'Contractors'!Y180</f>
        <v/>
      </c>
      <c r="C521" s="77">
        <f>'Contractors'!W180</f>
        <v/>
      </c>
      <c r="D521" s="47">
        <f>'Contractors'!X180</f>
        <v/>
      </c>
      <c r="E521" s="47">
        <f>IF(OR(B521="",C521="",D521=""),"",D521*100000+(C521-DATE(2000,1,1))+ROW()/100000)</f>
        <v/>
      </c>
    </row>
    <row r="522">
      <c r="A522" t="inlineStr">
        <is>
          <t>Contractors</t>
        </is>
      </c>
      <c r="B522" s="47">
        <f>'Contractors'!Y181</f>
        <v/>
      </c>
      <c r="C522" s="77">
        <f>'Contractors'!W181</f>
        <v/>
      </c>
      <c r="D522" s="47">
        <f>'Contractors'!X181</f>
        <v/>
      </c>
      <c r="E522" s="47">
        <f>IF(OR(B522="",C522="",D522=""),"",D522*100000+(C522-DATE(2000,1,1))+ROW()/100000)</f>
        <v/>
      </c>
    </row>
    <row r="523">
      <c r="A523" t="inlineStr">
        <is>
          <t>Contractors</t>
        </is>
      </c>
      <c r="B523" s="47">
        <f>'Contractors'!Y182</f>
        <v/>
      </c>
      <c r="C523" s="77">
        <f>'Contractors'!W182</f>
        <v/>
      </c>
      <c r="D523" s="47">
        <f>'Contractors'!X182</f>
        <v/>
      </c>
      <c r="E523" s="47">
        <f>IF(OR(B523="",C523="",D523=""),"",D523*100000+(C523-DATE(2000,1,1))+ROW()/100000)</f>
        <v/>
      </c>
    </row>
    <row r="524">
      <c r="A524" t="inlineStr">
        <is>
          <t>Contractors</t>
        </is>
      </c>
      <c r="B524" s="47">
        <f>'Contractors'!Y183</f>
        <v/>
      </c>
      <c r="C524" s="77">
        <f>'Contractors'!W183</f>
        <v/>
      </c>
      <c r="D524" s="47">
        <f>'Contractors'!X183</f>
        <v/>
      </c>
      <c r="E524" s="47">
        <f>IF(OR(B524="",C524="",D524=""),"",D524*100000+(C524-DATE(2000,1,1))+ROW()/100000)</f>
        <v/>
      </c>
    </row>
    <row r="525">
      <c r="A525" t="inlineStr">
        <is>
          <t>Contractors</t>
        </is>
      </c>
      <c r="B525" s="47">
        <f>'Contractors'!Y184</f>
        <v/>
      </c>
      <c r="C525" s="77">
        <f>'Contractors'!W184</f>
        <v/>
      </c>
      <c r="D525" s="47">
        <f>'Contractors'!X184</f>
        <v/>
      </c>
      <c r="E525" s="47">
        <f>IF(OR(B525="",C525="",D525=""),"",D525*100000+(C525-DATE(2000,1,1))+ROW()/100000)</f>
        <v/>
      </c>
    </row>
    <row r="526">
      <c r="A526" t="inlineStr">
        <is>
          <t>Contractors</t>
        </is>
      </c>
      <c r="B526" s="47">
        <f>'Contractors'!Y185</f>
        <v/>
      </c>
      <c r="C526" s="77">
        <f>'Contractors'!W185</f>
        <v/>
      </c>
      <c r="D526" s="47">
        <f>'Contractors'!X185</f>
        <v/>
      </c>
      <c r="E526" s="47">
        <f>IF(OR(B526="",C526="",D526=""),"",D526*100000+(C526-DATE(2000,1,1))+ROW()/100000)</f>
        <v/>
      </c>
    </row>
    <row r="527">
      <c r="A527" t="inlineStr">
        <is>
          <t>Contractors</t>
        </is>
      </c>
      <c r="B527" s="47">
        <f>'Contractors'!Y186</f>
        <v/>
      </c>
      <c r="C527" s="77">
        <f>'Contractors'!W186</f>
        <v/>
      </c>
      <c r="D527" s="47">
        <f>'Contractors'!X186</f>
        <v/>
      </c>
      <c r="E527" s="47">
        <f>IF(OR(B527="",C527="",D527=""),"",D527*100000+(C527-DATE(2000,1,1))+ROW()/100000)</f>
        <v/>
      </c>
    </row>
    <row r="528">
      <c r="A528" t="inlineStr">
        <is>
          <t>Contractors</t>
        </is>
      </c>
      <c r="B528" s="47">
        <f>'Contractors'!Y187</f>
        <v/>
      </c>
      <c r="C528" s="77">
        <f>'Contractors'!W187</f>
        <v/>
      </c>
      <c r="D528" s="47">
        <f>'Contractors'!X187</f>
        <v/>
      </c>
      <c r="E528" s="47">
        <f>IF(OR(B528="",C528="",D528=""),"",D528*100000+(C528-DATE(2000,1,1))+ROW()/100000)</f>
        <v/>
      </c>
    </row>
    <row r="529">
      <c r="A529" t="inlineStr">
        <is>
          <t>Contractors</t>
        </is>
      </c>
      <c r="B529" s="47">
        <f>'Contractors'!Y188</f>
        <v/>
      </c>
      <c r="C529" s="77">
        <f>'Contractors'!W188</f>
        <v/>
      </c>
      <c r="D529" s="47">
        <f>'Contractors'!X188</f>
        <v/>
      </c>
      <c r="E529" s="47">
        <f>IF(OR(B529="",C529="",D529=""),"",D529*100000+(C529-DATE(2000,1,1))+ROW()/100000)</f>
        <v/>
      </c>
    </row>
    <row r="530">
      <c r="A530" t="inlineStr">
        <is>
          <t>Contractors</t>
        </is>
      </c>
      <c r="B530" s="47">
        <f>'Contractors'!Y189</f>
        <v/>
      </c>
      <c r="C530" s="77">
        <f>'Contractors'!W189</f>
        <v/>
      </c>
      <c r="D530" s="47">
        <f>'Contractors'!X189</f>
        <v/>
      </c>
      <c r="E530" s="47">
        <f>IF(OR(B530="",C530="",D530=""),"",D530*100000+(C530-DATE(2000,1,1))+ROW()/100000)</f>
        <v/>
      </c>
    </row>
    <row r="531">
      <c r="A531" t="inlineStr">
        <is>
          <t>Contractors</t>
        </is>
      </c>
      <c r="B531" s="47">
        <f>'Contractors'!Y190</f>
        <v/>
      </c>
      <c r="C531" s="77">
        <f>'Contractors'!W190</f>
        <v/>
      </c>
      <c r="D531" s="47">
        <f>'Contractors'!X190</f>
        <v/>
      </c>
      <c r="E531" s="47">
        <f>IF(OR(B531="",C531="",D531=""),"",D531*100000+(C531-DATE(2000,1,1))+ROW()/100000)</f>
        <v/>
      </c>
    </row>
    <row r="532">
      <c r="A532" t="inlineStr">
        <is>
          <t>Issues &amp; Punch List</t>
        </is>
      </c>
      <c r="B532" s="47">
        <f>'Issues &amp; Punch List'!S8</f>
        <v/>
      </c>
      <c r="C532" s="77">
        <f>'Issues &amp; Punch List'!Q8</f>
        <v/>
      </c>
      <c r="D532" s="47">
        <f>'Issues &amp; Punch List'!R8</f>
        <v/>
      </c>
      <c r="E532" s="47">
        <f>IF(OR(B532="",C532="",D532=""),"",D532*100000+(C532-DATE(2000,1,1))+ROW()/100000)</f>
        <v/>
      </c>
    </row>
    <row r="533">
      <c r="A533" t="inlineStr">
        <is>
          <t>Issues &amp; Punch List</t>
        </is>
      </c>
      <c r="B533" s="47">
        <f>'Issues &amp; Punch List'!S9</f>
        <v/>
      </c>
      <c r="C533" s="77">
        <f>'Issues &amp; Punch List'!Q9</f>
        <v/>
      </c>
      <c r="D533" s="47">
        <f>'Issues &amp; Punch List'!R9</f>
        <v/>
      </c>
      <c r="E533" s="47">
        <f>IF(OR(B533="",C533="",D533=""),"",D533*100000+(C533-DATE(2000,1,1))+ROW()/100000)</f>
        <v/>
      </c>
    </row>
    <row r="534">
      <c r="A534" t="inlineStr">
        <is>
          <t>Issues &amp; Punch List</t>
        </is>
      </c>
      <c r="B534" s="47">
        <f>'Issues &amp; Punch List'!S10</f>
        <v/>
      </c>
      <c r="C534" s="77">
        <f>'Issues &amp; Punch List'!Q10</f>
        <v/>
      </c>
      <c r="D534" s="47">
        <f>'Issues &amp; Punch List'!R10</f>
        <v/>
      </c>
      <c r="E534" s="47">
        <f>IF(OR(B534="",C534="",D534=""),"",D534*100000+(C534-DATE(2000,1,1))+ROW()/100000)</f>
        <v/>
      </c>
    </row>
    <row r="535">
      <c r="A535" t="inlineStr">
        <is>
          <t>Issues &amp; Punch List</t>
        </is>
      </c>
      <c r="B535" s="47">
        <f>'Issues &amp; Punch List'!S11</f>
        <v/>
      </c>
      <c r="C535" s="77">
        <f>'Issues &amp; Punch List'!Q11</f>
        <v/>
      </c>
      <c r="D535" s="47">
        <f>'Issues &amp; Punch List'!R11</f>
        <v/>
      </c>
      <c r="E535" s="47">
        <f>IF(OR(B535="",C535="",D535=""),"",D535*100000+(C535-DATE(2000,1,1))+ROW()/100000)</f>
        <v/>
      </c>
    </row>
    <row r="536">
      <c r="A536" t="inlineStr">
        <is>
          <t>Issues &amp; Punch List</t>
        </is>
      </c>
      <c r="B536" s="47">
        <f>'Issues &amp; Punch List'!S12</f>
        <v/>
      </c>
      <c r="C536" s="77">
        <f>'Issues &amp; Punch List'!Q12</f>
        <v/>
      </c>
      <c r="D536" s="47">
        <f>'Issues &amp; Punch List'!R12</f>
        <v/>
      </c>
      <c r="E536" s="47">
        <f>IF(OR(B536="",C536="",D536=""),"",D536*100000+(C536-DATE(2000,1,1))+ROW()/100000)</f>
        <v/>
      </c>
    </row>
    <row r="537">
      <c r="A537" t="inlineStr">
        <is>
          <t>Issues &amp; Punch List</t>
        </is>
      </c>
      <c r="B537" s="47">
        <f>'Issues &amp; Punch List'!S13</f>
        <v/>
      </c>
      <c r="C537" s="77">
        <f>'Issues &amp; Punch List'!Q13</f>
        <v/>
      </c>
      <c r="D537" s="47">
        <f>'Issues &amp; Punch List'!R13</f>
        <v/>
      </c>
      <c r="E537" s="47">
        <f>IF(OR(B537="",C537="",D537=""),"",D537*100000+(C537-DATE(2000,1,1))+ROW()/100000)</f>
        <v/>
      </c>
    </row>
    <row r="538">
      <c r="A538" t="inlineStr">
        <is>
          <t>Issues &amp; Punch List</t>
        </is>
      </c>
      <c r="B538" s="47">
        <f>'Issues &amp; Punch List'!S14</f>
        <v/>
      </c>
      <c r="C538" s="77">
        <f>'Issues &amp; Punch List'!Q14</f>
        <v/>
      </c>
      <c r="D538" s="47">
        <f>'Issues &amp; Punch List'!R14</f>
        <v/>
      </c>
      <c r="E538" s="47">
        <f>IF(OR(B538="",C538="",D538=""),"",D538*100000+(C538-DATE(2000,1,1))+ROW()/100000)</f>
        <v/>
      </c>
    </row>
    <row r="539">
      <c r="A539" t="inlineStr">
        <is>
          <t>Issues &amp; Punch List</t>
        </is>
      </c>
      <c r="B539" s="47">
        <f>'Issues &amp; Punch List'!S15</f>
        <v/>
      </c>
      <c r="C539" s="77">
        <f>'Issues &amp; Punch List'!Q15</f>
        <v/>
      </c>
      <c r="D539" s="47">
        <f>'Issues &amp; Punch List'!R15</f>
        <v/>
      </c>
      <c r="E539" s="47">
        <f>IF(OR(B539="",C539="",D539=""),"",D539*100000+(C539-DATE(2000,1,1))+ROW()/100000)</f>
        <v/>
      </c>
    </row>
    <row r="540">
      <c r="A540" t="inlineStr">
        <is>
          <t>Issues &amp; Punch List</t>
        </is>
      </c>
      <c r="B540" s="47">
        <f>'Issues &amp; Punch List'!S16</f>
        <v/>
      </c>
      <c r="C540" s="77">
        <f>'Issues &amp; Punch List'!Q16</f>
        <v/>
      </c>
      <c r="D540" s="47">
        <f>'Issues &amp; Punch List'!R16</f>
        <v/>
      </c>
      <c r="E540" s="47">
        <f>IF(OR(B540="",C540="",D540=""),"",D540*100000+(C540-DATE(2000,1,1))+ROW()/100000)</f>
        <v/>
      </c>
    </row>
    <row r="541">
      <c r="A541" t="inlineStr">
        <is>
          <t>Issues &amp; Punch List</t>
        </is>
      </c>
      <c r="B541" s="47">
        <f>'Issues &amp; Punch List'!S17</f>
        <v/>
      </c>
      <c r="C541" s="77">
        <f>'Issues &amp; Punch List'!Q17</f>
        <v/>
      </c>
      <c r="D541" s="47">
        <f>'Issues &amp; Punch List'!R17</f>
        <v/>
      </c>
      <c r="E541" s="47">
        <f>IF(OR(B541="",C541="",D541=""),"",D541*100000+(C541-DATE(2000,1,1))+ROW()/100000)</f>
        <v/>
      </c>
    </row>
    <row r="542">
      <c r="A542" t="inlineStr">
        <is>
          <t>Issues &amp; Punch List</t>
        </is>
      </c>
      <c r="B542" s="47">
        <f>'Issues &amp; Punch List'!S18</f>
        <v/>
      </c>
      <c r="C542" s="77">
        <f>'Issues &amp; Punch List'!Q18</f>
        <v/>
      </c>
      <c r="D542" s="47">
        <f>'Issues &amp; Punch List'!R18</f>
        <v/>
      </c>
      <c r="E542" s="47">
        <f>IF(OR(B542="",C542="",D542=""),"",D542*100000+(C542-DATE(2000,1,1))+ROW()/100000)</f>
        <v/>
      </c>
    </row>
    <row r="543">
      <c r="A543" t="inlineStr">
        <is>
          <t>Issues &amp; Punch List</t>
        </is>
      </c>
      <c r="B543" s="47">
        <f>'Issues &amp; Punch List'!S19</f>
        <v/>
      </c>
      <c r="C543" s="77">
        <f>'Issues &amp; Punch List'!Q19</f>
        <v/>
      </c>
      <c r="D543" s="47">
        <f>'Issues &amp; Punch List'!R19</f>
        <v/>
      </c>
      <c r="E543" s="47">
        <f>IF(OR(B543="",C543="",D543=""),"",D543*100000+(C543-DATE(2000,1,1))+ROW()/100000)</f>
        <v/>
      </c>
    </row>
    <row r="544">
      <c r="A544" t="inlineStr">
        <is>
          <t>Issues &amp; Punch List</t>
        </is>
      </c>
      <c r="B544" s="47">
        <f>'Issues &amp; Punch List'!S20</f>
        <v/>
      </c>
      <c r="C544" s="77">
        <f>'Issues &amp; Punch List'!Q20</f>
        <v/>
      </c>
      <c r="D544" s="47">
        <f>'Issues &amp; Punch List'!R20</f>
        <v/>
      </c>
      <c r="E544" s="47">
        <f>IF(OR(B544="",C544="",D544=""),"",D544*100000+(C544-DATE(2000,1,1))+ROW()/100000)</f>
        <v/>
      </c>
    </row>
    <row r="545">
      <c r="A545" t="inlineStr">
        <is>
          <t>Issues &amp; Punch List</t>
        </is>
      </c>
      <c r="B545" s="47">
        <f>'Issues &amp; Punch List'!S21</f>
        <v/>
      </c>
      <c r="C545" s="77">
        <f>'Issues &amp; Punch List'!Q21</f>
        <v/>
      </c>
      <c r="D545" s="47">
        <f>'Issues &amp; Punch List'!R21</f>
        <v/>
      </c>
      <c r="E545" s="47">
        <f>IF(OR(B545="",C545="",D545=""),"",D545*100000+(C545-DATE(2000,1,1))+ROW()/100000)</f>
        <v/>
      </c>
    </row>
    <row r="546">
      <c r="A546" t="inlineStr">
        <is>
          <t>Issues &amp; Punch List</t>
        </is>
      </c>
      <c r="B546" s="47">
        <f>'Issues &amp; Punch List'!S22</f>
        <v/>
      </c>
      <c r="C546" s="77">
        <f>'Issues &amp; Punch List'!Q22</f>
        <v/>
      </c>
      <c r="D546" s="47">
        <f>'Issues &amp; Punch List'!R22</f>
        <v/>
      </c>
      <c r="E546" s="47">
        <f>IF(OR(B546="",C546="",D546=""),"",D546*100000+(C546-DATE(2000,1,1))+ROW()/100000)</f>
        <v/>
      </c>
    </row>
    <row r="547">
      <c r="A547" t="inlineStr">
        <is>
          <t>Issues &amp; Punch List</t>
        </is>
      </c>
      <c r="B547" s="47">
        <f>'Issues &amp; Punch List'!S23</f>
        <v/>
      </c>
      <c r="C547" s="77">
        <f>'Issues &amp; Punch List'!Q23</f>
        <v/>
      </c>
      <c r="D547" s="47">
        <f>'Issues &amp; Punch List'!R23</f>
        <v/>
      </c>
      <c r="E547" s="47">
        <f>IF(OR(B547="",C547="",D547=""),"",D547*100000+(C547-DATE(2000,1,1))+ROW()/100000)</f>
        <v/>
      </c>
    </row>
    <row r="548">
      <c r="A548" t="inlineStr">
        <is>
          <t>Issues &amp; Punch List</t>
        </is>
      </c>
      <c r="B548" s="47">
        <f>'Issues &amp; Punch List'!S24</f>
        <v/>
      </c>
      <c r="C548" s="77">
        <f>'Issues &amp; Punch List'!Q24</f>
        <v/>
      </c>
      <c r="D548" s="47">
        <f>'Issues &amp; Punch List'!R24</f>
        <v/>
      </c>
      <c r="E548" s="47">
        <f>IF(OR(B548="",C548="",D548=""),"",D548*100000+(C548-DATE(2000,1,1))+ROW()/100000)</f>
        <v/>
      </c>
    </row>
    <row r="549">
      <c r="A549" t="inlineStr">
        <is>
          <t>Issues &amp; Punch List</t>
        </is>
      </c>
      <c r="B549" s="47">
        <f>'Issues &amp; Punch List'!S25</f>
        <v/>
      </c>
      <c r="C549" s="77">
        <f>'Issues &amp; Punch List'!Q25</f>
        <v/>
      </c>
      <c r="D549" s="47">
        <f>'Issues &amp; Punch List'!R25</f>
        <v/>
      </c>
      <c r="E549" s="47">
        <f>IF(OR(B549="",C549="",D549=""),"",D549*100000+(C549-DATE(2000,1,1))+ROW()/100000)</f>
        <v/>
      </c>
    </row>
    <row r="550">
      <c r="A550" t="inlineStr">
        <is>
          <t>Issues &amp; Punch List</t>
        </is>
      </c>
      <c r="B550" s="47">
        <f>'Issues &amp; Punch List'!S26</f>
        <v/>
      </c>
      <c r="C550" s="77">
        <f>'Issues &amp; Punch List'!Q26</f>
        <v/>
      </c>
      <c r="D550" s="47">
        <f>'Issues &amp; Punch List'!R26</f>
        <v/>
      </c>
      <c r="E550" s="47">
        <f>IF(OR(B550="",C550="",D550=""),"",D550*100000+(C550-DATE(2000,1,1))+ROW()/100000)</f>
        <v/>
      </c>
    </row>
    <row r="551">
      <c r="A551" t="inlineStr">
        <is>
          <t>Issues &amp; Punch List</t>
        </is>
      </c>
      <c r="B551" s="47">
        <f>'Issues &amp; Punch List'!S27</f>
        <v/>
      </c>
      <c r="C551" s="77">
        <f>'Issues &amp; Punch List'!Q27</f>
        <v/>
      </c>
      <c r="D551" s="47">
        <f>'Issues &amp; Punch List'!R27</f>
        <v/>
      </c>
      <c r="E551" s="47">
        <f>IF(OR(B551="",C551="",D551=""),"",D551*100000+(C551-DATE(2000,1,1))+ROW()/100000)</f>
        <v/>
      </c>
    </row>
    <row r="552">
      <c r="A552" t="inlineStr">
        <is>
          <t>Issues &amp; Punch List</t>
        </is>
      </c>
      <c r="B552" s="47">
        <f>'Issues &amp; Punch List'!S28</f>
        <v/>
      </c>
      <c r="C552" s="77">
        <f>'Issues &amp; Punch List'!Q28</f>
        <v/>
      </c>
      <c r="D552" s="47">
        <f>'Issues &amp; Punch List'!R28</f>
        <v/>
      </c>
      <c r="E552" s="47">
        <f>IF(OR(B552="",C552="",D552=""),"",D552*100000+(C552-DATE(2000,1,1))+ROW()/100000)</f>
        <v/>
      </c>
    </row>
    <row r="553">
      <c r="A553" t="inlineStr">
        <is>
          <t>Issues &amp; Punch List</t>
        </is>
      </c>
      <c r="B553" s="47">
        <f>'Issues &amp; Punch List'!S29</f>
        <v/>
      </c>
      <c r="C553" s="77">
        <f>'Issues &amp; Punch List'!Q29</f>
        <v/>
      </c>
      <c r="D553" s="47">
        <f>'Issues &amp; Punch List'!R29</f>
        <v/>
      </c>
      <c r="E553" s="47">
        <f>IF(OR(B553="",C553="",D553=""),"",D553*100000+(C553-DATE(2000,1,1))+ROW()/100000)</f>
        <v/>
      </c>
    </row>
    <row r="554">
      <c r="A554" t="inlineStr">
        <is>
          <t>Issues &amp; Punch List</t>
        </is>
      </c>
      <c r="B554" s="47">
        <f>'Issues &amp; Punch List'!S30</f>
        <v/>
      </c>
      <c r="C554" s="77">
        <f>'Issues &amp; Punch List'!Q30</f>
        <v/>
      </c>
      <c r="D554" s="47">
        <f>'Issues &amp; Punch List'!R30</f>
        <v/>
      </c>
      <c r="E554" s="47">
        <f>IF(OR(B554="",C554="",D554=""),"",D554*100000+(C554-DATE(2000,1,1))+ROW()/100000)</f>
        <v/>
      </c>
    </row>
    <row r="555">
      <c r="A555" t="inlineStr">
        <is>
          <t>Issues &amp; Punch List</t>
        </is>
      </c>
      <c r="B555" s="47">
        <f>'Issues &amp; Punch List'!S31</f>
        <v/>
      </c>
      <c r="C555" s="77">
        <f>'Issues &amp; Punch List'!Q31</f>
        <v/>
      </c>
      <c r="D555" s="47">
        <f>'Issues &amp; Punch List'!R31</f>
        <v/>
      </c>
      <c r="E555" s="47">
        <f>IF(OR(B555="",C555="",D555=""),"",D555*100000+(C555-DATE(2000,1,1))+ROW()/100000)</f>
        <v/>
      </c>
    </row>
    <row r="556">
      <c r="A556" t="inlineStr">
        <is>
          <t>Issues &amp; Punch List</t>
        </is>
      </c>
      <c r="B556" s="47">
        <f>'Issues &amp; Punch List'!S32</f>
        <v/>
      </c>
      <c r="C556" s="77">
        <f>'Issues &amp; Punch List'!Q32</f>
        <v/>
      </c>
      <c r="D556" s="47">
        <f>'Issues &amp; Punch List'!R32</f>
        <v/>
      </c>
      <c r="E556" s="47">
        <f>IF(OR(B556="",C556="",D556=""),"",D556*100000+(C556-DATE(2000,1,1))+ROW()/100000)</f>
        <v/>
      </c>
    </row>
    <row r="557">
      <c r="A557" t="inlineStr">
        <is>
          <t>Issues &amp; Punch List</t>
        </is>
      </c>
      <c r="B557" s="47">
        <f>'Issues &amp; Punch List'!S33</f>
        <v/>
      </c>
      <c r="C557" s="77">
        <f>'Issues &amp; Punch List'!Q33</f>
        <v/>
      </c>
      <c r="D557" s="47">
        <f>'Issues &amp; Punch List'!R33</f>
        <v/>
      </c>
      <c r="E557" s="47">
        <f>IF(OR(B557="",C557="",D557=""),"",D557*100000+(C557-DATE(2000,1,1))+ROW()/100000)</f>
        <v/>
      </c>
    </row>
    <row r="558">
      <c r="A558" t="inlineStr">
        <is>
          <t>Issues &amp; Punch List</t>
        </is>
      </c>
      <c r="B558" s="47">
        <f>'Issues &amp; Punch List'!S34</f>
        <v/>
      </c>
      <c r="C558" s="77">
        <f>'Issues &amp; Punch List'!Q34</f>
        <v/>
      </c>
      <c r="D558" s="47">
        <f>'Issues &amp; Punch List'!R34</f>
        <v/>
      </c>
      <c r="E558" s="47">
        <f>IF(OR(B558="",C558="",D558=""),"",D558*100000+(C558-DATE(2000,1,1))+ROW()/100000)</f>
        <v/>
      </c>
    </row>
    <row r="559">
      <c r="A559" t="inlineStr">
        <is>
          <t>Issues &amp; Punch List</t>
        </is>
      </c>
      <c r="B559" s="47">
        <f>'Issues &amp; Punch List'!S35</f>
        <v/>
      </c>
      <c r="C559" s="77">
        <f>'Issues &amp; Punch List'!Q35</f>
        <v/>
      </c>
      <c r="D559" s="47">
        <f>'Issues &amp; Punch List'!R35</f>
        <v/>
      </c>
      <c r="E559" s="47">
        <f>IF(OR(B559="",C559="",D559=""),"",D559*100000+(C559-DATE(2000,1,1))+ROW()/100000)</f>
        <v/>
      </c>
    </row>
    <row r="560">
      <c r="A560" t="inlineStr">
        <is>
          <t>Issues &amp; Punch List</t>
        </is>
      </c>
      <c r="B560" s="47">
        <f>'Issues &amp; Punch List'!S36</f>
        <v/>
      </c>
      <c r="C560" s="77">
        <f>'Issues &amp; Punch List'!Q36</f>
        <v/>
      </c>
      <c r="D560" s="47">
        <f>'Issues &amp; Punch List'!R36</f>
        <v/>
      </c>
      <c r="E560" s="47">
        <f>IF(OR(B560="",C560="",D560=""),"",D560*100000+(C560-DATE(2000,1,1))+ROW()/100000)</f>
        <v/>
      </c>
    </row>
    <row r="561">
      <c r="A561" t="inlineStr">
        <is>
          <t>Issues &amp; Punch List</t>
        </is>
      </c>
      <c r="B561" s="47">
        <f>'Issues &amp; Punch List'!S37</f>
        <v/>
      </c>
      <c r="C561" s="77">
        <f>'Issues &amp; Punch List'!Q37</f>
        <v/>
      </c>
      <c r="D561" s="47">
        <f>'Issues &amp; Punch List'!R37</f>
        <v/>
      </c>
      <c r="E561" s="47">
        <f>IF(OR(B561="",C561="",D561=""),"",D561*100000+(C561-DATE(2000,1,1))+ROW()/100000)</f>
        <v/>
      </c>
    </row>
    <row r="562">
      <c r="A562" t="inlineStr">
        <is>
          <t>Issues &amp; Punch List</t>
        </is>
      </c>
      <c r="B562" s="47">
        <f>'Issues &amp; Punch List'!S38</f>
        <v/>
      </c>
      <c r="C562" s="77">
        <f>'Issues &amp; Punch List'!Q38</f>
        <v/>
      </c>
      <c r="D562" s="47">
        <f>'Issues &amp; Punch List'!R38</f>
        <v/>
      </c>
      <c r="E562" s="47">
        <f>IF(OR(B562="",C562="",D562=""),"",D562*100000+(C562-DATE(2000,1,1))+ROW()/100000)</f>
        <v/>
      </c>
    </row>
    <row r="563">
      <c r="A563" t="inlineStr">
        <is>
          <t>Issues &amp; Punch List</t>
        </is>
      </c>
      <c r="B563" s="47">
        <f>'Issues &amp; Punch List'!S39</f>
        <v/>
      </c>
      <c r="C563" s="77">
        <f>'Issues &amp; Punch List'!Q39</f>
        <v/>
      </c>
      <c r="D563" s="47">
        <f>'Issues &amp; Punch List'!R39</f>
        <v/>
      </c>
      <c r="E563" s="47">
        <f>IF(OR(B563="",C563="",D563=""),"",D563*100000+(C563-DATE(2000,1,1))+ROW()/100000)</f>
        <v/>
      </c>
    </row>
    <row r="564">
      <c r="A564" t="inlineStr">
        <is>
          <t>Issues &amp; Punch List</t>
        </is>
      </c>
      <c r="B564" s="47">
        <f>'Issues &amp; Punch List'!S40</f>
        <v/>
      </c>
      <c r="C564" s="77">
        <f>'Issues &amp; Punch List'!Q40</f>
        <v/>
      </c>
      <c r="D564" s="47">
        <f>'Issues &amp; Punch List'!R40</f>
        <v/>
      </c>
      <c r="E564" s="47">
        <f>IF(OR(B564="",C564="",D564=""),"",D564*100000+(C564-DATE(2000,1,1))+ROW()/100000)</f>
        <v/>
      </c>
    </row>
    <row r="565">
      <c r="A565" t="inlineStr">
        <is>
          <t>Issues &amp; Punch List</t>
        </is>
      </c>
      <c r="B565" s="47">
        <f>'Issues &amp; Punch List'!S41</f>
        <v/>
      </c>
      <c r="C565" s="77">
        <f>'Issues &amp; Punch List'!Q41</f>
        <v/>
      </c>
      <c r="D565" s="47">
        <f>'Issues &amp; Punch List'!R41</f>
        <v/>
      </c>
      <c r="E565" s="47">
        <f>IF(OR(B565="",C565="",D565=""),"",D565*100000+(C565-DATE(2000,1,1))+ROW()/100000)</f>
        <v/>
      </c>
    </row>
    <row r="566">
      <c r="A566" t="inlineStr">
        <is>
          <t>Issues &amp; Punch List</t>
        </is>
      </c>
      <c r="B566" s="47">
        <f>'Issues &amp; Punch List'!S42</f>
        <v/>
      </c>
      <c r="C566" s="77">
        <f>'Issues &amp; Punch List'!Q42</f>
        <v/>
      </c>
      <c r="D566" s="47">
        <f>'Issues &amp; Punch List'!R42</f>
        <v/>
      </c>
      <c r="E566" s="47">
        <f>IF(OR(B566="",C566="",D566=""),"",D566*100000+(C566-DATE(2000,1,1))+ROW()/100000)</f>
        <v/>
      </c>
    </row>
    <row r="567">
      <c r="A567" t="inlineStr">
        <is>
          <t>Issues &amp; Punch List</t>
        </is>
      </c>
      <c r="B567" s="47">
        <f>'Issues &amp; Punch List'!S43</f>
        <v/>
      </c>
      <c r="C567" s="77">
        <f>'Issues &amp; Punch List'!Q43</f>
        <v/>
      </c>
      <c r="D567" s="47">
        <f>'Issues &amp; Punch List'!R43</f>
        <v/>
      </c>
      <c r="E567" s="47">
        <f>IF(OR(B567="",C567="",D567=""),"",D567*100000+(C567-DATE(2000,1,1))+ROW()/100000)</f>
        <v/>
      </c>
    </row>
    <row r="568">
      <c r="A568" t="inlineStr">
        <is>
          <t>Issues &amp; Punch List</t>
        </is>
      </c>
      <c r="B568" s="47">
        <f>'Issues &amp; Punch List'!S44</f>
        <v/>
      </c>
      <c r="C568" s="77">
        <f>'Issues &amp; Punch List'!Q44</f>
        <v/>
      </c>
      <c r="D568" s="47">
        <f>'Issues &amp; Punch List'!R44</f>
        <v/>
      </c>
      <c r="E568" s="47">
        <f>IF(OR(B568="",C568="",D568=""),"",D568*100000+(C568-DATE(2000,1,1))+ROW()/100000)</f>
        <v/>
      </c>
    </row>
    <row r="569">
      <c r="A569" t="inlineStr">
        <is>
          <t>Issues &amp; Punch List</t>
        </is>
      </c>
      <c r="B569" s="47">
        <f>'Issues &amp; Punch List'!S45</f>
        <v/>
      </c>
      <c r="C569" s="77">
        <f>'Issues &amp; Punch List'!Q45</f>
        <v/>
      </c>
      <c r="D569" s="47">
        <f>'Issues &amp; Punch List'!R45</f>
        <v/>
      </c>
      <c r="E569" s="47">
        <f>IF(OR(B569="",C569="",D569=""),"",D569*100000+(C569-DATE(2000,1,1))+ROW()/100000)</f>
        <v/>
      </c>
    </row>
    <row r="570">
      <c r="A570" t="inlineStr">
        <is>
          <t>Issues &amp; Punch List</t>
        </is>
      </c>
      <c r="B570" s="47">
        <f>'Issues &amp; Punch List'!S46</f>
        <v/>
      </c>
      <c r="C570" s="77">
        <f>'Issues &amp; Punch List'!Q46</f>
        <v/>
      </c>
      <c r="D570" s="47">
        <f>'Issues &amp; Punch List'!R46</f>
        <v/>
      </c>
      <c r="E570" s="47">
        <f>IF(OR(B570="",C570="",D570=""),"",D570*100000+(C570-DATE(2000,1,1))+ROW()/100000)</f>
        <v/>
      </c>
    </row>
    <row r="571">
      <c r="A571" t="inlineStr">
        <is>
          <t>Issues &amp; Punch List</t>
        </is>
      </c>
      <c r="B571" s="47">
        <f>'Issues &amp; Punch List'!S47</f>
        <v/>
      </c>
      <c r="C571" s="77">
        <f>'Issues &amp; Punch List'!Q47</f>
        <v/>
      </c>
      <c r="D571" s="47">
        <f>'Issues &amp; Punch List'!R47</f>
        <v/>
      </c>
      <c r="E571" s="47">
        <f>IF(OR(B571="",C571="",D571=""),"",D571*100000+(C571-DATE(2000,1,1))+ROW()/100000)</f>
        <v/>
      </c>
    </row>
    <row r="572">
      <c r="A572" t="inlineStr">
        <is>
          <t>Issues &amp; Punch List</t>
        </is>
      </c>
      <c r="B572" s="47">
        <f>'Issues &amp; Punch List'!S48</f>
        <v/>
      </c>
      <c r="C572" s="77">
        <f>'Issues &amp; Punch List'!Q48</f>
        <v/>
      </c>
      <c r="D572" s="47">
        <f>'Issues &amp; Punch List'!R48</f>
        <v/>
      </c>
      <c r="E572" s="47">
        <f>IF(OR(B572="",C572="",D572=""),"",D572*100000+(C572-DATE(2000,1,1))+ROW()/100000)</f>
        <v/>
      </c>
    </row>
    <row r="573">
      <c r="A573" t="inlineStr">
        <is>
          <t>Issues &amp; Punch List</t>
        </is>
      </c>
      <c r="B573" s="47">
        <f>'Issues &amp; Punch List'!S49</f>
        <v/>
      </c>
      <c r="C573" s="77">
        <f>'Issues &amp; Punch List'!Q49</f>
        <v/>
      </c>
      <c r="D573" s="47">
        <f>'Issues &amp; Punch List'!R49</f>
        <v/>
      </c>
      <c r="E573" s="47">
        <f>IF(OR(B573="",C573="",D573=""),"",D573*100000+(C573-DATE(2000,1,1))+ROW()/100000)</f>
        <v/>
      </c>
    </row>
    <row r="574">
      <c r="A574" t="inlineStr">
        <is>
          <t>Issues &amp; Punch List</t>
        </is>
      </c>
      <c r="B574" s="47">
        <f>'Issues &amp; Punch List'!S50</f>
        <v/>
      </c>
      <c r="C574" s="77">
        <f>'Issues &amp; Punch List'!Q50</f>
        <v/>
      </c>
      <c r="D574" s="47">
        <f>'Issues &amp; Punch List'!R50</f>
        <v/>
      </c>
      <c r="E574" s="47">
        <f>IF(OR(B574="",C574="",D574=""),"",D574*100000+(C574-DATE(2000,1,1))+ROW()/100000)</f>
        <v/>
      </c>
    </row>
    <row r="575">
      <c r="A575" t="inlineStr">
        <is>
          <t>Issues &amp; Punch List</t>
        </is>
      </c>
      <c r="B575" s="47">
        <f>'Issues &amp; Punch List'!S51</f>
        <v/>
      </c>
      <c r="C575" s="77">
        <f>'Issues &amp; Punch List'!Q51</f>
        <v/>
      </c>
      <c r="D575" s="47">
        <f>'Issues &amp; Punch List'!R51</f>
        <v/>
      </c>
      <c r="E575" s="47">
        <f>IF(OR(B575="",C575="",D575=""),"",D575*100000+(C575-DATE(2000,1,1))+ROW()/100000)</f>
        <v/>
      </c>
    </row>
    <row r="576">
      <c r="A576" t="inlineStr">
        <is>
          <t>Issues &amp; Punch List</t>
        </is>
      </c>
      <c r="B576" s="47">
        <f>'Issues &amp; Punch List'!S52</f>
        <v/>
      </c>
      <c r="C576" s="77">
        <f>'Issues &amp; Punch List'!Q52</f>
        <v/>
      </c>
      <c r="D576" s="47">
        <f>'Issues &amp; Punch List'!R52</f>
        <v/>
      </c>
      <c r="E576" s="47">
        <f>IF(OR(B576="",C576="",D576=""),"",D576*100000+(C576-DATE(2000,1,1))+ROW()/100000)</f>
        <v/>
      </c>
    </row>
    <row r="577">
      <c r="A577" t="inlineStr">
        <is>
          <t>Issues &amp; Punch List</t>
        </is>
      </c>
      <c r="B577" s="47">
        <f>'Issues &amp; Punch List'!S53</f>
        <v/>
      </c>
      <c r="C577" s="77">
        <f>'Issues &amp; Punch List'!Q53</f>
        <v/>
      </c>
      <c r="D577" s="47">
        <f>'Issues &amp; Punch List'!R53</f>
        <v/>
      </c>
      <c r="E577" s="47">
        <f>IF(OR(B577="",C577="",D577=""),"",D577*100000+(C577-DATE(2000,1,1))+ROW()/100000)</f>
        <v/>
      </c>
    </row>
    <row r="578">
      <c r="A578" t="inlineStr">
        <is>
          <t>Issues &amp; Punch List</t>
        </is>
      </c>
      <c r="B578" s="47">
        <f>'Issues &amp; Punch List'!S54</f>
        <v/>
      </c>
      <c r="C578" s="77">
        <f>'Issues &amp; Punch List'!Q54</f>
        <v/>
      </c>
      <c r="D578" s="47">
        <f>'Issues &amp; Punch List'!R54</f>
        <v/>
      </c>
      <c r="E578" s="47">
        <f>IF(OR(B578="",C578="",D578=""),"",D578*100000+(C578-DATE(2000,1,1))+ROW()/100000)</f>
        <v/>
      </c>
    </row>
    <row r="579">
      <c r="A579" t="inlineStr">
        <is>
          <t>Issues &amp; Punch List</t>
        </is>
      </c>
      <c r="B579" s="47">
        <f>'Issues &amp; Punch List'!S55</f>
        <v/>
      </c>
      <c r="C579" s="77">
        <f>'Issues &amp; Punch List'!Q55</f>
        <v/>
      </c>
      <c r="D579" s="47">
        <f>'Issues &amp; Punch List'!R55</f>
        <v/>
      </c>
      <c r="E579" s="47">
        <f>IF(OR(B579="",C579="",D579=""),"",D579*100000+(C579-DATE(2000,1,1))+ROW()/100000)</f>
        <v/>
      </c>
    </row>
    <row r="580">
      <c r="A580" t="inlineStr">
        <is>
          <t>Issues &amp; Punch List</t>
        </is>
      </c>
      <c r="B580" s="47">
        <f>'Issues &amp; Punch List'!S56</f>
        <v/>
      </c>
      <c r="C580" s="77">
        <f>'Issues &amp; Punch List'!Q56</f>
        <v/>
      </c>
      <c r="D580" s="47">
        <f>'Issues &amp; Punch List'!R56</f>
        <v/>
      </c>
      <c r="E580" s="47">
        <f>IF(OR(B580="",C580="",D580=""),"",D580*100000+(C580-DATE(2000,1,1))+ROW()/100000)</f>
        <v/>
      </c>
    </row>
    <row r="581">
      <c r="A581" t="inlineStr">
        <is>
          <t>Issues &amp; Punch List</t>
        </is>
      </c>
      <c r="B581" s="47">
        <f>'Issues &amp; Punch List'!S57</f>
        <v/>
      </c>
      <c r="C581" s="77">
        <f>'Issues &amp; Punch List'!Q57</f>
        <v/>
      </c>
      <c r="D581" s="47">
        <f>'Issues &amp; Punch List'!R57</f>
        <v/>
      </c>
      <c r="E581" s="47">
        <f>IF(OR(B581="",C581="",D581=""),"",D581*100000+(C581-DATE(2000,1,1))+ROW()/100000)</f>
        <v/>
      </c>
    </row>
    <row r="582">
      <c r="A582" t="inlineStr">
        <is>
          <t>Issues &amp; Punch List</t>
        </is>
      </c>
      <c r="B582" s="47">
        <f>'Issues &amp; Punch List'!S58</f>
        <v/>
      </c>
      <c r="C582" s="77">
        <f>'Issues &amp; Punch List'!Q58</f>
        <v/>
      </c>
      <c r="D582" s="47">
        <f>'Issues &amp; Punch List'!R58</f>
        <v/>
      </c>
      <c r="E582" s="47">
        <f>IF(OR(B582="",C582="",D582=""),"",D582*100000+(C582-DATE(2000,1,1))+ROW()/100000)</f>
        <v/>
      </c>
    </row>
    <row r="583">
      <c r="A583" t="inlineStr">
        <is>
          <t>Issues &amp; Punch List</t>
        </is>
      </c>
      <c r="B583" s="47">
        <f>'Issues &amp; Punch List'!S59</f>
        <v/>
      </c>
      <c r="C583" s="77">
        <f>'Issues &amp; Punch List'!Q59</f>
        <v/>
      </c>
      <c r="D583" s="47">
        <f>'Issues &amp; Punch List'!R59</f>
        <v/>
      </c>
      <c r="E583" s="47">
        <f>IF(OR(B583="",C583="",D583=""),"",D583*100000+(C583-DATE(2000,1,1))+ROW()/100000)</f>
        <v/>
      </c>
    </row>
    <row r="584">
      <c r="A584" t="inlineStr">
        <is>
          <t>Issues &amp; Punch List</t>
        </is>
      </c>
      <c r="B584" s="47">
        <f>'Issues &amp; Punch List'!S60</f>
        <v/>
      </c>
      <c r="C584" s="77">
        <f>'Issues &amp; Punch List'!Q60</f>
        <v/>
      </c>
      <c r="D584" s="47">
        <f>'Issues &amp; Punch List'!R60</f>
        <v/>
      </c>
      <c r="E584" s="47">
        <f>IF(OR(B584="",C584="",D584=""),"",D584*100000+(C584-DATE(2000,1,1))+ROW()/100000)</f>
        <v/>
      </c>
    </row>
    <row r="585">
      <c r="A585" t="inlineStr">
        <is>
          <t>Issues &amp; Punch List</t>
        </is>
      </c>
      <c r="B585" s="47">
        <f>'Issues &amp; Punch List'!S61</f>
        <v/>
      </c>
      <c r="C585" s="77">
        <f>'Issues &amp; Punch List'!Q61</f>
        <v/>
      </c>
      <c r="D585" s="47">
        <f>'Issues &amp; Punch List'!R61</f>
        <v/>
      </c>
      <c r="E585" s="47">
        <f>IF(OR(B585="",C585="",D585=""),"",D585*100000+(C585-DATE(2000,1,1))+ROW()/100000)</f>
        <v/>
      </c>
    </row>
    <row r="586">
      <c r="A586" t="inlineStr">
        <is>
          <t>Issues &amp; Punch List</t>
        </is>
      </c>
      <c r="B586" s="47">
        <f>'Issues &amp; Punch List'!S62</f>
        <v/>
      </c>
      <c r="C586" s="77">
        <f>'Issues &amp; Punch List'!Q62</f>
        <v/>
      </c>
      <c r="D586" s="47">
        <f>'Issues &amp; Punch List'!R62</f>
        <v/>
      </c>
      <c r="E586" s="47">
        <f>IF(OR(B586="",C586="",D586=""),"",D586*100000+(C586-DATE(2000,1,1))+ROW()/100000)</f>
        <v/>
      </c>
    </row>
    <row r="587">
      <c r="A587" t="inlineStr">
        <is>
          <t>Issues &amp; Punch List</t>
        </is>
      </c>
      <c r="B587" s="47">
        <f>'Issues &amp; Punch List'!S63</f>
        <v/>
      </c>
      <c r="C587" s="77">
        <f>'Issues &amp; Punch List'!Q63</f>
        <v/>
      </c>
      <c r="D587" s="47">
        <f>'Issues &amp; Punch List'!R63</f>
        <v/>
      </c>
      <c r="E587" s="47">
        <f>IF(OR(B587="",C587="",D587=""),"",D587*100000+(C587-DATE(2000,1,1))+ROW()/100000)</f>
        <v/>
      </c>
    </row>
    <row r="588">
      <c r="A588" t="inlineStr">
        <is>
          <t>Issues &amp; Punch List</t>
        </is>
      </c>
      <c r="B588" s="47">
        <f>'Issues &amp; Punch List'!S64</f>
        <v/>
      </c>
      <c r="C588" s="77">
        <f>'Issues &amp; Punch List'!Q64</f>
        <v/>
      </c>
      <c r="D588" s="47">
        <f>'Issues &amp; Punch List'!R64</f>
        <v/>
      </c>
      <c r="E588" s="47">
        <f>IF(OR(B588="",C588="",D588=""),"",D588*100000+(C588-DATE(2000,1,1))+ROW()/100000)</f>
        <v/>
      </c>
    </row>
    <row r="589">
      <c r="A589" t="inlineStr">
        <is>
          <t>Issues &amp; Punch List</t>
        </is>
      </c>
      <c r="B589" s="47">
        <f>'Issues &amp; Punch List'!S65</f>
        <v/>
      </c>
      <c r="C589" s="77">
        <f>'Issues &amp; Punch List'!Q65</f>
        <v/>
      </c>
      <c r="D589" s="47">
        <f>'Issues &amp; Punch List'!R65</f>
        <v/>
      </c>
      <c r="E589" s="47">
        <f>IF(OR(B589="",C589="",D589=""),"",D589*100000+(C589-DATE(2000,1,1))+ROW()/100000)</f>
        <v/>
      </c>
    </row>
    <row r="590">
      <c r="A590" t="inlineStr">
        <is>
          <t>Issues &amp; Punch List</t>
        </is>
      </c>
      <c r="B590" s="47">
        <f>'Issues &amp; Punch List'!S66</f>
        <v/>
      </c>
      <c r="C590" s="77">
        <f>'Issues &amp; Punch List'!Q66</f>
        <v/>
      </c>
      <c r="D590" s="47">
        <f>'Issues &amp; Punch List'!R66</f>
        <v/>
      </c>
      <c r="E590" s="47">
        <f>IF(OR(B590="",C590="",D590=""),"",D590*100000+(C590-DATE(2000,1,1))+ROW()/100000)</f>
        <v/>
      </c>
    </row>
    <row r="591">
      <c r="A591" t="inlineStr">
        <is>
          <t>Issues &amp; Punch List</t>
        </is>
      </c>
      <c r="B591" s="47">
        <f>'Issues &amp; Punch List'!S67</f>
        <v/>
      </c>
      <c r="C591" s="77">
        <f>'Issues &amp; Punch List'!Q67</f>
        <v/>
      </c>
      <c r="D591" s="47">
        <f>'Issues &amp; Punch List'!R67</f>
        <v/>
      </c>
      <c r="E591" s="47">
        <f>IF(OR(B591="",C591="",D591=""),"",D591*100000+(C591-DATE(2000,1,1))+ROW()/100000)</f>
        <v/>
      </c>
    </row>
    <row r="592">
      <c r="A592" t="inlineStr">
        <is>
          <t>Issues &amp; Punch List</t>
        </is>
      </c>
      <c r="B592" s="47">
        <f>'Issues &amp; Punch List'!S68</f>
        <v/>
      </c>
      <c r="C592" s="77">
        <f>'Issues &amp; Punch List'!Q68</f>
        <v/>
      </c>
      <c r="D592" s="47">
        <f>'Issues &amp; Punch List'!R68</f>
        <v/>
      </c>
      <c r="E592" s="47">
        <f>IF(OR(B592="",C592="",D592=""),"",D592*100000+(C592-DATE(2000,1,1))+ROW()/100000)</f>
        <v/>
      </c>
    </row>
    <row r="593">
      <c r="A593" t="inlineStr">
        <is>
          <t>Issues &amp; Punch List</t>
        </is>
      </c>
      <c r="B593" s="47">
        <f>'Issues &amp; Punch List'!S69</f>
        <v/>
      </c>
      <c r="C593" s="77">
        <f>'Issues &amp; Punch List'!Q69</f>
        <v/>
      </c>
      <c r="D593" s="47">
        <f>'Issues &amp; Punch List'!R69</f>
        <v/>
      </c>
      <c r="E593" s="47">
        <f>IF(OR(B593="",C593="",D593=""),"",D593*100000+(C593-DATE(2000,1,1))+ROW()/100000)</f>
        <v/>
      </c>
    </row>
    <row r="594">
      <c r="A594" t="inlineStr">
        <is>
          <t>Issues &amp; Punch List</t>
        </is>
      </c>
      <c r="B594" s="47">
        <f>'Issues &amp; Punch List'!S70</f>
        <v/>
      </c>
      <c r="C594" s="77">
        <f>'Issues &amp; Punch List'!Q70</f>
        <v/>
      </c>
      <c r="D594" s="47">
        <f>'Issues &amp; Punch List'!R70</f>
        <v/>
      </c>
      <c r="E594" s="47">
        <f>IF(OR(B594="",C594="",D594=""),"",D594*100000+(C594-DATE(2000,1,1))+ROW()/100000)</f>
        <v/>
      </c>
    </row>
    <row r="595">
      <c r="A595" t="inlineStr">
        <is>
          <t>Issues &amp; Punch List</t>
        </is>
      </c>
      <c r="B595" s="47">
        <f>'Issues &amp; Punch List'!S71</f>
        <v/>
      </c>
      <c r="C595" s="77">
        <f>'Issues &amp; Punch List'!Q71</f>
        <v/>
      </c>
      <c r="D595" s="47">
        <f>'Issues &amp; Punch List'!R71</f>
        <v/>
      </c>
      <c r="E595" s="47">
        <f>IF(OR(B595="",C595="",D595=""),"",D595*100000+(C595-DATE(2000,1,1))+ROW()/100000)</f>
        <v/>
      </c>
    </row>
    <row r="596">
      <c r="A596" t="inlineStr">
        <is>
          <t>Issues &amp; Punch List</t>
        </is>
      </c>
      <c r="B596" s="47">
        <f>'Issues &amp; Punch List'!S72</f>
        <v/>
      </c>
      <c r="C596" s="77">
        <f>'Issues &amp; Punch List'!Q72</f>
        <v/>
      </c>
      <c r="D596" s="47">
        <f>'Issues &amp; Punch List'!R72</f>
        <v/>
      </c>
      <c r="E596" s="47">
        <f>IF(OR(B596="",C596="",D596=""),"",D596*100000+(C596-DATE(2000,1,1))+ROW()/100000)</f>
        <v/>
      </c>
    </row>
    <row r="597">
      <c r="A597" t="inlineStr">
        <is>
          <t>Issues &amp; Punch List</t>
        </is>
      </c>
      <c r="B597" s="47">
        <f>'Issues &amp; Punch List'!S73</f>
        <v/>
      </c>
      <c r="C597" s="77">
        <f>'Issues &amp; Punch List'!Q73</f>
        <v/>
      </c>
      <c r="D597" s="47">
        <f>'Issues &amp; Punch List'!R73</f>
        <v/>
      </c>
      <c r="E597" s="47">
        <f>IF(OR(B597="",C597="",D597=""),"",D597*100000+(C597-DATE(2000,1,1))+ROW()/100000)</f>
        <v/>
      </c>
    </row>
    <row r="598">
      <c r="A598" t="inlineStr">
        <is>
          <t>Issues &amp; Punch List</t>
        </is>
      </c>
      <c r="B598" s="47">
        <f>'Issues &amp; Punch List'!S74</f>
        <v/>
      </c>
      <c r="C598" s="77">
        <f>'Issues &amp; Punch List'!Q74</f>
        <v/>
      </c>
      <c r="D598" s="47">
        <f>'Issues &amp; Punch List'!R74</f>
        <v/>
      </c>
      <c r="E598" s="47">
        <f>IF(OR(B598="",C598="",D598=""),"",D598*100000+(C598-DATE(2000,1,1))+ROW()/100000)</f>
        <v/>
      </c>
    </row>
    <row r="599">
      <c r="A599" t="inlineStr">
        <is>
          <t>Issues &amp; Punch List</t>
        </is>
      </c>
      <c r="B599" s="47">
        <f>'Issues &amp; Punch List'!S75</f>
        <v/>
      </c>
      <c r="C599" s="77">
        <f>'Issues &amp; Punch List'!Q75</f>
        <v/>
      </c>
      <c r="D599" s="47">
        <f>'Issues &amp; Punch List'!R75</f>
        <v/>
      </c>
      <c r="E599" s="47">
        <f>IF(OR(B599="",C599="",D599=""),"",D599*100000+(C599-DATE(2000,1,1))+ROW()/100000)</f>
        <v/>
      </c>
    </row>
    <row r="600">
      <c r="A600" t="inlineStr">
        <is>
          <t>Issues &amp; Punch List</t>
        </is>
      </c>
      <c r="B600" s="47">
        <f>'Issues &amp; Punch List'!S76</f>
        <v/>
      </c>
      <c r="C600" s="77">
        <f>'Issues &amp; Punch List'!Q76</f>
        <v/>
      </c>
      <c r="D600" s="47">
        <f>'Issues &amp; Punch List'!R76</f>
        <v/>
      </c>
      <c r="E600" s="47">
        <f>IF(OR(B600="",C600="",D600=""),"",D600*100000+(C600-DATE(2000,1,1))+ROW()/100000)</f>
        <v/>
      </c>
    </row>
    <row r="601">
      <c r="A601" t="inlineStr">
        <is>
          <t>Issues &amp; Punch List</t>
        </is>
      </c>
      <c r="B601" s="47">
        <f>'Issues &amp; Punch List'!S77</f>
        <v/>
      </c>
      <c r="C601" s="77">
        <f>'Issues &amp; Punch List'!Q77</f>
        <v/>
      </c>
      <c r="D601" s="47">
        <f>'Issues &amp; Punch List'!R77</f>
        <v/>
      </c>
      <c r="E601" s="47">
        <f>IF(OR(B601="",C601="",D601=""),"",D601*100000+(C601-DATE(2000,1,1))+ROW()/100000)</f>
        <v/>
      </c>
    </row>
    <row r="602">
      <c r="A602" t="inlineStr">
        <is>
          <t>Issues &amp; Punch List</t>
        </is>
      </c>
      <c r="B602" s="47">
        <f>'Issues &amp; Punch List'!S78</f>
        <v/>
      </c>
      <c r="C602" s="77">
        <f>'Issues &amp; Punch List'!Q78</f>
        <v/>
      </c>
      <c r="D602" s="47">
        <f>'Issues &amp; Punch List'!R78</f>
        <v/>
      </c>
      <c r="E602" s="47">
        <f>IF(OR(B602="",C602="",D602=""),"",D602*100000+(C602-DATE(2000,1,1))+ROW()/100000)</f>
        <v/>
      </c>
    </row>
    <row r="603">
      <c r="A603" t="inlineStr">
        <is>
          <t>Issues &amp; Punch List</t>
        </is>
      </c>
      <c r="B603" s="47">
        <f>'Issues &amp; Punch List'!S79</f>
        <v/>
      </c>
      <c r="C603" s="77">
        <f>'Issues &amp; Punch List'!Q79</f>
        <v/>
      </c>
      <c r="D603" s="47">
        <f>'Issues &amp; Punch List'!R79</f>
        <v/>
      </c>
      <c r="E603" s="47">
        <f>IF(OR(B603="",C603="",D603=""),"",D603*100000+(C603-DATE(2000,1,1))+ROW()/100000)</f>
        <v/>
      </c>
    </row>
    <row r="604">
      <c r="A604" t="inlineStr">
        <is>
          <t>Issues &amp; Punch List</t>
        </is>
      </c>
      <c r="B604" s="47">
        <f>'Issues &amp; Punch List'!S80</f>
        <v/>
      </c>
      <c r="C604" s="77">
        <f>'Issues &amp; Punch List'!Q80</f>
        <v/>
      </c>
      <c r="D604" s="47">
        <f>'Issues &amp; Punch List'!R80</f>
        <v/>
      </c>
      <c r="E604" s="47">
        <f>IF(OR(B604="",C604="",D604=""),"",D604*100000+(C604-DATE(2000,1,1))+ROW()/100000)</f>
        <v/>
      </c>
    </row>
    <row r="605">
      <c r="A605" t="inlineStr">
        <is>
          <t>Issues &amp; Punch List</t>
        </is>
      </c>
      <c r="B605" s="47">
        <f>'Issues &amp; Punch List'!S81</f>
        <v/>
      </c>
      <c r="C605" s="77">
        <f>'Issues &amp; Punch List'!Q81</f>
        <v/>
      </c>
      <c r="D605" s="47">
        <f>'Issues &amp; Punch List'!R81</f>
        <v/>
      </c>
      <c r="E605" s="47">
        <f>IF(OR(B605="",C605="",D605=""),"",D605*100000+(C605-DATE(2000,1,1))+ROW()/100000)</f>
        <v/>
      </c>
    </row>
    <row r="606">
      <c r="A606" t="inlineStr">
        <is>
          <t>Issues &amp; Punch List</t>
        </is>
      </c>
      <c r="B606" s="47">
        <f>'Issues &amp; Punch List'!S82</f>
        <v/>
      </c>
      <c r="C606" s="77">
        <f>'Issues &amp; Punch List'!Q82</f>
        <v/>
      </c>
      <c r="D606" s="47">
        <f>'Issues &amp; Punch List'!R82</f>
        <v/>
      </c>
      <c r="E606" s="47">
        <f>IF(OR(B606="",C606="",D606=""),"",D606*100000+(C606-DATE(2000,1,1))+ROW()/100000)</f>
        <v/>
      </c>
    </row>
    <row r="607">
      <c r="A607" t="inlineStr">
        <is>
          <t>Issues &amp; Punch List</t>
        </is>
      </c>
      <c r="B607" s="47">
        <f>'Issues &amp; Punch List'!S83</f>
        <v/>
      </c>
      <c r="C607" s="77">
        <f>'Issues &amp; Punch List'!Q83</f>
        <v/>
      </c>
      <c r="D607" s="47">
        <f>'Issues &amp; Punch List'!R83</f>
        <v/>
      </c>
      <c r="E607" s="47">
        <f>IF(OR(B607="",C607="",D607=""),"",D607*100000+(C607-DATE(2000,1,1))+ROW()/100000)</f>
        <v/>
      </c>
    </row>
    <row r="608">
      <c r="A608" t="inlineStr">
        <is>
          <t>Issues &amp; Punch List</t>
        </is>
      </c>
      <c r="B608" s="47">
        <f>'Issues &amp; Punch List'!S84</f>
        <v/>
      </c>
      <c r="C608" s="77">
        <f>'Issues &amp; Punch List'!Q84</f>
        <v/>
      </c>
      <c r="D608" s="47">
        <f>'Issues &amp; Punch List'!R84</f>
        <v/>
      </c>
      <c r="E608" s="47">
        <f>IF(OR(B608="",C608="",D608=""),"",D608*100000+(C608-DATE(2000,1,1))+ROW()/100000)</f>
        <v/>
      </c>
    </row>
    <row r="609">
      <c r="A609" t="inlineStr">
        <is>
          <t>Issues &amp; Punch List</t>
        </is>
      </c>
      <c r="B609" s="47">
        <f>'Issues &amp; Punch List'!S85</f>
        <v/>
      </c>
      <c r="C609" s="77">
        <f>'Issues &amp; Punch List'!Q85</f>
        <v/>
      </c>
      <c r="D609" s="47">
        <f>'Issues &amp; Punch List'!R85</f>
        <v/>
      </c>
      <c r="E609" s="47">
        <f>IF(OR(B609="",C609="",D609=""),"",D609*100000+(C609-DATE(2000,1,1))+ROW()/100000)</f>
        <v/>
      </c>
    </row>
    <row r="610">
      <c r="A610" t="inlineStr">
        <is>
          <t>Issues &amp; Punch List</t>
        </is>
      </c>
      <c r="B610" s="47">
        <f>'Issues &amp; Punch List'!S86</f>
        <v/>
      </c>
      <c r="C610" s="77">
        <f>'Issues &amp; Punch List'!Q86</f>
        <v/>
      </c>
      <c r="D610" s="47">
        <f>'Issues &amp; Punch List'!R86</f>
        <v/>
      </c>
      <c r="E610" s="47">
        <f>IF(OR(B610="",C610="",D610=""),"",D610*100000+(C610-DATE(2000,1,1))+ROW()/100000)</f>
        <v/>
      </c>
    </row>
    <row r="611">
      <c r="A611" t="inlineStr">
        <is>
          <t>Issues &amp; Punch List</t>
        </is>
      </c>
      <c r="B611" s="47">
        <f>'Issues &amp; Punch List'!S87</f>
        <v/>
      </c>
      <c r="C611" s="77">
        <f>'Issues &amp; Punch List'!Q87</f>
        <v/>
      </c>
      <c r="D611" s="47">
        <f>'Issues &amp; Punch List'!R87</f>
        <v/>
      </c>
      <c r="E611" s="47">
        <f>IF(OR(B611="",C611="",D611=""),"",D611*100000+(C611-DATE(2000,1,1))+ROW()/100000)</f>
        <v/>
      </c>
    </row>
    <row r="612">
      <c r="A612" t="inlineStr">
        <is>
          <t>Issues &amp; Punch List</t>
        </is>
      </c>
      <c r="B612" s="47">
        <f>'Issues &amp; Punch List'!S88</f>
        <v/>
      </c>
      <c r="C612" s="77">
        <f>'Issues &amp; Punch List'!Q88</f>
        <v/>
      </c>
      <c r="D612" s="47">
        <f>'Issues &amp; Punch List'!R88</f>
        <v/>
      </c>
      <c r="E612" s="47">
        <f>IF(OR(B612="",C612="",D612=""),"",D612*100000+(C612-DATE(2000,1,1))+ROW()/100000)</f>
        <v/>
      </c>
    </row>
    <row r="613">
      <c r="A613" t="inlineStr">
        <is>
          <t>Issues &amp; Punch List</t>
        </is>
      </c>
      <c r="B613" s="47">
        <f>'Issues &amp; Punch List'!S89</f>
        <v/>
      </c>
      <c r="C613" s="77">
        <f>'Issues &amp; Punch List'!Q89</f>
        <v/>
      </c>
      <c r="D613" s="47">
        <f>'Issues &amp; Punch List'!R89</f>
        <v/>
      </c>
      <c r="E613" s="47">
        <f>IF(OR(B613="",C613="",D613=""),"",D613*100000+(C613-DATE(2000,1,1))+ROW()/100000)</f>
        <v/>
      </c>
    </row>
    <row r="614">
      <c r="A614" t="inlineStr">
        <is>
          <t>Issues &amp; Punch List</t>
        </is>
      </c>
      <c r="B614" s="47">
        <f>'Issues &amp; Punch List'!S90</f>
        <v/>
      </c>
      <c r="C614" s="77">
        <f>'Issues &amp; Punch List'!Q90</f>
        <v/>
      </c>
      <c r="D614" s="47">
        <f>'Issues &amp; Punch List'!R90</f>
        <v/>
      </c>
      <c r="E614" s="47">
        <f>IF(OR(B614="",C614="",D614=""),"",D614*100000+(C614-DATE(2000,1,1))+ROW()/100000)</f>
        <v/>
      </c>
    </row>
    <row r="615">
      <c r="A615" t="inlineStr">
        <is>
          <t>Issues &amp; Punch List</t>
        </is>
      </c>
      <c r="B615" s="47">
        <f>'Issues &amp; Punch List'!S91</f>
        <v/>
      </c>
      <c r="C615" s="77">
        <f>'Issues &amp; Punch List'!Q91</f>
        <v/>
      </c>
      <c r="D615" s="47">
        <f>'Issues &amp; Punch List'!R91</f>
        <v/>
      </c>
      <c r="E615" s="47">
        <f>IF(OR(B615="",C615="",D615=""),"",D615*100000+(C615-DATE(2000,1,1))+ROW()/100000)</f>
        <v/>
      </c>
    </row>
    <row r="616">
      <c r="A616" t="inlineStr">
        <is>
          <t>Issues &amp; Punch List</t>
        </is>
      </c>
      <c r="B616" s="47">
        <f>'Issues &amp; Punch List'!S92</f>
        <v/>
      </c>
      <c r="C616" s="77">
        <f>'Issues &amp; Punch List'!Q92</f>
        <v/>
      </c>
      <c r="D616" s="47">
        <f>'Issues &amp; Punch List'!R92</f>
        <v/>
      </c>
      <c r="E616" s="47">
        <f>IF(OR(B616="",C616="",D616=""),"",D616*100000+(C616-DATE(2000,1,1))+ROW()/100000)</f>
        <v/>
      </c>
    </row>
    <row r="617">
      <c r="A617" t="inlineStr">
        <is>
          <t>Issues &amp; Punch List</t>
        </is>
      </c>
      <c r="B617" s="47">
        <f>'Issues &amp; Punch List'!S93</f>
        <v/>
      </c>
      <c r="C617" s="77">
        <f>'Issues &amp; Punch List'!Q93</f>
        <v/>
      </c>
      <c r="D617" s="47">
        <f>'Issues &amp; Punch List'!R93</f>
        <v/>
      </c>
      <c r="E617" s="47">
        <f>IF(OR(B617="",C617="",D617=""),"",D617*100000+(C617-DATE(2000,1,1))+ROW()/100000)</f>
        <v/>
      </c>
    </row>
    <row r="618">
      <c r="A618" t="inlineStr">
        <is>
          <t>Issues &amp; Punch List</t>
        </is>
      </c>
      <c r="B618" s="47">
        <f>'Issues &amp; Punch List'!S94</f>
        <v/>
      </c>
      <c r="C618" s="77">
        <f>'Issues &amp; Punch List'!Q94</f>
        <v/>
      </c>
      <c r="D618" s="47">
        <f>'Issues &amp; Punch List'!R94</f>
        <v/>
      </c>
      <c r="E618" s="47">
        <f>IF(OR(B618="",C618="",D618=""),"",D618*100000+(C618-DATE(2000,1,1))+ROW()/100000)</f>
        <v/>
      </c>
    </row>
    <row r="619">
      <c r="A619" t="inlineStr">
        <is>
          <t>Issues &amp; Punch List</t>
        </is>
      </c>
      <c r="B619" s="47">
        <f>'Issues &amp; Punch List'!S95</f>
        <v/>
      </c>
      <c r="C619" s="77">
        <f>'Issues &amp; Punch List'!Q95</f>
        <v/>
      </c>
      <c r="D619" s="47">
        <f>'Issues &amp; Punch List'!R95</f>
        <v/>
      </c>
      <c r="E619" s="47">
        <f>IF(OR(B619="",C619="",D619=""),"",D619*100000+(C619-DATE(2000,1,1))+ROW()/100000)</f>
        <v/>
      </c>
    </row>
    <row r="620">
      <c r="A620" t="inlineStr">
        <is>
          <t>Issues &amp; Punch List</t>
        </is>
      </c>
      <c r="B620" s="47">
        <f>'Issues &amp; Punch List'!S96</f>
        <v/>
      </c>
      <c r="C620" s="77">
        <f>'Issues &amp; Punch List'!Q96</f>
        <v/>
      </c>
      <c r="D620" s="47">
        <f>'Issues &amp; Punch List'!R96</f>
        <v/>
      </c>
      <c r="E620" s="47">
        <f>IF(OR(B620="",C620="",D620=""),"",D620*100000+(C620-DATE(2000,1,1))+ROW()/100000)</f>
        <v/>
      </c>
    </row>
    <row r="621">
      <c r="A621" t="inlineStr">
        <is>
          <t>Issues &amp; Punch List</t>
        </is>
      </c>
      <c r="B621" s="47">
        <f>'Issues &amp; Punch List'!S97</f>
        <v/>
      </c>
      <c r="C621" s="77">
        <f>'Issues &amp; Punch List'!Q97</f>
        <v/>
      </c>
      <c r="D621" s="47">
        <f>'Issues &amp; Punch List'!R97</f>
        <v/>
      </c>
      <c r="E621" s="47">
        <f>IF(OR(B621="",C621="",D621=""),"",D621*100000+(C621-DATE(2000,1,1))+ROW()/100000)</f>
        <v/>
      </c>
    </row>
    <row r="622">
      <c r="A622" t="inlineStr">
        <is>
          <t>Issues &amp; Punch List</t>
        </is>
      </c>
      <c r="B622" s="47">
        <f>'Issues &amp; Punch List'!S98</f>
        <v/>
      </c>
      <c r="C622" s="77">
        <f>'Issues &amp; Punch List'!Q98</f>
        <v/>
      </c>
      <c r="D622" s="47">
        <f>'Issues &amp; Punch List'!R98</f>
        <v/>
      </c>
      <c r="E622" s="47">
        <f>IF(OR(B622="",C622="",D622=""),"",D622*100000+(C622-DATE(2000,1,1))+ROW()/100000)</f>
        <v/>
      </c>
    </row>
    <row r="623">
      <c r="A623" t="inlineStr">
        <is>
          <t>Issues &amp; Punch List</t>
        </is>
      </c>
      <c r="B623" s="47">
        <f>'Issues &amp; Punch List'!S99</f>
        <v/>
      </c>
      <c r="C623" s="77">
        <f>'Issues &amp; Punch List'!Q99</f>
        <v/>
      </c>
      <c r="D623" s="47">
        <f>'Issues &amp; Punch List'!R99</f>
        <v/>
      </c>
      <c r="E623" s="47">
        <f>IF(OR(B623="",C623="",D623=""),"",D623*100000+(C623-DATE(2000,1,1))+ROW()/100000)</f>
        <v/>
      </c>
    </row>
    <row r="624">
      <c r="A624" t="inlineStr">
        <is>
          <t>Issues &amp; Punch List</t>
        </is>
      </c>
      <c r="B624" s="47">
        <f>'Issues &amp; Punch List'!S100</f>
        <v/>
      </c>
      <c r="C624" s="77">
        <f>'Issues &amp; Punch List'!Q100</f>
        <v/>
      </c>
      <c r="D624" s="47">
        <f>'Issues &amp; Punch List'!R100</f>
        <v/>
      </c>
      <c r="E624" s="47">
        <f>IF(OR(B624="",C624="",D624=""),"",D624*100000+(C624-DATE(2000,1,1))+ROW()/100000)</f>
        <v/>
      </c>
    </row>
    <row r="625">
      <c r="A625" t="inlineStr">
        <is>
          <t>Issues &amp; Punch List</t>
        </is>
      </c>
      <c r="B625" s="47">
        <f>'Issues &amp; Punch List'!S101</f>
        <v/>
      </c>
      <c r="C625" s="77">
        <f>'Issues &amp; Punch List'!Q101</f>
        <v/>
      </c>
      <c r="D625" s="47">
        <f>'Issues &amp; Punch List'!R101</f>
        <v/>
      </c>
      <c r="E625" s="47">
        <f>IF(OR(B625="",C625="",D625=""),"",D625*100000+(C625-DATE(2000,1,1))+ROW()/100000)</f>
        <v/>
      </c>
    </row>
    <row r="626">
      <c r="A626" t="inlineStr">
        <is>
          <t>Issues &amp; Punch List</t>
        </is>
      </c>
      <c r="B626" s="47">
        <f>'Issues &amp; Punch List'!S102</f>
        <v/>
      </c>
      <c r="C626" s="77">
        <f>'Issues &amp; Punch List'!Q102</f>
        <v/>
      </c>
      <c r="D626" s="47">
        <f>'Issues &amp; Punch List'!R102</f>
        <v/>
      </c>
      <c r="E626" s="47">
        <f>IF(OR(B626="",C626="",D626=""),"",D626*100000+(C626-DATE(2000,1,1))+ROW()/100000)</f>
        <v/>
      </c>
    </row>
    <row r="627">
      <c r="A627" t="inlineStr">
        <is>
          <t>Issues &amp; Punch List</t>
        </is>
      </c>
      <c r="B627" s="47">
        <f>'Issues &amp; Punch List'!S103</f>
        <v/>
      </c>
      <c r="C627" s="77">
        <f>'Issues &amp; Punch List'!Q103</f>
        <v/>
      </c>
      <c r="D627" s="47">
        <f>'Issues &amp; Punch List'!R103</f>
        <v/>
      </c>
      <c r="E627" s="47">
        <f>IF(OR(B627="",C627="",D627=""),"",D627*100000+(C627-DATE(2000,1,1))+ROW()/100000)</f>
        <v/>
      </c>
    </row>
    <row r="628">
      <c r="A628" t="inlineStr">
        <is>
          <t>Issues &amp; Punch List</t>
        </is>
      </c>
      <c r="B628" s="47">
        <f>'Issues &amp; Punch List'!S104</f>
        <v/>
      </c>
      <c r="C628" s="77">
        <f>'Issues &amp; Punch List'!Q104</f>
        <v/>
      </c>
      <c r="D628" s="47">
        <f>'Issues &amp; Punch List'!R104</f>
        <v/>
      </c>
      <c r="E628" s="47">
        <f>IF(OR(B628="",C628="",D628=""),"",D628*100000+(C628-DATE(2000,1,1))+ROW()/100000)</f>
        <v/>
      </c>
    </row>
    <row r="629">
      <c r="A629" t="inlineStr">
        <is>
          <t>Issues &amp; Punch List</t>
        </is>
      </c>
      <c r="B629" s="47">
        <f>'Issues &amp; Punch List'!S105</f>
        <v/>
      </c>
      <c r="C629" s="77">
        <f>'Issues &amp; Punch List'!Q105</f>
        <v/>
      </c>
      <c r="D629" s="47">
        <f>'Issues &amp; Punch List'!R105</f>
        <v/>
      </c>
      <c r="E629" s="47">
        <f>IF(OR(B629="",C629="",D629=""),"",D629*100000+(C629-DATE(2000,1,1))+ROW()/100000)</f>
        <v/>
      </c>
    </row>
    <row r="630">
      <c r="A630" t="inlineStr">
        <is>
          <t>Issues &amp; Punch List</t>
        </is>
      </c>
      <c r="B630" s="47">
        <f>'Issues &amp; Punch List'!S106</f>
        <v/>
      </c>
      <c r="C630" s="77">
        <f>'Issues &amp; Punch List'!Q106</f>
        <v/>
      </c>
      <c r="D630" s="47">
        <f>'Issues &amp; Punch List'!R106</f>
        <v/>
      </c>
      <c r="E630" s="47">
        <f>IF(OR(B630="",C630="",D630=""),"",D630*100000+(C630-DATE(2000,1,1))+ROW()/100000)</f>
        <v/>
      </c>
    </row>
    <row r="631">
      <c r="A631" t="inlineStr">
        <is>
          <t>Issues &amp; Punch List</t>
        </is>
      </c>
      <c r="B631" s="47">
        <f>'Issues &amp; Punch List'!S107</f>
        <v/>
      </c>
      <c r="C631" s="77">
        <f>'Issues &amp; Punch List'!Q107</f>
        <v/>
      </c>
      <c r="D631" s="47">
        <f>'Issues &amp; Punch List'!R107</f>
        <v/>
      </c>
      <c r="E631" s="47">
        <f>IF(OR(B631="",C631="",D631=""),"",D631*100000+(C631-DATE(2000,1,1))+ROW()/100000)</f>
        <v/>
      </c>
    </row>
    <row r="632">
      <c r="A632" t="inlineStr">
        <is>
          <t>Issues &amp; Punch List</t>
        </is>
      </c>
      <c r="B632" s="47">
        <f>'Issues &amp; Punch List'!S108</f>
        <v/>
      </c>
      <c r="C632" s="77">
        <f>'Issues &amp; Punch List'!Q108</f>
        <v/>
      </c>
      <c r="D632" s="47">
        <f>'Issues &amp; Punch List'!R108</f>
        <v/>
      </c>
      <c r="E632" s="47">
        <f>IF(OR(B632="",C632="",D632=""),"",D632*100000+(C632-DATE(2000,1,1))+ROW()/100000)</f>
        <v/>
      </c>
    </row>
    <row r="633">
      <c r="A633" t="inlineStr">
        <is>
          <t>Issues &amp; Punch List</t>
        </is>
      </c>
      <c r="B633" s="47">
        <f>'Issues &amp; Punch List'!S109</f>
        <v/>
      </c>
      <c r="C633" s="77">
        <f>'Issues &amp; Punch List'!Q109</f>
        <v/>
      </c>
      <c r="D633" s="47">
        <f>'Issues &amp; Punch List'!R109</f>
        <v/>
      </c>
      <c r="E633" s="47">
        <f>IF(OR(B633="",C633="",D633=""),"",D633*100000+(C633-DATE(2000,1,1))+ROW()/100000)</f>
        <v/>
      </c>
    </row>
    <row r="634">
      <c r="A634" t="inlineStr">
        <is>
          <t>Issues &amp; Punch List</t>
        </is>
      </c>
      <c r="B634" s="47">
        <f>'Issues &amp; Punch List'!S110</f>
        <v/>
      </c>
      <c r="C634" s="77">
        <f>'Issues &amp; Punch List'!Q110</f>
        <v/>
      </c>
      <c r="D634" s="47">
        <f>'Issues &amp; Punch List'!R110</f>
        <v/>
      </c>
      <c r="E634" s="47">
        <f>IF(OR(B634="",C634="",D634=""),"",D634*100000+(C634-DATE(2000,1,1))+ROW()/100000)</f>
        <v/>
      </c>
    </row>
    <row r="635">
      <c r="A635" t="inlineStr">
        <is>
          <t>Issues &amp; Punch List</t>
        </is>
      </c>
      <c r="B635" s="47">
        <f>'Issues &amp; Punch List'!S111</f>
        <v/>
      </c>
      <c r="C635" s="77">
        <f>'Issues &amp; Punch List'!Q111</f>
        <v/>
      </c>
      <c r="D635" s="47">
        <f>'Issues &amp; Punch List'!R111</f>
        <v/>
      </c>
      <c r="E635" s="47">
        <f>IF(OR(B635="",C635="",D635=""),"",D635*100000+(C635-DATE(2000,1,1))+ROW()/100000)</f>
        <v/>
      </c>
    </row>
    <row r="636">
      <c r="A636" t="inlineStr">
        <is>
          <t>Issues &amp; Punch List</t>
        </is>
      </c>
      <c r="B636" s="47">
        <f>'Issues &amp; Punch List'!S112</f>
        <v/>
      </c>
      <c r="C636" s="77">
        <f>'Issues &amp; Punch List'!Q112</f>
        <v/>
      </c>
      <c r="D636" s="47">
        <f>'Issues &amp; Punch List'!R112</f>
        <v/>
      </c>
      <c r="E636" s="47">
        <f>IF(OR(B636="",C636="",D636=""),"",D636*100000+(C636-DATE(2000,1,1))+ROW()/100000)</f>
        <v/>
      </c>
    </row>
    <row r="637">
      <c r="A637" t="inlineStr">
        <is>
          <t>Issues &amp; Punch List</t>
        </is>
      </c>
      <c r="B637" s="47">
        <f>'Issues &amp; Punch List'!S113</f>
        <v/>
      </c>
      <c r="C637" s="77">
        <f>'Issues &amp; Punch List'!Q113</f>
        <v/>
      </c>
      <c r="D637" s="47">
        <f>'Issues &amp; Punch List'!R113</f>
        <v/>
      </c>
      <c r="E637" s="47">
        <f>IF(OR(B637="",C637="",D637=""),"",D637*100000+(C637-DATE(2000,1,1))+ROW()/100000)</f>
        <v/>
      </c>
    </row>
    <row r="638">
      <c r="A638" t="inlineStr">
        <is>
          <t>Issues &amp; Punch List</t>
        </is>
      </c>
      <c r="B638" s="47">
        <f>'Issues &amp; Punch List'!S114</f>
        <v/>
      </c>
      <c r="C638" s="77">
        <f>'Issues &amp; Punch List'!Q114</f>
        <v/>
      </c>
      <c r="D638" s="47">
        <f>'Issues &amp; Punch List'!R114</f>
        <v/>
      </c>
      <c r="E638" s="47">
        <f>IF(OR(B638="",C638="",D638=""),"",D638*100000+(C638-DATE(2000,1,1))+ROW()/100000)</f>
        <v/>
      </c>
    </row>
    <row r="639">
      <c r="A639" t="inlineStr">
        <is>
          <t>Issues &amp; Punch List</t>
        </is>
      </c>
      <c r="B639" s="47">
        <f>'Issues &amp; Punch List'!S115</f>
        <v/>
      </c>
      <c r="C639" s="77">
        <f>'Issues &amp; Punch List'!Q115</f>
        <v/>
      </c>
      <c r="D639" s="47">
        <f>'Issues &amp; Punch List'!R115</f>
        <v/>
      </c>
      <c r="E639" s="47">
        <f>IF(OR(B639="",C639="",D639=""),"",D639*100000+(C639-DATE(2000,1,1))+ROW()/100000)</f>
        <v/>
      </c>
    </row>
    <row r="640">
      <c r="A640" t="inlineStr">
        <is>
          <t>Issues &amp; Punch List</t>
        </is>
      </c>
      <c r="B640" s="47">
        <f>'Issues &amp; Punch List'!S116</f>
        <v/>
      </c>
      <c r="C640" s="77">
        <f>'Issues &amp; Punch List'!Q116</f>
        <v/>
      </c>
      <c r="D640" s="47">
        <f>'Issues &amp; Punch List'!R116</f>
        <v/>
      </c>
      <c r="E640" s="47">
        <f>IF(OR(B640="",C640="",D640=""),"",D640*100000+(C640-DATE(2000,1,1))+ROW()/100000)</f>
        <v/>
      </c>
    </row>
    <row r="641">
      <c r="A641" t="inlineStr">
        <is>
          <t>Issues &amp; Punch List</t>
        </is>
      </c>
      <c r="B641" s="47">
        <f>'Issues &amp; Punch List'!S117</f>
        <v/>
      </c>
      <c r="C641" s="77">
        <f>'Issues &amp; Punch List'!Q117</f>
        <v/>
      </c>
      <c r="D641" s="47">
        <f>'Issues &amp; Punch List'!R117</f>
        <v/>
      </c>
      <c r="E641" s="47">
        <f>IF(OR(B641="",C641="",D641=""),"",D641*100000+(C641-DATE(2000,1,1))+ROW()/100000)</f>
        <v/>
      </c>
    </row>
    <row r="642">
      <c r="A642" t="inlineStr">
        <is>
          <t>Issues &amp; Punch List</t>
        </is>
      </c>
      <c r="B642" s="47">
        <f>'Issues &amp; Punch List'!S118</f>
        <v/>
      </c>
      <c r="C642" s="77">
        <f>'Issues &amp; Punch List'!Q118</f>
        <v/>
      </c>
      <c r="D642" s="47">
        <f>'Issues &amp; Punch List'!R118</f>
        <v/>
      </c>
      <c r="E642" s="47">
        <f>IF(OR(B642="",C642="",D642=""),"",D642*100000+(C642-DATE(2000,1,1))+ROW()/100000)</f>
        <v/>
      </c>
    </row>
    <row r="643">
      <c r="A643" t="inlineStr">
        <is>
          <t>Issues &amp; Punch List</t>
        </is>
      </c>
      <c r="B643" s="47">
        <f>'Issues &amp; Punch List'!S119</f>
        <v/>
      </c>
      <c r="C643" s="77">
        <f>'Issues &amp; Punch List'!Q119</f>
        <v/>
      </c>
      <c r="D643" s="47">
        <f>'Issues &amp; Punch List'!R119</f>
        <v/>
      </c>
      <c r="E643" s="47">
        <f>IF(OR(B643="",C643="",D643=""),"",D643*100000+(C643-DATE(2000,1,1))+ROW()/100000)</f>
        <v/>
      </c>
    </row>
    <row r="644">
      <c r="A644" t="inlineStr">
        <is>
          <t>Issues &amp; Punch List</t>
        </is>
      </c>
      <c r="B644" s="47">
        <f>'Issues &amp; Punch List'!S120</f>
        <v/>
      </c>
      <c r="C644" s="77">
        <f>'Issues &amp; Punch List'!Q120</f>
        <v/>
      </c>
      <c r="D644" s="47">
        <f>'Issues &amp; Punch List'!R120</f>
        <v/>
      </c>
      <c r="E644" s="47">
        <f>IF(OR(B644="",C644="",D644=""),"",D644*100000+(C644-DATE(2000,1,1))+ROW()/100000)</f>
        <v/>
      </c>
    </row>
    <row r="645">
      <c r="A645" t="inlineStr">
        <is>
          <t>Issues &amp; Punch List</t>
        </is>
      </c>
      <c r="B645" s="47">
        <f>'Issues &amp; Punch List'!S121</f>
        <v/>
      </c>
      <c r="C645" s="77">
        <f>'Issues &amp; Punch List'!Q121</f>
        <v/>
      </c>
      <c r="D645" s="47">
        <f>'Issues &amp; Punch List'!R121</f>
        <v/>
      </c>
      <c r="E645" s="47">
        <f>IF(OR(B645="",C645="",D645=""),"",D645*100000+(C645-DATE(2000,1,1))+ROW()/100000)</f>
        <v/>
      </c>
    </row>
    <row r="646">
      <c r="A646" t="inlineStr">
        <is>
          <t>Issues &amp; Punch List</t>
        </is>
      </c>
      <c r="B646" s="47">
        <f>'Issues &amp; Punch List'!S122</f>
        <v/>
      </c>
      <c r="C646" s="77">
        <f>'Issues &amp; Punch List'!Q122</f>
        <v/>
      </c>
      <c r="D646" s="47">
        <f>'Issues &amp; Punch List'!R122</f>
        <v/>
      </c>
      <c r="E646" s="47">
        <f>IF(OR(B646="",C646="",D646=""),"",D646*100000+(C646-DATE(2000,1,1))+ROW()/100000)</f>
        <v/>
      </c>
    </row>
    <row r="647">
      <c r="A647" t="inlineStr">
        <is>
          <t>Issues &amp; Punch List</t>
        </is>
      </c>
      <c r="B647" s="47">
        <f>'Issues &amp; Punch List'!S123</f>
        <v/>
      </c>
      <c r="C647" s="77">
        <f>'Issues &amp; Punch List'!Q123</f>
        <v/>
      </c>
      <c r="D647" s="47">
        <f>'Issues &amp; Punch List'!R123</f>
        <v/>
      </c>
      <c r="E647" s="47">
        <f>IF(OR(B647="",C647="",D647=""),"",D647*100000+(C647-DATE(2000,1,1))+ROW()/100000)</f>
        <v/>
      </c>
    </row>
    <row r="648">
      <c r="A648" t="inlineStr">
        <is>
          <t>Issues &amp; Punch List</t>
        </is>
      </c>
      <c r="B648" s="47">
        <f>'Issues &amp; Punch List'!S124</f>
        <v/>
      </c>
      <c r="C648" s="77">
        <f>'Issues &amp; Punch List'!Q124</f>
        <v/>
      </c>
      <c r="D648" s="47">
        <f>'Issues &amp; Punch List'!R124</f>
        <v/>
      </c>
      <c r="E648" s="47">
        <f>IF(OR(B648="",C648="",D648=""),"",D648*100000+(C648-DATE(2000,1,1))+ROW()/100000)</f>
        <v/>
      </c>
    </row>
    <row r="649">
      <c r="A649" t="inlineStr">
        <is>
          <t>Issues &amp; Punch List</t>
        </is>
      </c>
      <c r="B649" s="47">
        <f>'Issues &amp; Punch List'!S125</f>
        <v/>
      </c>
      <c r="C649" s="77">
        <f>'Issues &amp; Punch List'!Q125</f>
        <v/>
      </c>
      <c r="D649" s="47">
        <f>'Issues &amp; Punch List'!R125</f>
        <v/>
      </c>
      <c r="E649" s="47">
        <f>IF(OR(B649="",C649="",D649=""),"",D649*100000+(C649-DATE(2000,1,1))+ROW()/100000)</f>
        <v/>
      </c>
    </row>
    <row r="650">
      <c r="A650" t="inlineStr">
        <is>
          <t>Issues &amp; Punch List</t>
        </is>
      </c>
      <c r="B650" s="47">
        <f>'Issues &amp; Punch List'!S126</f>
        <v/>
      </c>
      <c r="C650" s="77">
        <f>'Issues &amp; Punch List'!Q126</f>
        <v/>
      </c>
      <c r="D650" s="47">
        <f>'Issues &amp; Punch List'!R126</f>
        <v/>
      </c>
      <c r="E650" s="47">
        <f>IF(OR(B650="",C650="",D650=""),"",D650*100000+(C650-DATE(2000,1,1))+ROW()/100000)</f>
        <v/>
      </c>
    </row>
    <row r="651">
      <c r="A651" t="inlineStr">
        <is>
          <t>Issues &amp; Punch List</t>
        </is>
      </c>
      <c r="B651" s="47">
        <f>'Issues &amp; Punch List'!S127</f>
        <v/>
      </c>
      <c r="C651" s="77">
        <f>'Issues &amp; Punch List'!Q127</f>
        <v/>
      </c>
      <c r="D651" s="47">
        <f>'Issues &amp; Punch List'!R127</f>
        <v/>
      </c>
      <c r="E651" s="47">
        <f>IF(OR(B651="",C651="",D651=""),"",D651*100000+(C651-DATE(2000,1,1))+ROW()/100000)</f>
        <v/>
      </c>
    </row>
    <row r="652">
      <c r="A652" t="inlineStr">
        <is>
          <t>Issues &amp; Punch List</t>
        </is>
      </c>
      <c r="B652" s="47">
        <f>'Issues &amp; Punch List'!S128</f>
        <v/>
      </c>
      <c r="C652" s="77">
        <f>'Issues &amp; Punch List'!Q128</f>
        <v/>
      </c>
      <c r="D652" s="47">
        <f>'Issues &amp; Punch List'!R128</f>
        <v/>
      </c>
      <c r="E652" s="47">
        <f>IF(OR(B652="",C652="",D652=""),"",D652*100000+(C652-DATE(2000,1,1))+ROW()/100000)</f>
        <v/>
      </c>
    </row>
    <row r="653">
      <c r="A653" t="inlineStr">
        <is>
          <t>Issues &amp; Punch List</t>
        </is>
      </c>
      <c r="B653" s="47">
        <f>'Issues &amp; Punch List'!S129</f>
        <v/>
      </c>
      <c r="C653" s="77">
        <f>'Issues &amp; Punch List'!Q129</f>
        <v/>
      </c>
      <c r="D653" s="47">
        <f>'Issues &amp; Punch List'!R129</f>
        <v/>
      </c>
      <c r="E653" s="47">
        <f>IF(OR(B653="",C653="",D653=""),"",D653*100000+(C653-DATE(2000,1,1))+ROW()/100000)</f>
        <v/>
      </c>
    </row>
    <row r="654">
      <c r="A654" t="inlineStr">
        <is>
          <t>Issues &amp; Punch List</t>
        </is>
      </c>
      <c r="B654" s="47">
        <f>'Issues &amp; Punch List'!S130</f>
        <v/>
      </c>
      <c r="C654" s="77">
        <f>'Issues &amp; Punch List'!Q130</f>
        <v/>
      </c>
      <c r="D654" s="47">
        <f>'Issues &amp; Punch List'!R130</f>
        <v/>
      </c>
      <c r="E654" s="47">
        <f>IF(OR(B654="",C654="",D654=""),"",D654*100000+(C654-DATE(2000,1,1))+ROW()/100000)</f>
        <v/>
      </c>
    </row>
    <row r="655">
      <c r="A655" t="inlineStr">
        <is>
          <t>Issues &amp; Punch List</t>
        </is>
      </c>
      <c r="B655" s="47">
        <f>'Issues &amp; Punch List'!S131</f>
        <v/>
      </c>
      <c r="C655" s="77">
        <f>'Issues &amp; Punch List'!Q131</f>
        <v/>
      </c>
      <c r="D655" s="47">
        <f>'Issues &amp; Punch List'!R131</f>
        <v/>
      </c>
      <c r="E655" s="47">
        <f>IF(OR(B655="",C655="",D655=""),"",D655*100000+(C655-DATE(2000,1,1))+ROW()/100000)</f>
        <v/>
      </c>
    </row>
    <row r="656">
      <c r="A656" t="inlineStr">
        <is>
          <t>Issues &amp; Punch List</t>
        </is>
      </c>
      <c r="B656" s="47">
        <f>'Issues &amp; Punch List'!S132</f>
        <v/>
      </c>
      <c r="C656" s="77">
        <f>'Issues &amp; Punch List'!Q132</f>
        <v/>
      </c>
      <c r="D656" s="47">
        <f>'Issues &amp; Punch List'!R132</f>
        <v/>
      </c>
      <c r="E656" s="47">
        <f>IF(OR(B656="",C656="",D656=""),"",D656*100000+(C656-DATE(2000,1,1))+ROW()/100000)</f>
        <v/>
      </c>
    </row>
    <row r="657">
      <c r="A657" t="inlineStr">
        <is>
          <t>Issues &amp; Punch List</t>
        </is>
      </c>
      <c r="B657" s="47">
        <f>'Issues &amp; Punch List'!S133</f>
        <v/>
      </c>
      <c r="C657" s="77">
        <f>'Issues &amp; Punch List'!Q133</f>
        <v/>
      </c>
      <c r="D657" s="47">
        <f>'Issues &amp; Punch List'!R133</f>
        <v/>
      </c>
      <c r="E657" s="47">
        <f>IF(OR(B657="",C657="",D657=""),"",D657*100000+(C657-DATE(2000,1,1))+ROW()/100000)</f>
        <v/>
      </c>
    </row>
    <row r="658">
      <c r="A658" t="inlineStr">
        <is>
          <t>Issues &amp; Punch List</t>
        </is>
      </c>
      <c r="B658" s="47">
        <f>'Issues &amp; Punch List'!S134</f>
        <v/>
      </c>
      <c r="C658" s="77">
        <f>'Issues &amp; Punch List'!Q134</f>
        <v/>
      </c>
      <c r="D658" s="47">
        <f>'Issues &amp; Punch List'!R134</f>
        <v/>
      </c>
      <c r="E658" s="47">
        <f>IF(OR(B658="",C658="",D658=""),"",D658*100000+(C658-DATE(2000,1,1))+ROW()/100000)</f>
        <v/>
      </c>
    </row>
    <row r="659">
      <c r="A659" t="inlineStr">
        <is>
          <t>Issues &amp; Punch List</t>
        </is>
      </c>
      <c r="B659" s="47">
        <f>'Issues &amp; Punch List'!S135</f>
        <v/>
      </c>
      <c r="C659" s="77">
        <f>'Issues &amp; Punch List'!Q135</f>
        <v/>
      </c>
      <c r="D659" s="47">
        <f>'Issues &amp; Punch List'!R135</f>
        <v/>
      </c>
      <c r="E659" s="47">
        <f>IF(OR(B659="",C659="",D659=""),"",D659*100000+(C659-DATE(2000,1,1))+ROW()/100000)</f>
        <v/>
      </c>
    </row>
    <row r="660">
      <c r="A660" t="inlineStr">
        <is>
          <t>Issues &amp; Punch List</t>
        </is>
      </c>
      <c r="B660" s="47">
        <f>'Issues &amp; Punch List'!S136</f>
        <v/>
      </c>
      <c r="C660" s="77">
        <f>'Issues &amp; Punch List'!Q136</f>
        <v/>
      </c>
      <c r="D660" s="47">
        <f>'Issues &amp; Punch List'!R136</f>
        <v/>
      </c>
      <c r="E660" s="47">
        <f>IF(OR(B660="",C660="",D660=""),"",D660*100000+(C660-DATE(2000,1,1))+ROW()/100000)</f>
        <v/>
      </c>
    </row>
    <row r="661">
      <c r="A661" t="inlineStr">
        <is>
          <t>Issues &amp; Punch List</t>
        </is>
      </c>
      <c r="B661" s="47">
        <f>'Issues &amp; Punch List'!S137</f>
        <v/>
      </c>
      <c r="C661" s="77">
        <f>'Issues &amp; Punch List'!Q137</f>
        <v/>
      </c>
      <c r="D661" s="47">
        <f>'Issues &amp; Punch List'!R137</f>
        <v/>
      </c>
      <c r="E661" s="47">
        <f>IF(OR(B661="",C661="",D661=""),"",D661*100000+(C661-DATE(2000,1,1))+ROW()/100000)</f>
        <v/>
      </c>
    </row>
    <row r="662">
      <c r="A662" t="inlineStr">
        <is>
          <t>Issues &amp; Punch List</t>
        </is>
      </c>
      <c r="B662" s="47">
        <f>'Issues &amp; Punch List'!S138</f>
        <v/>
      </c>
      <c r="C662" s="77">
        <f>'Issues &amp; Punch List'!Q138</f>
        <v/>
      </c>
      <c r="D662" s="47">
        <f>'Issues &amp; Punch List'!R138</f>
        <v/>
      </c>
      <c r="E662" s="47">
        <f>IF(OR(B662="",C662="",D662=""),"",D662*100000+(C662-DATE(2000,1,1))+ROW()/100000)</f>
        <v/>
      </c>
    </row>
    <row r="663">
      <c r="A663" t="inlineStr">
        <is>
          <t>Issues &amp; Punch List</t>
        </is>
      </c>
      <c r="B663" s="47">
        <f>'Issues &amp; Punch List'!S139</f>
        <v/>
      </c>
      <c r="C663" s="77">
        <f>'Issues &amp; Punch List'!Q139</f>
        <v/>
      </c>
      <c r="D663" s="47">
        <f>'Issues &amp; Punch List'!R139</f>
        <v/>
      </c>
      <c r="E663" s="47">
        <f>IF(OR(B663="",C663="",D663=""),"",D663*100000+(C663-DATE(2000,1,1))+ROW()/100000)</f>
        <v/>
      </c>
    </row>
    <row r="664">
      <c r="A664" t="inlineStr">
        <is>
          <t>Issues &amp; Punch List</t>
        </is>
      </c>
      <c r="B664" s="47">
        <f>'Issues &amp; Punch List'!S140</f>
        <v/>
      </c>
      <c r="C664" s="77">
        <f>'Issues &amp; Punch List'!Q140</f>
        <v/>
      </c>
      <c r="D664" s="47">
        <f>'Issues &amp; Punch List'!R140</f>
        <v/>
      </c>
      <c r="E664" s="47">
        <f>IF(OR(B664="",C664="",D664=""),"",D664*100000+(C664-DATE(2000,1,1))+ROW()/100000)</f>
        <v/>
      </c>
    </row>
    <row r="665">
      <c r="A665" t="inlineStr">
        <is>
          <t>Issues &amp; Punch List</t>
        </is>
      </c>
      <c r="B665" s="47">
        <f>'Issues &amp; Punch List'!S141</f>
        <v/>
      </c>
      <c r="C665" s="77">
        <f>'Issues &amp; Punch List'!Q141</f>
        <v/>
      </c>
      <c r="D665" s="47">
        <f>'Issues &amp; Punch List'!R141</f>
        <v/>
      </c>
      <c r="E665" s="47">
        <f>IF(OR(B665="",C665="",D665=""),"",D665*100000+(C665-DATE(2000,1,1))+ROW()/100000)</f>
        <v/>
      </c>
    </row>
    <row r="666">
      <c r="A666" t="inlineStr">
        <is>
          <t>Issues &amp; Punch List</t>
        </is>
      </c>
      <c r="B666" s="47">
        <f>'Issues &amp; Punch List'!S142</f>
        <v/>
      </c>
      <c r="C666" s="77">
        <f>'Issues &amp; Punch List'!Q142</f>
        <v/>
      </c>
      <c r="D666" s="47">
        <f>'Issues &amp; Punch List'!R142</f>
        <v/>
      </c>
      <c r="E666" s="47">
        <f>IF(OR(B666="",C666="",D666=""),"",D666*100000+(C666-DATE(2000,1,1))+ROW()/100000)</f>
        <v/>
      </c>
    </row>
    <row r="667">
      <c r="A667" t="inlineStr">
        <is>
          <t>Issues &amp; Punch List</t>
        </is>
      </c>
      <c r="B667" s="47">
        <f>'Issues &amp; Punch List'!S143</f>
        <v/>
      </c>
      <c r="C667" s="77">
        <f>'Issues &amp; Punch List'!Q143</f>
        <v/>
      </c>
      <c r="D667" s="47">
        <f>'Issues &amp; Punch List'!R143</f>
        <v/>
      </c>
      <c r="E667" s="47">
        <f>IF(OR(B667="",C667="",D667=""),"",D667*100000+(C667-DATE(2000,1,1))+ROW()/100000)</f>
        <v/>
      </c>
    </row>
    <row r="668">
      <c r="A668" t="inlineStr">
        <is>
          <t>Issues &amp; Punch List</t>
        </is>
      </c>
      <c r="B668" s="47">
        <f>'Issues &amp; Punch List'!S144</f>
        <v/>
      </c>
      <c r="C668" s="77">
        <f>'Issues &amp; Punch List'!Q144</f>
        <v/>
      </c>
      <c r="D668" s="47">
        <f>'Issues &amp; Punch List'!R144</f>
        <v/>
      </c>
      <c r="E668" s="47">
        <f>IF(OR(B668="",C668="",D668=""),"",D668*100000+(C668-DATE(2000,1,1))+ROW()/100000)</f>
        <v/>
      </c>
    </row>
    <row r="669">
      <c r="A669" t="inlineStr">
        <is>
          <t>Issues &amp; Punch List</t>
        </is>
      </c>
      <c r="B669" s="47">
        <f>'Issues &amp; Punch List'!S145</f>
        <v/>
      </c>
      <c r="C669" s="77">
        <f>'Issues &amp; Punch List'!Q145</f>
        <v/>
      </c>
      <c r="D669" s="47">
        <f>'Issues &amp; Punch List'!R145</f>
        <v/>
      </c>
      <c r="E669" s="47">
        <f>IF(OR(B669="",C669="",D669=""),"",D669*100000+(C669-DATE(2000,1,1))+ROW()/100000)</f>
        <v/>
      </c>
    </row>
    <row r="670">
      <c r="A670" t="inlineStr">
        <is>
          <t>Issues &amp; Punch List</t>
        </is>
      </c>
      <c r="B670" s="47">
        <f>'Issues &amp; Punch List'!S146</f>
        <v/>
      </c>
      <c r="C670" s="77">
        <f>'Issues &amp; Punch List'!Q146</f>
        <v/>
      </c>
      <c r="D670" s="47">
        <f>'Issues &amp; Punch List'!R146</f>
        <v/>
      </c>
      <c r="E670" s="47">
        <f>IF(OR(B670="",C670="",D670=""),"",D670*100000+(C670-DATE(2000,1,1))+ROW()/100000)</f>
        <v/>
      </c>
    </row>
    <row r="671">
      <c r="A671" t="inlineStr">
        <is>
          <t>Issues &amp; Punch List</t>
        </is>
      </c>
      <c r="B671" s="47">
        <f>'Issues &amp; Punch List'!S147</f>
        <v/>
      </c>
      <c r="C671" s="77">
        <f>'Issues &amp; Punch List'!Q147</f>
        <v/>
      </c>
      <c r="D671" s="47">
        <f>'Issues &amp; Punch List'!R147</f>
        <v/>
      </c>
      <c r="E671" s="47">
        <f>IF(OR(B671="",C671="",D671=""),"",D671*100000+(C671-DATE(2000,1,1))+ROW()/100000)</f>
        <v/>
      </c>
    </row>
    <row r="672">
      <c r="A672" t="inlineStr">
        <is>
          <t>Issues &amp; Punch List</t>
        </is>
      </c>
      <c r="B672" s="47">
        <f>'Issues &amp; Punch List'!S148</f>
        <v/>
      </c>
      <c r="C672" s="77">
        <f>'Issues &amp; Punch List'!Q148</f>
        <v/>
      </c>
      <c r="D672" s="47">
        <f>'Issues &amp; Punch List'!R148</f>
        <v/>
      </c>
      <c r="E672" s="47">
        <f>IF(OR(B672="",C672="",D672=""),"",D672*100000+(C672-DATE(2000,1,1))+ROW()/100000)</f>
        <v/>
      </c>
    </row>
    <row r="673">
      <c r="A673" t="inlineStr">
        <is>
          <t>Issues &amp; Punch List</t>
        </is>
      </c>
      <c r="B673" s="47">
        <f>'Issues &amp; Punch List'!S149</f>
        <v/>
      </c>
      <c r="C673" s="77">
        <f>'Issues &amp; Punch List'!Q149</f>
        <v/>
      </c>
      <c r="D673" s="47">
        <f>'Issues &amp; Punch List'!R149</f>
        <v/>
      </c>
      <c r="E673" s="47">
        <f>IF(OR(B673="",C673="",D673=""),"",D673*100000+(C673-DATE(2000,1,1))+ROW()/100000)</f>
        <v/>
      </c>
    </row>
    <row r="674">
      <c r="A674" t="inlineStr">
        <is>
          <t>Issues &amp; Punch List</t>
        </is>
      </c>
      <c r="B674" s="47">
        <f>'Issues &amp; Punch List'!S150</f>
        <v/>
      </c>
      <c r="C674" s="77">
        <f>'Issues &amp; Punch List'!Q150</f>
        <v/>
      </c>
      <c r="D674" s="47">
        <f>'Issues &amp; Punch List'!R150</f>
        <v/>
      </c>
      <c r="E674" s="47">
        <f>IF(OR(B674="",C674="",D674=""),"",D674*100000+(C674-DATE(2000,1,1))+ROW()/100000)</f>
        <v/>
      </c>
    </row>
    <row r="675">
      <c r="A675" t="inlineStr">
        <is>
          <t>Issues &amp; Punch List</t>
        </is>
      </c>
      <c r="B675" s="47">
        <f>'Issues &amp; Punch List'!S151</f>
        <v/>
      </c>
      <c r="C675" s="77">
        <f>'Issues &amp; Punch List'!Q151</f>
        <v/>
      </c>
      <c r="D675" s="47">
        <f>'Issues &amp; Punch List'!R151</f>
        <v/>
      </c>
      <c r="E675" s="47">
        <f>IF(OR(B675="",C675="",D675=""),"",D675*100000+(C675-DATE(2000,1,1))+ROW()/100000)</f>
        <v/>
      </c>
    </row>
    <row r="676">
      <c r="A676" t="inlineStr">
        <is>
          <t>Issues &amp; Punch List</t>
        </is>
      </c>
      <c r="B676" s="47">
        <f>'Issues &amp; Punch List'!S152</f>
        <v/>
      </c>
      <c r="C676" s="77">
        <f>'Issues &amp; Punch List'!Q152</f>
        <v/>
      </c>
      <c r="D676" s="47">
        <f>'Issues &amp; Punch List'!R152</f>
        <v/>
      </c>
      <c r="E676" s="47">
        <f>IF(OR(B676="",C676="",D676=""),"",D676*100000+(C676-DATE(2000,1,1))+ROW()/100000)</f>
        <v/>
      </c>
    </row>
    <row r="677">
      <c r="A677" t="inlineStr">
        <is>
          <t>Issues &amp; Punch List</t>
        </is>
      </c>
      <c r="B677" s="47">
        <f>'Issues &amp; Punch List'!S153</f>
        <v/>
      </c>
      <c r="C677" s="77">
        <f>'Issues &amp; Punch List'!Q153</f>
        <v/>
      </c>
      <c r="D677" s="47">
        <f>'Issues &amp; Punch List'!R153</f>
        <v/>
      </c>
      <c r="E677" s="47">
        <f>IF(OR(B677="",C677="",D677=""),"",D677*100000+(C677-DATE(2000,1,1))+ROW()/100000)</f>
        <v/>
      </c>
    </row>
    <row r="678">
      <c r="A678" t="inlineStr">
        <is>
          <t>Issues &amp; Punch List</t>
        </is>
      </c>
      <c r="B678" s="47">
        <f>'Issues &amp; Punch List'!S154</f>
        <v/>
      </c>
      <c r="C678" s="77">
        <f>'Issues &amp; Punch List'!Q154</f>
        <v/>
      </c>
      <c r="D678" s="47">
        <f>'Issues &amp; Punch List'!R154</f>
        <v/>
      </c>
      <c r="E678" s="47">
        <f>IF(OR(B678="",C678="",D678=""),"",D678*100000+(C678-DATE(2000,1,1))+ROW()/100000)</f>
        <v/>
      </c>
    </row>
    <row r="679">
      <c r="A679" t="inlineStr">
        <is>
          <t>Issues &amp; Punch List</t>
        </is>
      </c>
      <c r="B679" s="47">
        <f>'Issues &amp; Punch List'!S155</f>
        <v/>
      </c>
      <c r="C679" s="77">
        <f>'Issues &amp; Punch List'!Q155</f>
        <v/>
      </c>
      <c r="D679" s="47">
        <f>'Issues &amp; Punch List'!R155</f>
        <v/>
      </c>
      <c r="E679" s="47">
        <f>IF(OR(B679="",C679="",D679=""),"",D679*100000+(C679-DATE(2000,1,1))+ROW()/100000)</f>
        <v/>
      </c>
    </row>
    <row r="680">
      <c r="A680" t="inlineStr">
        <is>
          <t>Issues &amp; Punch List</t>
        </is>
      </c>
      <c r="B680" s="47">
        <f>'Issues &amp; Punch List'!S156</f>
        <v/>
      </c>
      <c r="C680" s="77">
        <f>'Issues &amp; Punch List'!Q156</f>
        <v/>
      </c>
      <c r="D680" s="47">
        <f>'Issues &amp; Punch List'!R156</f>
        <v/>
      </c>
      <c r="E680" s="47">
        <f>IF(OR(B680="",C680="",D680=""),"",D680*100000+(C680-DATE(2000,1,1))+ROW()/100000)</f>
        <v/>
      </c>
    </row>
    <row r="681">
      <c r="A681" t="inlineStr">
        <is>
          <t>Issues &amp; Punch List</t>
        </is>
      </c>
      <c r="B681" s="47">
        <f>'Issues &amp; Punch List'!S157</f>
        <v/>
      </c>
      <c r="C681" s="77">
        <f>'Issues &amp; Punch List'!Q157</f>
        <v/>
      </c>
      <c r="D681" s="47">
        <f>'Issues &amp; Punch List'!R157</f>
        <v/>
      </c>
      <c r="E681" s="47">
        <f>IF(OR(B681="",C681="",D681=""),"",D681*100000+(C681-DATE(2000,1,1))+ROW()/100000)</f>
        <v/>
      </c>
    </row>
    <row r="682">
      <c r="A682" t="inlineStr">
        <is>
          <t>Issues &amp; Punch List</t>
        </is>
      </c>
      <c r="B682" s="47">
        <f>'Issues &amp; Punch List'!S158</f>
        <v/>
      </c>
      <c r="C682" s="77">
        <f>'Issues &amp; Punch List'!Q158</f>
        <v/>
      </c>
      <c r="D682" s="47">
        <f>'Issues &amp; Punch List'!R158</f>
        <v/>
      </c>
      <c r="E682" s="47">
        <f>IF(OR(B682="",C682="",D682=""),"",D682*100000+(C682-DATE(2000,1,1))+ROW()/100000)</f>
        <v/>
      </c>
    </row>
    <row r="683">
      <c r="A683" t="inlineStr">
        <is>
          <t>Issues &amp; Punch List</t>
        </is>
      </c>
      <c r="B683" s="47">
        <f>'Issues &amp; Punch List'!S159</f>
        <v/>
      </c>
      <c r="C683" s="77">
        <f>'Issues &amp; Punch List'!Q159</f>
        <v/>
      </c>
      <c r="D683" s="47">
        <f>'Issues &amp; Punch List'!R159</f>
        <v/>
      </c>
      <c r="E683" s="47">
        <f>IF(OR(B683="",C683="",D683=""),"",D683*100000+(C683-DATE(2000,1,1))+ROW()/100000)</f>
        <v/>
      </c>
    </row>
    <row r="684">
      <c r="A684" t="inlineStr">
        <is>
          <t>Issues &amp; Punch List</t>
        </is>
      </c>
      <c r="B684" s="47">
        <f>'Issues &amp; Punch List'!S160</f>
        <v/>
      </c>
      <c r="C684" s="77">
        <f>'Issues &amp; Punch List'!Q160</f>
        <v/>
      </c>
      <c r="D684" s="47">
        <f>'Issues &amp; Punch List'!R160</f>
        <v/>
      </c>
      <c r="E684" s="47">
        <f>IF(OR(B684="",C684="",D684=""),"",D684*100000+(C684-DATE(2000,1,1))+ROW()/100000)</f>
        <v/>
      </c>
    </row>
    <row r="685">
      <c r="A685" t="inlineStr">
        <is>
          <t>Issues &amp; Punch List</t>
        </is>
      </c>
      <c r="B685" s="47">
        <f>'Issues &amp; Punch List'!S161</f>
        <v/>
      </c>
      <c r="C685" s="77">
        <f>'Issues &amp; Punch List'!Q161</f>
        <v/>
      </c>
      <c r="D685" s="47">
        <f>'Issues &amp; Punch List'!R161</f>
        <v/>
      </c>
      <c r="E685" s="47">
        <f>IF(OR(B685="",C685="",D685=""),"",D685*100000+(C685-DATE(2000,1,1))+ROW()/100000)</f>
        <v/>
      </c>
    </row>
    <row r="686">
      <c r="A686" t="inlineStr">
        <is>
          <t>Issues &amp; Punch List</t>
        </is>
      </c>
      <c r="B686" s="47">
        <f>'Issues &amp; Punch List'!S162</f>
        <v/>
      </c>
      <c r="C686" s="77">
        <f>'Issues &amp; Punch List'!Q162</f>
        <v/>
      </c>
      <c r="D686" s="47">
        <f>'Issues &amp; Punch List'!R162</f>
        <v/>
      </c>
      <c r="E686" s="47">
        <f>IF(OR(B686="",C686="",D686=""),"",D686*100000+(C686-DATE(2000,1,1))+ROW()/100000)</f>
        <v/>
      </c>
    </row>
    <row r="687">
      <c r="A687" t="inlineStr">
        <is>
          <t>Issues &amp; Punch List</t>
        </is>
      </c>
      <c r="B687" s="47">
        <f>'Issues &amp; Punch List'!S163</f>
        <v/>
      </c>
      <c r="C687" s="77">
        <f>'Issues &amp; Punch List'!Q163</f>
        <v/>
      </c>
      <c r="D687" s="47">
        <f>'Issues &amp; Punch List'!R163</f>
        <v/>
      </c>
      <c r="E687" s="47">
        <f>IF(OR(B687="",C687="",D687=""),"",D687*100000+(C687-DATE(2000,1,1))+ROW()/100000)</f>
        <v/>
      </c>
    </row>
    <row r="688">
      <c r="A688" t="inlineStr">
        <is>
          <t>Issues &amp; Punch List</t>
        </is>
      </c>
      <c r="B688" s="47">
        <f>'Issues &amp; Punch List'!S164</f>
        <v/>
      </c>
      <c r="C688" s="77">
        <f>'Issues &amp; Punch List'!Q164</f>
        <v/>
      </c>
      <c r="D688" s="47">
        <f>'Issues &amp; Punch List'!R164</f>
        <v/>
      </c>
      <c r="E688" s="47">
        <f>IF(OR(B688="",C688="",D688=""),"",D688*100000+(C688-DATE(2000,1,1))+ROW()/100000)</f>
        <v/>
      </c>
    </row>
    <row r="689">
      <c r="A689" t="inlineStr">
        <is>
          <t>Issues &amp; Punch List</t>
        </is>
      </c>
      <c r="B689" s="47">
        <f>'Issues &amp; Punch List'!S165</f>
        <v/>
      </c>
      <c r="C689" s="77">
        <f>'Issues &amp; Punch List'!Q165</f>
        <v/>
      </c>
      <c r="D689" s="47">
        <f>'Issues &amp; Punch List'!R165</f>
        <v/>
      </c>
      <c r="E689" s="47">
        <f>IF(OR(B689="",C689="",D689=""),"",D689*100000+(C689-DATE(2000,1,1))+ROW()/100000)</f>
        <v/>
      </c>
    </row>
    <row r="690">
      <c r="A690" t="inlineStr">
        <is>
          <t>Issues &amp; Punch List</t>
        </is>
      </c>
      <c r="B690" s="47">
        <f>'Issues &amp; Punch List'!S166</f>
        <v/>
      </c>
      <c r="C690" s="77">
        <f>'Issues &amp; Punch List'!Q166</f>
        <v/>
      </c>
      <c r="D690" s="47">
        <f>'Issues &amp; Punch List'!R166</f>
        <v/>
      </c>
      <c r="E690" s="47">
        <f>IF(OR(B690="",C690="",D690=""),"",D690*100000+(C690-DATE(2000,1,1))+ROW()/100000)</f>
        <v/>
      </c>
    </row>
    <row r="691">
      <c r="A691" t="inlineStr">
        <is>
          <t>Issues &amp; Punch List</t>
        </is>
      </c>
      <c r="B691" s="47">
        <f>'Issues &amp; Punch List'!S167</f>
        <v/>
      </c>
      <c r="C691" s="77">
        <f>'Issues &amp; Punch List'!Q167</f>
        <v/>
      </c>
      <c r="D691" s="47">
        <f>'Issues &amp; Punch List'!R167</f>
        <v/>
      </c>
      <c r="E691" s="47">
        <f>IF(OR(B691="",C691="",D691=""),"",D691*100000+(C691-DATE(2000,1,1))+ROW()/100000)</f>
        <v/>
      </c>
    </row>
    <row r="692">
      <c r="A692" t="inlineStr">
        <is>
          <t>Issues &amp; Punch List</t>
        </is>
      </c>
      <c r="B692" s="47">
        <f>'Issues &amp; Punch List'!S168</f>
        <v/>
      </c>
      <c r="C692" s="77">
        <f>'Issues &amp; Punch List'!Q168</f>
        <v/>
      </c>
      <c r="D692" s="47">
        <f>'Issues &amp; Punch List'!R168</f>
        <v/>
      </c>
      <c r="E692" s="47">
        <f>IF(OR(B692="",C692="",D692=""),"",D692*100000+(C692-DATE(2000,1,1))+ROW()/100000)</f>
        <v/>
      </c>
    </row>
    <row r="693">
      <c r="A693" t="inlineStr">
        <is>
          <t>Issues &amp; Punch List</t>
        </is>
      </c>
      <c r="B693" s="47">
        <f>'Issues &amp; Punch List'!S169</f>
        <v/>
      </c>
      <c r="C693" s="77">
        <f>'Issues &amp; Punch List'!Q169</f>
        <v/>
      </c>
      <c r="D693" s="47">
        <f>'Issues &amp; Punch List'!R169</f>
        <v/>
      </c>
      <c r="E693" s="47">
        <f>IF(OR(B693="",C693="",D693=""),"",D693*100000+(C693-DATE(2000,1,1))+ROW()/100000)</f>
        <v/>
      </c>
    </row>
    <row r="694">
      <c r="A694" t="inlineStr">
        <is>
          <t>Issues &amp; Punch List</t>
        </is>
      </c>
      <c r="B694" s="47">
        <f>'Issues &amp; Punch List'!S170</f>
        <v/>
      </c>
      <c r="C694" s="77">
        <f>'Issues &amp; Punch List'!Q170</f>
        <v/>
      </c>
      <c r="D694" s="47">
        <f>'Issues &amp; Punch List'!R170</f>
        <v/>
      </c>
      <c r="E694" s="47">
        <f>IF(OR(B694="",C694="",D694=""),"",D694*100000+(C694-DATE(2000,1,1))+ROW()/100000)</f>
        <v/>
      </c>
    </row>
    <row r="695">
      <c r="A695" t="inlineStr">
        <is>
          <t>Issues &amp; Punch List</t>
        </is>
      </c>
      <c r="B695" s="47">
        <f>'Issues &amp; Punch List'!S171</f>
        <v/>
      </c>
      <c r="C695" s="77">
        <f>'Issues &amp; Punch List'!Q171</f>
        <v/>
      </c>
      <c r="D695" s="47">
        <f>'Issues &amp; Punch List'!R171</f>
        <v/>
      </c>
      <c r="E695" s="47">
        <f>IF(OR(B695="",C695="",D695=""),"",D695*100000+(C695-DATE(2000,1,1))+ROW()/100000)</f>
        <v/>
      </c>
    </row>
    <row r="696">
      <c r="A696" t="inlineStr">
        <is>
          <t>Issues &amp; Punch List</t>
        </is>
      </c>
      <c r="B696" s="47">
        <f>'Issues &amp; Punch List'!S172</f>
        <v/>
      </c>
      <c r="C696" s="77">
        <f>'Issues &amp; Punch List'!Q172</f>
        <v/>
      </c>
      <c r="D696" s="47">
        <f>'Issues &amp; Punch List'!R172</f>
        <v/>
      </c>
      <c r="E696" s="47">
        <f>IF(OR(B696="",C696="",D696=""),"",D696*100000+(C696-DATE(2000,1,1))+ROW()/100000)</f>
        <v/>
      </c>
    </row>
    <row r="697">
      <c r="A697" t="inlineStr">
        <is>
          <t>Issues &amp; Punch List</t>
        </is>
      </c>
      <c r="B697" s="47">
        <f>'Issues &amp; Punch List'!S173</f>
        <v/>
      </c>
      <c r="C697" s="77">
        <f>'Issues &amp; Punch List'!Q173</f>
        <v/>
      </c>
      <c r="D697" s="47">
        <f>'Issues &amp; Punch List'!R173</f>
        <v/>
      </c>
      <c r="E697" s="47">
        <f>IF(OR(B697="",C697="",D697=""),"",D697*100000+(C697-DATE(2000,1,1))+ROW()/100000)</f>
        <v/>
      </c>
    </row>
    <row r="698">
      <c r="A698" t="inlineStr">
        <is>
          <t>Issues &amp; Punch List</t>
        </is>
      </c>
      <c r="B698" s="47">
        <f>'Issues &amp; Punch List'!S174</f>
        <v/>
      </c>
      <c r="C698" s="77">
        <f>'Issues &amp; Punch List'!Q174</f>
        <v/>
      </c>
      <c r="D698" s="47">
        <f>'Issues &amp; Punch List'!R174</f>
        <v/>
      </c>
      <c r="E698" s="47">
        <f>IF(OR(B698="",C698="",D698=""),"",D698*100000+(C698-DATE(2000,1,1))+ROW()/100000)</f>
        <v/>
      </c>
    </row>
    <row r="699">
      <c r="A699" t="inlineStr">
        <is>
          <t>Issues &amp; Punch List</t>
        </is>
      </c>
      <c r="B699" s="47">
        <f>'Issues &amp; Punch List'!S175</f>
        <v/>
      </c>
      <c r="C699" s="77">
        <f>'Issues &amp; Punch List'!Q175</f>
        <v/>
      </c>
      <c r="D699" s="47">
        <f>'Issues &amp; Punch List'!R175</f>
        <v/>
      </c>
      <c r="E699" s="47">
        <f>IF(OR(B699="",C699="",D699=""),"",D699*100000+(C699-DATE(2000,1,1))+ROW()/100000)</f>
        <v/>
      </c>
    </row>
    <row r="700">
      <c r="A700" t="inlineStr">
        <is>
          <t>Issues &amp; Punch List</t>
        </is>
      </c>
      <c r="B700" s="47">
        <f>'Issues &amp; Punch List'!S176</f>
        <v/>
      </c>
      <c r="C700" s="77">
        <f>'Issues &amp; Punch List'!Q176</f>
        <v/>
      </c>
      <c r="D700" s="47">
        <f>'Issues &amp; Punch List'!R176</f>
        <v/>
      </c>
      <c r="E700" s="47">
        <f>IF(OR(B700="",C700="",D700=""),"",D700*100000+(C700-DATE(2000,1,1))+ROW()/100000)</f>
        <v/>
      </c>
    </row>
    <row r="701">
      <c r="A701" t="inlineStr">
        <is>
          <t>Issues &amp; Punch List</t>
        </is>
      </c>
      <c r="B701" s="47">
        <f>'Issues &amp; Punch List'!S177</f>
        <v/>
      </c>
      <c r="C701" s="77">
        <f>'Issues &amp; Punch List'!Q177</f>
        <v/>
      </c>
      <c r="D701" s="47">
        <f>'Issues &amp; Punch List'!R177</f>
        <v/>
      </c>
      <c r="E701" s="47">
        <f>IF(OR(B701="",C701="",D701=""),"",D701*100000+(C701-DATE(2000,1,1))+ROW()/100000)</f>
        <v/>
      </c>
    </row>
    <row r="702">
      <c r="A702" t="inlineStr">
        <is>
          <t>Issues &amp; Punch List</t>
        </is>
      </c>
      <c r="B702" s="47">
        <f>'Issues &amp; Punch List'!S178</f>
        <v/>
      </c>
      <c r="C702" s="77">
        <f>'Issues &amp; Punch List'!Q178</f>
        <v/>
      </c>
      <c r="D702" s="47">
        <f>'Issues &amp; Punch List'!R178</f>
        <v/>
      </c>
      <c r="E702" s="47">
        <f>IF(OR(B702="",C702="",D702=""),"",D702*100000+(C702-DATE(2000,1,1))+ROW()/100000)</f>
        <v/>
      </c>
    </row>
    <row r="703">
      <c r="A703" t="inlineStr">
        <is>
          <t>Issues &amp; Punch List</t>
        </is>
      </c>
      <c r="B703" s="47">
        <f>'Issues &amp; Punch List'!S179</f>
        <v/>
      </c>
      <c r="C703" s="77">
        <f>'Issues &amp; Punch List'!Q179</f>
        <v/>
      </c>
      <c r="D703" s="47">
        <f>'Issues &amp; Punch List'!R179</f>
        <v/>
      </c>
      <c r="E703" s="47">
        <f>IF(OR(B703="",C703="",D703=""),"",D703*100000+(C703-DATE(2000,1,1))+ROW()/100000)</f>
        <v/>
      </c>
    </row>
    <row r="704">
      <c r="A704" t="inlineStr">
        <is>
          <t>Issues &amp; Punch List</t>
        </is>
      </c>
      <c r="B704" s="47">
        <f>'Issues &amp; Punch List'!S180</f>
        <v/>
      </c>
      <c r="C704" s="77">
        <f>'Issues &amp; Punch List'!Q180</f>
        <v/>
      </c>
      <c r="D704" s="47">
        <f>'Issues &amp; Punch List'!R180</f>
        <v/>
      </c>
      <c r="E704" s="47">
        <f>IF(OR(B704="",C704="",D704=""),"",D704*100000+(C704-DATE(2000,1,1))+ROW()/100000)</f>
        <v/>
      </c>
    </row>
    <row r="705">
      <c r="A705" t="inlineStr">
        <is>
          <t>Issues &amp; Punch List</t>
        </is>
      </c>
      <c r="B705" s="47">
        <f>'Issues &amp; Punch List'!S181</f>
        <v/>
      </c>
      <c r="C705" s="77">
        <f>'Issues &amp; Punch List'!Q181</f>
        <v/>
      </c>
      <c r="D705" s="47">
        <f>'Issues &amp; Punch List'!R181</f>
        <v/>
      </c>
      <c r="E705" s="47">
        <f>IF(OR(B705="",C705="",D705=""),"",D705*100000+(C705-DATE(2000,1,1))+ROW()/100000)</f>
        <v/>
      </c>
    </row>
    <row r="706">
      <c r="A706" t="inlineStr">
        <is>
          <t>Issues &amp; Punch List</t>
        </is>
      </c>
      <c r="B706" s="47">
        <f>'Issues &amp; Punch List'!S182</f>
        <v/>
      </c>
      <c r="C706" s="77">
        <f>'Issues &amp; Punch List'!Q182</f>
        <v/>
      </c>
      <c r="D706" s="47">
        <f>'Issues &amp; Punch List'!R182</f>
        <v/>
      </c>
      <c r="E706" s="47">
        <f>IF(OR(B706="",C706="",D706=""),"",D706*100000+(C706-DATE(2000,1,1))+ROW()/100000)</f>
        <v/>
      </c>
    </row>
    <row r="707">
      <c r="A707" t="inlineStr">
        <is>
          <t>Issues &amp; Punch List</t>
        </is>
      </c>
      <c r="B707" s="47">
        <f>'Issues &amp; Punch List'!S183</f>
        <v/>
      </c>
      <c r="C707" s="77">
        <f>'Issues &amp; Punch List'!Q183</f>
        <v/>
      </c>
      <c r="D707" s="47">
        <f>'Issues &amp; Punch List'!R183</f>
        <v/>
      </c>
      <c r="E707" s="47">
        <f>IF(OR(B707="",C707="",D707=""),"",D707*100000+(C707-DATE(2000,1,1))+ROW()/100000)</f>
        <v/>
      </c>
    </row>
    <row r="708">
      <c r="A708" t="inlineStr">
        <is>
          <t>Issues &amp; Punch List</t>
        </is>
      </c>
      <c r="B708" s="47">
        <f>'Issues &amp; Punch List'!S184</f>
        <v/>
      </c>
      <c r="C708" s="77">
        <f>'Issues &amp; Punch List'!Q184</f>
        <v/>
      </c>
      <c r="D708" s="47">
        <f>'Issues &amp; Punch List'!R184</f>
        <v/>
      </c>
      <c r="E708" s="47">
        <f>IF(OR(B708="",C708="",D708=""),"",D708*100000+(C708-DATE(2000,1,1))+ROW()/100000)</f>
        <v/>
      </c>
    </row>
    <row r="709">
      <c r="A709" t="inlineStr">
        <is>
          <t>Issues &amp; Punch List</t>
        </is>
      </c>
      <c r="B709" s="47">
        <f>'Issues &amp; Punch List'!S185</f>
        <v/>
      </c>
      <c r="C709" s="77">
        <f>'Issues &amp; Punch List'!Q185</f>
        <v/>
      </c>
      <c r="D709" s="47">
        <f>'Issues &amp; Punch List'!R185</f>
        <v/>
      </c>
      <c r="E709" s="47">
        <f>IF(OR(B709="",C709="",D709=""),"",D709*100000+(C709-DATE(2000,1,1))+ROW()/100000)</f>
        <v/>
      </c>
    </row>
    <row r="710">
      <c r="A710" t="inlineStr">
        <is>
          <t>Issues &amp; Punch List</t>
        </is>
      </c>
      <c r="B710" s="47">
        <f>'Issues &amp; Punch List'!S186</f>
        <v/>
      </c>
      <c r="C710" s="77">
        <f>'Issues &amp; Punch List'!Q186</f>
        <v/>
      </c>
      <c r="D710" s="47">
        <f>'Issues &amp; Punch List'!R186</f>
        <v/>
      </c>
      <c r="E710" s="47">
        <f>IF(OR(B710="",C710="",D710=""),"",D710*100000+(C710-DATE(2000,1,1))+ROW()/100000)</f>
        <v/>
      </c>
    </row>
    <row r="711">
      <c r="A711" t="inlineStr">
        <is>
          <t>Issues &amp; Punch List</t>
        </is>
      </c>
      <c r="B711" s="47">
        <f>'Issues &amp; Punch List'!S187</f>
        <v/>
      </c>
      <c r="C711" s="77">
        <f>'Issues &amp; Punch List'!Q187</f>
        <v/>
      </c>
      <c r="D711" s="47">
        <f>'Issues &amp; Punch List'!R187</f>
        <v/>
      </c>
      <c r="E711" s="47">
        <f>IF(OR(B711="",C711="",D711=""),"",D711*100000+(C711-DATE(2000,1,1))+ROW()/100000)</f>
        <v/>
      </c>
    </row>
    <row r="712">
      <c r="A712" t="inlineStr">
        <is>
          <t>Issues &amp; Punch List</t>
        </is>
      </c>
      <c r="B712" s="47">
        <f>'Issues &amp; Punch List'!S188</f>
        <v/>
      </c>
      <c r="C712" s="77">
        <f>'Issues &amp; Punch List'!Q188</f>
        <v/>
      </c>
      <c r="D712" s="47">
        <f>'Issues &amp; Punch List'!R188</f>
        <v/>
      </c>
      <c r="E712" s="47">
        <f>IF(OR(B712="",C712="",D712=""),"",D712*100000+(C712-DATE(2000,1,1))+ROW()/100000)</f>
        <v/>
      </c>
    </row>
    <row r="713">
      <c r="A713" t="inlineStr">
        <is>
          <t>Issues &amp; Punch List</t>
        </is>
      </c>
      <c r="B713" s="47">
        <f>'Issues &amp; Punch List'!S189</f>
        <v/>
      </c>
      <c r="C713" s="77">
        <f>'Issues &amp; Punch List'!Q189</f>
        <v/>
      </c>
      <c r="D713" s="47">
        <f>'Issues &amp; Punch List'!R189</f>
        <v/>
      </c>
      <c r="E713" s="47">
        <f>IF(OR(B713="",C713="",D713=""),"",D713*100000+(C713-DATE(2000,1,1))+ROW()/100000)</f>
        <v/>
      </c>
    </row>
    <row r="714">
      <c r="A714" t="inlineStr">
        <is>
          <t>Issues &amp; Punch List</t>
        </is>
      </c>
      <c r="B714" s="47">
        <f>'Issues &amp; Punch List'!S190</f>
        <v/>
      </c>
      <c r="C714" s="77">
        <f>'Issues &amp; Punch List'!Q190</f>
        <v/>
      </c>
      <c r="D714" s="47">
        <f>'Issues &amp; Punch List'!R190</f>
        <v/>
      </c>
      <c r="E714" s="47">
        <f>IF(OR(B714="",C714="",D714=""),"",D714*100000+(C714-DATE(2000,1,1))+ROW()/100000)</f>
        <v/>
      </c>
    </row>
    <row r="715">
      <c r="A715" t="inlineStr">
        <is>
          <t>Issues &amp; Punch List</t>
        </is>
      </c>
      <c r="B715" s="47">
        <f>'Issues &amp; Punch List'!S191</f>
        <v/>
      </c>
      <c r="C715" s="77">
        <f>'Issues &amp; Punch List'!Q191</f>
        <v/>
      </c>
      <c r="D715" s="47">
        <f>'Issues &amp; Punch List'!R191</f>
        <v/>
      </c>
      <c r="E715" s="47">
        <f>IF(OR(B715="",C715="",D715=""),"",D715*100000+(C715-DATE(2000,1,1))+ROW()/100000)</f>
        <v/>
      </c>
    </row>
    <row r="716">
      <c r="A716" t="inlineStr">
        <is>
          <t>Issues &amp; Punch List</t>
        </is>
      </c>
      <c r="B716" s="47">
        <f>'Issues &amp; Punch List'!S192</f>
        <v/>
      </c>
      <c r="C716" s="77">
        <f>'Issues &amp; Punch List'!Q192</f>
        <v/>
      </c>
      <c r="D716" s="47">
        <f>'Issues &amp; Punch List'!R192</f>
        <v/>
      </c>
      <c r="E716" s="47">
        <f>IF(OR(B716="",C716="",D716=""),"",D716*100000+(C716-DATE(2000,1,1))+ROW()/100000)</f>
        <v/>
      </c>
    </row>
    <row r="717">
      <c r="A717" t="inlineStr">
        <is>
          <t>Issues &amp; Punch List</t>
        </is>
      </c>
      <c r="B717" s="47">
        <f>'Issues &amp; Punch List'!S193</f>
        <v/>
      </c>
      <c r="C717" s="77">
        <f>'Issues &amp; Punch List'!Q193</f>
        <v/>
      </c>
      <c r="D717" s="47">
        <f>'Issues &amp; Punch List'!R193</f>
        <v/>
      </c>
      <c r="E717" s="47">
        <f>IF(OR(B717="",C717="",D717=""),"",D717*100000+(C717-DATE(2000,1,1))+ROW()/100000)</f>
        <v/>
      </c>
    </row>
    <row r="718">
      <c r="A718" t="inlineStr">
        <is>
          <t>Issues &amp; Punch List</t>
        </is>
      </c>
      <c r="B718" s="47">
        <f>'Issues &amp; Punch List'!S194</f>
        <v/>
      </c>
      <c r="C718" s="77">
        <f>'Issues &amp; Punch List'!Q194</f>
        <v/>
      </c>
      <c r="D718" s="47">
        <f>'Issues &amp; Punch List'!R194</f>
        <v/>
      </c>
      <c r="E718" s="47">
        <f>IF(OR(B718="",C718="",D718=""),"",D718*100000+(C718-DATE(2000,1,1))+ROW()/100000)</f>
        <v/>
      </c>
    </row>
    <row r="719">
      <c r="A719" t="inlineStr">
        <is>
          <t>Issues &amp; Punch List</t>
        </is>
      </c>
      <c r="B719" s="47">
        <f>'Issues &amp; Punch List'!S195</f>
        <v/>
      </c>
      <c r="C719" s="77">
        <f>'Issues &amp; Punch List'!Q195</f>
        <v/>
      </c>
      <c r="D719" s="47">
        <f>'Issues &amp; Punch List'!R195</f>
        <v/>
      </c>
      <c r="E719" s="47">
        <f>IF(OR(B719="",C719="",D719=""),"",D719*100000+(C719-DATE(2000,1,1))+ROW()/100000)</f>
        <v/>
      </c>
    </row>
    <row r="720">
      <c r="A720" t="inlineStr">
        <is>
          <t>Issues &amp; Punch List</t>
        </is>
      </c>
      <c r="B720" s="47">
        <f>'Issues &amp; Punch List'!S196</f>
        <v/>
      </c>
      <c r="C720" s="77">
        <f>'Issues &amp; Punch List'!Q196</f>
        <v/>
      </c>
      <c r="D720" s="47">
        <f>'Issues &amp; Punch List'!R196</f>
        <v/>
      </c>
      <c r="E720" s="47">
        <f>IF(OR(B720="",C720="",D720=""),"",D720*100000+(C720-DATE(2000,1,1))+ROW()/100000)</f>
        <v/>
      </c>
    </row>
    <row r="721">
      <c r="A721" t="inlineStr">
        <is>
          <t>Issues &amp; Punch List</t>
        </is>
      </c>
      <c r="B721" s="47">
        <f>'Issues &amp; Punch List'!S197</f>
        <v/>
      </c>
      <c r="C721" s="77">
        <f>'Issues &amp; Punch List'!Q197</f>
        <v/>
      </c>
      <c r="D721" s="47">
        <f>'Issues &amp; Punch List'!R197</f>
        <v/>
      </c>
      <c r="E721" s="47">
        <f>IF(OR(B721="",C721="",D721=""),"",D721*100000+(C721-DATE(2000,1,1))+ROW()/100000)</f>
        <v/>
      </c>
    </row>
    <row r="722">
      <c r="A722" t="inlineStr">
        <is>
          <t>Issues &amp; Punch List</t>
        </is>
      </c>
      <c r="B722" s="47">
        <f>'Issues &amp; Punch List'!S198</f>
        <v/>
      </c>
      <c r="C722" s="77">
        <f>'Issues &amp; Punch List'!Q198</f>
        <v/>
      </c>
      <c r="D722" s="47">
        <f>'Issues &amp; Punch List'!R198</f>
        <v/>
      </c>
      <c r="E722" s="47">
        <f>IF(OR(B722="",C722="",D722=""),"",D722*100000+(C722-DATE(2000,1,1))+ROW()/100000)</f>
        <v/>
      </c>
    </row>
    <row r="723">
      <c r="A723" t="inlineStr">
        <is>
          <t>Issues &amp; Punch List</t>
        </is>
      </c>
      <c r="B723" s="47">
        <f>'Issues &amp; Punch List'!S199</f>
        <v/>
      </c>
      <c r="C723" s="77">
        <f>'Issues &amp; Punch List'!Q199</f>
        <v/>
      </c>
      <c r="D723" s="47">
        <f>'Issues &amp; Punch List'!R199</f>
        <v/>
      </c>
      <c r="E723" s="47">
        <f>IF(OR(B723="",C723="",D723=""),"",D723*100000+(C723-DATE(2000,1,1))+ROW()/100000)</f>
        <v/>
      </c>
    </row>
    <row r="724">
      <c r="A724" t="inlineStr">
        <is>
          <t>Issues &amp; Punch List</t>
        </is>
      </c>
      <c r="B724" s="47">
        <f>'Issues &amp; Punch List'!S200</f>
        <v/>
      </c>
      <c r="C724" s="77">
        <f>'Issues &amp; Punch List'!Q200</f>
        <v/>
      </c>
      <c r="D724" s="47">
        <f>'Issues &amp; Punch List'!R200</f>
        <v/>
      </c>
      <c r="E724" s="47">
        <f>IF(OR(B724="",C724="",D724=""),"",D724*100000+(C724-DATE(2000,1,1))+ROW()/100000)</f>
        <v/>
      </c>
    </row>
    <row r="725">
      <c r="A725" t="inlineStr">
        <is>
          <t>Issues &amp; Punch List</t>
        </is>
      </c>
      <c r="B725" s="47">
        <f>'Issues &amp; Punch List'!S201</f>
        <v/>
      </c>
      <c r="C725" s="77">
        <f>'Issues &amp; Punch List'!Q201</f>
        <v/>
      </c>
      <c r="D725" s="47">
        <f>'Issues &amp; Punch List'!R201</f>
        <v/>
      </c>
      <c r="E725" s="47">
        <f>IF(OR(B725="",C725="",D725=""),"",D725*100000+(C725-DATE(2000,1,1))+ROW()/100000)</f>
        <v/>
      </c>
    </row>
    <row r="726">
      <c r="A726" t="inlineStr">
        <is>
          <t>Issues &amp; Punch List</t>
        </is>
      </c>
      <c r="B726" s="47">
        <f>'Issues &amp; Punch List'!S202</f>
        <v/>
      </c>
      <c r="C726" s="77">
        <f>'Issues &amp; Punch List'!Q202</f>
        <v/>
      </c>
      <c r="D726" s="47">
        <f>'Issues &amp; Punch List'!R202</f>
        <v/>
      </c>
      <c r="E726" s="47">
        <f>IF(OR(B726="",C726="",D726=""),"",D726*100000+(C726-DATE(2000,1,1))+ROW()/100000)</f>
        <v/>
      </c>
    </row>
    <row r="727">
      <c r="A727" t="inlineStr">
        <is>
          <t>Issues &amp; Punch List</t>
        </is>
      </c>
      <c r="B727" s="47">
        <f>'Issues &amp; Punch List'!S203</f>
        <v/>
      </c>
      <c r="C727" s="77">
        <f>'Issues &amp; Punch List'!Q203</f>
        <v/>
      </c>
      <c r="D727" s="47">
        <f>'Issues &amp; Punch List'!R203</f>
        <v/>
      </c>
      <c r="E727" s="47">
        <f>IF(OR(B727="",C727="",D727=""),"",D727*100000+(C727-DATE(2000,1,1))+ROW()/100000)</f>
        <v/>
      </c>
    </row>
    <row r="728">
      <c r="A728" t="inlineStr">
        <is>
          <t>Issues &amp; Punch List</t>
        </is>
      </c>
      <c r="B728" s="47">
        <f>'Issues &amp; Punch List'!S204</f>
        <v/>
      </c>
      <c r="C728" s="77">
        <f>'Issues &amp; Punch List'!Q204</f>
        <v/>
      </c>
      <c r="D728" s="47">
        <f>'Issues &amp; Punch List'!R204</f>
        <v/>
      </c>
      <c r="E728" s="47">
        <f>IF(OR(B728="",C728="",D728=""),"",D728*100000+(C728-DATE(2000,1,1))+ROW()/100000)</f>
        <v/>
      </c>
    </row>
    <row r="729">
      <c r="A729" t="inlineStr">
        <is>
          <t>Issues &amp; Punch List</t>
        </is>
      </c>
      <c r="B729" s="47">
        <f>'Issues &amp; Punch List'!S205</f>
        <v/>
      </c>
      <c r="C729" s="77">
        <f>'Issues &amp; Punch List'!Q205</f>
        <v/>
      </c>
      <c r="D729" s="47">
        <f>'Issues &amp; Punch List'!R205</f>
        <v/>
      </c>
      <c r="E729" s="47">
        <f>IF(OR(B729="",C729="",D729=""),"",D729*100000+(C729-DATE(2000,1,1))+ROW()/100000)</f>
        <v/>
      </c>
    </row>
    <row r="730">
      <c r="A730" t="inlineStr">
        <is>
          <t>Issues &amp; Punch List</t>
        </is>
      </c>
      <c r="B730" s="47">
        <f>'Issues &amp; Punch List'!S206</f>
        <v/>
      </c>
      <c r="C730" s="77">
        <f>'Issues &amp; Punch List'!Q206</f>
        <v/>
      </c>
      <c r="D730" s="47">
        <f>'Issues &amp; Punch List'!R206</f>
        <v/>
      </c>
      <c r="E730" s="47">
        <f>IF(OR(B730="",C730="",D730=""),"",D730*100000+(C730-DATE(2000,1,1))+ROW()/100000)</f>
        <v/>
      </c>
    </row>
    <row r="731">
      <c r="A731" t="inlineStr">
        <is>
          <t>Issues &amp; Punch List</t>
        </is>
      </c>
      <c r="B731" s="47">
        <f>'Issues &amp; Punch List'!S207</f>
        <v/>
      </c>
      <c r="C731" s="77">
        <f>'Issues &amp; Punch List'!Q207</f>
        <v/>
      </c>
      <c r="D731" s="47">
        <f>'Issues &amp; Punch List'!R207</f>
        <v/>
      </c>
      <c r="E731" s="47">
        <f>IF(OR(B731="",C731="",D731=""),"",D731*100000+(C731-DATE(2000,1,1))+ROW()/100000)</f>
        <v/>
      </c>
    </row>
    <row r="732">
      <c r="A732" t="inlineStr">
        <is>
          <t>Budget</t>
        </is>
      </c>
      <c r="B732" s="47">
        <f>'Budget'!S40</f>
        <v/>
      </c>
      <c r="C732" s="77">
        <f>'Budget'!Q40</f>
        <v/>
      </c>
      <c r="D732" s="47">
        <f>'Budget'!R40</f>
        <v/>
      </c>
      <c r="E732" s="47">
        <f>IF(OR(B732="",C732="",D732=""),"",D732*100000+(C732-DATE(2000,1,1))+ROW()/100000)</f>
        <v/>
      </c>
    </row>
    <row r="733">
      <c r="A733" t="inlineStr">
        <is>
          <t>Budget</t>
        </is>
      </c>
      <c r="B733" s="47">
        <f>'Budget'!S41</f>
        <v/>
      </c>
      <c r="C733" s="77">
        <f>'Budget'!Q41</f>
        <v/>
      </c>
      <c r="D733" s="47">
        <f>'Budget'!R41</f>
        <v/>
      </c>
      <c r="E733" s="47">
        <f>IF(OR(B733="",C733="",D733=""),"",D733*100000+(C733-DATE(2000,1,1))+ROW()/100000)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CA3AF"/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07" t="inlineStr">
        <is>
          <t>YesNo</t>
        </is>
      </c>
      <c r="B1" s="107" t="inlineStr">
        <is>
          <t>Stage</t>
        </is>
      </c>
      <c r="C1" s="107" t="inlineStr">
        <is>
          <t>Incl</t>
        </is>
      </c>
      <c r="D1" s="107" t="inlineStr">
        <is>
          <t>COStatus</t>
        </is>
      </c>
      <c r="E1" s="107" t="inlineStr">
        <is>
          <t>COReason</t>
        </is>
      </c>
      <c r="F1" s="107" t="inlineStr">
        <is>
          <t>ReqBy</t>
        </is>
      </c>
      <c r="G1" s="107" t="inlineStr">
        <is>
          <t>Phase</t>
        </is>
      </c>
      <c r="H1" s="107" t="inlineStr">
        <is>
          <t>TaskStatus</t>
        </is>
      </c>
      <c r="I1" s="107" t="inlineStr">
        <is>
          <t>IssueType</t>
        </is>
      </c>
      <c r="J1" s="107" t="inlineStr">
        <is>
          <t>Severity</t>
        </is>
      </c>
      <c r="K1" s="107" t="inlineStr">
        <is>
          <t>IssueStatus</t>
        </is>
      </c>
      <c r="L1" s="107" t="inlineStr">
        <is>
          <t>DocType</t>
        </is>
      </c>
      <c r="M1" s="107" t="inlineStr">
        <is>
          <t>PhotoStage</t>
        </is>
      </c>
      <c r="N1" s="107" t="inlineStr">
        <is>
          <t>ABC</t>
        </is>
      </c>
      <c r="O1" s="107" t="inlineStr">
        <is>
          <t>Gut</t>
        </is>
      </c>
      <c r="P1" s="107" t="inlineStr">
        <is>
          <t>CurLabel</t>
        </is>
      </c>
      <c r="Q1" s="107" t="inlineStr">
        <is>
          <t>CurSym</t>
        </is>
      </c>
      <c r="R1" s="107" t="inlineStr">
        <is>
          <t>TaxName</t>
        </is>
      </c>
      <c r="S1" s="107" t="inlineStr">
        <is>
          <t>AreaUnit</t>
        </is>
      </c>
      <c r="T1" s="107" t="inlineStr">
        <is>
          <t>WeekStart</t>
        </is>
      </c>
      <c r="U1" s="107" t="inlineStr">
        <is>
          <t>WarnBand</t>
        </is>
      </c>
      <c r="V1" s="107" t="inlineStr">
        <is>
          <t>Categories</t>
        </is>
      </c>
      <c r="W1" s="107" t="inlineStr">
        <is>
          <t>Rooms</t>
        </is>
      </c>
      <c r="X1" s="107" t="inlineStr">
        <is>
          <t>Contractors</t>
        </is>
      </c>
    </row>
    <row r="2">
      <c r="A2" s="108" t="inlineStr">
        <is>
          <t>Yes</t>
        </is>
      </c>
      <c r="B2" s="108" t="inlineStr">
        <is>
          <t>Estimating</t>
        </is>
      </c>
      <c r="C2" s="108" t="inlineStr">
        <is>
          <t>Included</t>
        </is>
      </c>
      <c r="D2" s="108" t="inlineStr">
        <is>
          <t>Pending</t>
        </is>
      </c>
      <c r="E2" s="108" t="inlineStr">
        <is>
          <t>Client choice</t>
        </is>
      </c>
      <c r="F2" s="108" t="inlineStr">
        <is>
          <t>Owner</t>
        </is>
      </c>
      <c r="G2" s="108" t="inlineStr">
        <is>
          <t>Pre-construction</t>
        </is>
      </c>
      <c r="H2" s="108" t="inlineStr">
        <is>
          <t>Not started</t>
        </is>
      </c>
      <c r="I2" s="108" t="inlineStr">
        <is>
          <t>Issue</t>
        </is>
      </c>
      <c r="J2" s="108" t="inlineStr">
        <is>
          <t>Low</t>
        </is>
      </c>
      <c r="K2" s="108" t="inlineStr">
        <is>
          <t>Open</t>
        </is>
      </c>
      <c r="L2" s="108" t="inlineStr">
        <is>
          <t>Contract</t>
        </is>
      </c>
      <c r="M2" s="108" t="inlineStr">
        <is>
          <t>Before</t>
        </is>
      </c>
      <c r="N2" s="108" t="inlineStr">
        <is>
          <t>A</t>
        </is>
      </c>
      <c r="O2" s="108" t="n">
        <v>1</v>
      </c>
      <c r="P2" s="108" t="inlineStr">
        <is>
          <t>EUR €</t>
        </is>
      </c>
      <c r="Q2" s="108" t="inlineStr">
        <is>
          <t>€</t>
        </is>
      </c>
      <c r="R2" s="108" t="inlineStr">
        <is>
          <t>VAT</t>
        </is>
      </c>
      <c r="S2" s="108" t="inlineStr">
        <is>
          <t>m²</t>
        </is>
      </c>
      <c r="T2" s="108" t="inlineStr">
        <is>
          <t>Monday</t>
        </is>
      </c>
      <c r="U2" s="109" t="n">
        <v>0</v>
      </c>
      <c r="V2" s="110">
        <f>IF('Budget'!B8="","",'Budget'!B8)</f>
        <v/>
      </c>
      <c r="W2" s="108" t="inlineStr">
        <is>
          <t>Kitchen</t>
        </is>
      </c>
      <c r="X2" s="110">
        <f>IF('Contractors'!B6="","",'Contractors'!B6)</f>
        <v/>
      </c>
    </row>
    <row r="3">
      <c r="A3" s="108" t="inlineStr">
        <is>
          <t>No</t>
        </is>
      </c>
      <c r="B3" s="108" t="inlineStr">
        <is>
          <t>Contracted</t>
        </is>
      </c>
      <c r="C3" s="108" t="inlineStr">
        <is>
          <t>Not included</t>
        </is>
      </c>
      <c r="D3" s="108" t="inlineStr">
        <is>
          <t>Approved</t>
        </is>
      </c>
      <c r="E3" s="108" t="inlineStr">
        <is>
          <t>Unforeseen condition</t>
        </is>
      </c>
      <c r="F3" s="108" t="inlineStr">
        <is>
          <t>Contractor</t>
        </is>
      </c>
      <c r="G3" s="108" t="inlineStr">
        <is>
          <t>Construction</t>
        </is>
      </c>
      <c r="H3" s="108" t="inlineStr">
        <is>
          <t>In progress</t>
        </is>
      </c>
      <c r="I3" s="108" t="inlineStr">
        <is>
          <t>Punch item</t>
        </is>
      </c>
      <c r="J3" s="108" t="inlineStr">
        <is>
          <t>Medium</t>
        </is>
      </c>
      <c r="K3" s="108" t="inlineStr">
        <is>
          <t>In progress</t>
        </is>
      </c>
      <c r="L3" s="108" t="inlineStr">
        <is>
          <t>Quote</t>
        </is>
      </c>
      <c r="M3" s="108" t="inlineStr">
        <is>
          <t>Demolition</t>
        </is>
      </c>
      <c r="N3" s="108" t="inlineStr">
        <is>
          <t>B</t>
        </is>
      </c>
      <c r="O3" s="108" t="n">
        <v>2</v>
      </c>
      <c r="P3" s="108" t="inlineStr">
        <is>
          <t>USD $</t>
        </is>
      </c>
      <c r="Q3" s="108" t="inlineStr">
        <is>
          <t>$</t>
        </is>
      </c>
      <c r="R3" s="108" t="inlineStr">
        <is>
          <t>Sales tax</t>
        </is>
      </c>
      <c r="S3" s="108" t="inlineStr">
        <is>
          <t>ft²</t>
        </is>
      </c>
      <c r="T3" s="108" t="inlineStr">
        <is>
          <t>Sunday</t>
        </is>
      </c>
      <c r="U3" s="109" t="n">
        <v>0.05</v>
      </c>
      <c r="V3" s="110">
        <f>IF('Budget'!B9="","",'Budget'!B9)</f>
        <v/>
      </c>
      <c r="W3" s="108" t="inlineStr">
        <is>
          <t>Bathroom 1</t>
        </is>
      </c>
      <c r="X3" s="110">
        <f>IF('Contractors'!B7="","",'Contractors'!B7)</f>
        <v/>
      </c>
    </row>
    <row r="4">
      <c r="B4" s="108" t="inlineStr">
        <is>
          <t>Complete</t>
        </is>
      </c>
      <c r="C4" s="108" t="inlineStr">
        <is>
          <t>Unclear</t>
        </is>
      </c>
      <c r="D4" s="108" t="inlineStr">
        <is>
          <t>Rejected</t>
        </is>
      </c>
      <c r="E4" s="108" t="inlineStr">
        <is>
          <t>Design change</t>
        </is>
      </c>
      <c r="F4" s="108" t="inlineStr">
        <is>
          <t>Architect / designer</t>
        </is>
      </c>
      <c r="G4" s="108" t="inlineStr">
        <is>
          <t>Final</t>
        </is>
      </c>
      <c r="H4" s="108" t="inlineStr">
        <is>
          <t>Done</t>
        </is>
      </c>
      <c r="J4" s="108" t="inlineStr">
        <is>
          <t>High</t>
        </is>
      </c>
      <c r="K4" s="108" t="inlineStr">
        <is>
          <t>Resolved</t>
        </is>
      </c>
      <c r="L4" s="108" t="inlineStr">
        <is>
          <t>Invoice</t>
        </is>
      </c>
      <c r="M4" s="108" t="inlineStr">
        <is>
          <t>Rough-in</t>
        </is>
      </c>
      <c r="N4" s="108" t="inlineStr">
        <is>
          <t>C</t>
        </is>
      </c>
      <c r="O4" s="108" t="n">
        <v>3</v>
      </c>
      <c r="P4" s="108" t="inlineStr">
        <is>
          <t>GBP £</t>
        </is>
      </c>
      <c r="Q4" s="108" t="inlineStr">
        <is>
          <t>£</t>
        </is>
      </c>
      <c r="R4" s="108" t="inlineStr">
        <is>
          <t>GST</t>
        </is>
      </c>
      <c r="U4" s="109" t="n">
        <v>0.1</v>
      </c>
      <c r="V4" s="110">
        <f>IF('Budget'!B10="","",'Budget'!B10)</f>
        <v/>
      </c>
      <c r="W4" s="108" t="inlineStr">
        <is>
          <t>Bathroom 2</t>
        </is>
      </c>
      <c r="X4" s="110">
        <f>IF('Contractors'!B8="","",'Contractors'!B8)</f>
        <v/>
      </c>
    </row>
    <row r="5">
      <c r="E5" s="108" t="inlineStr">
        <is>
          <t>Code requirement</t>
        </is>
      </c>
      <c r="F5" s="108" t="inlineStr">
        <is>
          <t>Inspector</t>
        </is>
      </c>
      <c r="L5" s="108" t="inlineStr">
        <is>
          <t>Permit</t>
        </is>
      </c>
      <c r="M5" s="108" t="inlineStr">
        <is>
          <t>Walls</t>
        </is>
      </c>
      <c r="O5" s="108" t="n">
        <v>4</v>
      </c>
      <c r="P5" s="108" t="inlineStr">
        <is>
          <t>CHF</t>
        </is>
      </c>
      <c r="Q5" s="108" t="inlineStr">
        <is>
          <t>CHF</t>
        </is>
      </c>
      <c r="R5" s="108" t="inlineStr">
        <is>
          <t>HST</t>
        </is>
      </c>
      <c r="V5" s="110">
        <f>IF('Budget'!B11="","",'Budget'!B11)</f>
        <v/>
      </c>
      <c r="W5" s="108" t="inlineStr">
        <is>
          <t>Master bedroom</t>
        </is>
      </c>
      <c r="X5" s="110">
        <f>IF('Contractors'!B9="","",'Contractors'!B9)</f>
        <v/>
      </c>
    </row>
    <row r="6">
      <c r="E6" s="108" t="inlineStr">
        <is>
          <t>Contractor error</t>
        </is>
      </c>
      <c r="F6" s="108" t="inlineStr">
        <is>
          <t>Other</t>
        </is>
      </c>
      <c r="L6" s="108" t="inlineStr">
        <is>
          <t>Plan</t>
        </is>
      </c>
      <c r="M6" s="108" t="inlineStr">
        <is>
          <t>Finishing</t>
        </is>
      </c>
      <c r="O6" s="108" t="n">
        <v>5</v>
      </c>
      <c r="P6" s="108" t="inlineStr">
        <is>
          <t>CAD $</t>
        </is>
      </c>
      <c r="Q6" s="108" t="inlineStr">
        <is>
          <t>C$</t>
        </is>
      </c>
      <c r="R6" s="108" t="inlineStr">
        <is>
          <t>TVA</t>
        </is>
      </c>
      <c r="V6" s="110">
        <f>IF('Budget'!B12="","",'Budget'!B12)</f>
        <v/>
      </c>
      <c r="W6" s="108" t="inlineStr">
        <is>
          <t>Living room</t>
        </is>
      </c>
      <c r="X6" s="110">
        <f>IF('Contractors'!B10="","",'Contractors'!B10)</f>
        <v/>
      </c>
    </row>
    <row r="7">
      <c r="L7" s="108" t="inlineStr">
        <is>
          <t>Insurance</t>
        </is>
      </c>
      <c r="M7" s="108" t="inlineStr">
        <is>
          <t>Final</t>
        </is>
      </c>
      <c r="P7" s="108" t="inlineStr">
        <is>
          <t>AUD $</t>
        </is>
      </c>
      <c r="Q7" s="108" t="inlineStr">
        <is>
          <t>A$</t>
        </is>
      </c>
      <c r="R7" s="108" t="inlineStr">
        <is>
          <t>MwSt</t>
        </is>
      </c>
      <c r="V7" s="110">
        <f>IF('Budget'!B13="","",'Budget'!B13)</f>
        <v/>
      </c>
      <c r="W7" s="108" t="inlineStr">
        <is>
          <t>Exterior</t>
        </is>
      </c>
      <c r="X7" s="110">
        <f>IF('Contractors'!B11="","",'Contractors'!B11)</f>
        <v/>
      </c>
    </row>
    <row r="8">
      <c r="L8" s="108" t="inlineStr">
        <is>
          <t>Warranty</t>
        </is>
      </c>
      <c r="P8" s="108" t="inlineStr">
        <is>
          <t>NZD $</t>
        </is>
      </c>
      <c r="Q8" s="108" t="inlineStr">
        <is>
          <t>NZ$</t>
        </is>
      </c>
      <c r="R8" s="108" t="inlineStr">
        <is>
          <t>BTW</t>
        </is>
      </c>
      <c r="V8" s="110">
        <f>IF('Budget'!B14="","",'Budget'!B14)</f>
        <v/>
      </c>
      <c r="W8" s="108" t="inlineStr">
        <is>
          <t>Whole house</t>
        </is>
      </c>
      <c r="X8" s="110">
        <f>IF('Contractors'!B12="","",'Contractors'!B12)</f>
        <v/>
      </c>
    </row>
    <row r="9">
      <c r="L9" s="108" t="inlineStr">
        <is>
          <t>Receipt</t>
        </is>
      </c>
      <c r="P9" s="108" t="inlineStr">
        <is>
          <t>SEK kr</t>
        </is>
      </c>
      <c r="Q9" s="108" t="inlineStr">
        <is>
          <t>kr</t>
        </is>
      </c>
      <c r="R9" s="108" t="inlineStr">
        <is>
          <t>IVA</t>
        </is>
      </c>
      <c r="V9" s="110">
        <f>IF('Budget'!B15="","",'Budget'!B15)</f>
        <v/>
      </c>
      <c r="X9" s="110">
        <f>IF('Contractors'!B13="","",'Contractors'!B13)</f>
        <v/>
      </c>
    </row>
    <row r="10">
      <c r="L10" s="108" t="inlineStr">
        <is>
          <t>Photo</t>
        </is>
      </c>
      <c r="P10" s="108" t="inlineStr">
        <is>
          <t>NOK kr</t>
        </is>
      </c>
      <c r="Q10" s="108" t="inlineStr">
        <is>
          <t>kr</t>
        </is>
      </c>
      <c r="R10" s="108" t="inlineStr">
        <is>
          <t>None</t>
        </is>
      </c>
      <c r="V10" s="110">
        <f>IF('Budget'!B16="","",'Budget'!B16)</f>
        <v/>
      </c>
      <c r="X10" s="110">
        <f>IF('Contractors'!B14="","",'Contractors'!B14)</f>
        <v/>
      </c>
    </row>
    <row r="11">
      <c r="L11" s="108" t="inlineStr">
        <is>
          <t>Inspection</t>
        </is>
      </c>
      <c r="P11" s="108" t="inlineStr">
        <is>
          <t>DKK kr</t>
        </is>
      </c>
      <c r="Q11" s="108" t="inlineStr">
        <is>
          <t>kr</t>
        </is>
      </c>
      <c r="V11" s="110">
        <f>IF('Budget'!B17="","",'Budget'!B17)</f>
        <v/>
      </c>
      <c r="X11" s="110">
        <f>IF('Contractors'!B15="","",'Contractors'!B15)</f>
        <v/>
      </c>
    </row>
    <row r="12">
      <c r="L12" s="108" t="inlineStr">
        <is>
          <t>Other</t>
        </is>
      </c>
      <c r="P12" s="108" t="inlineStr">
        <is>
          <t>PLN zł</t>
        </is>
      </c>
      <c r="Q12" s="108" t="inlineStr">
        <is>
          <t>zł</t>
        </is>
      </c>
      <c r="V12" s="110">
        <f>IF('Budget'!B18="","",'Budget'!B18)</f>
        <v/>
      </c>
      <c r="X12" s="110">
        <f>IF('Contractors'!B16="","",'Contractors'!B16)</f>
        <v/>
      </c>
    </row>
    <row r="13">
      <c r="P13" s="108" t="inlineStr">
        <is>
          <t>CZK Kč</t>
        </is>
      </c>
      <c r="Q13" s="108" t="inlineStr">
        <is>
          <t>Kč</t>
        </is>
      </c>
      <c r="V13" s="110">
        <f>IF('Budget'!B19="","",'Budget'!B19)</f>
        <v/>
      </c>
      <c r="X13" s="110">
        <f>IF('Contractors'!B17="","",'Contractors'!B17)</f>
        <v/>
      </c>
    </row>
    <row r="14">
      <c r="P14" s="108" t="inlineStr">
        <is>
          <t>Other</t>
        </is>
      </c>
      <c r="Q14" s="108" t="inlineStr"/>
      <c r="V14" s="110">
        <f>IF('Budget'!B20="","",'Budget'!B20)</f>
        <v/>
      </c>
      <c r="X14" s="110">
        <f>IF('Contractors'!B18="","",'Contractors'!B18)</f>
        <v/>
      </c>
    </row>
    <row r="15">
      <c r="V15" s="110">
        <f>IF('Budget'!B21="","",'Budget'!B21)</f>
        <v/>
      </c>
      <c r="X15" s="110">
        <f>IF('Contractors'!B19="","",'Contractors'!B19)</f>
        <v/>
      </c>
    </row>
    <row r="16">
      <c r="V16" s="110">
        <f>IF('Budget'!B22="","",'Budget'!B22)</f>
        <v/>
      </c>
      <c r="X16" s="110">
        <f>IF('Contractors'!B20="","",'Contractors'!B20)</f>
        <v/>
      </c>
    </row>
    <row r="17">
      <c r="V17" s="110">
        <f>IF('Budget'!B23="","",'Budget'!B23)</f>
        <v/>
      </c>
      <c r="X17" s="110">
        <f>IF('Contractors'!B21="","",'Contractors'!B21)</f>
        <v/>
      </c>
    </row>
    <row r="18">
      <c r="V18" s="110">
        <f>IF('Budget'!B24="","",'Budget'!B24)</f>
        <v/>
      </c>
      <c r="X18" s="110">
        <f>IF('Contractors'!B22="","",'Contractors'!B22)</f>
        <v/>
      </c>
    </row>
    <row r="19">
      <c r="V19" s="110">
        <f>IF('Budget'!B25="","",'Budget'!B25)</f>
        <v/>
      </c>
      <c r="X19" s="110">
        <f>IF('Contractors'!B23="","",'Contractors'!B23)</f>
        <v/>
      </c>
    </row>
    <row r="20">
      <c r="V20" s="110">
        <f>IF('Budget'!B26="","",'Budget'!B26)</f>
        <v/>
      </c>
      <c r="X20" s="110">
        <f>IF('Contractors'!B24="","",'Contractors'!B24)</f>
        <v/>
      </c>
    </row>
    <row r="21">
      <c r="V21" s="110">
        <f>IF('Budget'!B27="","",'Budget'!B27)</f>
        <v/>
      </c>
      <c r="X21" s="110">
        <f>IF('Contractors'!B25="","",'Contractors'!B25)</f>
        <v/>
      </c>
    </row>
    <row r="22">
      <c r="V22" s="110">
        <f>IF('Budget'!B28="","",'Budget'!B28)</f>
        <v/>
      </c>
      <c r="X22" s="110">
        <f>IF('Contractors'!B26="","",'Contractors'!B26)</f>
        <v/>
      </c>
    </row>
    <row r="23">
      <c r="V23" s="110">
        <f>IF('Budget'!B29="","",'Budget'!B29)</f>
        <v/>
      </c>
      <c r="X23" s="110">
        <f>IF('Contractors'!B27="","",'Contractors'!B27)</f>
        <v/>
      </c>
    </row>
    <row r="24">
      <c r="V24" s="110">
        <f>IF('Budget'!B30="","",'Budget'!B30)</f>
        <v/>
      </c>
      <c r="X24" s="110">
        <f>IF('Contractors'!B28="","",'Contractors'!B28)</f>
        <v/>
      </c>
    </row>
    <row r="25">
      <c r="V25" s="110">
        <f>IF('Budget'!B31="","",'Budget'!B31)</f>
        <v/>
      </c>
      <c r="X25" s="110">
        <f>IF('Contractors'!B29="","",'Contractors'!B29)</f>
        <v/>
      </c>
    </row>
    <row r="26">
      <c r="V26" s="110">
        <f>IF('Budget'!B32="","",'Budget'!B32)</f>
        <v/>
      </c>
      <c r="X26" s="110">
        <f>IF('Contractors'!B30="","",'Contractors'!B30)</f>
        <v/>
      </c>
    </row>
    <row r="27">
      <c r="V27" s="110">
        <f>IF('Budget'!B33="","",'Budget'!B33)</f>
        <v/>
      </c>
      <c r="X27" s="110">
        <f>IF('Contractors'!B31="","",'Contractors'!B31)</f>
        <v/>
      </c>
    </row>
    <row r="28">
      <c r="V28" s="110">
        <f>IF('Budget'!B34="","",'Budget'!B34)</f>
        <v/>
      </c>
      <c r="X28" s="110">
        <f>IF('Contractors'!B32="","",'Contractors'!B32)</f>
        <v/>
      </c>
    </row>
    <row r="29">
      <c r="V29" s="110">
        <f>IF('Budget'!B35="","",'Budget'!B35)</f>
        <v/>
      </c>
      <c r="X29" s="110">
        <f>IF('Contractors'!B33="","",'Contractors'!B33)</f>
        <v/>
      </c>
    </row>
    <row r="30">
      <c r="V30" s="110">
        <f>IF('Budget'!B36="","",'Budget'!B36)</f>
        <v/>
      </c>
      <c r="X30" s="110">
        <f>IF('Contractors'!B34="","",'Contractors'!B34)</f>
        <v/>
      </c>
    </row>
    <row r="31">
      <c r="V31" s="110">
        <f>IF('Budget'!B37="","",'Budget'!B37)</f>
        <v/>
      </c>
      <c r="X31" s="110">
        <f>IF('Contractors'!B35="","",'Contractors'!B35)</f>
        <v/>
      </c>
    </row>
  </sheetData>
  <sheetProtection selectLockedCells="1" selectUnlockedCells="0" sheet="1" objects="0" insertRows="1" insertHyperlinks="1" autoFilter="1" scenarios="0" formatColumns="0" deleteColumns="1" insertColumns="1" pivotTables="1" deleteRows="1" formatCells="1" formatRows="0" sort="1" password="C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 Nguyen</dc:creator>
  <dc:title>Renovation OS</dc:title>
  <dc:description>© 2026 Hang Nguyen — Renovation OS. Licensed to the original purchaser for personal use only. Do not share, copy, resell or redistribute.</dc:description>
  <dc:subject>Home renovation management workbook</dc:subject>
  <dcterms:created xsi:type="dcterms:W3CDTF">2026-09-30T15:57:43Z</dcterms:created>
  <dcterms:modified xsi:type="dcterms:W3CDTF">2026-09-30T15:57:45Z</dcterms:modified>
  <cp:lastModifiedBy>Hang Nguyen</cp:lastModifiedBy>
  <cp:keywords>Renovation OS; Hang Nguyen; personal licence</cp:keywords>
</cp:coreProperties>
</file>