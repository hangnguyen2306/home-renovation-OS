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CD61" lockStructure="1"/>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This Week" sheetId="3" state="visible" r:id="rId3"/>
    <sheet name="Budget" sheetId="4" state="visible" r:id="rId4"/>
    <sheet name="Quotes" sheetId="5" state="visible" r:id="rId5"/>
    <sheet name="Contractors" sheetId="6" state="visible" r:id="rId6"/>
    <sheet name="Payments" sheetId="7" state="visible" r:id="rId7"/>
    <sheet name="Change Orders" sheetId="8" state="visible" r:id="rId8"/>
    <sheet name="Timeline" sheetId="9" state="visible" r:id="rId9"/>
    <sheet name="Rooms" sheetId="10" state="visible" r:id="rId10"/>
    <sheet name="Selections &amp; Orders" sheetId="11" state="visible" r:id="rId11"/>
    <sheet name="Issues &amp; Punch List" sheetId="12" state="visible" r:id="rId12"/>
    <sheet name="Vault" sheetId="13" state="visible" r:id="rId13"/>
    <sheet name="Warranty &amp; Maintenance" sheetId="14" state="visible" r:id="rId14"/>
    <sheet name="Engine" sheetId="15" state="hidden" r:id="rId15"/>
    <sheet name="Lists" sheetId="16" state="hidden" r:id="rId16"/>
  </sheets>
  <definedNames>
    <definedName name="ProjName">'Start Here'!$C$5</definedName>
    <definedName name="Address">'Start Here'!$C$6</definedName>
    <definedName name="ProjStart">'Start Here'!$C$7</definedName>
    <definedName name="TargetEnd">'Start Here'!$C$8</definedName>
    <definedName name="TotalBudget">'Start Here'!$C$9</definedName>
    <definedName name="TotalArea">'Start Here'!$C$10</definedName>
    <definedName name="AsOfOverride">'Start Here'!$C$11</definedName>
    <definedName name="Currency">'Start Here'!$C$14</definedName>
    <definedName name="CustomSym">'Start Here'!$C$15</definedName>
    <definedName name="TaxName">'Start Here'!$C$16</definedName>
    <definedName name="VatRate">'Start Here'!$C$17</definedName>
    <definedName name="DefInclTax">'Start Here'!$C$18</definedName>
    <definedName name="AreaUnit">'Start Here'!$C$19</definedName>
    <definedName name="WeekStart">'Start Here'!$C$20</definedName>
    <definedName name="BudgetWarnPct">'Start Here'!$C$21</definedName>
    <definedName name="ContPct">'Start Here'!$C$24</definedName>
    <definedName name="AlertDays">'Start Here'!$C$25</definedName>
    <definedName name="DecideBuf">'Start Here'!$C$26</definedName>
    <definedName name="OrderBuf">'Start Here'!$C$27</definedName>
    <definedName name="OverpayTol">'Start Here'!$C$28</definedName>
    <definedName name="ContAmt">'Start Here'!$C$31</definedName>
    <definedName name="WorkBudget">'Start Here'!$C$32</definedName>
    <definedName name="CurSym">'Start Here'!$C$33</definedName>
    <definedName name="AsOf">'Start Here'!$C$34</definedName>
    <definedName name="TaxWord">'Start Here'!$C$35</definedName>
    <definedName name="BudgetSum">'Budget'!$C$38</definedName>
    <definedName name="CommittedTotal">'Budget'!$I$38</definedName>
    <definedName name="InvoicedTotal">'Budget'!$J$38</definedName>
    <definedName name="PaidTotal">'Budget'!$K$38</definedName>
    <definedName name="ForecastTotal">'Budget'!$L$38</definedName>
    <definedName name="PendingCO">'Budget'!$L$40</definedName>
    <definedName name="IssuesOpenCost">'Budget'!$L$41</definedName>
    <definedName name="RiskTotal">'Budget'!$L$42</definedName>
    <definedName name="ForecastRisk">'Budget'!$L$43</definedName>
    <definedName name="ContUsed">'Budget'!$L$44</definedName>
    <definedName name="WPrice">'Quotes'!$C$6</definedName>
    <definedName name="WTime">'Quotes'!$D$6</definedName>
    <definedName name="WWar">'Quotes'!$E$6</definedName>
    <definedName name="WComp">'Quotes'!$F$6</definedName>
    <definedName name="WGut">'Quotes'!$G$6</definedName>
    <definedName name="QBlockCat">'Quotes'!$M$9:$M$18</definedName>
    <definedName name="QBlockInv">'Quotes'!$O$9:$O$18</definedName>
    <definedName name="Cash30">'Payments'!$AC$38</definedName>
    <definedName name="CashMonths">'Payments'!$Z$41:$Z$52</definedName>
    <definedName name="ForecastEnd">'Timeline'!$D$4</definedName>
    <definedName name="DecisionsWaiting">'Selections &amp; Orders'!$B$5</definedName>
    <definedName name="OrdersDue">'Selections &amp; Orders'!$E$5</definedName>
    <definedName name="OrdersLate">'Selections &amp; Orders'!$J$5</definedName>
    <definedName name="DeliveriesLate">'Selections &amp; Orders'!$P$5</definedName>
    <definedName name="OpenHigh">'Issues &amp; Punch List'!$B$5</definedName>
    <definedName name="OpenIssues">'Issues &amp; Punch List'!$O$8:$O$207</definedName>
    <definedName name="DocsMissing">'Vault'!$R$6:$R$35</definedName>
    <definedName name="AlertCount">'Engine'!$Y$2</definedName>
    <definedName name="OverdueCount">'Engine'!$Y$3</definedName>
    <definedName name="UrgentCount">'Engine'!$Y$4</definedName>
    <definedName name="WeekAlertCount">'Engine'!$Y$5</definedName>
    <definedName name="WeekStartDate">'This Week'!$C$4</definedName>
    <definedName name="WeekEndDate">'This Week'!$C$5</definedName>
  </definedNames>
  <calcPr calcId="124519" fullCalcOnLoad="1"/>
</workbook>
</file>

<file path=xl/styles.xml><?xml version="1.0" encoding="utf-8"?>
<styleSheet xmlns="http://schemas.openxmlformats.org/spreadsheetml/2006/main">
  <numFmts count="9">
    <numFmt numFmtId="164" formatCode="yyyy-mm-dd"/>
    <numFmt numFmtId="165" formatCode="dd mmm yyyy"/>
    <numFmt numFmtId="166" formatCode="#,##0;[Red]-#,##0;&quot;–&quot;"/>
    <numFmt numFmtId="167" formatCode="0.#"/>
    <numFmt numFmtId="168" formatCode="0.0"/>
    <numFmt numFmtId="169" formatCode="mmm yyyy"/>
    <numFmt numFmtId="170" formatCode="+0%;-0%;0%"/>
    <numFmt numFmtId="171" formatCode="dd mmm"/>
    <numFmt numFmtId="172" formatCode="+#,##0;-#,##0;0"/>
  </numFmts>
  <fonts count="30">
    <font>
      <name val="Calibri"/>
      <family val="2"/>
      <color theme="1"/>
      <sz val="11"/>
      <scheme val="minor"/>
    </font>
    <font>
      <name val="Arial"/>
      <sz val="10"/>
    </font>
    <font>
      <name val="Arial"/>
      <b val="1"/>
      <color rgb="000F5E5E"/>
      <sz val="18"/>
    </font>
    <font>
      <name val="Arial"/>
      <i val="1"/>
      <color rgb="006B7280"/>
      <sz val="10"/>
    </font>
    <font>
      <name val="Arial"/>
      <b val="1"/>
      <color rgb="000F5E5E"/>
      <sz val="11"/>
    </font>
    <font>
      <name val="Arial"/>
      <b val="1"/>
      <color rgb="001F2937"/>
      <sz val="10"/>
    </font>
    <font>
      <name val="Arial"/>
      <color rgb="001F2937"/>
      <sz val="10"/>
    </font>
    <font>
      <name val="Arial"/>
      <i val="1"/>
      <color rgb="006B7280"/>
      <sz val="9"/>
    </font>
    <font>
      <name val="Arial"/>
      <b val="1"/>
      <i val="1"/>
      <color rgb="00991B1B"/>
      <sz val="9"/>
    </font>
    <font>
      <name val="Arial"/>
      <b val="1"/>
      <color rgb="00FFFFFF"/>
      <sz val="16"/>
    </font>
    <font>
      <name val="Arial"/>
      <color rgb="006B7280"/>
      <sz val="10"/>
    </font>
    <font>
      <name val="Arial"/>
      <b val="1"/>
      <color rgb="000F5E5E"/>
      <sz val="10"/>
    </font>
    <font>
      <name val="Arial"/>
      <b val="1"/>
      <color rgb="000F5E5E"/>
      <sz val="10"/>
      <u val="single"/>
    </font>
    <font>
      <name val="Arial"/>
      <b val="1"/>
      <color rgb="00FFFFFF"/>
      <sz val="10"/>
    </font>
    <font>
      <name val="Arial"/>
      <color rgb="006B7280"/>
      <sz val="9"/>
    </font>
    <font>
      <name val="Arial"/>
      <color rgb="000F5E5E"/>
      <sz val="10"/>
    </font>
    <font>
      <name val="Arial"/>
      <b val="1"/>
      <color rgb="000F5E5E"/>
      <sz val="12"/>
    </font>
    <font>
      <name val="Arial"/>
      <b val="1"/>
      <color rgb="001F2937"/>
      <sz val="11"/>
    </font>
    <font>
      <name val="Arial"/>
      <b val="1"/>
      <color rgb="00991B1B"/>
      <sz val="11"/>
    </font>
    <font>
      <name val="Arial"/>
      <b val="1"/>
      <color rgb="001F2937"/>
      <sz val="13"/>
    </font>
    <font>
      <name val="Arial"/>
      <color rgb="000F5E5E"/>
      <sz val="11"/>
    </font>
    <font>
      <name val="Arial"/>
      <color rgb="0014B8A6"/>
      <sz val="11"/>
    </font>
    <font>
      <name val="Arial"/>
      <color rgb="001F2937"/>
      <sz val="9"/>
    </font>
    <font>
      <name val="Arial"/>
      <b val="1"/>
      <color rgb="000F5E5E"/>
      <sz val="16"/>
    </font>
    <font>
      <name val="Arial"/>
      <b val="1"/>
      <color rgb="006B7280"/>
      <sz val="9"/>
    </font>
    <font>
      <name val="Arial"/>
      <color rgb="006B7280"/>
      <sz val="8.5"/>
    </font>
    <font>
      <name val="Arial"/>
      <b val="1"/>
      <color rgb="001F2937"/>
      <sz val="16"/>
    </font>
    <font>
      <name val="Arial"/>
      <color rgb="001F2937"/>
      <sz val="12"/>
    </font>
    <font>
      <name val="Arial"/>
      <b val="1"/>
      <color rgb="001F2937"/>
      <sz val="14"/>
    </font>
    <font>
      <name val="Arial"/>
      <i val="1"/>
      <color rgb="006B7280"/>
      <sz val="8"/>
    </font>
  </fonts>
  <fills count="11">
    <fill>
      <patternFill/>
    </fill>
    <fill>
      <patternFill patternType="gray125"/>
    </fill>
    <fill>
      <patternFill patternType="solid">
        <fgColor rgb="00FFF7CC"/>
        <bgColor rgb="00FFF7CC"/>
      </patternFill>
    </fill>
    <fill>
      <patternFill patternType="solid">
        <fgColor rgb="00F3F4F6"/>
        <bgColor rgb="00F3F4F6"/>
      </patternFill>
    </fill>
    <fill>
      <patternFill patternType="solid">
        <fgColor rgb="000F5E5E"/>
        <bgColor rgb="000F5E5E"/>
      </patternFill>
    </fill>
    <fill>
      <patternFill patternType="solid">
        <fgColor rgb="00E3F1F1"/>
        <bgColor rgb="00E3F1F1"/>
      </patternFill>
    </fill>
    <fill>
      <patternFill patternType="solid">
        <fgColor rgb="00FFFFFF"/>
        <bgColor rgb="00FFFFFF"/>
      </patternFill>
    </fill>
    <fill>
      <patternFill patternType="solid">
        <fgColor rgb="00D1FAE5"/>
        <bgColor rgb="00D1FAE5"/>
      </patternFill>
    </fill>
    <fill>
      <patternFill patternType="solid">
        <fgColor rgb="00FEF3C7"/>
        <bgColor rgb="00FEF3C7"/>
      </patternFill>
    </fill>
    <fill>
      <patternFill patternType="solid">
        <fgColor rgb="00FEE2E2"/>
        <bgColor rgb="00FEE2E2"/>
      </patternFill>
    </fill>
    <fill>
      <patternFill patternType="solid">
        <fgColor rgb="00FAFAFA"/>
        <bgColor rgb="00FAFAFA"/>
      </patternFill>
    </fill>
  </fills>
  <borders count="11">
    <border>
      <left/>
      <right/>
      <top/>
      <bottom/>
      <diagonal/>
    </border>
    <border>
      <bottom style="medium">
        <color rgb="000F5E5E"/>
      </bottom>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hair">
        <color rgb="00E5E7EB"/>
      </left>
    </border>
    <border>
      <top style="thick">
        <color rgb="000F5E5E"/>
      </top>
    </border>
    <border>
      <bottom style="thin">
        <color rgb="00D1D5DB"/>
      </bottom>
    </border>
    <border>
      <left/>
      <right/>
      <top style="thick">
        <color rgb="000F5E5E"/>
      </top>
      <bottom/>
      <diagonal/>
    </border>
  </borders>
  <cellStyleXfs count="1">
    <xf numFmtId="0" fontId="1" fillId="0" borderId="0"/>
  </cellStyleXfs>
  <cellXfs count="150">
    <xf numFmtId="0" fontId="0" fillId="0" borderId="0" pivotButton="0" quotePrefix="0" xfId="0"/>
    <xf numFmtId="0" fontId="2" fillId="0" borderId="0" applyAlignment="1" pivotButton="0" quotePrefix="0" xfId="0">
      <alignment vertical="center"/>
    </xf>
    <xf numFmtId="0" fontId="3" fillId="0" borderId="0" pivotButton="0" quotePrefix="0" xfId="0"/>
    <xf numFmtId="0" fontId="29" fillId="0" borderId="0" pivotButton="0" quotePrefix="0" xfId="0"/>
    <xf numFmtId="0" fontId="4" fillId="0" borderId="1" applyAlignment="1" pivotButton="0" quotePrefix="0" xfId="0">
      <alignment vertical="center"/>
    </xf>
    <xf numFmtId="0" fontId="0" fillId="0" borderId="1" pivotButton="0" quotePrefix="0" xfId="0"/>
    <xf numFmtId="0" fontId="5" fillId="0" borderId="0" applyAlignment="1" pivotButton="0" quotePrefix="0" xfId="0">
      <alignment vertical="center"/>
    </xf>
    <xf numFmtId="0" fontId="6" fillId="2" borderId="2" applyAlignment="1" applyProtection="1" pivotButton="0" quotePrefix="0" xfId="0">
      <alignment horizontal="left" vertical="center"/>
      <protection locked="0" hidden="0"/>
    </xf>
    <xf numFmtId="0" fontId="7" fillId="0" borderId="0" applyAlignment="1" pivotButton="0" quotePrefix="0" xfId="0">
      <alignment vertical="center"/>
    </xf>
    <xf numFmtId="0" fontId="9" fillId="4" borderId="0" applyAlignment="1" pivotButton="0" quotePrefix="0" xfId="0">
      <alignment horizontal="center" vertical="center"/>
    </xf>
    <xf numFmtId="0" fontId="4" fillId="5" borderId="0" applyAlignment="1" pivotButton="0" quotePrefix="0" xfId="0">
      <alignment vertical="center"/>
    </xf>
    <xf numFmtId="0" fontId="10" fillId="0" borderId="0" applyAlignment="1" pivotButton="0" quotePrefix="0" xfId="0">
      <alignment vertical="center" wrapText="1"/>
    </xf>
    <xf numFmtId="165" fontId="6" fillId="2" borderId="2" applyAlignment="1" applyProtection="1" pivotButton="0" quotePrefix="0" xfId="0">
      <alignment horizontal="left" vertical="center"/>
      <protection locked="0" hidden="0"/>
    </xf>
    <xf numFmtId="0" fontId="5" fillId="0" borderId="0" applyAlignment="1" applyProtection="1" pivotButton="0" quotePrefix="0" xfId="0">
      <alignment vertical="center"/>
      <protection locked="1" hidden="1"/>
    </xf>
    <xf numFmtId="166" fontId="6" fillId="2" borderId="2" applyAlignment="1" applyProtection="1" pivotButton="0" quotePrefix="0" xfId="0">
      <alignment horizontal="left" vertical="center"/>
      <protection locked="0" hidden="0"/>
    </xf>
    <xf numFmtId="3" fontId="6" fillId="2" borderId="2" applyAlignment="1" applyProtection="1" pivotButton="0" quotePrefix="0" xfId="0">
      <alignment horizontal="left" vertical="center"/>
      <protection locked="0" hidden="0"/>
    </xf>
    <xf numFmtId="0" fontId="8" fillId="0" borderId="0" applyAlignment="1" pivotButton="0" quotePrefix="0" xfId="0">
      <alignment vertical="center"/>
    </xf>
    <xf numFmtId="9" fontId="6" fillId="2" borderId="2" applyAlignment="1" applyProtection="1" pivotButton="0" quotePrefix="0" xfId="0">
      <alignment horizontal="left" vertical="center"/>
      <protection locked="0" hidden="0"/>
    </xf>
    <xf numFmtId="0" fontId="0" fillId="2" borderId="2" applyAlignment="1" pivotButton="0" quotePrefix="0" xfId="0">
      <alignment horizontal="center" vertical="center"/>
    </xf>
    <xf numFmtId="0" fontId="6" fillId="0" borderId="0" applyAlignment="1" pivotButton="0" quotePrefix="0" xfId="0">
      <alignment vertical="center"/>
    </xf>
    <xf numFmtId="0" fontId="0" fillId="6" borderId="2" applyAlignment="1" pivotButton="0" quotePrefix="0" xfId="0">
      <alignment horizontal="center" vertical="center"/>
    </xf>
    <xf numFmtId="0" fontId="0" fillId="7" borderId="2" applyAlignment="1" pivotButton="0" quotePrefix="0" xfId="0">
      <alignment horizontal="center" vertical="center"/>
    </xf>
    <xf numFmtId="0" fontId="0" fillId="8" borderId="2" applyAlignment="1" pivotButton="0" quotePrefix="0" xfId="0">
      <alignment horizontal="center" vertical="center"/>
    </xf>
    <xf numFmtId="0" fontId="0" fillId="9" borderId="2" applyAlignment="1" pivotButton="0" quotePrefix="0" xfId="0">
      <alignment horizontal="center" vertical="center"/>
    </xf>
    <xf numFmtId="1" fontId="6" fillId="2" borderId="2" applyAlignment="1" applyProtection="1" pivotButton="0" quotePrefix="0" xfId="0">
      <alignment horizontal="left" vertical="center"/>
      <protection locked="0" hidden="0"/>
    </xf>
    <xf numFmtId="0" fontId="11" fillId="0" borderId="0" pivotButton="0" quotePrefix="0" xfId="0"/>
    <xf numFmtId="0" fontId="12" fillId="0" borderId="0" applyProtection="1" pivotButton="0" quotePrefix="0" xfId="0">
      <protection locked="0" hidden="0"/>
    </xf>
    <xf numFmtId="0" fontId="10" fillId="0" borderId="0" applyAlignment="1" pivotButton="0" quotePrefix="0" xfId="0">
      <alignment vertical="center"/>
    </xf>
    <xf numFmtId="166" fontId="5" fillId="3" borderId="2" applyAlignment="1" applyProtection="1" pivotButton="0" quotePrefix="0" xfId="0">
      <alignment horizontal="left" vertical="center"/>
      <protection locked="1" hidden="1"/>
    </xf>
    <xf numFmtId="0" fontId="5" fillId="3" borderId="2" applyAlignment="1" applyProtection="1" pivotButton="0" quotePrefix="0" xfId="0">
      <alignment horizontal="left" vertical="center"/>
      <protection locked="1" hidden="1"/>
    </xf>
    <xf numFmtId="165" fontId="5" fillId="3" borderId="2" applyAlignment="1" applyProtection="1" pivotButton="0" quotePrefix="0" xfId="0">
      <alignment horizontal="left" vertical="center"/>
      <protection locked="1" hidden="1"/>
    </xf>
    <xf numFmtId="0" fontId="5" fillId="0" borderId="0" applyAlignment="1" pivotButton="0" quotePrefix="0" xfId="0">
      <alignment vertical="center" wrapText="1"/>
    </xf>
    <xf numFmtId="0" fontId="2" fillId="0" borderId="0" applyAlignment="1" applyProtection="1" pivotButton="0" quotePrefix="0" xfId="0">
      <alignment vertical="center"/>
      <protection locked="1" hidden="1"/>
    </xf>
    <xf numFmtId="0" fontId="10" fillId="0" borderId="0" applyAlignment="1" pivotButton="0" quotePrefix="0" xfId="0">
      <alignment horizontal="right" vertical="center"/>
    </xf>
    <xf numFmtId="165" fontId="11" fillId="0" borderId="0" applyAlignment="1" applyProtection="1" pivotButton="0" quotePrefix="0" xfId="0">
      <alignment vertical="center"/>
      <protection locked="1" hidden="1"/>
    </xf>
    <xf numFmtId="0" fontId="24" fillId="5" borderId="0" applyAlignment="1" applyProtection="1" pivotButton="0" quotePrefix="0" xfId="0">
      <alignment horizontal="left" vertical="bottom" indent="1"/>
      <protection locked="1" hidden="1"/>
    </xf>
    <xf numFmtId="0" fontId="0" fillId="5" borderId="0" pivotButton="0" quotePrefix="0" xfId="0"/>
    <xf numFmtId="166" fontId="2" fillId="5" borderId="0" applyAlignment="1" applyProtection="1" pivotButton="0" quotePrefix="0" xfId="0">
      <alignment horizontal="left" vertical="center" indent="1"/>
      <protection locked="1" hidden="1"/>
    </xf>
    <xf numFmtId="0" fontId="25" fillId="5" borderId="0" applyAlignment="1" applyProtection="1" pivotButton="0" quotePrefix="0" xfId="0">
      <alignment horizontal="left" vertical="top" indent="1"/>
      <protection locked="1" hidden="1"/>
    </xf>
    <xf numFmtId="0" fontId="24" fillId="5" borderId="0" applyAlignment="1" pivotButton="0" quotePrefix="0" xfId="0">
      <alignment horizontal="left" vertical="bottom" indent="1"/>
    </xf>
    <xf numFmtId="172" fontId="2" fillId="5" borderId="0" applyAlignment="1" applyProtection="1" pivotButton="0" quotePrefix="0" xfId="0">
      <alignment horizontal="left" vertical="center" indent="1"/>
      <protection locked="1" hidden="1"/>
    </xf>
    <xf numFmtId="9" fontId="2" fillId="5" borderId="0" applyAlignment="1" applyProtection="1" pivotButton="0" quotePrefix="0" xfId="0">
      <alignment horizontal="left" vertical="center" indent="1"/>
      <protection locked="1" hidden="1"/>
    </xf>
    <xf numFmtId="0" fontId="2" fillId="5" borderId="0" applyAlignment="1" applyProtection="1" pivotButton="0" quotePrefix="0" xfId="0">
      <alignment horizontal="left" vertical="center" indent="1"/>
      <protection locked="1" hidden="1"/>
    </xf>
    <xf numFmtId="165" fontId="2" fillId="5" borderId="0" applyAlignment="1" applyProtection="1" pivotButton="0" quotePrefix="0" xfId="0">
      <alignment horizontal="left" vertical="center" indent="1"/>
      <protection locked="1" hidden="1"/>
    </xf>
    <xf numFmtId="1" fontId="2" fillId="5" borderId="0" applyAlignment="1" applyProtection="1" pivotButton="0" quotePrefix="0" xfId="0">
      <alignment horizontal="left" vertical="center" indent="1"/>
      <protection locked="1" hidden="1"/>
    </xf>
    <xf numFmtId="0" fontId="26" fillId="6" borderId="2" applyAlignment="1" applyProtection="1" pivotButton="0" quotePrefix="0" xfId="0">
      <alignment horizontal="center" vertical="center"/>
      <protection locked="1" hidden="1"/>
    </xf>
    <xf numFmtId="0" fontId="0" fillId="0" borderId="0" applyProtection="1" pivotButton="0" quotePrefix="0" xfId="0">
      <protection locked="1" hidden="1"/>
    </xf>
    <xf numFmtId="0" fontId="5" fillId="0" borderId="9" applyAlignment="1" pivotButton="0" quotePrefix="0" xfId="0">
      <alignment vertical="center"/>
    </xf>
    <xf numFmtId="0" fontId="0" fillId="0" borderId="9" pivotButton="0" quotePrefix="0" xfId="0"/>
    <xf numFmtId="0" fontId="27" fillId="6" borderId="9" applyAlignment="1" applyProtection="1" pivotButton="0" quotePrefix="0" xfId="0">
      <alignment horizontal="center" vertical="center"/>
      <protection locked="1" hidden="1"/>
    </xf>
    <xf numFmtId="0" fontId="6" fillId="0" borderId="9" applyAlignment="1" applyProtection="1" pivotButton="0" quotePrefix="0" xfId="0">
      <alignment vertical="center"/>
      <protection locked="1" hidden="1"/>
    </xf>
    <xf numFmtId="0" fontId="28" fillId="6" borderId="2" applyAlignment="1" applyProtection="1" pivotButton="0" quotePrefix="0" xfId="0">
      <alignment horizontal="center" vertical="center"/>
      <protection locked="1" hidden="1"/>
    </xf>
    <xf numFmtId="0" fontId="13" fillId="4" borderId="2" applyAlignment="1" pivotButton="0" quotePrefix="0" xfId="0">
      <alignment horizontal="center" vertical="center" wrapText="1"/>
    </xf>
    <xf numFmtId="1" fontId="10" fillId="6" borderId="2" applyAlignment="1" applyProtection="1" pivotButton="0" quotePrefix="0" xfId="0">
      <alignment horizontal="center" vertical="center"/>
      <protection locked="1" hidden="1"/>
    </xf>
    <xf numFmtId="0" fontId="22" fillId="6" borderId="2" applyAlignment="1" applyProtection="1" pivotButton="0" quotePrefix="0" xfId="0">
      <alignment horizontal="center" vertical="center"/>
      <protection locked="1" hidden="1"/>
    </xf>
    <xf numFmtId="0" fontId="22" fillId="6" borderId="2" applyAlignment="1" applyProtection="1" pivotButton="0" quotePrefix="0" xfId="0">
      <alignment vertical="center" wrapText="1"/>
      <protection locked="1" hidden="1"/>
    </xf>
    <xf numFmtId="0" fontId="10" fillId="6" borderId="2" applyAlignment="1" applyProtection="1" pivotButton="0" quotePrefix="0" xfId="0">
      <alignment vertical="center"/>
      <protection locked="1" hidden="1"/>
    </xf>
    <xf numFmtId="165" fontId="6" fillId="6" borderId="2" applyAlignment="1" applyProtection="1" pivotButton="0" quotePrefix="0" xfId="0">
      <alignment horizontal="center" vertical="center"/>
      <protection locked="1" hidden="1"/>
    </xf>
    <xf numFmtId="0" fontId="7" fillId="0" borderId="0" applyAlignment="1" applyProtection="1" pivotButton="0" quotePrefix="0" xfId="0">
      <alignment vertical="center"/>
      <protection locked="1" hidden="1"/>
    </xf>
    <xf numFmtId="0" fontId="17" fillId="0" borderId="0" applyAlignment="1" pivotButton="0" quotePrefix="0" xfId="0">
      <alignment vertical="center"/>
    </xf>
    <xf numFmtId="165" fontId="5" fillId="2" borderId="2" applyAlignment="1" applyProtection="1" pivotButton="0" quotePrefix="0" xfId="0">
      <alignment horizontal="center" vertical="center"/>
      <protection locked="0" hidden="0"/>
    </xf>
    <xf numFmtId="165" fontId="6" fillId="3" borderId="2" applyAlignment="1" applyProtection="1" pivotButton="0" quotePrefix="0" xfId="0">
      <alignment horizontal="center" vertical="center"/>
      <protection locked="1" hidden="1"/>
    </xf>
    <xf numFmtId="1" fontId="16" fillId="5" borderId="2" applyAlignment="1" applyProtection="1" pivotButton="0" quotePrefix="0" xfId="0">
      <alignment horizontal="center" vertical="center"/>
      <protection locked="1" hidden="1"/>
    </xf>
    <xf numFmtId="0" fontId="0" fillId="0" borderId="6" pivotButton="0" quotePrefix="0" xfId="0"/>
    <xf numFmtId="166" fontId="16" fillId="5" borderId="2" applyAlignment="1" applyProtection="1" pivotButton="0" quotePrefix="0" xfId="0">
      <alignment horizontal="center" vertical="center"/>
      <protection locked="1" hidden="1"/>
    </xf>
    <xf numFmtId="0" fontId="4" fillId="0" borderId="0" applyAlignment="1" pivotButton="0" quotePrefix="0" xfId="0">
      <alignment vertical="center"/>
    </xf>
    <xf numFmtId="0" fontId="6" fillId="2" borderId="2" applyAlignment="1" applyProtection="1" pivotButton="0" quotePrefix="0" xfId="0">
      <alignment vertical="top" wrapText="1"/>
      <protection locked="0" hidden="0"/>
    </xf>
    <xf numFmtId="0" fontId="0" fillId="2" borderId="0" applyProtection="1" pivotButton="0" quotePrefix="0" xfId="0">
      <protection locked="0" hidden="0"/>
    </xf>
    <xf numFmtId="166" fontId="5" fillId="3" borderId="2" applyAlignment="1" applyProtection="1" pivotButton="0" quotePrefix="0" xfId="0">
      <alignment vertical="center"/>
      <protection locked="1" hidden="1"/>
    </xf>
    <xf numFmtId="0" fontId="10" fillId="0" borderId="0" applyAlignment="1" applyProtection="1" pivotButton="0" quotePrefix="0" xfId="0">
      <alignment vertical="center"/>
      <protection locked="1" hidden="1"/>
    </xf>
    <xf numFmtId="0" fontId="13" fillId="4" borderId="2" applyAlignment="1" applyProtection="1" pivotButton="0" quotePrefix="0" xfId="0">
      <alignment horizontal="center" vertical="center" wrapText="1"/>
      <protection locked="1" hidden="1"/>
    </xf>
    <xf numFmtId="0" fontId="14" fillId="0" borderId="0" applyAlignment="1" pivotButton="0" quotePrefix="0" xfId="0">
      <alignment vertical="center"/>
    </xf>
    <xf numFmtId="0" fontId="6" fillId="2" borderId="2" applyAlignment="1" applyProtection="1" pivotButton="0" quotePrefix="0" xfId="0">
      <alignment vertical="center"/>
      <protection locked="0" hidden="0"/>
    </xf>
    <xf numFmtId="166" fontId="6" fillId="2" borderId="2" applyAlignment="1" applyProtection="1" pivotButton="0" quotePrefix="0" xfId="0">
      <alignment vertical="center"/>
      <protection locked="0" hidden="0"/>
    </xf>
    <xf numFmtId="0" fontId="6" fillId="2" borderId="2" applyAlignment="1" applyProtection="1" pivotButton="0" quotePrefix="0" xfId="0">
      <alignment horizontal="center" vertical="center"/>
      <protection locked="0" hidden="0"/>
    </xf>
    <xf numFmtId="166" fontId="6" fillId="3" borderId="2" applyAlignment="1" applyProtection="1" pivotButton="0" quotePrefix="0" xfId="0">
      <alignment vertical="center"/>
      <protection locked="1" hidden="1"/>
    </xf>
    <xf numFmtId="166" fontId="5" fillId="6" borderId="2" applyAlignment="1" applyProtection="1" pivotButton="0" quotePrefix="0" xfId="0">
      <alignment vertical="center"/>
      <protection locked="1" hidden="1"/>
    </xf>
    <xf numFmtId="166" fontId="6" fillId="6" borderId="2" applyAlignment="1" applyProtection="1" pivotButton="0" quotePrefix="0" xfId="0">
      <alignment vertical="center"/>
      <protection locked="1" hidden="1"/>
    </xf>
    <xf numFmtId="0" fontId="6" fillId="6" borderId="2" applyAlignment="1" applyProtection="1" pivotButton="0" quotePrefix="0" xfId="0">
      <alignment horizontal="center" vertical="center"/>
      <protection locked="1" hidden="1"/>
    </xf>
    <xf numFmtId="0" fontId="14" fillId="0" borderId="0" applyAlignment="1" applyProtection="1" pivotButton="0" quotePrefix="0" xfId="0">
      <alignment vertical="center"/>
      <protection locked="1" hidden="1"/>
    </xf>
    <xf numFmtId="0" fontId="11" fillId="5" borderId="2" applyAlignment="1" pivotButton="0" quotePrefix="0" xfId="0">
      <alignment vertical="center"/>
    </xf>
    <xf numFmtId="166" fontId="11" fillId="5" borderId="2" applyAlignment="1" applyProtection="1" pivotButton="0" quotePrefix="0" xfId="0">
      <alignment vertical="center"/>
      <protection locked="1" hidden="1"/>
    </xf>
    <xf numFmtId="0" fontId="11" fillId="5" borderId="2" applyAlignment="1" applyProtection="1" pivotButton="0" quotePrefix="0" xfId="0">
      <alignment horizontal="center" vertical="center"/>
      <protection locked="1" hidden="1"/>
    </xf>
    <xf numFmtId="0" fontId="6" fillId="0" borderId="0" applyAlignment="1" pivotButton="0" quotePrefix="0" xfId="0">
      <alignment horizontal="right" vertical="center"/>
    </xf>
    <xf numFmtId="165" fontId="0" fillId="0" borderId="0" applyProtection="1" pivotButton="0" quotePrefix="0" xfId="0">
      <protection locked="1" hidden="1"/>
    </xf>
    <xf numFmtId="0" fontId="5" fillId="0" borderId="0" applyAlignment="1" pivotButton="0" quotePrefix="0" xfId="0">
      <alignment horizontal="right" vertical="center"/>
    </xf>
    <xf numFmtId="9" fontId="11" fillId="5" borderId="2" applyAlignment="1" applyProtection="1" pivotButton="0" quotePrefix="0" xfId="0">
      <alignment vertical="center"/>
      <protection locked="1" hidden="1"/>
    </xf>
    <xf numFmtId="0" fontId="15" fillId="0" borderId="0" applyAlignment="1" applyProtection="1" pivotButton="0" quotePrefix="0" xfId="0">
      <alignment vertical="center"/>
      <protection locked="1" hidden="1"/>
    </xf>
    <xf numFmtId="0" fontId="7" fillId="0" borderId="0" applyAlignment="1" pivotButton="0" quotePrefix="0" xfId="0">
      <alignment vertical="center" wrapText="1"/>
    </xf>
    <xf numFmtId="1" fontId="6" fillId="2" borderId="2" applyAlignment="1" applyProtection="1" pivotButton="0" quotePrefix="0" xfId="0">
      <alignment horizontal="center" vertical="center"/>
      <protection locked="0" hidden="0"/>
    </xf>
    <xf numFmtId="1" fontId="5" fillId="3" borderId="2" applyAlignment="1" applyProtection="1" pivotButton="0" quotePrefix="0" xfId="0">
      <alignment horizontal="center" vertical="center"/>
      <protection locked="1" hidden="1"/>
    </xf>
    <xf numFmtId="0" fontId="13" fillId="4" borderId="2" applyAlignment="1" pivotButton="0" quotePrefix="0" xfId="0">
      <alignment horizontal="left" vertical="center" wrapText="1"/>
    </xf>
    <xf numFmtId="0" fontId="5" fillId="2" borderId="2" applyAlignment="1" applyProtection="1" pivotButton="0" quotePrefix="0" xfId="0">
      <alignment vertical="center"/>
      <protection locked="0" hidden="0"/>
    </xf>
    <xf numFmtId="0" fontId="13" fillId="4" borderId="2" applyAlignment="1" applyProtection="1" pivotButton="0" quotePrefix="0" xfId="0">
      <alignment horizontal="left" vertical="center" wrapText="1"/>
      <protection locked="1" hidden="1"/>
    </xf>
    <xf numFmtId="0" fontId="0" fillId="0" borderId="5" pivotButton="0" quotePrefix="0" xfId="0"/>
    <xf numFmtId="0" fontId="11" fillId="5" borderId="2" applyAlignment="1" pivotButton="0" quotePrefix="0" xfId="0">
      <alignment horizontal="center" vertical="center"/>
    </xf>
    <xf numFmtId="0" fontId="0" fillId="0" borderId="6" applyProtection="1" pivotButton="0" quotePrefix="0" xfId="0">
      <protection locked="0" hidden="0"/>
    </xf>
    <xf numFmtId="0" fontId="6" fillId="0" borderId="0" applyAlignment="1" applyProtection="1" pivotButton="0" quotePrefix="0" xfId="0">
      <alignment vertical="center"/>
      <protection locked="1" hidden="1"/>
    </xf>
    <xf numFmtId="166" fontId="6" fillId="2" borderId="2" applyAlignment="1" applyProtection="1" pivotButton="0" quotePrefix="0" xfId="0">
      <alignment horizontal="center" vertical="center"/>
      <protection locked="0" hidden="0"/>
    </xf>
    <xf numFmtId="166" fontId="6" fillId="3" borderId="2" applyAlignment="1" applyProtection="1" pivotButton="0" quotePrefix="0" xfId="0">
      <alignment horizontal="center" vertical="center"/>
      <protection locked="1" hidden="1"/>
    </xf>
    <xf numFmtId="167" fontId="6" fillId="2" borderId="2" applyAlignment="1" applyProtection="1" pivotButton="0" quotePrefix="0" xfId="0">
      <alignment horizontal="center" vertical="center"/>
      <protection locked="0" hidden="0"/>
    </xf>
    <xf numFmtId="165" fontId="6" fillId="2" borderId="2" applyAlignment="1" applyProtection="1" pivotButton="0" quotePrefix="0" xfId="0">
      <alignment horizontal="center" vertical="center"/>
      <protection locked="0" hidden="0"/>
    </xf>
    <xf numFmtId="166" fontId="11" fillId="5" borderId="2" applyAlignment="1" applyProtection="1" pivotButton="0" quotePrefix="0" xfId="0">
      <alignment horizontal="center" vertical="center"/>
      <protection locked="1" hidden="1"/>
    </xf>
    <xf numFmtId="9" fontId="6" fillId="3" borderId="2" applyAlignment="1" applyProtection="1" pivotButton="0" quotePrefix="0" xfId="0">
      <alignment horizontal="center" vertical="center"/>
      <protection locked="1" hidden="1"/>
    </xf>
    <xf numFmtId="168" fontId="6" fillId="3" borderId="2" applyAlignment="1" applyProtection="1" pivotButton="0" quotePrefix="0" xfId="0">
      <alignment horizontal="center" vertical="center"/>
      <protection locked="1" hidden="1"/>
    </xf>
    <xf numFmtId="168" fontId="11" fillId="5" borderId="2" applyAlignment="1" applyProtection="1" pivotButton="0" quotePrefix="0" xfId="0">
      <alignment horizontal="center" vertical="center"/>
      <protection locked="1" hidden="1"/>
    </xf>
    <xf numFmtId="0" fontId="5" fillId="3" borderId="2" applyAlignment="1" applyProtection="1" pivotButton="0" quotePrefix="0" xfId="0">
      <alignment horizontal="center" vertical="center"/>
      <protection locked="1" hidden="1"/>
    </xf>
    <xf numFmtId="0" fontId="5" fillId="6" borderId="2" applyAlignment="1" applyProtection="1" pivotButton="0" quotePrefix="0" xfId="0">
      <alignment horizontal="center" vertical="center"/>
      <protection locked="1" hidden="1"/>
    </xf>
    <xf numFmtId="165" fontId="6" fillId="2" borderId="2" applyAlignment="1" applyProtection="1" pivotButton="0" quotePrefix="0" xfId="0">
      <alignment vertical="center"/>
      <protection locked="0" hidden="0"/>
    </xf>
    <xf numFmtId="9" fontId="6" fillId="2" borderId="2" applyAlignment="1" applyProtection="1" pivotButton="0" quotePrefix="0" xfId="0">
      <alignment horizontal="center" vertical="center"/>
      <protection locked="0" hidden="0"/>
    </xf>
    <xf numFmtId="9" fontId="6" fillId="6" borderId="2" applyAlignment="1" applyProtection="1" pivotButton="0" quotePrefix="0" xfId="0">
      <alignment horizontal="center" vertical="center"/>
      <protection locked="1" hidden="1"/>
    </xf>
    <xf numFmtId="165" fontId="14" fillId="0" borderId="0" applyAlignment="1" applyProtection="1" pivotButton="0" quotePrefix="0" xfId="0">
      <alignment vertical="center"/>
      <protection locked="1" hidden="1"/>
    </xf>
    <xf numFmtId="0" fontId="6" fillId="2" borderId="2" applyAlignment="1" applyProtection="1" pivotButton="0" quotePrefix="0" xfId="0">
      <alignment vertical="center" wrapText="1"/>
      <protection locked="0" hidden="0"/>
    </xf>
    <xf numFmtId="0" fontId="0" fillId="0" borderId="5" applyProtection="1" pivotButton="0" quotePrefix="0" xfId="0">
      <protection locked="0" hidden="0"/>
    </xf>
    <xf numFmtId="0" fontId="6" fillId="3" borderId="2" applyAlignment="1" applyProtection="1" pivotButton="0" quotePrefix="0" xfId="0">
      <alignment vertical="center"/>
      <protection locked="1" hidden="1"/>
    </xf>
    <xf numFmtId="0" fontId="5" fillId="6" borderId="2" applyAlignment="1" applyProtection="1" pivotButton="0" quotePrefix="0" xfId="0">
      <alignment vertical="center"/>
      <protection locked="1" hidden="1"/>
    </xf>
    <xf numFmtId="165" fontId="6" fillId="6" borderId="2" applyAlignment="1" applyProtection="1" pivotButton="0" quotePrefix="0" xfId="0">
      <alignment vertical="center"/>
      <protection locked="1" hidden="1"/>
    </xf>
    <xf numFmtId="166" fontId="16" fillId="5" borderId="2" applyAlignment="1" applyProtection="1" pivotButton="0" quotePrefix="0" xfId="0">
      <alignment vertical="center"/>
      <protection locked="1" hidden="1"/>
    </xf>
    <xf numFmtId="169" fontId="5" fillId="6" borderId="2" applyAlignment="1" applyProtection="1" pivotButton="0" quotePrefix="0" xfId="0">
      <alignment vertical="center"/>
      <protection locked="1" hidden="1"/>
    </xf>
    <xf numFmtId="0" fontId="18" fillId="9" borderId="2" applyAlignment="1" pivotButton="0" quotePrefix="0" xfId="0">
      <alignment horizontal="center" vertical="center"/>
    </xf>
    <xf numFmtId="165" fontId="6" fillId="3" borderId="2" applyAlignment="1" applyProtection="1" pivotButton="0" quotePrefix="0" xfId="0">
      <alignment vertical="center"/>
      <protection locked="1" hidden="1"/>
    </xf>
    <xf numFmtId="170" fontId="6" fillId="3" borderId="2" applyAlignment="1" applyProtection="1" pivotButton="0" quotePrefix="0" xfId="0">
      <alignment horizontal="center" vertical="center"/>
      <protection locked="1" hidden="1"/>
    </xf>
    <xf numFmtId="165" fontId="16" fillId="5" borderId="2" applyAlignment="1" applyProtection="1" pivotButton="0" quotePrefix="0" xfId="0">
      <alignment horizontal="center" vertical="center"/>
      <protection locked="1" hidden="1"/>
    </xf>
    <xf numFmtId="165" fontId="5" fillId="3" borderId="2" applyAlignment="1" applyProtection="1" pivotButton="0" quotePrefix="0" xfId="0">
      <alignment vertical="center"/>
      <protection locked="1" hidden="1"/>
    </xf>
    <xf numFmtId="171" fontId="13" fillId="4" borderId="2" applyAlignment="1" applyProtection="1" pivotButton="0" quotePrefix="0" xfId="0">
      <alignment horizontal="center" vertical="center" textRotation="90"/>
      <protection locked="1" hidden="1"/>
    </xf>
    <xf numFmtId="1" fontId="10" fillId="3" borderId="2" applyAlignment="1" pivotButton="0" quotePrefix="0" xfId="0">
      <alignment horizontal="center" vertical="center"/>
    </xf>
    <xf numFmtId="165" fontId="5" fillId="6" borderId="2" applyAlignment="1" applyProtection="1" pivotButton="0" quotePrefix="0" xfId="0">
      <alignment vertical="center"/>
      <protection locked="1" hidden="1"/>
    </xf>
    <xf numFmtId="0" fontId="6" fillId="3" borderId="2" applyAlignment="1" applyProtection="1" pivotButton="0" quotePrefix="0" xfId="0">
      <alignment horizontal="center" vertical="center"/>
      <protection locked="1" hidden="1"/>
    </xf>
    <xf numFmtId="0" fontId="0" fillId="0" borderId="7" pivotButton="0" quotePrefix="0" xfId="0"/>
    <xf numFmtId="0" fontId="19" fillId="2" borderId="8" applyAlignment="1" applyProtection="1" pivotButton="0" quotePrefix="0" xfId="0">
      <alignment vertical="center"/>
      <protection locked="0" hidden="0"/>
    </xf>
    <xf numFmtId="0" fontId="0" fillId="0" borderId="10" pivotButton="0" quotePrefix="0" xfId="0"/>
    <xf numFmtId="0" fontId="14" fillId="10" borderId="0" applyAlignment="1" applyProtection="1" pivotButton="0" quotePrefix="0" xfId="0">
      <alignment vertical="center" indent="1"/>
      <protection locked="1" hidden="1"/>
    </xf>
    <xf numFmtId="0" fontId="0" fillId="10" borderId="0" pivotButton="0" quotePrefix="0" xfId="0"/>
    <xf numFmtId="3" fontId="6" fillId="2" borderId="2" applyAlignment="1" applyProtection="1" pivotButton="0" quotePrefix="0" xfId="0">
      <alignment vertical="center"/>
      <protection locked="0" hidden="0"/>
    </xf>
    <xf numFmtId="166" fontId="17" fillId="10" borderId="0" applyAlignment="1" applyProtection="1" pivotButton="0" quotePrefix="0" xfId="0">
      <alignment horizontal="right" vertical="center"/>
      <protection locked="1" hidden="1"/>
    </xf>
    <xf numFmtId="0" fontId="14" fillId="10" borderId="0" applyAlignment="1" pivotButton="0" quotePrefix="0" xfId="0">
      <alignment vertical="center" indent="1"/>
    </xf>
    <xf numFmtId="0" fontId="20" fillId="10" borderId="0" applyProtection="1" pivotButton="0" quotePrefix="0" xfId="0">
      <protection locked="1" hidden="1"/>
    </xf>
    <xf numFmtId="9" fontId="17" fillId="10" borderId="0" applyAlignment="1" applyProtection="1" pivotButton="0" quotePrefix="0" xfId="0">
      <alignment horizontal="right" vertical="center"/>
      <protection locked="1" hidden="1"/>
    </xf>
    <xf numFmtId="0" fontId="21" fillId="10" borderId="0" applyProtection="1" pivotButton="0" quotePrefix="0" xfId="0">
      <protection locked="1" hidden="1"/>
    </xf>
    <xf numFmtId="0" fontId="17" fillId="10" borderId="0" applyAlignment="1" applyProtection="1" pivotButton="0" quotePrefix="0" xfId="0">
      <alignment horizontal="right" vertical="center"/>
      <protection locked="1" hidden="1"/>
    </xf>
    <xf numFmtId="1" fontId="17" fillId="10" borderId="0" applyAlignment="1" applyProtection="1" pivotButton="0" quotePrefix="0" xfId="0">
      <alignment horizontal="right" vertical="center"/>
      <protection locked="1" hidden="1"/>
    </xf>
    <xf numFmtId="0" fontId="22" fillId="10" borderId="0" applyAlignment="1" applyProtection="1" pivotButton="0" quotePrefix="0" xfId="0">
      <alignment horizontal="right" vertical="center" shrinkToFit="1"/>
      <protection locked="1" hidden="1"/>
    </xf>
    <xf numFmtId="0" fontId="0" fillId="10" borderId="9" pivotButton="0" quotePrefix="0" xfId="0"/>
    <xf numFmtId="1" fontId="23" fillId="5" borderId="2" applyAlignment="1" applyProtection="1" pivotButton="0" quotePrefix="0" xfId="0">
      <alignment horizontal="left" vertical="center"/>
      <protection locked="1" hidden="1"/>
    </xf>
    <xf numFmtId="166" fontId="23" fillId="5" borderId="2" applyAlignment="1" applyProtection="1" pivotButton="0" quotePrefix="0" xfId="0">
      <alignment horizontal="left" vertical="center"/>
      <protection locked="1" hidden="1"/>
    </xf>
    <xf numFmtId="1" fontId="6" fillId="6" borderId="2" applyAlignment="1" applyProtection="1" pivotButton="0" quotePrefix="0" xfId="0">
      <alignment horizontal="center" vertical="center"/>
      <protection locked="1" hidden="1"/>
    </xf>
    <xf numFmtId="0" fontId="5" fillId="0" borderId="0" pivotButton="0" quotePrefix="0" xfId="0"/>
    <xf numFmtId="0" fontId="6" fillId="0" borderId="0" pivotButton="0" quotePrefix="0" xfId="0"/>
    <xf numFmtId="9" fontId="6" fillId="0" borderId="0" pivotButton="0" quotePrefix="0" xfId="0"/>
    <xf numFmtId="0" fontId="6" fillId="0" borderId="0" applyProtection="1" pivotButton="0" quotePrefix="0" xfId="0">
      <protection locked="1" hidden="1"/>
    </xf>
  </cellXfs>
  <cellStyles count="1">
    <cellStyle name="Normal" xfId="0" builtinId="0" hidden="0"/>
  </cellStyles>
  <dxfs count="13">
    <dxf>
      <font>
        <name val="Arial"/>
        <b val="1"/>
        <color rgb="00991B1B"/>
      </font>
      <fill>
        <patternFill patternType="solid">
          <fgColor rgb="00FEE2E2"/>
          <bgColor rgb="00FEE2E2"/>
        </patternFill>
      </fill>
    </dxf>
    <dxf>
      <font>
        <name val="Arial"/>
        <b val="1"/>
        <color rgb="00065F46"/>
      </font>
      <fill>
        <patternFill patternType="solid">
          <fgColor rgb="00D1FAE5"/>
          <bgColor rgb="00D1FAE5"/>
        </patternFill>
      </fill>
    </dxf>
    <dxf>
      <font>
        <name val="Arial"/>
        <b val="1"/>
        <color rgb="0092400E"/>
      </font>
      <fill>
        <patternFill patternType="solid">
          <fgColor rgb="00FEF3C7"/>
          <bgColor rgb="00FEF3C7"/>
        </patternFill>
      </fill>
    </dxf>
    <dxf>
      <font>
        <name val="Arial"/>
        <color rgb="00065F46"/>
      </font>
      <fill>
        <patternFill patternType="solid">
          <fgColor rgb="00D1FAE5"/>
          <bgColor rgb="00D1FAE5"/>
        </patternFill>
      </fill>
    </dxf>
    <dxf>
      <font>
        <name val="Arial"/>
        <color rgb="001E3A8A"/>
      </font>
      <fill>
        <patternFill patternType="solid">
          <fgColor rgb="00DBEAFE"/>
          <bgColor rgb="00DBEAFE"/>
        </patternFill>
      </fill>
    </dxf>
    <dxf>
      <font>
        <name val="Arial"/>
        <color rgb="00991B1B"/>
      </font>
      <fill>
        <patternFill patternType="solid">
          <fgColor rgb="00FEE2E2"/>
          <bgColor rgb="00FEE2E2"/>
        </patternFill>
      </fill>
    </dxf>
    <dxf>
      <font>
        <name val="Arial"/>
        <color rgb="0092400E"/>
      </font>
      <fill>
        <patternFill patternType="solid">
          <fgColor rgb="00FEF3C7"/>
          <bgColor rgb="00FEF3C7"/>
        </patternFill>
      </fill>
    </dxf>
    <dxf>
      <font>
        <name val="Arial"/>
        <color rgb="006B7280"/>
      </font>
      <fill>
        <patternFill patternType="solid">
          <fgColor rgb="00F3F4F6"/>
          <bgColor rgb="00F3F4F6"/>
        </patternFill>
      </fill>
    </dxf>
    <dxf>
      <fill>
        <patternFill patternType="solid">
          <fgColor rgb="00DC2626"/>
          <bgColor rgb="00DC2626"/>
        </patternFill>
      </fill>
    </dxf>
    <dxf>
      <fill>
        <patternFill patternType="solid">
          <fgColor rgb="009CA3AF"/>
          <bgColor rgb="009CA3AF"/>
        </patternFill>
      </fill>
    </dxf>
    <dxf>
      <fill>
        <patternFill patternType="solid">
          <fgColor rgb="0014B8A6"/>
          <bgColor rgb="0014B8A6"/>
        </patternFill>
      </fill>
    </dxf>
    <dxf>
      <fill>
        <patternFill patternType="solid">
          <fgColor rgb="00FDE68A"/>
          <bgColor rgb="00FDE68A"/>
        </patternFill>
      </fill>
    </dxf>
    <dxf>
      <font>
        <name val="Arial"/>
        <color rgb="00FFFFFF"/>
      </font>
      <fill>
        <patternFill patternType="solid">
          <fgColor rgb="00F59E0B"/>
          <bgColor rgb="00F59E0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Budget vs forecast (top 12 categories)</a:t>
            </a:r>
          </a:p>
        </rich>
      </tx>
      <overlay val="0"/>
    </title>
    <plotArea>
      <barChart>
        <barDir val="bar"/>
        <grouping val="clustered"/>
        <ser>
          <idx val="0"/>
          <order val="0"/>
          <tx>
            <strRef>
              <f>'Engine'!AC1</f>
            </strRef>
          </tx>
          <spPr>
            <a:solidFill>
              <a:srgbClr val="CBD5E1"/>
            </a:solidFill>
            <a:ln>
              <a:prstDash val="solid"/>
            </a:ln>
          </spPr>
          <cat>
            <numRef>
              <f>'Engine'!$AB$2:$AB$13</f>
            </numRef>
          </cat>
          <val>
            <numRef>
              <f>'Engine'!$AC$2:$AC$13</f>
            </numRef>
          </val>
        </ser>
        <ser>
          <idx val="1"/>
          <order val="1"/>
          <tx>
            <strRef>
              <f>'Engine'!AD1</f>
            </strRef>
          </tx>
          <spPr>
            <a:solidFill>
              <a:srgbClr val="0F5E5E"/>
            </a:solidFill>
            <a:ln>
              <a:prstDash val="solid"/>
            </a:ln>
          </spPr>
          <cat>
            <numRef>
              <f>'Engine'!$AB$2:$AB$13</f>
            </numRef>
          </cat>
          <val>
            <numRef>
              <f>'Engine'!$AD$2:$AD$13</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Cash flow per month</a:t>
            </a:r>
          </a:p>
        </rich>
      </tx>
      <overlay val="0"/>
    </title>
    <plotArea>
      <barChart>
        <barDir val="col"/>
        <grouping val="stacked"/>
        <ser>
          <idx val="0"/>
          <order val="0"/>
          <tx>
            <strRef>
              <f>'Payments'!AA40</f>
            </strRef>
          </tx>
          <spPr>
            <a:solidFill>
              <a:srgbClr val="0F5E5E"/>
            </a:solidFill>
            <a:ln>
              <a:prstDash val="solid"/>
            </a:ln>
          </spPr>
          <cat>
            <numRef>
              <f>'Payments'!$Z$41:$Z$52</f>
            </numRef>
          </cat>
          <val>
            <numRef>
              <f>'Payments'!$AA$41:$AA$52</f>
            </numRef>
          </val>
        </ser>
        <ser>
          <idx val="1"/>
          <order val="1"/>
          <tx>
            <strRef>
              <f>'Payments'!AB40</f>
            </strRef>
          </tx>
          <spPr>
            <a:solidFill>
              <a:srgbClr val="F59E0B"/>
            </a:solidFill>
            <a:ln>
              <a:prstDash val="solid"/>
            </a:ln>
          </spPr>
          <cat>
            <numRef>
              <f>'Payments'!$Z$41:$Z$52</f>
            </numRef>
          </cat>
          <val>
            <numRef>
              <f>'Payments'!$AB$41:$AB$52</f>
            </numRef>
          </val>
        </ser>
        <gapWidth val="60"/>
        <overlap val="100"/>
        <axId val="10"/>
        <axId val="100"/>
      </barChart>
      <catAx>
        <axId val="10"/>
        <scaling>
          <orientation val="minMax"/>
        </scaling>
        <delete val="0"/>
        <axPos val="l"/>
        <numFmt formatCode="mmm yy" sourceLinked="0"/>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Renovation OS</author>
  </authors>
  <commentList>
    <comment ref="B9" authorId="0" shapeId="0">
      <text>
        <t>Your total renovation budget including tax. Renovation OS keeps the contingency % aside as a safety buffer, the rest is your working budget.</t>
      </text>
    </comment>
    <comment ref="B11" authorId="0" shapeId="0">
      <text>
        <t>Normally empty. Type a date here to see the workbook as it was/will be on that date. The demo file is frozen on a date so every feature shows data.</t>
      </text>
    </comment>
    <comment ref="B17" authorId="0" shapeId="0">
      <text>
        <t>When a quote says prices exclude tax, Quotes adds this rate so all quotes are compared like-for-like.</t>
      </text>
    </comment>
    <comment ref="B24" authorId="0" shapeId="0">
      <text>
        <t>Money you keep aside for surprises. Working budget = total budget − contingency.</t>
      </text>
    </comment>
    <comment ref="B26" authorId="0" shapeId="0">
      <text>
        <t>Time you want between making a decision (e.g. choosing tiles) and placing the order.</t>
      </text>
    </comment>
    <comment ref="B27" authorId="0" shapeId="0">
      <text>
        <t>Order-by = needed-on date − supplier lead time − this buffer.</t>
      </text>
    </comment>
    <comment ref="B28" authorId="0" shapeId="0">
      <text>
        <t>Protects you from paying ahead of progress. Example: 10% means paying 50% for 35% of the work triggers a warning.</t>
      </text>
    </comment>
  </commentList>
</comments>
</file>

<file path=xl/comments/comment2.xml><?xml version="1.0" encoding="utf-8"?>
<comments xmlns="http://schemas.openxmlformats.org/spreadsheetml/2006/main">
  <authors>
    <author>Renovation OS</author>
  </authors>
  <commentList>
    <comment ref="C4" authorId="0" shapeId="0">
      <text>
        <t>Shows the current week automatically. Type any date to plan another week (to go back, type  =AsOf  or re-download the formula from the guide).</t>
      </text>
    </comment>
  </commentList>
</comments>
</file>

<file path=xl/comments/comment3.xml><?xml version="1.0" encoding="utf-8"?>
<comments xmlns="http://schemas.openxmlformats.org/spreadsheetml/2006/main">
  <authors>
    <author>Renovation OS</author>
  </authors>
  <commentList>
    <comment ref="B7" authorId="0" shapeId="0">
      <text>
        <t>Rename, add or clear categories (up to 30). They feed every Category dropdown in the workbook.</t>
      </text>
    </comment>
    <comment ref="D7" authorId="0" shapeId="0">
      <text>
        <t>Estimating = still collecting quotes. Contracted = contract signed. Complete = work finished and final invoice received.</t>
      </text>
    </comment>
    <comment ref="E7" authorId="0" shapeId="0">
      <text>
        <t>Lowest TRUE cost (incl. hidden costs) from the Quotes tab for this category.</t>
      </text>
    </comment>
    <comment ref="F7" authorId="0" shapeId="0">
      <text>
        <t>Sum of SIGNED contracts on the Contractors tab with this category.</t>
      </text>
    </comment>
    <comment ref="G7" authorId="0" shapeId="0">
      <text>
        <t>Materials you buy yourself: selected option prices on Selections &amp; Orders.</t>
      </text>
    </comment>
    <comment ref="H7" authorId="0" shapeId="0">
      <text>
        <t>Approved change orders for this category.</t>
      </text>
    </comment>
    <comment ref="I7" authorId="0" shapeId="0">
      <text>
        <t>Contracted + materials + approved changes: money you have promised to spend.</t>
      </text>
    </comment>
    <comment ref="L7" authorId="0" shapeId="0">
      <text>
        <t>Estimating: the highest of budget, best quote, committed and invoiced (be pessimistic until signed). Contracted/Complete: committed (or invoiced if higher).</t>
      </text>
    </comment>
    <comment ref="M7" authorId="0" shapeId="0">
      <text>
        <t>Budget − forecast. Negative (red) = over budget.</t>
      </text>
    </comment>
  </commentList>
</comments>
</file>

<file path=xl/comments/comment4.xml><?xml version="1.0" encoding="utf-8"?>
<comments xmlns="http://schemas.openxmlformats.org/spreadsheetml/2006/main">
  <authors>
    <author>Renovation OS</author>
  </authors>
  <commentList>
    <comment ref="B13" authorId="0" shapeId="0">
      <text>
        <t>Yes = the price already includes tax. No = Renovation OS adds your default tax rate (Start Here) so quotes compare like-for-like.</t>
      </text>
    </comment>
    <comment ref="B18" authorId="0" shapeId="0">
      <text>
        <t>1 = bad feeling, 5 = great. Trust matters on a 6-month job.</t>
      </text>
    </comment>
    <comment ref="B19" authorId="0" shapeId="0">
      <text>
        <t>Expiry date written on the quote. You get an alert before it expires (unless the category is already Contracted).</t>
      </text>
    </comment>
    <comment ref="B35" authorId="0" shapeId="0">
      <text>
        <t>Price incl. tax + all estimated hidden extras. This is what the job will really cost you.</t>
      </text>
    </comment>
    <comment ref="B36" authorId="0" shapeId="0">
      <text>
        <t>Share of the 13 checklist items marked Included.</t>
      </text>
    </comment>
    <comment ref="B52" authorId="0" shapeId="0">
      <text>
        <t>Yes = the price already includes tax. No = Renovation OS adds your default tax rate (Start Here) so quotes compare like-for-like.</t>
      </text>
    </comment>
    <comment ref="B57" authorId="0" shapeId="0">
      <text>
        <t>1 = bad feeling, 5 = great. Trust matters on a 6-month job.</t>
      </text>
    </comment>
    <comment ref="B58" authorId="0" shapeId="0">
      <text>
        <t>Expiry date written on the quote. You get an alert before it expires (unless the category is already Contracted).</t>
      </text>
    </comment>
    <comment ref="B74" authorId="0" shapeId="0">
      <text>
        <t>Price incl. tax + all estimated hidden extras. This is what the job will really cost you.</t>
      </text>
    </comment>
    <comment ref="B75" authorId="0" shapeId="0">
      <text>
        <t>Share of the 13 checklist items marked Included.</t>
      </text>
    </comment>
    <comment ref="B91" authorId="0" shapeId="0">
      <text>
        <t>Yes = the price already includes tax. No = Renovation OS adds your default tax rate (Start Here) so quotes compare like-for-like.</t>
      </text>
    </comment>
    <comment ref="B96" authorId="0" shapeId="0">
      <text>
        <t>1 = bad feeling, 5 = great. Trust matters on a 6-month job.</t>
      </text>
    </comment>
    <comment ref="B97" authorId="0" shapeId="0">
      <text>
        <t>Expiry date written on the quote. You get an alert before it expires (unless the category is already Contracted).</t>
      </text>
    </comment>
    <comment ref="B113" authorId="0" shapeId="0">
      <text>
        <t>Price incl. tax + all estimated hidden extras. This is what the job will really cost you.</t>
      </text>
    </comment>
    <comment ref="B114" authorId="0" shapeId="0">
      <text>
        <t>Share of the 13 checklist items marked Included.</t>
      </text>
    </comment>
    <comment ref="B130" authorId="0" shapeId="0">
      <text>
        <t>Yes = the price already includes tax. No = Renovation OS adds your default tax rate (Start Here) so quotes compare like-for-like.</t>
      </text>
    </comment>
    <comment ref="B135" authorId="0" shapeId="0">
      <text>
        <t>1 = bad feeling, 5 = great. Trust matters on a 6-month job.</t>
      </text>
    </comment>
    <comment ref="B136" authorId="0" shapeId="0">
      <text>
        <t>Expiry date written on the quote. You get an alert before it expires (unless the category is already Contracted).</t>
      </text>
    </comment>
    <comment ref="B152" authorId="0" shapeId="0">
      <text>
        <t>Price incl. tax + all estimated hidden extras. This is what the job will really cost you.</t>
      </text>
    </comment>
    <comment ref="B153" authorId="0" shapeId="0">
      <text>
        <t>Share of the 13 checklist items marked Included.</t>
      </text>
    </comment>
    <comment ref="B169" authorId="0" shapeId="0">
      <text>
        <t>Yes = the price already includes tax. No = Renovation OS adds your default tax rate (Start Here) so quotes compare like-for-like.</t>
      </text>
    </comment>
    <comment ref="B174" authorId="0" shapeId="0">
      <text>
        <t>1 = bad feeling, 5 = great. Trust matters on a 6-month job.</t>
      </text>
    </comment>
    <comment ref="B175" authorId="0" shapeId="0">
      <text>
        <t>Expiry date written on the quote. You get an alert before it expires (unless the category is already Contracted).</t>
      </text>
    </comment>
    <comment ref="B191" authorId="0" shapeId="0">
      <text>
        <t>Price incl. tax + all estimated hidden extras. This is what the job will really cost you.</t>
      </text>
    </comment>
    <comment ref="B192" authorId="0" shapeId="0">
      <text>
        <t>Share of the 13 checklist items marked Included.</t>
      </text>
    </comment>
    <comment ref="B208" authorId="0" shapeId="0">
      <text>
        <t>Yes = the price already includes tax. No = Renovation OS adds your default tax rate (Start Here) so quotes compare like-for-like.</t>
      </text>
    </comment>
    <comment ref="B213" authorId="0" shapeId="0">
      <text>
        <t>1 = bad feeling, 5 = great. Trust matters on a 6-month job.</t>
      </text>
    </comment>
    <comment ref="B214" authorId="0" shapeId="0">
      <text>
        <t>Expiry date written on the quote. You get an alert before it expires (unless the category is already Contracted).</t>
      </text>
    </comment>
    <comment ref="B230" authorId="0" shapeId="0">
      <text>
        <t>Price incl. tax + all estimated hidden extras. This is what the job will really cost you.</t>
      </text>
    </comment>
    <comment ref="B231" authorId="0" shapeId="0">
      <text>
        <t>Share of the 13 checklist items marked Included.</t>
      </text>
    </comment>
    <comment ref="B247" authorId="0" shapeId="0">
      <text>
        <t>Yes = the price already includes tax. No = Renovation OS adds your default tax rate (Start Here) so quotes compare like-for-like.</t>
      </text>
    </comment>
    <comment ref="B252" authorId="0" shapeId="0">
      <text>
        <t>1 = bad feeling, 5 = great. Trust matters on a 6-month job.</t>
      </text>
    </comment>
    <comment ref="B253" authorId="0" shapeId="0">
      <text>
        <t>Expiry date written on the quote. You get an alert before it expires (unless the category is already Contracted).</t>
      </text>
    </comment>
    <comment ref="B269" authorId="0" shapeId="0">
      <text>
        <t>Price incl. tax + all estimated hidden extras. This is what the job will really cost you.</t>
      </text>
    </comment>
    <comment ref="B270" authorId="0" shapeId="0">
      <text>
        <t>Share of the 13 checklist items marked Included.</t>
      </text>
    </comment>
    <comment ref="B286" authorId="0" shapeId="0">
      <text>
        <t>Yes = the price already includes tax. No = Renovation OS adds your default tax rate (Start Here) so quotes compare like-for-like.</t>
      </text>
    </comment>
    <comment ref="B291" authorId="0" shapeId="0">
      <text>
        <t>1 = bad feeling, 5 = great. Trust matters on a 6-month job.</t>
      </text>
    </comment>
    <comment ref="B292" authorId="0" shapeId="0">
      <text>
        <t>Expiry date written on the quote. You get an alert before it expires (unless the category is already Contracted).</t>
      </text>
    </comment>
    <comment ref="B308" authorId="0" shapeId="0">
      <text>
        <t>Price incl. tax + all estimated hidden extras. This is what the job will really cost you.</t>
      </text>
    </comment>
    <comment ref="B309" authorId="0" shapeId="0">
      <text>
        <t>Share of the 13 checklist items marked Included.</t>
      </text>
    </comment>
    <comment ref="B325" authorId="0" shapeId="0">
      <text>
        <t>Yes = the price already includes tax. No = Renovation OS adds your default tax rate (Start Here) so quotes compare like-for-like.</t>
      </text>
    </comment>
    <comment ref="B330" authorId="0" shapeId="0">
      <text>
        <t>1 = bad feeling, 5 = great. Trust matters on a 6-month job.</t>
      </text>
    </comment>
    <comment ref="B331" authorId="0" shapeId="0">
      <text>
        <t>Expiry date written on the quote. You get an alert before it expires (unless the category is already Contracted).</t>
      </text>
    </comment>
    <comment ref="B347" authorId="0" shapeId="0">
      <text>
        <t>Price incl. tax + all estimated hidden extras. This is what the job will really cost you.</t>
      </text>
    </comment>
    <comment ref="B348" authorId="0" shapeId="0">
      <text>
        <t>Share of the 13 checklist items marked Included.</t>
      </text>
    </comment>
    <comment ref="B364" authorId="0" shapeId="0">
      <text>
        <t>Yes = the price already includes tax. No = Renovation OS adds your default tax rate (Start Here) so quotes compare like-for-like.</t>
      </text>
    </comment>
    <comment ref="B369" authorId="0" shapeId="0">
      <text>
        <t>1 = bad feeling, 5 = great. Trust matters on a 6-month job.</t>
      </text>
    </comment>
    <comment ref="B370" authorId="0" shapeId="0">
      <text>
        <t>Expiry date written on the quote. You get an alert before it expires (unless the category is already Contracted).</t>
      </text>
    </comment>
    <comment ref="B386" authorId="0" shapeId="0">
      <text>
        <t>Price incl. tax + all estimated hidden extras. This is what the job will really cost you.</t>
      </text>
    </comment>
    <comment ref="B387" authorId="0" shapeId="0">
      <text>
        <t>Share of the 13 checklist items marked Included.</t>
      </text>
    </comment>
  </commentList>
</comments>
</file>

<file path=xl/comments/comment5.xml><?xml version="1.0" encoding="utf-8"?>
<comments xmlns="http://schemas.openxmlformats.org/spreadsheetml/2006/main">
  <authors>
    <author>Renovation OS</author>
  </authors>
  <commentList>
    <comment ref="D5" authorId="0" shapeId="0">
      <text>
        <t>Links this contract to a Budget line.</t>
      </text>
    </comment>
    <comment ref="E5" authorId="0" shapeId="0">
      <text>
        <t>Where most of their work happens (or Whole house). Used by the Rooms tab.</t>
      </text>
    </comment>
    <comment ref="I5" authorId="0" shapeId="0">
      <text>
        <t>Signed contract amount incl. tax (without later change orders).</t>
      </text>
    </comment>
    <comment ref="L5" authorId="0" shapeId="0">
      <text>
        <t>Only signed contracts count as Committed on the Budget.</t>
      </text>
    </comment>
    <comment ref="O5" authorId="0" shapeId="0">
      <text>
        <t>Have you seen a valid liability insurance certificate?</t>
      </text>
    </comment>
    <comment ref="P5" authorId="0" shapeId="0">
      <text>
        <t>Registered / licensed for this trade where required?</t>
      </text>
    </comment>
    <comment ref="R5" authorId="0" shapeId="0">
      <text>
        <t>YOUR estimate of how much of their work is done. Update weekly — it drives the overpayment check.</t>
      </text>
    </comment>
    <comment ref="U5" authorId="0" shapeId="0">
      <text>
        <t>⚠️ appears when paid % is ahead of work complete % by more than your tolerance (Start Here).</t>
      </text>
    </comment>
  </commentList>
</comments>
</file>

<file path=xl/comments/comment6.xml><?xml version="1.0" encoding="utf-8"?>
<comments xmlns="http://schemas.openxmlformats.org/spreadsheetml/2006/main">
  <authors>
    <author>Renovation OS</author>
  </authors>
  <commentList>
    <comment ref="B5" authorId="0" shapeId="0">
      <text>
        <t>Pick a contractor, or type any supplier name (you'll get a warning you can accept).</t>
      </text>
    </comment>
    <comment ref="D5" authorId="0" shapeId="0">
      <text>
        <t>Leave empty to use the contractor's main room.</t>
      </text>
    </comment>
    <comment ref="E5" authorId="0" shapeId="0">
      <text>
        <t>Only needed for suppliers that are not on the Contractors tab, so the payment lands on the right Budget line.</t>
      </text>
    </comment>
    <comment ref="F5" authorId="0" shapeId="0">
      <text>
        <t>Milestone as % of the contract value…</t>
      </text>
    </comment>
    <comment ref="G5" authorId="0" shapeId="0">
      <text>
        <t>…or a fixed amount (wins over %).</t>
      </text>
    </comment>
    <comment ref="M5" authorId="0" shapeId="0">
      <text>
        <t>Enter the date you paid — this marks the row as Paid.</t>
      </text>
    </comment>
    <comment ref="AC38" authorId="0" shapeId="0">
      <text>
        <t>All unpaid amounts due in the next 30 days, including anything overdue.</t>
      </text>
    </comment>
  </commentList>
</comments>
</file>

<file path=xl/comments/comment7.xml><?xml version="1.0" encoding="utf-8"?>
<comments xmlns="http://schemas.openxmlformats.org/spreadsheetml/2006/main">
  <authors>
    <author>Renovation OS</author>
  </authors>
  <commentList>
    <comment ref="J6" authorId="0" shapeId="0">
      <text>
        <t>Extra cost incl. tax. Use a negative number for savings.</t>
      </text>
    </comment>
    <comment ref="K6" authorId="0" shapeId="0">
      <text>
        <t>How many days this adds. After approving, also add these days as Delay on the affected Timeline task.</t>
      </text>
    </comment>
    <comment ref="N6" authorId="0" shapeId="0">
      <text>
        <t>Budget forecast total including this change (already included if Approved).</t>
      </text>
    </comment>
  </commentList>
</comments>
</file>

<file path=xl/comments/comment8.xml><?xml version="1.0" encoding="utf-8"?>
<comments xmlns="http://schemas.openxmlformats.org/spreadsheetml/2006/main">
  <authors>
    <author>Renovation OS</author>
  </authors>
  <commentList>
    <comment ref="B6" authorId="0" shapeId="0">
      <text>
        <t>Fixed task number. Use it in the Predecessor column of later tasks.</t>
      </text>
    </comment>
    <comment ref="G6" authorId="0" shapeId="0">
      <text>
        <t>Calendar days the task takes.</t>
      </text>
    </comment>
    <comment ref="H6" authorId="0" shapeId="0">
      <text>
        <t>ID of the task that must finish first. It must be a LOWER ID (a task listed above this one). Leave empty if none.</t>
      </text>
    </comment>
    <comment ref="I6" authorId="0" shapeId="0">
      <text>
        <t>Optional: the task cannot start before this date (e.g. contractor availability).</t>
      </text>
    </comment>
    <comment ref="J6" authorId="0" shapeId="0">
      <text>
        <t>Latest of: project start, your earliest start, predecessor end + 1.</t>
      </text>
    </comment>
    <comment ref="K6" authorId="0" shapeId="0">
      <text>
        <t>Days this task slipped. Everything that depends on it moves too.</t>
      </text>
    </comment>
    <comment ref="O6" authorId="0" shapeId="0">
      <text>
        <t>How many tasks list this one as predecessor. &gt;0 = on the critical path: a delay here pushes them.</t>
      </text>
    </comment>
  </commentList>
</comments>
</file>

<file path=xl/comments/comment9.xml><?xml version="1.0" encoding="utf-8"?>
<comments xmlns="http://schemas.openxmlformats.org/spreadsheetml/2006/main">
  <authors>
    <author>Renovation OS</author>
  </authors>
  <commentList>
    <comment ref="K7" authorId="0" shapeId="0">
      <text>
        <t>Pick A, B or C once decided. Empty = decision still open.</t>
      </text>
    </comment>
    <comment ref="L7" authorId="0" shapeId="0">
      <text>
        <t>Counts as Materials on the Budget tab.</t>
      </text>
    </comment>
    <comment ref="O7" authorId="0" shapeId="0">
      <text>
        <t>Days between ordering and delivery (ask the supplier).</t>
      </text>
    </comment>
    <comment ref="P7" authorId="0" shapeId="0">
      <text>
        <t>ID of the Timeline task that installs this item. Its start date becomes the needed-on date.</t>
      </text>
    </comment>
    <comment ref="Q7" authorId="0" shapeId="0">
      <text>
        <t>Optional: type a date to override the Timeline date.</t>
      </text>
    </comment>
    <comment ref="S7" authorId="0" shapeId="0">
      <text>
        <t>Needed-on − lead time − order safety buffer (Start Here).</t>
      </text>
    </comment>
    <comment ref="T7" authorId="0" shapeId="0">
      <text>
        <t>Order-by − decide-before-order buffer (Start Here).</t>
      </text>
    </comment>
  </commentList>
</comments>
</file>

<file path=xl/comments/comment10.xml><?xml version="1.0" encoding="utf-8"?>
<comments xmlns="http://schemas.openxmlformats.org/spreadsheetml/2006/main">
  <authors>
    <author>Renovation OS</author>
  </authors>
  <commentList>
    <comment ref="H7" authorId="0" shapeId="0">
      <text>
        <t>High = safety, structure, water, or blocks other work. Always shows as 🔴.</t>
      </text>
    </comment>
    <comment ref="I7" authorId="0" shapeId="0">
      <text>
        <t>What it may cost YOU (0 if the contractor pays). Open issue costs are shown as risk on the Budget tab.</t>
      </text>
    </comment>
    <comment ref="N7" authorId="0" shapeId="0">
      <text>
        <t>Paste a Google Photos / Drive / OneDrive link.</t>
      </text>
    </comment>
  </commentList>
</comments>
</file>

<file path=xl/comments/comment11.xml><?xml version="1.0" encoding="utf-8"?>
<comments xmlns="http://schemas.openxmlformats.org/spreadsheetml/2006/main">
  <authors>
    <author>Renovation OS</author>
  </authors>
  <commentList>
    <comment ref="F5" authorId="0" shapeId="0">
      <text>
        <t>For photos: which stage of the work (feeds the photo tracker).</t>
      </text>
    </comment>
    <comment ref="H5" authorId="0" shapeId="0">
      <text>
        <t>Paste the share link of the file or folder.</t>
      </text>
    </comment>
  </commentList>
</comments>
</file>

<file path=xl/comments/comment12.xml><?xml version="1.0" encoding="utf-8"?>
<comments xmlns="http://schemas.openxmlformats.org/spreadsheetml/2006/main">
  <authors>
    <author>Renovation OS</author>
  </authors>
  <commentList>
    <comment ref="I6" authorId="0" shapeId="0">
      <text>
        <t>Expires soon = within 90 days: inspect and report defects now.</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40</row>
      <rowOff>0</rowOff>
    </from>
    <ext cx="4536000" cy="36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40</row>
      <rowOff>0</rowOff>
    </from>
    <ext cx="4536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 /><Relationship Type="http://schemas.openxmlformats.org/officeDocument/2006/relationships/hyperlink" Target="#'This Week'!A1" TargetMode="External" Id="rId2" /><Relationship Type="http://schemas.openxmlformats.org/officeDocument/2006/relationships/hyperlink" Target="#'Budget'!A1" TargetMode="External" Id="rId3" /><Relationship Type="http://schemas.openxmlformats.org/officeDocument/2006/relationships/hyperlink" Target="#'Quotes'!A1" TargetMode="External" Id="rId4" /><Relationship Type="http://schemas.openxmlformats.org/officeDocument/2006/relationships/hyperlink" Target="#'Contractors'!A1" TargetMode="External" Id="rId5" /><Relationship Type="http://schemas.openxmlformats.org/officeDocument/2006/relationships/hyperlink" Target="#'Payments'!A1" TargetMode="External" Id="rId6" /><Relationship Type="http://schemas.openxmlformats.org/officeDocument/2006/relationships/hyperlink" Target="#'Change Orders'!A1" TargetMode="External" Id="rId7" /><Relationship Type="http://schemas.openxmlformats.org/officeDocument/2006/relationships/hyperlink" Target="#'Timeline'!A1" TargetMode="External" Id="rId8" /><Relationship Type="http://schemas.openxmlformats.org/officeDocument/2006/relationships/hyperlink" Target="#'Rooms'!A1" TargetMode="External" Id="rId9" /><Relationship Type="http://schemas.openxmlformats.org/officeDocument/2006/relationships/hyperlink" Target="#'Selections &amp; Orders'!A1" TargetMode="External" Id="rId10" /><Relationship Type="http://schemas.openxmlformats.org/officeDocument/2006/relationships/hyperlink" Target="#'Issues &amp; Punch List'!A1" TargetMode="External" Id="rId11" /><Relationship Type="http://schemas.openxmlformats.org/officeDocument/2006/relationships/hyperlink" Target="#'Vault'!A1" TargetMode="External" Id="rId12" /><Relationship Type="http://schemas.openxmlformats.org/officeDocument/2006/relationships/hyperlink" Target="#'Warranty &amp; Maintenance'!A1" TargetMode="Externa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tabColor rgb="000F5E5E"/>
    <outlinePr summaryBelow="1" summaryRight="1"/>
    <pageSetUpPr/>
  </sheetPr>
  <dimension ref="A1:K47"/>
  <sheetViews>
    <sheetView showGridLines="0" workbookViewId="0">
      <pane ySplit="2" topLeftCell="A3" activePane="bottomLeft" state="frozen"/>
      <selection pane="bottomLeft" activeCell="A1" sqref="A1"/>
    </sheetView>
  </sheetViews>
  <sheetFormatPr baseColWidth="8" defaultRowHeight="15"/>
  <cols>
    <col width="2.5" customWidth="1" min="1" max="1"/>
    <col width="34" customWidth="1" min="2" max="2"/>
    <col width="22" customWidth="1" min="3" max="3"/>
    <col width="50" customWidth="1" min="4" max="4"/>
    <col width="3" customWidth="1" min="5" max="5"/>
    <col width="5" customWidth="1" min="6" max="6"/>
    <col width="16" customWidth="1" min="7" max="7"/>
    <col width="16" customWidth="1" min="8" max="8"/>
    <col width="16" customWidth="1" min="9" max="9"/>
    <col width="16" customWidth="1" min="10" max="10"/>
    <col width="16" customWidth="1" min="11" max="11"/>
    <col width="6" customWidth="1" min="12" max="12"/>
  </cols>
  <sheetData>
    <row r="1" ht="36" customHeight="1">
      <c r="B1" s="1" t="inlineStr">
        <is>
          <t>🏠 Renovation OS — Start Here</t>
        </is>
      </c>
    </row>
    <row r="2" ht="20" customHeight="1">
      <c r="B2" s="2" t="inlineStr">
        <is>
          <t>What this tab does: set up your project once (yellow cells), then follow the 5 steps on the right.</t>
        </is>
      </c>
    </row>
    <row r="3">
      <c r="B3" s="3" t="inlineStr">
        <is>
          <t>© 2026 Hang Nguyen — Renovation OS. Licensed to the original purchaser for personal use only. Do not share, copy, resell or redistribute.</t>
        </is>
      </c>
    </row>
    <row r="4">
      <c r="B4" s="4" t="inlineStr">
        <is>
          <t>YOUR PROJECT</t>
        </is>
      </c>
      <c r="C4" s="5" t="n"/>
      <c r="D4" s="5" t="n"/>
      <c r="F4" s="4" t="inlineStr">
        <is>
          <t>GET STARTED IN 10 MINUTES</t>
        </is>
      </c>
      <c r="G4" s="5" t="n"/>
      <c r="H4" s="5" t="n"/>
      <c r="I4" s="5" t="n"/>
      <c r="J4" s="5" t="n"/>
      <c r="K4" s="5" t="n"/>
    </row>
    <row r="5" ht="22" customHeight="1">
      <c r="B5" s="6" t="inlineStr">
        <is>
          <t>Project name</t>
        </is>
      </c>
      <c r="C5" s="7" t="inlineStr">
        <is>
          <t>Maple Lane Renovation</t>
        </is>
      </c>
      <c r="D5" s="8" t="inlineStr">
        <is>
          <t>Shown as the Dashboard title.</t>
        </is>
      </c>
      <c r="F5" s="9" t="n">
        <v>1</v>
      </c>
      <c r="G5" s="10" t="inlineStr">
        <is>
          <t>Fill in the yellow cells on the left</t>
        </is>
      </c>
    </row>
    <row r="6" ht="30" customHeight="1">
      <c r="B6" s="6" t="inlineStr">
        <is>
          <t>Property address</t>
        </is>
      </c>
      <c r="C6" s="7" t="inlineStr">
        <is>
          <t>12 Maple Lane</t>
        </is>
      </c>
      <c r="D6" s="8" t="inlineStr">
        <is>
          <t>For your own reference.</t>
        </is>
      </c>
      <c r="G6" s="11" t="inlineStr">
        <is>
          <t>Project dates, total budget, currency, tax. Everything else calculates itself.</t>
        </is>
      </c>
    </row>
    <row r="7" ht="22" customHeight="1">
      <c r="B7" s="6" t="inlineStr">
        <is>
          <t>Project start date</t>
        </is>
      </c>
      <c r="C7" s="12" t="n">
        <v>46083</v>
      </c>
      <c r="D7" s="8" t="inlineStr">
        <is>
          <t>First day of the project (design counts!). The Timeline starts here.</t>
        </is>
      </c>
      <c r="F7" s="9" t="n">
        <v>2</v>
      </c>
      <c r="G7" s="10" t="inlineStr">
        <is>
          <t>Budget tab: set a budget per category</t>
        </is>
      </c>
    </row>
    <row r="8" ht="30" customHeight="1">
      <c r="B8" s="6" t="inlineStr">
        <is>
          <t>Target move-in date</t>
        </is>
      </c>
      <c r="C8" s="12" t="n">
        <v>46255</v>
      </c>
      <c r="D8" s="8" t="inlineStr">
        <is>
          <t>The date you want to live in the house again.</t>
        </is>
      </c>
      <c r="G8" s="11" t="inlineStr">
        <is>
          <t>Rename categories if you like. Aim for the total to match your working budget.</t>
        </is>
      </c>
    </row>
    <row r="9" ht="22" customHeight="1">
      <c r="B9" s="13">
        <f>"Total budget incl. "&amp;TaxWord&amp;" ("&amp;CurSym&amp;")"</f>
        <v/>
      </c>
      <c r="C9" s="14" t="n">
        <v>135000</v>
      </c>
      <c r="D9" s="8" t="inlineStr">
        <is>
          <t>Everything you can spend, including tax and your safety buffer.</t>
        </is>
      </c>
      <c r="F9" s="9" t="n">
        <v>3</v>
      </c>
      <c r="G9" s="10" t="inlineStr">
        <is>
          <t>Contractors + Quotes: add who you work with</t>
        </is>
      </c>
    </row>
    <row r="10" ht="30" customHeight="1">
      <c r="B10" s="13">
        <f>"Total floor area ("&amp;AreaUnit&amp;")"</f>
        <v/>
      </c>
      <c r="C10" s="15" t="n">
        <v>1528</v>
      </c>
      <c r="D10" s="8" t="inlineStr">
        <is>
          <t>Optional — used for cost per m² / ft².</t>
        </is>
      </c>
      <c r="G10" s="11" t="inlineStr">
        <is>
          <t>Compare quotes side by side — the hidden-cost checklist shows the TRUE price.</t>
        </is>
      </c>
    </row>
    <row r="11" ht="22" customHeight="1">
      <c r="B11" s="6" t="inlineStr">
        <is>
          <t>“Today” override (optional)</t>
        </is>
      </c>
      <c r="C11" s="12" t="n">
        <v>46188</v>
      </c>
      <c r="D11" s="16" t="inlineStr">
        <is>
          <t>DEMO is frozen on this date so every feature shows data — clear this cell to use today's date.</t>
        </is>
      </c>
      <c r="F11" s="9" t="n">
        <v>4</v>
      </c>
      <c r="G11" s="10" t="inlineStr">
        <is>
          <t>Timeline: set durations and dependencies</t>
        </is>
      </c>
    </row>
    <row r="12" ht="30" customHeight="1">
      <c r="G12" s="11" t="inlineStr">
        <is>
          <t>Dates, Gantt chart and order-by dates for your materials follow automatically.</t>
        </is>
      </c>
    </row>
    <row r="13">
      <c r="B13" s="4" t="inlineStr">
        <is>
          <t>PREFERENCES</t>
        </is>
      </c>
      <c r="C13" s="5" t="n"/>
      <c r="D13" s="5" t="n"/>
      <c r="F13" s="9" t="n">
        <v>5</v>
      </c>
      <c r="G13" s="10" t="inlineStr">
        <is>
          <t>Every Monday open Dashboard + This Week</t>
        </is>
      </c>
    </row>
    <row r="14" ht="30" customHeight="1">
      <c r="B14" s="6" t="inlineStr">
        <is>
          <t>Currency</t>
        </is>
      </c>
      <c r="C14" s="7" t="inlineStr">
        <is>
          <t>USD $</t>
        </is>
      </c>
      <c r="D14" s="8" t="inlineStr">
        <is>
          <t>Shown next to every amount header. Pick ‘Other’ to type your own symbol.</t>
        </is>
      </c>
      <c r="G14" s="11" t="inlineStr">
        <is>
          <t>Do the ranked actions. On Friday fill the Friday Review. That's the whole routine.</t>
        </is>
      </c>
    </row>
    <row r="15" ht="22" customHeight="1">
      <c r="B15" s="6" t="inlineStr">
        <is>
          <t>Custom currency symbol</t>
        </is>
      </c>
      <c r="C15" s="7" t="n"/>
      <c r="D15" s="8" t="inlineStr">
        <is>
          <t>Only used when Currency = Other.</t>
        </is>
      </c>
    </row>
    <row r="16" ht="22" customHeight="1">
      <c r="B16" s="6" t="inlineStr">
        <is>
          <t>Tax name</t>
        </is>
      </c>
      <c r="C16" s="7" t="inlineStr">
        <is>
          <t>Sales tax</t>
        </is>
      </c>
      <c r="D16" s="8" t="inlineStr">
        <is>
          <t>VAT, Sales tax, GST… used in labels.</t>
        </is>
      </c>
    </row>
    <row r="17" ht="22" customHeight="1">
      <c r="B17" s="6" t="inlineStr">
        <is>
          <t>Default tax rate</t>
        </is>
      </c>
      <c r="C17" s="17" t="n">
        <v>0.08</v>
      </c>
      <c r="D17" s="8" t="inlineStr">
        <is>
          <t>Used to add tax to quotes entered WITHOUT tax.</t>
        </is>
      </c>
      <c r="F17" s="4" t="inlineStr">
        <is>
          <t>COLOUR LEGEND</t>
        </is>
      </c>
      <c r="G17" s="5" t="n"/>
      <c r="H17" s="5" t="n"/>
      <c r="I17" s="5" t="n"/>
      <c r="J17" s="5" t="n"/>
      <c r="K17" s="5" t="n"/>
    </row>
    <row r="18" ht="22" customHeight="1">
      <c r="B18" s="6" t="inlineStr">
        <is>
          <t>Prices usually quoted incl. tax?</t>
        </is>
      </c>
      <c r="C18" s="7" t="inlineStr">
        <is>
          <t>Yes</t>
        </is>
      </c>
      <c r="D18" s="8" t="inlineStr">
        <is>
          <t>Pre-fills each quote; you can still change it per quote.</t>
        </is>
      </c>
      <c r="F18" s="18" t="inlineStr"/>
      <c r="G18" s="19" t="inlineStr">
        <is>
          <t>Light-yellow cell = YOU TYPE HERE (or pick from the dropdown).</t>
        </is>
      </c>
    </row>
    <row r="19" ht="22" customHeight="1">
      <c r="B19" s="6" t="inlineStr">
        <is>
          <t>Area unit</t>
        </is>
      </c>
      <c r="C19" s="7" t="inlineStr">
        <is>
          <t>ft²</t>
        </is>
      </c>
      <c r="D19" s="8" t="inlineStr">
        <is>
          <t>m² or ft² for room sizes.</t>
        </is>
      </c>
      <c r="F19" s="20" t="inlineStr"/>
      <c r="G19" s="19" t="inlineStr">
        <is>
          <t>White / grey cell = automatic. Protected so you can't break a formula.</t>
        </is>
      </c>
    </row>
    <row r="20" ht="22" customHeight="1">
      <c r="B20" s="6" t="inlineStr">
        <is>
          <t>Week starts on</t>
        </is>
      </c>
      <c r="C20" s="7" t="inlineStr">
        <is>
          <t>Sunday</t>
        </is>
      </c>
      <c r="D20" s="8" t="inlineStr">
        <is>
          <t>Used by This Week and the Gantt chart.</t>
        </is>
      </c>
      <c r="F20" s="21" t="inlineStr">
        <is>
          <t>🟢</t>
        </is>
      </c>
      <c r="G20" s="19" t="inlineStr">
        <is>
          <t>On track — nothing to do.</t>
        </is>
      </c>
    </row>
    <row r="21" ht="22" customHeight="1">
      <c r="B21" s="6" t="inlineStr">
        <is>
          <t>Budget ‘attention’ band</t>
        </is>
      </c>
      <c r="C21" s="17" t="n">
        <v>0.05</v>
      </c>
      <c r="D21" s="8" t="inlineStr">
        <is>
          <t>A budget line turns 🟡 when forecast is over budget by up to this %, 🔴 above.</t>
        </is>
      </c>
      <c r="F21" s="22" t="inlineStr">
        <is>
          <t>🟡</t>
        </is>
      </c>
      <c r="G21" s="19" t="inlineStr">
        <is>
          <t>Needs attention soon (within your alert window).</t>
        </is>
      </c>
    </row>
    <row r="22" ht="22" customHeight="1">
      <c r="F22" s="23" t="inlineStr">
        <is>
          <t>🔴</t>
        </is>
      </c>
      <c r="G22" s="19" t="inlineStr">
        <is>
          <t>Urgent — overdue, over budget or at risk.</t>
        </is>
      </c>
    </row>
    <row r="23">
      <c r="B23" s="4" t="inlineStr">
        <is>
          <t>ALERT SETTINGS</t>
        </is>
      </c>
      <c r="C23" s="5" t="n"/>
      <c r="D23" s="5" t="n"/>
      <c r="G23" s="8" t="inlineStr">
        <is>
          <t>White cells are locked and protected, so a formula can never be broken by accident. Type only in the yellow cells.</t>
        </is>
      </c>
    </row>
    <row r="24" ht="22" customHeight="1">
      <c r="B24" s="6" t="inlineStr">
        <is>
          <t>Contingency (safety buffer) %</t>
        </is>
      </c>
      <c r="C24" s="17" t="n">
        <v>0.1</v>
      </c>
      <c r="D24" s="8" t="inlineStr">
        <is>
          <t>10–15% is typical. Kept aside from your total budget.</t>
        </is>
      </c>
    </row>
    <row r="25" ht="22" customHeight="1">
      <c r="B25" s="6" t="inlineStr">
        <is>
          <t>Alert window (days)</t>
        </is>
      </c>
      <c r="C25" s="24" t="n">
        <v>7</v>
      </c>
      <c r="D25" s="8" t="inlineStr">
        <is>
          <t>Things due within this many days show as 🟡 ‘this week’.</t>
        </is>
      </c>
      <c r="F25" s="4" t="inlineStr">
        <is>
          <t>YOUR TABS</t>
        </is>
      </c>
      <c r="G25" s="5" t="n"/>
      <c r="H25" s="5" t="n"/>
      <c r="I25" s="5" t="n"/>
      <c r="J25" s="5" t="n"/>
      <c r="K25" s="5" t="n"/>
    </row>
    <row r="26" ht="22" customHeight="1">
      <c r="B26" s="6" t="inlineStr">
        <is>
          <t>Decide-before-order buffer (days)</t>
        </is>
      </c>
      <c r="C26" s="24" t="n">
        <v>7</v>
      </c>
      <c r="D26" s="8" t="inlineStr">
        <is>
          <t>Decide this many days before the order-by date.</t>
        </is>
      </c>
      <c r="F26" s="25" t="inlineStr">
        <is>
          <t>▸</t>
        </is>
      </c>
      <c r="G26" s="26" t="inlineStr">
        <is>
          <t>Dashboard</t>
        </is>
      </c>
      <c r="I26" s="27" t="inlineStr">
        <is>
          <t>Your renovation at a glance + ranked next actions.</t>
        </is>
      </c>
    </row>
    <row r="27" ht="22" customHeight="1">
      <c r="B27" s="6" t="inlineStr">
        <is>
          <t>Order safety buffer (days)</t>
        </is>
      </c>
      <c r="C27" s="24" t="n">
        <v>5</v>
      </c>
      <c r="D27" s="8" t="inlineStr">
        <is>
          <t>Extra days between delivery and installation.</t>
        </is>
      </c>
      <c r="F27" s="25" t="inlineStr">
        <is>
          <t>▸</t>
        </is>
      </c>
      <c r="G27" s="26" t="inlineStr">
        <is>
          <t>This Week</t>
        </is>
      </c>
      <c r="I27" s="27" t="inlineStr">
        <is>
          <t>Monday plan and Friday review.</t>
        </is>
      </c>
    </row>
    <row r="28" ht="22" customHeight="1">
      <c r="B28" s="6" t="inlineStr">
        <is>
          <t>Overpayment tolerance %</t>
        </is>
      </c>
      <c r="C28" s="17" t="n">
        <v>0.1</v>
      </c>
      <c r="D28" s="8" t="inlineStr">
        <is>
          <t>Warn when paid % is more than this ahead of work done %.</t>
        </is>
      </c>
      <c r="F28" s="25" t="inlineStr">
        <is>
          <t>▸</t>
        </is>
      </c>
      <c r="G28" s="26" t="inlineStr">
        <is>
          <t>Budget</t>
        </is>
      </c>
      <c r="I28" s="27" t="inlineStr">
        <is>
          <t>Budget vs committed vs forecast per category.</t>
        </is>
      </c>
    </row>
    <row r="29">
      <c r="F29" s="25" t="inlineStr">
        <is>
          <t>▸</t>
        </is>
      </c>
      <c r="G29" s="26" t="inlineStr">
        <is>
          <t>Quotes</t>
        </is>
      </c>
      <c r="I29" s="27" t="inlineStr">
        <is>
          <t>Compare up to 4 quotes per trade, incl. hidden costs.</t>
        </is>
      </c>
    </row>
    <row r="30">
      <c r="B30" s="4" t="inlineStr">
        <is>
          <t>CALCULATED FOR YOU</t>
        </is>
      </c>
      <c r="C30" s="5" t="n"/>
      <c r="D30" s="5" t="n"/>
      <c r="F30" s="25" t="inlineStr">
        <is>
          <t>▸</t>
        </is>
      </c>
      <c r="G30" s="26" t="inlineStr">
        <is>
          <t>Contractors</t>
        </is>
      </c>
      <c r="I30" s="27" t="inlineStr">
        <is>
          <t>Contractors, overpayment check and communication log.</t>
        </is>
      </c>
    </row>
    <row r="31" ht="22" customHeight="1">
      <c r="B31" s="13">
        <f>"Contingency amount ("&amp;CurSym&amp;")"</f>
        <v/>
      </c>
      <c r="C31" s="28">
        <f>IF(TotalBudget="",0,TotalBudget*ContPct)</f>
        <v/>
      </c>
      <c r="D31" s="8" t="inlineStr">
        <is>
          <t>Kept aside for surprises — not part of your working budget.</t>
        </is>
      </c>
      <c r="F31" s="25" t="inlineStr">
        <is>
          <t>▸</t>
        </is>
      </c>
      <c r="G31" s="26" t="inlineStr">
        <is>
          <t>Payments</t>
        </is>
      </c>
      <c r="I31" s="27" t="inlineStr">
        <is>
          <t>Payment schedule, invoices and 12-month cash flow.</t>
        </is>
      </c>
    </row>
    <row r="32" ht="22" customHeight="1">
      <c r="B32" s="13">
        <f>"Working budget ("&amp;CurSym&amp;")"</f>
        <v/>
      </c>
      <c r="C32" s="28">
        <f>IF(TotalBudget="",0,TotalBudget-ContAmt)</f>
        <v/>
      </c>
      <c r="D32" s="8" t="inlineStr">
        <is>
          <t>What you plan to spend. Budget lines should add up to this.</t>
        </is>
      </c>
      <c r="F32" s="25" t="inlineStr">
        <is>
          <t>▸</t>
        </is>
      </c>
      <c r="G32" s="26" t="inlineStr">
        <is>
          <t>Change Orders</t>
        </is>
      </c>
      <c r="I32" s="27" t="inlineStr">
        <is>
          <t>Change orders with impact preview before you approve.</t>
        </is>
      </c>
    </row>
    <row r="33" ht="22" customHeight="1">
      <c r="B33" s="6" t="inlineStr">
        <is>
          <t>Currency symbol in use</t>
        </is>
      </c>
      <c r="C33" s="29">
        <f>IF(Currency="Other",IF(CustomSym="","¤",CustomSym),IFERROR(INDEX('Lists'!$Q$2:$Q$14,MATCH(Currency,'Lists'!$P$2:$P$14,0)),"¤"))</f>
        <v/>
      </c>
      <c r="F33" s="25" t="inlineStr">
        <is>
          <t>▸</t>
        </is>
      </c>
      <c r="G33" s="26" t="inlineStr">
        <is>
          <t>Timeline</t>
        </is>
      </c>
      <c r="I33" s="27" t="inlineStr">
        <is>
          <t>Tasks, dependencies and Gantt chart.</t>
        </is>
      </c>
    </row>
    <row r="34" ht="22" customHeight="1">
      <c r="B34" s="6" t="inlineStr">
        <is>
          <t>Today (as used by all tabs)</t>
        </is>
      </c>
      <c r="C34" s="30">
        <f>IF(AsOfOverride="",TODAY(),AsOfOverride)</f>
        <v/>
      </c>
      <c r="F34" s="25" t="inlineStr">
        <is>
          <t>▸</t>
        </is>
      </c>
      <c r="G34" s="26" t="inlineStr">
        <is>
          <t>Rooms</t>
        </is>
      </c>
      <c r="I34" s="27" t="inlineStr">
        <is>
          <t>One card per room: money, progress, problems.</t>
        </is>
      </c>
    </row>
    <row r="35" ht="22" customHeight="1">
      <c r="B35" s="6" t="inlineStr">
        <is>
          <t>Tax word used in labels</t>
        </is>
      </c>
      <c r="C35" s="29">
        <f>IF(OR(TaxName="None",TaxName=""),"tax",TaxName)</f>
        <v/>
      </c>
      <c r="F35" s="25" t="inlineStr">
        <is>
          <t>▸</t>
        </is>
      </c>
      <c r="G35" s="26" t="inlineStr">
        <is>
          <t>Selections &amp; Orders</t>
        </is>
      </c>
      <c r="I35" s="27" t="inlineStr">
        <is>
          <t>Decisions and orders — with decide-by and order-by dates.</t>
        </is>
      </c>
    </row>
    <row r="36">
      <c r="F36" s="25" t="inlineStr">
        <is>
          <t>▸</t>
        </is>
      </c>
      <c r="G36" s="26" t="inlineStr">
        <is>
          <t>Issues &amp; Punch List</t>
        </is>
      </c>
      <c r="I36" s="27" t="inlineStr">
        <is>
          <t>Problems found on site and the final punch list.</t>
        </is>
      </c>
    </row>
    <row r="37">
      <c r="F37" s="25" t="inlineStr">
        <is>
          <t>▸</t>
        </is>
      </c>
      <c r="G37" s="26" t="inlineStr">
        <is>
          <t>Vault</t>
        </is>
      </c>
      <c r="I37" s="27" t="inlineStr">
        <is>
          <t>Links to every document and photo + what is missing.</t>
        </is>
      </c>
    </row>
    <row r="38">
      <c r="F38" s="25" t="inlineStr">
        <is>
          <t>▸</t>
        </is>
      </c>
      <c r="G38" s="26" t="inlineStr">
        <is>
          <t>Warranty &amp; Maintenance</t>
        </is>
      </c>
      <c r="I38" s="27" t="inlineStr">
        <is>
          <t>Warranties and home maintenance after the renovation.</t>
        </is>
      </c>
    </row>
    <row r="39"/>
    <row r="40"/>
    <row r="41">
      <c r="B41" s="4" t="inlineStr">
        <is>
          <t>LICENCE &amp; TERMS OF USE</t>
        </is>
      </c>
      <c r="C41" s="5" t="n"/>
      <c r="D41" s="5" t="n"/>
      <c r="E41" s="5" t="n"/>
      <c r="F41" s="5" t="n"/>
      <c r="G41" s="5" t="n"/>
      <c r="H41" s="5" t="n"/>
      <c r="I41" s="5" t="n"/>
      <c r="J41" s="5" t="n"/>
      <c r="K41" s="5" t="n"/>
    </row>
    <row r="42" ht="18" customHeight="1">
      <c r="B42" s="31" t="inlineStr">
        <is>
          <t>Renovation OS © 2026 Hang Nguyen. All rights reserved.</t>
        </is>
      </c>
    </row>
    <row r="43" ht="28" customHeight="1">
      <c r="B43" s="11" t="inlineStr">
        <is>
          <t>• This file is licensed, not sold, to the original purchaser for personal, non-commercial use on their own home renovation.</t>
        </is>
      </c>
    </row>
    <row r="44" ht="28" customHeight="1">
      <c r="B44" s="11" t="inlineStr">
        <is>
          <t>• You may NOT share, copy, resell, redistribute, sublicense, give away or upload this file (or any modified version or part of it) to any website, marketplace, group or other person.</t>
        </is>
      </c>
    </row>
    <row r="45" ht="28" customHeight="1">
      <c r="B45" s="11" t="inlineStr">
        <is>
          <t>• The formulas, structure, layout and design are the intellectual property of Hang Nguyen. Removing this notice or the sheet protection is not permitted.</t>
        </is>
      </c>
    </row>
    <row r="46" ht="28" customHeight="1">
      <c r="B46" s="11" t="inlineStr">
        <is>
          <t>• Digital product: all sales are final. No refunds once the file has been delivered.</t>
        </is>
      </c>
    </row>
    <row r="47" ht="28" customHeight="1">
      <c r="B47" s="11" t="inlineStr">
        <is>
          <t>• Provided “as is” as a planning aid, without warranty. It is not financial, legal or construction advice — always check figures before you act on them.</t>
        </is>
      </c>
    </row>
  </sheetData>
  <sheetProtection selectLockedCells="1" selectUnlockedCells="0" sheet="1" objects="0" insertRows="1" insertHyperlinks="1" autoFilter="1" scenarios="0" formatColumns="0" deleteColumns="1" insertColumns="1" pivotTables="1" deleteRows="1" formatCells="1" formatRows="0" sort="1" password="CD61"/>
  <mergeCells count="52">
    <mergeCell ref="I32:K32"/>
    <mergeCell ref="G21:K21"/>
    <mergeCell ref="G12:K12"/>
    <mergeCell ref="I28:K28"/>
    <mergeCell ref="I37:K37"/>
    <mergeCell ref="G27:H27"/>
    <mergeCell ref="G11:K11"/>
    <mergeCell ref="G36:H36"/>
    <mergeCell ref="F5:F6"/>
    <mergeCell ref="G8:K8"/>
    <mergeCell ref="I33:K33"/>
    <mergeCell ref="B45:K45"/>
    <mergeCell ref="G7:K7"/>
    <mergeCell ref="G38:H38"/>
    <mergeCell ref="G10:K10"/>
    <mergeCell ref="G37:H37"/>
    <mergeCell ref="G13:K13"/>
    <mergeCell ref="G19:K19"/>
    <mergeCell ref="G28:H28"/>
    <mergeCell ref="I35:K35"/>
    <mergeCell ref="B47:K47"/>
    <mergeCell ref="G6:K6"/>
    <mergeCell ref="I29:K29"/>
    <mergeCell ref="G18:K18"/>
    <mergeCell ref="I38:K38"/>
    <mergeCell ref="F13:F14"/>
    <mergeCell ref="G34:H34"/>
    <mergeCell ref="B46:K46"/>
    <mergeCell ref="F9:F10"/>
    <mergeCell ref="G30:H30"/>
    <mergeCell ref="G33:H33"/>
    <mergeCell ref="I31:K31"/>
    <mergeCell ref="G14:K14"/>
    <mergeCell ref="B43:K43"/>
    <mergeCell ref="G5:K5"/>
    <mergeCell ref="I34:K34"/>
    <mergeCell ref="I30:K30"/>
    <mergeCell ref="F11:F12"/>
    <mergeCell ref="G26:H26"/>
    <mergeCell ref="B42:K42"/>
    <mergeCell ref="G29:H29"/>
    <mergeCell ref="G35:H35"/>
    <mergeCell ref="G20:K20"/>
    <mergeCell ref="I36:K36"/>
    <mergeCell ref="I27:K27"/>
    <mergeCell ref="G32:H32"/>
    <mergeCell ref="B44:K44"/>
    <mergeCell ref="I26:K26"/>
    <mergeCell ref="G31:H31"/>
    <mergeCell ref="F7:F8"/>
    <mergeCell ref="G22:K22"/>
    <mergeCell ref="G9:K9"/>
  </mergeCells>
  <dataValidations count="6">
    <dataValidation sqref="C14" showDropDown="0" showInputMessage="0" showErrorMessage="1" allowBlank="1" errorTitle="Renovation OS" error="Please pick a value from the dropdown list." type="list">
      <formula1>='Lists'!$P$2:$P$14</formula1>
    </dataValidation>
    <dataValidation sqref="C16" showDropDown="0" showInputMessage="0" showErrorMessage="1" allowBlank="1" errorTitle="Renovation OS" error="Please pick a value from the dropdown list." type="list">
      <formula1>='Lists'!$R$2:$R$10</formula1>
    </dataValidation>
    <dataValidation sqref="C18" showDropDown="0" showInputMessage="0" showErrorMessage="1" allowBlank="1" errorTitle="Renovation OS" error="Please pick a value from the dropdown list." type="list">
      <formula1>='Lists'!$A$2:$A$3</formula1>
    </dataValidation>
    <dataValidation sqref="C19" showDropDown="0" showInputMessage="0" showErrorMessage="1" allowBlank="1" errorTitle="Renovation OS" error="Please pick a value from the dropdown list." type="list">
      <formula1>='Lists'!$S$2:$S$3</formula1>
    </dataValidation>
    <dataValidation sqref="C20" showDropDown="0" showInputMessage="0" showErrorMessage="1" allowBlank="1" errorTitle="Renovation OS" error="Please pick a value from the dropdown list." type="list">
      <formula1>='Lists'!$T$2:$T$3</formula1>
    </dataValidation>
    <dataValidation sqref="C21" showDropDown="0" showInputMessage="0" showErrorMessage="1" allowBlank="1" errorTitle="Renovation OS" error="Please pick a value from the dropdown list." type="list">
      <formula1>='Lists'!$U$2:$U$4</formula1>
    </dataValidation>
  </dataValidations>
  <hyperlinks>
    <hyperlink xmlns:r="http://schemas.openxmlformats.org/officeDocument/2006/relationships" ref="G26" r:id="rId1"/>
    <hyperlink xmlns:r="http://schemas.openxmlformats.org/officeDocument/2006/relationships" ref="G27" r:id="rId2"/>
    <hyperlink xmlns:r="http://schemas.openxmlformats.org/officeDocument/2006/relationships" ref="G28" r:id="rId3"/>
    <hyperlink xmlns:r="http://schemas.openxmlformats.org/officeDocument/2006/relationships" ref="G29" r:id="rId4"/>
    <hyperlink xmlns:r="http://schemas.openxmlformats.org/officeDocument/2006/relationships" ref="G30" r:id="rId5"/>
    <hyperlink xmlns:r="http://schemas.openxmlformats.org/officeDocument/2006/relationships" ref="G31" r:id="rId6"/>
    <hyperlink xmlns:r="http://schemas.openxmlformats.org/officeDocument/2006/relationships" ref="G32" r:id="rId7"/>
    <hyperlink xmlns:r="http://schemas.openxmlformats.org/officeDocument/2006/relationships" ref="G33" r:id="rId8"/>
    <hyperlink xmlns:r="http://schemas.openxmlformats.org/officeDocument/2006/relationships" ref="G34" r:id="rId9"/>
    <hyperlink xmlns:r="http://schemas.openxmlformats.org/officeDocument/2006/relationships" ref="G35" r:id="rId10"/>
    <hyperlink xmlns:r="http://schemas.openxmlformats.org/officeDocument/2006/relationships" ref="G36" r:id="rId11"/>
    <hyperlink xmlns:r="http://schemas.openxmlformats.org/officeDocument/2006/relationships" ref="G37" r:id="rId12"/>
    <hyperlink xmlns:r="http://schemas.openxmlformats.org/officeDocument/2006/relationships" ref="G38" r:id="rId13"/>
  </hyperlink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0F5E5E"/>
    <outlinePr summaryBelow="1" summaryRight="1"/>
    <pageSetUpPr/>
  </sheetPr>
  <dimension ref="A1:Q40"/>
  <sheetViews>
    <sheetView showGridLines="0" workbookViewId="0">
      <selection activeCell="A1" sqref="A1"/>
    </sheetView>
  </sheetViews>
  <sheetFormatPr baseColWidth="8" defaultRowHeight="15"/>
  <cols>
    <col width="2.5"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3" customWidth="1" min="12" max="12"/>
    <col width="3" customWidth="1" min="13" max="13"/>
    <col hidden="1" width="13" customWidth="1" min="14" max="14"/>
    <col hidden="1" width="13" customWidth="1" min="15" max="15"/>
    <col hidden="1" width="13" customWidth="1" min="16" max="16"/>
    <col hidden="1" width="13" customWidth="1" min="17" max="17"/>
  </cols>
  <sheetData>
    <row r="1" ht="36" customHeight="1">
      <c r="B1" s="32">
        <f>"🏠 "&amp;IF(ProjName="","My renovation",ProjName)</f>
        <v/>
      </c>
    </row>
    <row r="2" ht="20" customHeight="1">
      <c r="B2" s="2" t="inlineStr">
        <is>
          <t>What this tab does: your renovation at a glance — updated automatically. Nothing to type here.</t>
        </is>
      </c>
      <c r="I2" s="33" t="inlineStr">
        <is>
          <t>As of</t>
        </is>
      </c>
      <c r="J2" s="34">
        <f>AsOf</f>
        <v/>
      </c>
    </row>
    <row r="3">
      <c r="B3" s="3" t="inlineStr">
        <is>
          <t>© 2026 Hang Nguyen — Renovation OS. Licensed to the original purchaser for personal use only. Do not share, copy, resell or redistribute.</t>
        </is>
      </c>
    </row>
    <row r="4" ht="18" customHeight="1">
      <c r="B4" s="35">
        <f>"Working budget ("&amp;CurSym&amp;")"</f>
        <v/>
      </c>
      <c r="C4" s="36" t="n"/>
      <c r="D4" s="35">
        <f>"Committed ("&amp;CurSym&amp;")"</f>
        <v/>
      </c>
      <c r="E4" s="36" t="n"/>
      <c r="F4" s="35">
        <f>"Invoiced ("&amp;CurSym&amp;")"</f>
        <v/>
      </c>
      <c r="G4" s="36" t="n"/>
      <c r="H4" s="35">
        <f>"Paid ("&amp;CurSym&amp;")"</f>
        <v/>
      </c>
      <c r="I4" s="36" t="n"/>
      <c r="J4" s="35">
        <f>"Remaining to commit ("&amp;CurSym&amp;")"</f>
        <v/>
      </c>
      <c r="K4" s="36" t="n"/>
    </row>
    <row r="5" ht="30" customHeight="1">
      <c r="B5" s="37">
        <f>WorkBudget</f>
        <v/>
      </c>
      <c r="C5" s="36" t="n"/>
      <c r="D5" s="37">
        <f>CommittedTotal</f>
        <v/>
      </c>
      <c r="E5" s="36" t="n"/>
      <c r="F5" s="37">
        <f>InvoicedTotal</f>
        <v/>
      </c>
      <c r="G5" s="36" t="n"/>
      <c r="H5" s="37">
        <f>PaidTotal</f>
        <v/>
      </c>
      <c r="I5" s="36" t="n"/>
      <c r="J5" s="37">
        <f>WorkBudget-CommittedTotal</f>
        <v/>
      </c>
      <c r="K5" s="36" t="n"/>
    </row>
    <row r="6" ht="18" customHeight="1">
      <c r="B6" s="38">
        <f>"of "&amp;FIXED(TotalBudget,0)&amp;" total budget"</f>
        <v/>
      </c>
      <c r="C6" s="36" t="n"/>
      <c r="D6" s="38">
        <f>IF(WorkBudget=0,"",ROUND(CommittedTotal/WorkBudget*100,0)&amp;"% of working budget")</f>
        <v/>
      </c>
      <c r="E6" s="36" t="n"/>
      <c r="F6" s="38">
        <f>IF(CommittedTotal=0,"",ROUND(InvoicedTotal/CommittedTotal*100,0)&amp;"% of committed")</f>
        <v/>
      </c>
      <c r="G6" s="36" t="n"/>
      <c r="H6" s="38">
        <f>"Cash needed next 30 days: "&amp;FIXED(Cash30,0)</f>
        <v/>
      </c>
      <c r="I6" s="36" t="n"/>
      <c r="J6" s="38">
        <f>"working budget − committed"</f>
        <v/>
      </c>
      <c r="K6" s="36" t="n"/>
    </row>
    <row r="7" ht="8" customHeight="1"/>
    <row r="8" ht="18" customHeight="1">
      <c r="B8" s="35">
        <f>"Forecast final cost ("&amp;CurSym&amp;")"</f>
        <v/>
      </c>
      <c r="C8" s="36" t="n"/>
      <c r="D8" s="35">
        <f>"Over / under budget ("&amp;CurSym&amp;")"</f>
        <v/>
      </c>
      <c r="E8" s="36" t="n"/>
      <c r="F8" s="39" t="inlineStr">
        <is>
          <t>Contingency used</t>
        </is>
      </c>
      <c r="G8" s="36" t="n"/>
      <c r="H8" s="39" t="inlineStr">
        <is>
          <t>Project day</t>
        </is>
      </c>
      <c r="I8" s="36" t="n"/>
      <c r="J8" s="39" t="inlineStr">
        <is>
          <t>Time elapsed</t>
        </is>
      </c>
      <c r="K8" s="36" t="n"/>
    </row>
    <row r="9" ht="30" customHeight="1">
      <c r="B9" s="37">
        <f>ForecastTotal</f>
        <v/>
      </c>
      <c r="C9" s="36" t="n"/>
      <c r="D9" s="40">
        <f>ForecastTotal-WorkBudget</f>
        <v/>
      </c>
      <c r="E9" s="36" t="n"/>
      <c r="F9" s="41">
        <f>ContUsed</f>
        <v/>
      </c>
      <c r="G9" s="36" t="n"/>
      <c r="H9" s="42">
        <f>IF(OR(ProjStart="",TargetEnd=""),"–","Day "&amp;MAX(0,AsOf-ProjStart+1)&amp;" of "&amp;(TargetEnd-ProjStart+1))</f>
        <v/>
      </c>
      <c r="I9" s="36" t="n"/>
      <c r="J9" s="41">
        <f>IF(OR(ProjStart="",TargetEnd=""),"–",IF(TargetEnd&lt;=ProjStart,"–",MAX(0,MIN(1,(AsOf-ProjStart)/(TargetEnd-ProjStart)))))</f>
        <v/>
      </c>
      <c r="K9" s="36" t="n"/>
    </row>
    <row r="10" ht="18" customHeight="1">
      <c r="B10" s="38">
        <f>"incl. risk: "&amp;FIXED(ForecastRisk,0)</f>
        <v/>
      </c>
      <c r="C10" s="36" t="n"/>
      <c r="D10" s="38">
        <f>IF(ForecastTotal&gt;WorkBudget,"▲ over working budget",IF(ForecastTotal&lt;WorkBudget,"▼ under working budget","exactly on budget"))</f>
        <v/>
      </c>
      <c r="E10" s="36" t="n"/>
      <c r="F10" s="38">
        <f>REPT("█",ROUND(MIN(1,MAX(0,ContUsed))*10,0))&amp;REPT("░",10-ROUND(MIN(1,MAX(0,ContUsed))*10,0))</f>
        <v/>
      </c>
      <c r="G10" s="36" t="n"/>
      <c r="H10" s="38">
        <f>IF(TargetEnd="","set dates on Start Here",IF(TargetEnd&gt;=AsOf,(TargetEnd-AsOf)&amp;" days to target move-in","target date has passed"))</f>
        <v/>
      </c>
      <c r="I10" s="36" t="n"/>
      <c r="J10" s="38">
        <f>IF(J9="–","",REPT("█",ROUND(J9*10,0))&amp;REPT("░",10-ROUND(J9*10,0)))</f>
        <v/>
      </c>
      <c r="K10" s="36" t="n"/>
    </row>
    <row r="11" ht="8" customHeight="1"/>
    <row r="12" ht="18" customHeight="1">
      <c r="B12" s="39" t="inlineStr">
        <is>
          <t>Forecast move-in</t>
        </is>
      </c>
      <c r="C12" s="36" t="n"/>
      <c r="D12" s="39" t="inlineStr">
        <is>
          <t>Open issues</t>
        </is>
      </c>
      <c r="E12" s="36" t="n"/>
      <c r="F12" s="39" t="inlineStr">
        <is>
          <t>Overdue items</t>
        </is>
      </c>
      <c r="G12" s="36" t="n"/>
      <c r="H12" s="39" t="inlineStr">
        <is>
          <t>Decisions waiting</t>
        </is>
      </c>
      <c r="I12" s="36" t="n"/>
      <c r="J12" s="39" t="inlineStr">
        <is>
          <t>Orders due</t>
        </is>
      </c>
      <c r="K12" s="36" t="n"/>
    </row>
    <row r="13" ht="30" customHeight="1">
      <c r="B13" s="43">
        <f>IF(ForecastEnd="","–",ForecastEnd)</f>
        <v/>
      </c>
      <c r="C13" s="36" t="n"/>
      <c r="D13" s="44">
        <f>SUM(OpenIssues)</f>
        <v/>
      </c>
      <c r="E13" s="36" t="n"/>
      <c r="F13" s="44">
        <f>OverdueCount</f>
        <v/>
      </c>
      <c r="G13" s="36" t="n"/>
      <c r="H13" s="44">
        <f>DecisionsWaiting</f>
        <v/>
      </c>
      <c r="I13" s="36" t="n"/>
      <c r="J13" s="44">
        <f>OrdersDue+OrdersLate</f>
        <v/>
      </c>
      <c r="K13" s="36" t="n"/>
    </row>
    <row r="14" ht="18" customHeight="1">
      <c r="B14" s="38">
        <f>IF(OR(ForecastEnd="",TargetEnd=""),"",IF(ForecastEnd&gt;TargetEnd,(ForecastEnd-TargetEnd)&amp;" days after target",IF(ForecastEnd&lt;TargetEnd,(TargetEnd-ForecastEnd)&amp;" days before target","on target")))</f>
        <v/>
      </c>
      <c r="C14" s="36" t="n"/>
      <c r="D14" s="38">
        <f>OpenHigh&amp;" high severity"</f>
        <v/>
      </c>
      <c r="E14" s="36" t="n"/>
      <c r="F14" s="38">
        <f>"of "&amp;AlertCount&amp;" alerts in total"</f>
        <v/>
      </c>
      <c r="G14" s="36" t="n"/>
      <c r="H14" s="38">
        <f>"see Selections &amp; Orders"</f>
        <v/>
      </c>
      <c r="I14" s="36" t="n"/>
      <c r="J14" s="38">
        <f>OrdersLate&amp;" already late"</f>
        <v/>
      </c>
      <c r="K14" s="36" t="n"/>
    </row>
    <row r="15" ht="8" customHeight="1"/>
    <row r="16">
      <c r="B16" s="4" t="inlineStr">
        <is>
          <t>RENOVATION HEALTH</t>
        </is>
      </c>
      <c r="C16" s="5" t="n"/>
      <c r="D16" s="5" t="n"/>
      <c r="E16" s="5" t="n"/>
      <c r="F16" s="5" t="n"/>
      <c r="G16" s="5" t="n"/>
      <c r="H16" s="5" t="n"/>
      <c r="I16" s="5" t="n"/>
      <c r="J16" s="5" t="n"/>
      <c r="K16" s="5" t="n"/>
    </row>
    <row r="17" ht="36" customHeight="1">
      <c r="B17" s="45">
        <f>IF(N17=0,"🟢  ON TRACK",IF(N17=1,"🟡  NEEDS ATTENTION","🔴  ACTION REQUIRED"))</f>
        <v/>
      </c>
      <c r="N17" s="46">
        <f>MAX(N18:N23)</f>
        <v/>
      </c>
    </row>
    <row r="18" ht="24" customHeight="1">
      <c r="B18" s="47" t="inlineStr">
        <is>
          <t>Budget</t>
        </is>
      </c>
      <c r="C18" s="48" t="n"/>
      <c r="D18" s="49">
        <f>IF(N18=0,"🟢",IF(N18=1,"🟡","🔴"))</f>
        <v/>
      </c>
      <c r="E18" s="50">
        <f>"Forecast "&amp;CurSym&amp;" "&amp;FIXED(ForecastTotal,0)&amp;" vs working budget "&amp;CurSym&amp;" "&amp;FIXED(WorkBudget,0)&amp;IF(N18=0,"  — within budget",IF(N18=1,"  — eating into contingency","  — above your TOTAL budget!"))</f>
        <v/>
      </c>
      <c r="F18" s="48" t="n"/>
      <c r="G18" s="48" t="n"/>
      <c r="H18" s="48" t="n"/>
      <c r="I18" s="48" t="n"/>
      <c r="J18" s="48" t="n"/>
      <c r="K18" s="48" t="n"/>
      <c r="N18" s="46">
        <f>IF(ForecastTotal&lt;=WorkBudget,0,IF(ForecastTotal&lt;=TotalBudget,1,2))</f>
        <v/>
      </c>
    </row>
    <row r="19" ht="24" customHeight="1">
      <c r="B19" s="47" t="inlineStr">
        <is>
          <t>Timeline</t>
        </is>
      </c>
      <c r="C19" s="48" t="n"/>
      <c r="D19" s="49">
        <f>IF(N19=0,"🟢",IF(N19=1,"🟡","🔴"))</f>
        <v/>
      </c>
      <c r="E19" s="50">
        <f>IF(ForecastEnd="","Add a project start date and tasks",IF(O19&gt;0,O19&amp;" late task(s) that other tasks depend on · ","")&amp;"forecast move-in "&amp;IF(TargetEnd="","",IF(ForecastEnd&gt;TargetEnd,(ForecastEnd-TargetEnd)&amp;" days after target","on or before target")))</f>
        <v/>
      </c>
      <c r="F19" s="48" t="n"/>
      <c r="G19" s="48" t="n"/>
      <c r="H19" s="48" t="n"/>
      <c r="I19" s="48" t="n"/>
      <c r="J19" s="48" t="n"/>
      <c r="K19" s="48" t="n"/>
      <c r="N19" s="46">
        <f>IF(O19&gt;0,2,IF(OR(ForecastEnd="",TargetEnd=""),0,IF(ForecastEnd&gt;TargetEnd+14,2,IF(ForecastEnd&gt;TargetEnd,1,0))))</f>
        <v/>
      </c>
      <c r="O19" s="46">
        <f>COUNTIFS('Timeline'!$Q$7:$Q$156,3,'Timeline'!$O$7:$O$156,"&gt;=1")</f>
        <v/>
      </c>
    </row>
    <row r="20" ht="24" customHeight="1">
      <c r="B20" s="47" t="inlineStr">
        <is>
          <t>Contractors &amp; payments</t>
        </is>
      </c>
      <c r="C20" s="48" t="n"/>
      <c r="D20" s="49">
        <f>IF(N20=0,"🟢",IF(N20=1,"🟡","🔴"))</f>
        <v/>
      </c>
      <c r="E20" s="50">
        <f>O20&amp;" overdue payment(s) · "&amp;P20&amp;" paying-ahead warning(s) · "&amp;Q20&amp;" payment(s) due within "&amp;AlertDays&amp;" days"</f>
        <v/>
      </c>
      <c r="F20" s="48" t="n"/>
      <c r="G20" s="48" t="n"/>
      <c r="H20" s="48" t="n"/>
      <c r="I20" s="48" t="n"/>
      <c r="J20" s="48" t="n"/>
      <c r="K20" s="48" t="n"/>
      <c r="N20" s="46">
        <f>IF(OR(O20&gt;0,P20&gt;0),2,IF(Q20&gt;0,1,0))</f>
        <v/>
      </c>
      <c r="O20" s="46">
        <f>COUNTIF('Payments'!$O$6:$O$205,"OVERDUE")</f>
        <v/>
      </c>
      <c r="P20" s="46">
        <f>COUNTIF('Contractors'!$V$6:$V$35,2)</f>
        <v/>
      </c>
      <c r="Q20" s="46">
        <f>COUNTIF('Payments'!$R$6:$R$205,1)</f>
        <v/>
      </c>
    </row>
    <row r="21" ht="24" customHeight="1">
      <c r="B21" s="47" t="inlineStr">
        <is>
          <t>Materials</t>
        </is>
      </c>
      <c r="C21" s="48" t="n"/>
      <c r="D21" s="49">
        <f>IF(N21=0,"🟢",IF(N21=1,"🟡","🔴"))</f>
        <v/>
      </c>
      <c r="E21" s="50">
        <f>OrdersLate&amp;" late order(s) · "&amp;DeliveriesLate&amp;" delivery after install date · "&amp;OrdersDue&amp;" order(s) due within "&amp;AlertDays&amp;" days"</f>
        <v/>
      </c>
      <c r="F21" s="48" t="n"/>
      <c r="G21" s="48" t="n"/>
      <c r="H21" s="48" t="n"/>
      <c r="I21" s="48" t="n"/>
      <c r="J21" s="48" t="n"/>
      <c r="K21" s="48" t="n"/>
      <c r="N21" s="46">
        <f>IF(OrdersLate+DeliveriesLate&gt;0,2,IF(OrdersDue&gt;0,1,0))</f>
        <v/>
      </c>
    </row>
    <row r="22" ht="24" customHeight="1">
      <c r="B22" s="47" t="inlineStr">
        <is>
          <t>Decisions</t>
        </is>
      </c>
      <c r="C22" s="48" t="n"/>
      <c r="D22" s="49">
        <f>IF(N22=0,"🟢",IF(N22=1,"🟡","🔴"))</f>
        <v/>
      </c>
      <c r="E22" s="50">
        <f>O22&amp;" decision(s) past decide-by date · "&amp;P22&amp;" due within "&amp;AlertDays&amp;" days"</f>
        <v/>
      </c>
      <c r="F22" s="48" t="n"/>
      <c r="G22" s="48" t="n"/>
      <c r="H22" s="48" t="n"/>
      <c r="I22" s="48" t="n"/>
      <c r="J22" s="48" t="n"/>
      <c r="K22" s="48" t="n"/>
      <c r="N22" s="46">
        <f>IF(O22&gt;0,2,IF(P22&gt;0,1,0))</f>
        <v/>
      </c>
      <c r="O22" s="46">
        <f>SUM('Selections &amp; Orders'!$AE$8:$AE$157)</f>
        <v/>
      </c>
      <c r="P22" s="46">
        <f>SUM('Selections &amp; Orders'!$AF$8:$AF$157)</f>
        <v/>
      </c>
    </row>
    <row r="23" ht="24" customHeight="1">
      <c r="B23" s="47" t="inlineStr">
        <is>
          <t>Issues</t>
        </is>
      </c>
      <c r="C23" s="48" t="n"/>
      <c r="D23" s="49">
        <f>IF(N23=0,"🟢",IF(N23=1,"🟡","🔴"))</f>
        <v/>
      </c>
      <c r="E23" s="50">
        <f>OpenHigh&amp;" open high-severity · "&amp;SUM(OpenIssues)&amp;" open in total"</f>
        <v/>
      </c>
      <c r="F23" s="48" t="n"/>
      <c r="G23" s="48" t="n"/>
      <c r="H23" s="48" t="n"/>
      <c r="I23" s="48" t="n"/>
      <c r="J23" s="48" t="n"/>
      <c r="K23" s="48" t="n"/>
      <c r="N23" s="46">
        <f>IF(OpenHigh&gt;0,2,IF(SUM(OpenIssues)&gt;0,1,0))</f>
        <v/>
      </c>
    </row>
    <row r="24"/>
    <row r="25">
      <c r="B25" s="4" t="inlineStr">
        <is>
          <t>YOUR NEXT ACTIONS — ranked by urgency</t>
        </is>
      </c>
      <c r="C25" s="5" t="n"/>
      <c r="D25" s="5" t="n"/>
      <c r="E25" s="5" t="n"/>
      <c r="F25" s="5" t="n"/>
      <c r="G25" s="5" t="n"/>
      <c r="H25" s="5" t="n"/>
      <c r="I25" s="5" t="n"/>
      <c r="J25" s="5" t="n"/>
      <c r="K25" s="5" t="n"/>
    </row>
    <row r="26" ht="32" customHeight="1">
      <c r="B26" s="51">
        <f>IF(AlertCount=0,"🟢  Nothing needs your attention right now",IF(UrgentCount&gt;0,"🔴  ","🟡  ")&amp;AlertCount&amp;IF(AlertCount=1," ACTION NEEDS"," ACTIONS NEED")&amp;" YOUR ATTENTION")</f>
        <v/>
      </c>
      <c r="N26" s="46">
        <f>IF(AlertCount=0,0,IF(UrgentCount&gt;0,2,1))</f>
        <v/>
      </c>
    </row>
    <row r="27">
      <c r="B27" s="52" t="inlineStr">
        <is>
          <t>#</t>
        </is>
      </c>
      <c r="C27" s="52" t="inlineStr">
        <is>
          <t>Priority</t>
        </is>
      </c>
      <c r="D27" s="52" t="inlineStr">
        <is>
          <t>What to do</t>
        </is>
      </c>
      <c r="H27" s="52" t="inlineStr">
        <is>
          <t>Where</t>
        </is>
      </c>
      <c r="J27" s="52" t="inlineStr">
        <is>
          <t>Due</t>
        </is>
      </c>
      <c r="K27" s="52" t="inlineStr">
        <is>
          <t>When</t>
        </is>
      </c>
    </row>
    <row r="28" ht="30" customHeight="1">
      <c r="B28" s="53">
        <f>IF('Engine'!L2="","",1)</f>
        <v/>
      </c>
      <c r="C28" s="54">
        <f>IF(O28="","",IF(O28=1,"🔴 Urgent",IF(O28=2,"🟡 This week","🔵 Upcoming")))</f>
        <v/>
      </c>
      <c r="D28" s="55">
        <f>IF('Engine'!L2="","",'Engine'!L2)</f>
        <v/>
      </c>
      <c r="H28" s="56">
        <f>IF('Engine'!K2="","",'Engine'!K2)</f>
        <v/>
      </c>
      <c r="J28" s="57">
        <f>IF('Engine'!M2="","",'Engine'!M2)</f>
        <v/>
      </c>
      <c r="K28" s="54">
        <f>IF(J28="","",IF(J28&lt;AsOf,(AsOf-J28)&amp;IF(AsOf-J28=1," day"," days")&amp;" overdue",IF(J28=AsOf,"today","in "&amp;(J28-AsOf)&amp;IF(J28-AsOf=1," day"," days"))))</f>
        <v/>
      </c>
      <c r="O28" s="46">
        <f>'Engine'!N2</f>
        <v/>
      </c>
    </row>
    <row r="29" ht="30" customHeight="1">
      <c r="B29" s="53">
        <f>IF('Engine'!L3="","",2)</f>
        <v/>
      </c>
      <c r="C29" s="54">
        <f>IF(O29="","",IF(O29=1,"🔴 Urgent",IF(O29=2,"🟡 This week","🔵 Upcoming")))</f>
        <v/>
      </c>
      <c r="D29" s="55">
        <f>IF('Engine'!L3="","",'Engine'!L3)</f>
        <v/>
      </c>
      <c r="H29" s="56">
        <f>IF('Engine'!K3="","",'Engine'!K3)</f>
        <v/>
      </c>
      <c r="J29" s="57">
        <f>IF('Engine'!M3="","",'Engine'!M3)</f>
        <v/>
      </c>
      <c r="K29" s="54">
        <f>IF(J29="","",IF(J29&lt;AsOf,(AsOf-J29)&amp;IF(AsOf-J29=1," day"," days")&amp;" overdue",IF(J29=AsOf,"today","in "&amp;(J29-AsOf)&amp;IF(J29-AsOf=1," day"," days"))))</f>
        <v/>
      </c>
      <c r="O29" s="46">
        <f>'Engine'!N3</f>
        <v/>
      </c>
    </row>
    <row r="30" ht="30" customHeight="1">
      <c r="B30" s="53">
        <f>IF('Engine'!L4="","",3)</f>
        <v/>
      </c>
      <c r="C30" s="54">
        <f>IF(O30="","",IF(O30=1,"🔴 Urgent",IF(O30=2,"🟡 This week","🔵 Upcoming")))</f>
        <v/>
      </c>
      <c r="D30" s="55">
        <f>IF('Engine'!L4="","",'Engine'!L4)</f>
        <v/>
      </c>
      <c r="H30" s="56">
        <f>IF('Engine'!K4="","",'Engine'!K4)</f>
        <v/>
      </c>
      <c r="J30" s="57">
        <f>IF('Engine'!M4="","",'Engine'!M4)</f>
        <v/>
      </c>
      <c r="K30" s="54">
        <f>IF(J30="","",IF(J30&lt;AsOf,(AsOf-J30)&amp;IF(AsOf-J30=1," day"," days")&amp;" overdue",IF(J30=AsOf,"today","in "&amp;(J30-AsOf)&amp;IF(J30-AsOf=1," day"," days"))))</f>
        <v/>
      </c>
      <c r="O30" s="46">
        <f>'Engine'!N4</f>
        <v/>
      </c>
    </row>
    <row r="31" ht="30" customHeight="1">
      <c r="B31" s="53">
        <f>IF('Engine'!L5="","",4)</f>
        <v/>
      </c>
      <c r="C31" s="54">
        <f>IF(O31="","",IF(O31=1,"🔴 Urgent",IF(O31=2,"🟡 This week","🔵 Upcoming")))</f>
        <v/>
      </c>
      <c r="D31" s="55">
        <f>IF('Engine'!L5="","",'Engine'!L5)</f>
        <v/>
      </c>
      <c r="H31" s="56">
        <f>IF('Engine'!K5="","",'Engine'!K5)</f>
        <v/>
      </c>
      <c r="J31" s="57">
        <f>IF('Engine'!M5="","",'Engine'!M5)</f>
        <v/>
      </c>
      <c r="K31" s="54">
        <f>IF(J31="","",IF(J31&lt;AsOf,(AsOf-J31)&amp;IF(AsOf-J31=1," day"," days")&amp;" overdue",IF(J31=AsOf,"today","in "&amp;(J31-AsOf)&amp;IF(J31-AsOf=1," day"," days"))))</f>
        <v/>
      </c>
      <c r="O31" s="46">
        <f>'Engine'!N5</f>
        <v/>
      </c>
    </row>
    <row r="32" ht="30" customHeight="1">
      <c r="B32" s="53">
        <f>IF('Engine'!L6="","",5)</f>
        <v/>
      </c>
      <c r="C32" s="54">
        <f>IF(O32="","",IF(O32=1,"🔴 Urgent",IF(O32=2,"🟡 This week","🔵 Upcoming")))</f>
        <v/>
      </c>
      <c r="D32" s="55">
        <f>IF('Engine'!L6="","",'Engine'!L6)</f>
        <v/>
      </c>
      <c r="H32" s="56">
        <f>IF('Engine'!K6="","",'Engine'!K6)</f>
        <v/>
      </c>
      <c r="J32" s="57">
        <f>IF('Engine'!M6="","",'Engine'!M6)</f>
        <v/>
      </c>
      <c r="K32" s="54">
        <f>IF(J32="","",IF(J32&lt;AsOf,(AsOf-J32)&amp;IF(AsOf-J32=1," day"," days")&amp;" overdue",IF(J32=AsOf,"today","in "&amp;(J32-AsOf)&amp;IF(J32-AsOf=1," day"," days"))))</f>
        <v/>
      </c>
      <c r="O32" s="46">
        <f>'Engine'!N6</f>
        <v/>
      </c>
    </row>
    <row r="33" ht="30" customHeight="1">
      <c r="B33" s="53">
        <f>IF('Engine'!L7="","",6)</f>
        <v/>
      </c>
      <c r="C33" s="54">
        <f>IF(O33="","",IF(O33=1,"🔴 Urgent",IF(O33=2,"🟡 This week","🔵 Upcoming")))</f>
        <v/>
      </c>
      <c r="D33" s="55">
        <f>IF('Engine'!L7="","",'Engine'!L7)</f>
        <v/>
      </c>
      <c r="H33" s="56">
        <f>IF('Engine'!K7="","",'Engine'!K7)</f>
        <v/>
      </c>
      <c r="J33" s="57">
        <f>IF('Engine'!M7="","",'Engine'!M7)</f>
        <v/>
      </c>
      <c r="K33" s="54">
        <f>IF(J33="","",IF(J33&lt;AsOf,(AsOf-J33)&amp;IF(AsOf-J33=1," day"," days")&amp;" overdue",IF(J33=AsOf,"today","in "&amp;(J33-AsOf)&amp;IF(J33-AsOf=1," day"," days"))))</f>
        <v/>
      </c>
      <c r="O33" s="46">
        <f>'Engine'!N7</f>
        <v/>
      </c>
    </row>
    <row r="34" ht="30" customHeight="1">
      <c r="B34" s="53">
        <f>IF('Engine'!L8="","",7)</f>
        <v/>
      </c>
      <c r="C34" s="54">
        <f>IF(O34="","",IF(O34=1,"🔴 Urgent",IF(O34=2,"🟡 This week","🔵 Upcoming")))</f>
        <v/>
      </c>
      <c r="D34" s="55">
        <f>IF('Engine'!L8="","",'Engine'!L8)</f>
        <v/>
      </c>
      <c r="H34" s="56">
        <f>IF('Engine'!K8="","",'Engine'!K8)</f>
        <v/>
      </c>
      <c r="J34" s="57">
        <f>IF('Engine'!M8="","",'Engine'!M8)</f>
        <v/>
      </c>
      <c r="K34" s="54">
        <f>IF(J34="","",IF(J34&lt;AsOf,(AsOf-J34)&amp;IF(AsOf-J34=1," day"," days")&amp;" overdue",IF(J34=AsOf,"today","in "&amp;(J34-AsOf)&amp;IF(J34-AsOf=1," day"," days"))))</f>
        <v/>
      </c>
      <c r="O34" s="46">
        <f>'Engine'!N8</f>
        <v/>
      </c>
    </row>
    <row r="35" ht="30" customHeight="1">
      <c r="B35" s="53">
        <f>IF('Engine'!L9="","",8)</f>
        <v/>
      </c>
      <c r="C35" s="54">
        <f>IF(O35="","",IF(O35=1,"🔴 Urgent",IF(O35=2,"🟡 This week","🔵 Upcoming")))</f>
        <v/>
      </c>
      <c r="D35" s="55">
        <f>IF('Engine'!L9="","",'Engine'!L9)</f>
        <v/>
      </c>
      <c r="H35" s="56">
        <f>IF('Engine'!K9="","",'Engine'!K9)</f>
        <v/>
      </c>
      <c r="J35" s="57">
        <f>IF('Engine'!M9="","",'Engine'!M9)</f>
        <v/>
      </c>
      <c r="K35" s="54">
        <f>IF(J35="","",IF(J35&lt;AsOf,(AsOf-J35)&amp;IF(AsOf-J35=1," day"," days")&amp;" overdue",IF(J35=AsOf,"today","in "&amp;(J35-AsOf)&amp;IF(J35-AsOf=1," day"," days"))))</f>
        <v/>
      </c>
      <c r="O35" s="46">
        <f>'Engine'!N9</f>
        <v/>
      </c>
    </row>
    <row r="36" ht="30" customHeight="1">
      <c r="B36" s="53">
        <f>IF('Engine'!L10="","",9)</f>
        <v/>
      </c>
      <c r="C36" s="54">
        <f>IF(O36="","",IF(O36=1,"🔴 Urgent",IF(O36=2,"🟡 This week","🔵 Upcoming")))</f>
        <v/>
      </c>
      <c r="D36" s="55">
        <f>IF('Engine'!L10="","",'Engine'!L10)</f>
        <v/>
      </c>
      <c r="H36" s="56">
        <f>IF('Engine'!K10="","",'Engine'!K10)</f>
        <v/>
      </c>
      <c r="J36" s="57">
        <f>IF('Engine'!M10="","",'Engine'!M10)</f>
        <v/>
      </c>
      <c r="K36" s="54">
        <f>IF(J36="","",IF(J36&lt;AsOf,(AsOf-J36)&amp;IF(AsOf-J36=1," day"," days")&amp;" overdue",IF(J36=AsOf,"today","in "&amp;(J36-AsOf)&amp;IF(J36-AsOf=1," day"," days"))))</f>
        <v/>
      </c>
      <c r="O36" s="46">
        <f>'Engine'!N10</f>
        <v/>
      </c>
    </row>
    <row r="37" ht="30" customHeight="1">
      <c r="B37" s="53">
        <f>IF('Engine'!L11="","",10)</f>
        <v/>
      </c>
      <c r="C37" s="54">
        <f>IF(O37="","",IF(O37=1,"🔴 Urgent",IF(O37=2,"🟡 This week","🔵 Upcoming")))</f>
        <v/>
      </c>
      <c r="D37" s="55">
        <f>IF('Engine'!L11="","",'Engine'!L11)</f>
        <v/>
      </c>
      <c r="H37" s="56">
        <f>IF('Engine'!K11="","",'Engine'!K11)</f>
        <v/>
      </c>
      <c r="J37" s="57">
        <f>IF('Engine'!M11="","",'Engine'!M11)</f>
        <v/>
      </c>
      <c r="K37" s="54">
        <f>IF(J37="","",IF(J37&lt;AsOf,(AsOf-J37)&amp;IF(AsOf-J37=1," day"," days")&amp;" overdue",IF(J37=AsOf,"today","in "&amp;(J37-AsOf)&amp;IF(J37-AsOf=1," day"," days"))))</f>
        <v/>
      </c>
      <c r="O37" s="46">
        <f>'Engine'!N11</f>
        <v/>
      </c>
    </row>
    <row r="38">
      <c r="B38" s="58">
        <f>IF(AlertCount&gt;10,"+ "&amp;(AlertCount-10)&amp;" more — see This Week and in each tab.","")</f>
        <v/>
      </c>
    </row>
    <row r="39"/>
    <row r="40">
      <c r="B40" s="4" t="inlineStr">
        <is>
          <t>CHARTS</t>
        </is>
      </c>
      <c r="C40" s="5" t="n"/>
      <c r="D40" s="5" t="n"/>
      <c r="E40" s="5" t="n"/>
      <c r="F40" s="5" t="n"/>
      <c r="G40" s="5" t="n"/>
      <c r="H40" s="5" t="n"/>
      <c r="I40" s="5" t="n"/>
      <c r="J40" s="5" t="n"/>
      <c r="K40" s="5" t="n"/>
    </row>
  </sheetData>
  <sheetProtection selectLockedCells="1" selectUnlockedCells="0" sheet="1" objects="0" insertRows="1" insertHyperlinks="1" autoFilter="1" scenarios="0" formatColumns="0" deleteColumns="1" insertColumns="1" pivotTables="1" deleteRows="1" formatCells="1" formatRows="0" sort="1" password="CD61"/>
  <mergeCells count="81">
    <mergeCell ref="H35:I35"/>
    <mergeCell ref="H10:I10"/>
    <mergeCell ref="J10:K10"/>
    <mergeCell ref="B22:C22"/>
    <mergeCell ref="H9:I9"/>
    <mergeCell ref="J9:K9"/>
    <mergeCell ref="B12:C12"/>
    <mergeCell ref="D6:E6"/>
    <mergeCell ref="B21:C21"/>
    <mergeCell ref="E22:K22"/>
    <mergeCell ref="D13:E13"/>
    <mergeCell ref="B14:C14"/>
    <mergeCell ref="B13:C13"/>
    <mergeCell ref="J4:K4"/>
    <mergeCell ref="D31:G31"/>
    <mergeCell ref="D4:E4"/>
    <mergeCell ref="H37:I37"/>
    <mergeCell ref="F13:G13"/>
    <mergeCell ref="H13:I13"/>
    <mergeCell ref="B17:K17"/>
    <mergeCell ref="D10:E10"/>
    <mergeCell ref="F10:G10"/>
    <mergeCell ref="F6:G6"/>
    <mergeCell ref="D33:G33"/>
    <mergeCell ref="B18:C18"/>
    <mergeCell ref="H34:I34"/>
    <mergeCell ref="E18:K18"/>
    <mergeCell ref="D35:G35"/>
    <mergeCell ref="F5:G5"/>
    <mergeCell ref="D34:G34"/>
    <mergeCell ref="H36:I36"/>
    <mergeCell ref="D36:G36"/>
    <mergeCell ref="E20:K20"/>
    <mergeCell ref="H28:I28"/>
    <mergeCell ref="D9:E9"/>
    <mergeCell ref="F9:G9"/>
    <mergeCell ref="B6:C6"/>
    <mergeCell ref="H12:I12"/>
    <mergeCell ref="J12:K12"/>
    <mergeCell ref="H5:I5"/>
    <mergeCell ref="H14:I14"/>
    <mergeCell ref="D37:G37"/>
    <mergeCell ref="F4:G4"/>
    <mergeCell ref="D29:G29"/>
    <mergeCell ref="H31:I31"/>
    <mergeCell ref="F8:G8"/>
    <mergeCell ref="B19:C19"/>
    <mergeCell ref="B9:C9"/>
    <mergeCell ref="D27:G27"/>
    <mergeCell ref="E19:K19"/>
    <mergeCell ref="D12:E12"/>
    <mergeCell ref="B5:C5"/>
    <mergeCell ref="B20:C20"/>
    <mergeCell ref="D5:E5"/>
    <mergeCell ref="D14:E14"/>
    <mergeCell ref="F14:G14"/>
    <mergeCell ref="B4:C4"/>
    <mergeCell ref="H30:I30"/>
    <mergeCell ref="D28:G28"/>
    <mergeCell ref="J5:K5"/>
    <mergeCell ref="H29:I29"/>
    <mergeCell ref="J14:K14"/>
    <mergeCell ref="D30:G30"/>
    <mergeCell ref="H4:I4"/>
    <mergeCell ref="J13:K13"/>
    <mergeCell ref="F12:G12"/>
    <mergeCell ref="H6:I6"/>
    <mergeCell ref="J6:K6"/>
    <mergeCell ref="B26:K26"/>
    <mergeCell ref="E21:K21"/>
    <mergeCell ref="B23:C23"/>
    <mergeCell ref="B8:C8"/>
    <mergeCell ref="E23:K23"/>
    <mergeCell ref="H32:I32"/>
    <mergeCell ref="B10:C10"/>
    <mergeCell ref="H27:I27"/>
    <mergeCell ref="D32:G32"/>
    <mergeCell ref="D8:E8"/>
    <mergeCell ref="H33:I33"/>
    <mergeCell ref="H8:I8"/>
    <mergeCell ref="J8:K8"/>
  </mergeCells>
  <conditionalFormatting sqref="D9">
    <cfRule type="expression" priority="1" dxfId="0" stopIfTrue="0">
      <formula>D9&gt;0</formula>
    </cfRule>
    <cfRule type="expression" priority="2" dxfId="1" stopIfTrue="0">
      <formula>D9&lt;=0</formula>
    </cfRule>
  </conditionalFormatting>
  <conditionalFormatting sqref="F9">
    <cfRule type="expression" priority="3" dxfId="0" stopIfTrue="0">
      <formula>F9&gt;0.75</formula>
    </cfRule>
    <cfRule type="expression" priority="4" dxfId="2" stopIfTrue="0">
      <formula>AND(F9&gt;0.5,F9&lt;=0.75)</formula>
    </cfRule>
  </conditionalFormatting>
  <conditionalFormatting sqref="B13">
    <cfRule type="expression" priority="5" dxfId="0" stopIfTrue="0">
      <formula>AND(B13&lt;&gt;"–",TargetEnd&lt;&gt;"",B13&gt;TargetEnd)</formula>
    </cfRule>
  </conditionalFormatting>
  <conditionalFormatting sqref="F13">
    <cfRule type="expression" priority="6" dxfId="0" stopIfTrue="0">
      <formula>F13&gt;0</formula>
    </cfRule>
  </conditionalFormatting>
  <conditionalFormatting sqref="D13">
    <cfRule type="expression" priority="7" dxfId="0" stopIfTrue="0">
      <formula>OpenHigh&gt;0</formula>
    </cfRule>
  </conditionalFormatting>
  <conditionalFormatting sqref="H13">
    <cfRule type="expression" priority="8" dxfId="2" stopIfTrue="0">
      <formula>H13&gt;0</formula>
    </cfRule>
  </conditionalFormatting>
  <conditionalFormatting sqref="J13">
    <cfRule type="expression" priority="9" dxfId="0" stopIfTrue="0">
      <formula>OrdersLate&gt;0</formula>
    </cfRule>
    <cfRule type="expression" priority="10" dxfId="2" stopIfTrue="0">
      <formula>J13&gt;0</formula>
    </cfRule>
  </conditionalFormatting>
  <conditionalFormatting sqref="B17">
    <cfRule type="expression" priority="11" dxfId="0" stopIfTrue="0">
      <formula>$N$17=2</formula>
    </cfRule>
    <cfRule type="expression" priority="12" dxfId="2" stopIfTrue="0">
      <formula>$N$17=1</formula>
    </cfRule>
    <cfRule type="expression" priority="13" dxfId="3" stopIfTrue="0">
      <formula>$N$17=0</formula>
    </cfRule>
  </conditionalFormatting>
  <conditionalFormatting sqref="D18">
    <cfRule type="expression" priority="14" dxfId="0" stopIfTrue="0">
      <formula>$N$18=2</formula>
    </cfRule>
    <cfRule type="expression" priority="15" dxfId="2" stopIfTrue="0">
      <formula>$N$18=1</formula>
    </cfRule>
    <cfRule type="expression" priority="16" dxfId="3" stopIfTrue="0">
      <formula>$N$18=0</formula>
    </cfRule>
  </conditionalFormatting>
  <conditionalFormatting sqref="D19">
    <cfRule type="expression" priority="17" dxfId="0" stopIfTrue="0">
      <formula>$N$19=2</formula>
    </cfRule>
    <cfRule type="expression" priority="18" dxfId="2" stopIfTrue="0">
      <formula>$N$19=1</formula>
    </cfRule>
    <cfRule type="expression" priority="19" dxfId="3" stopIfTrue="0">
      <formula>$N$19=0</formula>
    </cfRule>
  </conditionalFormatting>
  <conditionalFormatting sqref="D20">
    <cfRule type="expression" priority="20" dxfId="0" stopIfTrue="0">
      <formula>$N$20=2</formula>
    </cfRule>
    <cfRule type="expression" priority="21" dxfId="2" stopIfTrue="0">
      <formula>$N$20=1</formula>
    </cfRule>
    <cfRule type="expression" priority="22" dxfId="3" stopIfTrue="0">
      <formula>$N$20=0</formula>
    </cfRule>
  </conditionalFormatting>
  <conditionalFormatting sqref="D21">
    <cfRule type="expression" priority="23" dxfId="0" stopIfTrue="0">
      <formula>$N$21=2</formula>
    </cfRule>
    <cfRule type="expression" priority="24" dxfId="2" stopIfTrue="0">
      <formula>$N$21=1</formula>
    </cfRule>
    <cfRule type="expression" priority="25" dxfId="3" stopIfTrue="0">
      <formula>$N$21=0</formula>
    </cfRule>
  </conditionalFormatting>
  <conditionalFormatting sqref="D22">
    <cfRule type="expression" priority="26" dxfId="0" stopIfTrue="0">
      <formula>$N$22=2</formula>
    </cfRule>
    <cfRule type="expression" priority="27" dxfId="2" stopIfTrue="0">
      <formula>$N$22=1</formula>
    </cfRule>
    <cfRule type="expression" priority="28" dxfId="3" stopIfTrue="0">
      <formula>$N$22=0</formula>
    </cfRule>
  </conditionalFormatting>
  <conditionalFormatting sqref="D23">
    <cfRule type="expression" priority="29" dxfId="0" stopIfTrue="0">
      <formula>$N$23=2</formula>
    </cfRule>
    <cfRule type="expression" priority="30" dxfId="2" stopIfTrue="0">
      <formula>$N$23=1</formula>
    </cfRule>
    <cfRule type="expression" priority="31" dxfId="3" stopIfTrue="0">
      <formula>$N$23=0</formula>
    </cfRule>
  </conditionalFormatting>
  <conditionalFormatting sqref="B26">
    <cfRule type="expression" priority="32" dxfId="0" stopIfTrue="0">
      <formula>$N$26=2</formula>
    </cfRule>
    <cfRule type="expression" priority="33" dxfId="2" stopIfTrue="0">
      <formula>$N$26=1</formula>
    </cfRule>
    <cfRule type="expression" priority="34" dxfId="3" stopIfTrue="0">
      <formula>$N$26=0</formula>
    </cfRule>
  </conditionalFormatting>
  <conditionalFormatting sqref="C28:C37">
    <cfRule type="expression" priority="35" dxfId="0" stopIfTrue="0">
      <formula>$O28=1</formula>
    </cfRule>
    <cfRule type="expression" priority="36" dxfId="2" stopIfTrue="0">
      <formula>$O28=2</formula>
    </cfRule>
    <cfRule type="expression" priority="37" dxfId="4" stopIfTrue="0">
      <formula>$O28=3</formula>
    </cfRule>
  </conditionalFormatting>
  <conditionalFormatting sqref="K28:K37">
    <cfRule type="expression" priority="38" dxfId="0" stopIfTrue="0">
      <formula>$O28=1</formula>
    </cfRule>
  </conditionalFormatting>
  <pageMargins left="0.75" right="0.75" top="1" bottom="1" header="0.5" footer="0.5"/>
  <headerFooter>
    <oddHeader/>
    <oddFooter>&amp;L&amp;8 © 2026 Hang Nguyen · Renovation OS&amp;R&amp;8 Personal licence — do not share or resell</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F5E5E"/>
    <outlinePr summaryBelow="1" summaryRight="1"/>
    <pageSetUpPr/>
  </sheetPr>
  <dimension ref="A1:I62"/>
  <sheetViews>
    <sheetView showGridLines="0" workbookViewId="0">
      <selection activeCell="A1" sqref="A1"/>
    </sheetView>
  </sheetViews>
  <sheetFormatPr baseColWidth="8" defaultRowHeight="15"/>
  <cols>
    <col width="2.5" customWidth="1" min="1" max="1"/>
    <col width="30" customWidth="1" min="2" max="2"/>
    <col width="14" customWidth="1" min="3" max="3"/>
    <col width="46" customWidth="1" min="4" max="4"/>
    <col width="22" customWidth="1" min="5" max="5"/>
    <col width="14" customWidth="1" min="6" max="6"/>
    <col width="16" customWidth="1" min="7" max="7"/>
    <col width="3" customWidth="1" min="8" max="8"/>
    <col hidden="1" width="13" customWidth="1" min="9" max="9"/>
  </cols>
  <sheetData>
    <row r="1" ht="36" customHeight="1">
      <c r="B1" s="1" t="inlineStr">
        <is>
          <t>🗓️ This Week</t>
        </is>
      </c>
    </row>
    <row r="2" ht="20" customHeight="1">
      <c r="B2" s="2" t="inlineStr">
        <is>
          <t>What this tab does: Monday — see everything that falls in this week. Friday — review what happened and write down next week's top 3.</t>
        </is>
      </c>
    </row>
    <row r="3">
      <c r="B3" s="3" t="inlineStr">
        <is>
          <t>© 2026 Hang Nguyen — Renovation OS. Licensed to the original purchaser for personal use only. Do not share, copy, resell or redistribute.</t>
        </is>
      </c>
    </row>
    <row r="4">
      <c r="B4" s="59" t="inlineStr">
        <is>
          <t>Week starting</t>
        </is>
      </c>
      <c r="C4" s="60">
        <f>AsOf-IF(WeekStart="Sunday",WEEKDAY(AsOf,1)-1,WEEKDAY(AsOf,3))</f>
        <v/>
      </c>
      <c r="D4" s="8" t="inlineStr">
        <is>
          <t>Tip: overwrite the yellow date to look at another week.</t>
        </is>
      </c>
    </row>
    <row r="5">
      <c r="B5" s="27" t="inlineStr">
        <is>
          <t>Week ending</t>
        </is>
      </c>
      <c r="C5" s="61">
        <f>C4+6</f>
        <v/>
      </c>
    </row>
    <row r="6"/>
    <row r="7">
      <c r="B7" s="4" t="inlineStr">
        <is>
          <t>📋 MONDAY PLAN — what falls in this week</t>
        </is>
      </c>
      <c r="C7" s="5" t="n"/>
      <c r="D7" s="5" t="n"/>
      <c r="E7" s="5" t="n"/>
      <c r="F7" s="5" t="n"/>
      <c r="G7" s="5" t="n"/>
    </row>
    <row r="8" ht="22" customHeight="1">
      <c r="B8" s="6" t="inlineStr">
        <is>
          <t>Decisions to make</t>
        </is>
      </c>
      <c r="C8" s="62">
        <f>COUNTIFS('Selections &amp; Orders'!$T$8:$T$157,"&gt;="&amp;WeekStartDate,'Selections &amp; Orders'!$T$8:$T$157,"&lt;="&amp;WeekEndDate,'Selections &amp; Orders'!$AD$8:$AD$157,1)</f>
        <v/>
      </c>
      <c r="D8" s="8" t="inlineStr">
        <is>
          <t>Selections with a decide-by date this week</t>
        </is>
      </c>
    </row>
    <row r="9" ht="22" customHeight="1">
      <c r="B9" s="6" t="inlineStr">
        <is>
          <t>Orders to place</t>
        </is>
      </c>
      <c r="C9" s="62">
        <f>COUNTIFS('Selections &amp; Orders'!$S$8:$S$157,"&gt;="&amp;WeekStartDate,'Selections &amp; Orders'!$S$8:$S$157,"&lt;="&amp;WeekEndDate,'Selections &amp; Orders'!$AI$8:$AI$157,1)</f>
        <v/>
      </c>
      <c r="D9" s="8" t="inlineStr">
        <is>
          <t>Chosen items with an order-by date this week</t>
        </is>
      </c>
    </row>
    <row r="10" ht="22" customHeight="1">
      <c r="B10" s="6" t="inlineStr">
        <is>
          <t>Payments due</t>
        </is>
      </c>
      <c r="C10" s="62">
        <f>COUNTIFS('Payments'!$I$6:$I$205,"&gt;="&amp;WeekStartDate,'Payments'!$I$6:$I$205,"&lt;="&amp;WeekEndDate,'Payments'!$S$6:$S$205,"&gt;0")</f>
        <v/>
      </c>
      <c r="D10" s="8" t="inlineStr">
        <is>
          <t>Unpaid payments with a due date this week</t>
        </is>
      </c>
    </row>
    <row r="11" ht="22" customHeight="1">
      <c r="B11" s="6" t="inlineStr">
        <is>
          <t>Deliveries expected</t>
        </is>
      </c>
      <c r="C11" s="62">
        <f>COUNTIFS('Selections &amp; Orders'!$W$8:$W$157,"&gt;="&amp;WeekStartDate,'Selections &amp; Orders'!$W$8:$W$157,"&lt;="&amp;WeekEndDate,'Selections &amp; Orders'!$X$8:$X$157,"&lt;&gt;Yes")</f>
        <v/>
      </c>
      <c r="D11" s="8" t="inlineStr">
        <is>
          <t>Orders arriving this week — someone must be on site</t>
        </is>
      </c>
    </row>
    <row r="12" ht="22" customHeight="1">
      <c r="B12" s="6" t="inlineStr">
        <is>
          <t>Tasks starting</t>
        </is>
      </c>
      <c r="C12" s="62">
        <f>COUNTIFS('Timeline'!$J$7:$J$156,"&gt;="&amp;WeekStartDate,'Timeline'!$J$7:$J$156,"&lt;="&amp;WeekEndDate)</f>
        <v/>
      </c>
      <c r="D12" s="8" t="inlineStr">
        <is>
          <t>Timeline tasks starting</t>
        </is>
      </c>
    </row>
    <row r="13" ht="22" customHeight="1">
      <c r="B13" s="6" t="inlineStr">
        <is>
          <t>Tasks finishing</t>
        </is>
      </c>
      <c r="C13" s="62">
        <f>COUNTIFS('Timeline'!$L$7:$L$156,"&gt;="&amp;WeekStartDate,'Timeline'!$L$7:$L$156,"&lt;="&amp;WeekEndDate)</f>
        <v/>
      </c>
      <c r="D13" s="8" t="inlineStr">
        <is>
          <t>Timeline tasks due to finish</t>
        </is>
      </c>
    </row>
    <row r="14" ht="22" customHeight="1">
      <c r="B14" s="6" t="inlineStr">
        <is>
          <t>Issues with an action this week</t>
        </is>
      </c>
      <c r="C14" s="62">
        <f>COUNTIFS('Issues &amp; Punch List'!$K$8:$K$207,"&gt;="&amp;WeekStartDate,'Issues &amp; Punch List'!$K$8:$K$207,"&lt;="&amp;WeekEndDate,'Issues &amp; Punch List'!$O$8:$O$207,1)</f>
        <v/>
      </c>
      <c r="D14" s="58">
        <f>"Open issues in total: "&amp;SUM(OpenIssues)</f>
        <v/>
      </c>
    </row>
    <row r="15"/>
    <row r="16">
      <c r="B16" s="4" t="inlineStr">
        <is>
          <t>🔴 TOP 10 ALERTS DUE BY THE END OF THIS WEEK (incl. overdue)</t>
        </is>
      </c>
      <c r="C16" s="5" t="n"/>
      <c r="D16" s="5" t="n"/>
      <c r="E16" s="5" t="n"/>
      <c r="F16" s="5" t="n"/>
      <c r="G16" s="5" t="n"/>
    </row>
    <row r="17">
      <c r="B17" s="52" t="inlineStr">
        <is>
          <t>Priority</t>
        </is>
      </c>
      <c r="C17" s="52" t="inlineStr">
        <is>
          <t>Due</t>
        </is>
      </c>
      <c r="D17" s="52" t="inlineStr">
        <is>
          <t>What to do</t>
        </is>
      </c>
      <c r="E17" s="52" t="inlineStr">
        <is>
          <t>Where</t>
        </is>
      </c>
      <c r="F17" s="52" t="inlineStr">
        <is>
          <t>When</t>
        </is>
      </c>
      <c r="G17" s="63" t="n"/>
    </row>
    <row r="18" ht="30" customHeight="1">
      <c r="B18" s="54">
        <f>IF(I18="","",IF(I18=1,"🔴 Urgent",IF(I18=2,"🟡 This week","🔵 Upcoming")))</f>
        <v/>
      </c>
      <c r="C18" s="57">
        <f>IF('Engine'!U2="","",'Engine'!U2)</f>
        <v/>
      </c>
      <c r="D18" s="55">
        <f>IF('Engine'!T2="","",'Engine'!T2)</f>
        <v/>
      </c>
      <c r="E18" s="56">
        <f>IF('Engine'!S2="","",'Engine'!S2)</f>
        <v/>
      </c>
      <c r="F18" s="54">
        <f>IF(C18="","",IF(C18&lt;AsOf,(AsOf-C18)&amp;IF(AsOf-C18=1," day"," days")&amp;" overdue",IF(C18=AsOf,"today","in "&amp;(C18-AsOf)&amp;IF(C18-AsOf=1," day"," days"))))</f>
        <v/>
      </c>
      <c r="I18" s="46">
        <f>'Engine'!V2</f>
        <v/>
      </c>
    </row>
    <row r="19" ht="30" customHeight="1">
      <c r="B19" s="54">
        <f>IF(I19="","",IF(I19=1,"🔴 Urgent",IF(I19=2,"🟡 This week","🔵 Upcoming")))</f>
        <v/>
      </c>
      <c r="C19" s="57">
        <f>IF('Engine'!U3="","",'Engine'!U3)</f>
        <v/>
      </c>
      <c r="D19" s="55">
        <f>IF('Engine'!T3="","",'Engine'!T3)</f>
        <v/>
      </c>
      <c r="E19" s="56">
        <f>IF('Engine'!S3="","",'Engine'!S3)</f>
        <v/>
      </c>
      <c r="F19" s="54">
        <f>IF(C19="","",IF(C19&lt;AsOf,(AsOf-C19)&amp;IF(AsOf-C19=1," day"," days")&amp;" overdue",IF(C19=AsOf,"today","in "&amp;(C19-AsOf)&amp;IF(C19-AsOf=1," day"," days"))))</f>
        <v/>
      </c>
      <c r="I19" s="46">
        <f>'Engine'!V3</f>
        <v/>
      </c>
    </row>
    <row r="20" ht="30" customHeight="1">
      <c r="B20" s="54">
        <f>IF(I20="","",IF(I20=1,"🔴 Urgent",IF(I20=2,"🟡 This week","🔵 Upcoming")))</f>
        <v/>
      </c>
      <c r="C20" s="57">
        <f>IF('Engine'!U4="","",'Engine'!U4)</f>
        <v/>
      </c>
      <c r="D20" s="55">
        <f>IF('Engine'!T4="","",'Engine'!T4)</f>
        <v/>
      </c>
      <c r="E20" s="56">
        <f>IF('Engine'!S4="","",'Engine'!S4)</f>
        <v/>
      </c>
      <c r="F20" s="54">
        <f>IF(C20="","",IF(C20&lt;AsOf,(AsOf-C20)&amp;IF(AsOf-C20=1," day"," days")&amp;" overdue",IF(C20=AsOf,"today","in "&amp;(C20-AsOf)&amp;IF(C20-AsOf=1," day"," days"))))</f>
        <v/>
      </c>
      <c r="I20" s="46">
        <f>'Engine'!V4</f>
        <v/>
      </c>
    </row>
    <row r="21" ht="30" customHeight="1">
      <c r="B21" s="54">
        <f>IF(I21="","",IF(I21=1,"🔴 Urgent",IF(I21=2,"🟡 This week","🔵 Upcoming")))</f>
        <v/>
      </c>
      <c r="C21" s="57">
        <f>IF('Engine'!U5="","",'Engine'!U5)</f>
        <v/>
      </c>
      <c r="D21" s="55">
        <f>IF('Engine'!T5="","",'Engine'!T5)</f>
        <v/>
      </c>
      <c r="E21" s="56">
        <f>IF('Engine'!S5="","",'Engine'!S5)</f>
        <v/>
      </c>
      <c r="F21" s="54">
        <f>IF(C21="","",IF(C21&lt;AsOf,(AsOf-C21)&amp;IF(AsOf-C21=1," day"," days")&amp;" overdue",IF(C21=AsOf,"today","in "&amp;(C21-AsOf)&amp;IF(C21-AsOf=1," day"," days"))))</f>
        <v/>
      </c>
      <c r="I21" s="46">
        <f>'Engine'!V5</f>
        <v/>
      </c>
    </row>
    <row r="22" ht="30" customHeight="1">
      <c r="B22" s="54">
        <f>IF(I22="","",IF(I22=1,"🔴 Urgent",IF(I22=2,"🟡 This week","🔵 Upcoming")))</f>
        <v/>
      </c>
      <c r="C22" s="57">
        <f>IF('Engine'!U6="","",'Engine'!U6)</f>
        <v/>
      </c>
      <c r="D22" s="55">
        <f>IF('Engine'!T6="","",'Engine'!T6)</f>
        <v/>
      </c>
      <c r="E22" s="56">
        <f>IF('Engine'!S6="","",'Engine'!S6)</f>
        <v/>
      </c>
      <c r="F22" s="54">
        <f>IF(C22="","",IF(C22&lt;AsOf,(AsOf-C22)&amp;IF(AsOf-C22=1," day"," days")&amp;" overdue",IF(C22=AsOf,"today","in "&amp;(C22-AsOf)&amp;IF(C22-AsOf=1," day"," days"))))</f>
        <v/>
      </c>
      <c r="I22" s="46">
        <f>'Engine'!V6</f>
        <v/>
      </c>
    </row>
    <row r="23" ht="30" customHeight="1">
      <c r="B23" s="54">
        <f>IF(I23="","",IF(I23=1,"🔴 Urgent",IF(I23=2,"🟡 This week","🔵 Upcoming")))</f>
        <v/>
      </c>
      <c r="C23" s="57">
        <f>IF('Engine'!U7="","",'Engine'!U7)</f>
        <v/>
      </c>
      <c r="D23" s="55">
        <f>IF('Engine'!T7="","",'Engine'!T7)</f>
        <v/>
      </c>
      <c r="E23" s="56">
        <f>IF('Engine'!S7="","",'Engine'!S7)</f>
        <v/>
      </c>
      <c r="F23" s="54">
        <f>IF(C23="","",IF(C23&lt;AsOf,(AsOf-C23)&amp;IF(AsOf-C23=1," day"," days")&amp;" overdue",IF(C23=AsOf,"today","in "&amp;(C23-AsOf)&amp;IF(C23-AsOf=1," day"," days"))))</f>
        <v/>
      </c>
      <c r="I23" s="46">
        <f>'Engine'!V7</f>
        <v/>
      </c>
    </row>
    <row r="24" ht="30" customHeight="1">
      <c r="B24" s="54">
        <f>IF(I24="","",IF(I24=1,"🔴 Urgent",IF(I24=2,"🟡 This week","🔵 Upcoming")))</f>
        <v/>
      </c>
      <c r="C24" s="57">
        <f>IF('Engine'!U8="","",'Engine'!U8)</f>
        <v/>
      </c>
      <c r="D24" s="55">
        <f>IF('Engine'!T8="","",'Engine'!T8)</f>
        <v/>
      </c>
      <c r="E24" s="56">
        <f>IF('Engine'!S8="","",'Engine'!S8)</f>
        <v/>
      </c>
      <c r="F24" s="54">
        <f>IF(C24="","",IF(C24&lt;AsOf,(AsOf-C24)&amp;IF(AsOf-C24=1," day"," days")&amp;" overdue",IF(C24=AsOf,"today","in "&amp;(C24-AsOf)&amp;IF(C24-AsOf=1," day"," days"))))</f>
        <v/>
      </c>
      <c r="I24" s="46">
        <f>'Engine'!V8</f>
        <v/>
      </c>
    </row>
    <row r="25" ht="30" customHeight="1">
      <c r="B25" s="54">
        <f>IF(I25="","",IF(I25=1,"🔴 Urgent",IF(I25=2,"🟡 This week","🔵 Upcoming")))</f>
        <v/>
      </c>
      <c r="C25" s="57">
        <f>IF('Engine'!U9="","",'Engine'!U9)</f>
        <v/>
      </c>
      <c r="D25" s="55">
        <f>IF('Engine'!T9="","",'Engine'!T9)</f>
        <v/>
      </c>
      <c r="E25" s="56">
        <f>IF('Engine'!S9="","",'Engine'!S9)</f>
        <v/>
      </c>
      <c r="F25" s="54">
        <f>IF(C25="","",IF(C25&lt;AsOf,(AsOf-C25)&amp;IF(AsOf-C25=1," day"," days")&amp;" overdue",IF(C25=AsOf,"today","in "&amp;(C25-AsOf)&amp;IF(C25-AsOf=1," day"," days"))))</f>
        <v/>
      </c>
      <c r="I25" s="46">
        <f>'Engine'!V9</f>
        <v/>
      </c>
    </row>
    <row r="26" ht="30" customHeight="1">
      <c r="B26" s="54">
        <f>IF(I26="","",IF(I26=1,"🔴 Urgent",IF(I26=2,"🟡 This week","🔵 Upcoming")))</f>
        <v/>
      </c>
      <c r="C26" s="57">
        <f>IF('Engine'!U10="","",'Engine'!U10)</f>
        <v/>
      </c>
      <c r="D26" s="55">
        <f>IF('Engine'!T10="","",'Engine'!T10)</f>
        <v/>
      </c>
      <c r="E26" s="56">
        <f>IF('Engine'!S10="","",'Engine'!S10)</f>
        <v/>
      </c>
      <c r="F26" s="54">
        <f>IF(C26="","",IF(C26&lt;AsOf,(AsOf-C26)&amp;IF(AsOf-C26=1," day"," days")&amp;" overdue",IF(C26=AsOf,"today","in "&amp;(C26-AsOf)&amp;IF(C26-AsOf=1," day"," days"))))</f>
        <v/>
      </c>
      <c r="I26" s="46">
        <f>'Engine'!V10</f>
        <v/>
      </c>
    </row>
    <row r="27" ht="30" customHeight="1">
      <c r="B27" s="54">
        <f>IF(I27="","",IF(I27=1,"🔴 Urgent",IF(I27=2,"🟡 This week","🔵 Upcoming")))</f>
        <v/>
      </c>
      <c r="C27" s="57">
        <f>IF('Engine'!U11="","",'Engine'!U11)</f>
        <v/>
      </c>
      <c r="D27" s="55">
        <f>IF('Engine'!T11="","",'Engine'!T11)</f>
        <v/>
      </c>
      <c r="E27" s="56">
        <f>IF('Engine'!S11="","",'Engine'!S11)</f>
        <v/>
      </c>
      <c r="F27" s="54">
        <f>IF(C27="","",IF(C27&lt;AsOf,(AsOf-C27)&amp;IF(AsOf-C27=1," day"," days")&amp;" overdue",IF(C27=AsOf,"today","in "&amp;(C27-AsOf)&amp;IF(C27-AsOf=1," day"," days"))))</f>
        <v/>
      </c>
      <c r="I27" s="46">
        <f>'Engine'!V11</f>
        <v/>
      </c>
    </row>
    <row r="28">
      <c r="B28" s="58">
        <f>IF(WeekAlertCount=0,"🟢 Nothing due this week.",IF(WeekAlertCount&gt;10,"+ "&amp;(WeekAlertCount-10)&amp;" more due this week","All "&amp;WeekAlertCount&amp;" shown."))</f>
        <v/>
      </c>
    </row>
    <row r="29"/>
    <row r="30">
      <c r="B30" s="4" t="inlineStr">
        <is>
          <t>📝 FRIDAY REVIEW — the numbers (automatic)</t>
        </is>
      </c>
      <c r="C30" s="5" t="n"/>
      <c r="D30" s="5" t="n"/>
      <c r="E30" s="5" t="n"/>
      <c r="F30" s="5" t="n"/>
      <c r="G30" s="5" t="n"/>
    </row>
    <row r="31" ht="22" customHeight="1">
      <c r="B31" s="13">
        <f>"Paid this week ("&amp;CurSym&amp;")"</f>
        <v/>
      </c>
      <c r="C31" s="64">
        <f>SUMIFS('Payments'!$N$6:$N$205,'Payments'!$M$6:$M$205,"&gt;="&amp;WeekStartDate,'Payments'!$M$6:$M$205,"&lt;="&amp;WeekEndDate)</f>
        <v/>
      </c>
    </row>
    <row r="32" ht="22" customHeight="1">
      <c r="B32" s="6" t="inlineStr">
        <is>
          <t>Change orders approved this week</t>
        </is>
      </c>
      <c r="C32" s="62">
        <f>COUNTIFS('Change Orders'!$L$7:$L$106,"Approved",'Change Orders'!$M$7:$M$106,"&gt;="&amp;WeekStartDate,'Change Orders'!$M$7:$M$106,"&lt;="&amp;WeekEndDate)</f>
        <v/>
      </c>
    </row>
    <row r="33" ht="22" customHeight="1">
      <c r="B33" s="13">
        <f>"…their extra cost ("&amp;CurSym&amp;")"</f>
        <v/>
      </c>
      <c r="C33" s="64">
        <f>SUMIFS('Change Orders'!$J$7:$J$106,'Change Orders'!$L$7:$L$106,"Approved",'Change Orders'!$M$7:$M$106,"&gt;="&amp;WeekStartDate,'Change Orders'!$M$7:$M$106,"&lt;="&amp;WeekEndDate)</f>
        <v/>
      </c>
    </row>
    <row r="34" ht="22" customHeight="1">
      <c r="B34" s="6" t="inlineStr">
        <is>
          <t>Tasks completed this week</t>
        </is>
      </c>
      <c r="C34" s="62">
        <f>COUNTIFS('Timeline'!$M$7:$M$156,"Done",'Timeline'!$N$7:$N$156,"&gt;="&amp;WeekStartDate,'Timeline'!$N$7:$N$156,"&lt;="&amp;WeekEndDate)</f>
        <v/>
      </c>
    </row>
    <row r="35" ht="22" customHeight="1">
      <c r="B35" s="6" t="inlineStr">
        <is>
          <t>Issues opened this week</t>
        </is>
      </c>
      <c r="C35" s="62">
        <f>COUNTIFS('Issues &amp; Punch List'!$D$8:$D$207,"&gt;="&amp;WeekStartDate,'Issues &amp; Punch List'!$D$8:$D$207,"&lt;="&amp;WeekEndDate)</f>
        <v/>
      </c>
    </row>
    <row r="36" ht="22" customHeight="1">
      <c r="B36" s="6" t="inlineStr">
        <is>
          <t>Issues closed this week</t>
        </is>
      </c>
      <c r="C36" s="62">
        <f>COUNTIFS('Issues &amp; Punch List'!$M$8:$M$207,"&gt;="&amp;WeekStartDate,'Issues &amp; Punch List'!$M$8:$M$207,"&lt;="&amp;WeekEndDate)</f>
        <v/>
      </c>
    </row>
    <row r="37"/>
    <row r="38">
      <c r="B38" s="4" t="inlineStr">
        <is>
          <t>📝 FRIDAY REVIEW — your notes (type in the yellow boxes)</t>
        </is>
      </c>
      <c r="C38" s="5" t="n"/>
      <c r="D38" s="5" t="n"/>
      <c r="E38" s="5" t="n"/>
      <c r="F38" s="5" t="n"/>
      <c r="G38" s="5" t="n"/>
    </row>
    <row r="39">
      <c r="B39" s="65" t="inlineStr">
        <is>
          <t>What was completed?</t>
        </is>
      </c>
    </row>
    <row r="40">
      <c r="B40" s="66" t="inlineStr">
        <is>
          <t>Electrical first fix 90% done; shower enclosure delivered.</t>
        </is>
      </c>
      <c r="C40" s="67" t="n"/>
      <c r="D40" s="67" t="n"/>
      <c r="E40" s="67" t="n"/>
      <c r="F40" s="67" t="n"/>
      <c r="G40" s="67" t="n"/>
    </row>
    <row r="41">
      <c r="B41" s="67" t="n"/>
      <c r="C41" s="67" t="n"/>
      <c r="D41" s="67" t="n"/>
      <c r="E41" s="67" t="n"/>
      <c r="F41" s="67" t="n"/>
      <c r="G41" s="67" t="n"/>
    </row>
    <row r="42">
      <c r="B42" s="67" t="n"/>
      <c r="C42" s="67" t="n"/>
      <c r="D42" s="67" t="n"/>
      <c r="E42" s="67" t="n"/>
      <c r="F42" s="67" t="n"/>
      <c r="G42" s="67" t="n"/>
    </row>
    <row r="43"/>
    <row r="44">
      <c r="B44" s="65" t="inlineStr">
        <is>
          <t>What was delayed?</t>
        </is>
      </c>
    </row>
    <row r="45">
      <c r="B45" s="66" t="inlineStr">
        <is>
          <t>Plumbing rough-in (pipe re-route) — now 10 days late.</t>
        </is>
      </c>
      <c r="C45" s="67" t="n"/>
      <c r="D45" s="67" t="n"/>
      <c r="E45" s="67" t="n"/>
      <c r="F45" s="67" t="n"/>
      <c r="G45" s="67" t="n"/>
    </row>
    <row r="46">
      <c r="B46" s="67" t="n"/>
      <c r="C46" s="67" t="n"/>
      <c r="D46" s="67" t="n"/>
      <c r="E46" s="67" t="n"/>
      <c r="F46" s="67" t="n"/>
      <c r="G46" s="67" t="n"/>
    </row>
    <row r="47">
      <c r="B47" s="67" t="n"/>
      <c r="C47" s="67" t="n"/>
      <c r="D47" s="67" t="n"/>
      <c r="E47" s="67" t="n"/>
      <c r="F47" s="67" t="n"/>
      <c r="G47" s="67" t="n"/>
    </row>
    <row r="48"/>
    <row r="49">
      <c r="B49" s="65" t="inlineStr">
        <is>
          <t>What changed?</t>
        </is>
      </c>
    </row>
    <row r="50">
      <c r="B50" s="66" t="inlineStr">
        <is>
          <t>EV charger change order requested by electrician (pending).</t>
        </is>
      </c>
      <c r="C50" s="67" t="n"/>
      <c r="D50" s="67" t="n"/>
      <c r="E50" s="67" t="n"/>
      <c r="F50" s="67" t="n"/>
      <c r="G50" s="67" t="n"/>
    </row>
    <row r="51">
      <c r="B51" s="67" t="n"/>
      <c r="C51" s="67" t="n"/>
      <c r="D51" s="67" t="n"/>
      <c r="E51" s="67" t="n"/>
      <c r="F51" s="67" t="n"/>
      <c r="G51" s="67" t="n"/>
    </row>
    <row r="52">
      <c r="B52" s="67" t="n"/>
      <c r="C52" s="67" t="n"/>
      <c r="D52" s="67" t="n"/>
      <c r="E52" s="67" t="n"/>
      <c r="F52" s="67" t="n"/>
      <c r="G52" s="67" t="n"/>
    </row>
    <row r="53"/>
    <row r="54">
      <c r="B54" s="65" t="inlineStr">
        <is>
          <t>What is now at risk?</t>
        </is>
      </c>
    </row>
    <row r="55">
      <c r="B55" s="66" t="inlineStr">
        <is>
          <t>Kitchen install on 2 Jul depends on drywall — tight.</t>
        </is>
      </c>
      <c r="C55" s="67" t="n"/>
      <c r="D55" s="67" t="n"/>
      <c r="E55" s="67" t="n"/>
      <c r="F55" s="67" t="n"/>
      <c r="G55" s="67" t="n"/>
    </row>
    <row r="56">
      <c r="B56" s="67" t="n"/>
      <c r="C56" s="67" t="n"/>
      <c r="D56" s="67" t="n"/>
      <c r="E56" s="67" t="n"/>
      <c r="F56" s="67" t="n"/>
      <c r="G56" s="67" t="n"/>
    </row>
    <row r="57">
      <c r="B57" s="67" t="n"/>
      <c r="C57" s="67" t="n"/>
      <c r="D57" s="67" t="n"/>
      <c r="E57" s="67" t="n"/>
      <c r="F57" s="67" t="n"/>
      <c r="G57" s="67" t="n"/>
    </row>
    <row r="58"/>
    <row r="59">
      <c r="B59" s="65" t="inlineStr">
        <is>
          <t>Top 3 for next week</t>
        </is>
      </c>
    </row>
    <row r="60">
      <c r="B60" s="66" t="inlineStr">
        <is>
          <t>1) Decide bathroom 2 tiles  2) Pay FlowRight after re-route fixed  3) Chase electrician insurance</t>
        </is>
      </c>
      <c r="C60" s="67" t="n"/>
      <c r="D60" s="67" t="n"/>
      <c r="E60" s="67" t="n"/>
      <c r="F60" s="67" t="n"/>
      <c r="G60" s="67" t="n"/>
    </row>
    <row r="61">
      <c r="B61" s="67" t="n"/>
      <c r="C61" s="67" t="n"/>
      <c r="D61" s="67" t="n"/>
      <c r="E61" s="67" t="n"/>
      <c r="F61" s="67" t="n"/>
      <c r="G61" s="67" t="n"/>
    </row>
    <row r="62">
      <c r="B62" s="67" t="n"/>
      <c r="C62" s="67" t="n"/>
      <c r="D62" s="67" t="n"/>
      <c r="E62" s="67" t="n"/>
      <c r="F62" s="67" t="n"/>
      <c r="G62" s="67" t="n"/>
    </row>
  </sheetData>
  <sheetProtection selectLockedCells="1" selectUnlockedCells="0" sheet="1" objects="0" insertRows="1" insertHyperlinks="1" autoFilter="1" scenarios="0" formatColumns="0" deleteColumns="1" insertColumns="1" pivotTables="1" deleteRows="1" formatCells="1" formatRows="0" sort="1" password="CD61"/>
  <mergeCells count="16">
    <mergeCell ref="B60:G62"/>
    <mergeCell ref="F21:G21"/>
    <mergeCell ref="B55:G57"/>
    <mergeCell ref="F24:G24"/>
    <mergeCell ref="B50:G52"/>
    <mergeCell ref="F19:G19"/>
    <mergeCell ref="F20:G20"/>
    <mergeCell ref="F18:G18"/>
    <mergeCell ref="F23:G23"/>
    <mergeCell ref="F25:G25"/>
    <mergeCell ref="B40:G42"/>
    <mergeCell ref="B45:G47"/>
    <mergeCell ref="F22:G22"/>
    <mergeCell ref="F26:G26"/>
    <mergeCell ref="F27:G27"/>
    <mergeCell ref="F17:G17"/>
  </mergeCells>
  <conditionalFormatting sqref="C8">
    <cfRule type="expression" priority="1" dxfId="2" stopIfTrue="0">
      <formula>C8&gt;0</formula>
    </cfRule>
  </conditionalFormatting>
  <conditionalFormatting sqref="C9">
    <cfRule type="expression" priority="2" dxfId="2" stopIfTrue="0">
      <formula>C9&gt;0</formula>
    </cfRule>
  </conditionalFormatting>
  <conditionalFormatting sqref="C10">
    <cfRule type="expression" priority="3" dxfId="2" stopIfTrue="0">
      <formula>C10&gt;0</formula>
    </cfRule>
  </conditionalFormatting>
  <conditionalFormatting sqref="C11">
    <cfRule type="expression" priority="4" dxfId="2" stopIfTrue="0">
      <formula>C11&gt;0</formula>
    </cfRule>
  </conditionalFormatting>
  <conditionalFormatting sqref="C12">
    <cfRule type="expression" priority="5" dxfId="2" stopIfTrue="0">
      <formula>C12&gt;0</formula>
    </cfRule>
  </conditionalFormatting>
  <conditionalFormatting sqref="C13">
    <cfRule type="expression" priority="6" dxfId="2" stopIfTrue="0">
      <formula>C13&gt;0</formula>
    </cfRule>
  </conditionalFormatting>
  <conditionalFormatting sqref="C14">
    <cfRule type="expression" priority="7" dxfId="2" stopIfTrue="0">
      <formula>C14&gt;0</formula>
    </cfRule>
  </conditionalFormatting>
  <conditionalFormatting sqref="B18:B27">
    <cfRule type="expression" priority="8" dxfId="0" stopIfTrue="0">
      <formula>$I18=1</formula>
    </cfRule>
    <cfRule type="expression" priority="9" dxfId="2" stopIfTrue="0">
      <formula>$I18=2</formula>
    </cfRule>
    <cfRule type="expression" priority="10" dxfId="4" stopIfTrue="0">
      <formula>$I18=3</formula>
    </cfRule>
  </conditionalFormatting>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2E7D32"/>
    <outlinePr summaryBelow="1" summaryRight="1"/>
    <pageSetUpPr/>
  </sheetPr>
  <dimension ref="A1:S44"/>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hidden="1" width="13" customWidth="1" min="15" max="15"/>
    <col hidden="1" width="13" customWidth="1" min="16" max="16"/>
    <col hidden="1" width="13" customWidth="1" min="17" max="17"/>
    <col hidden="1" width="13" customWidth="1" min="18" max="18"/>
    <col hidden="1" width="13" customWidth="1" min="19" max="19"/>
  </cols>
  <sheetData>
    <row r="1" ht="36" customHeight="1">
      <c r="B1" s="1" t="inlineStr">
        <is>
          <t>💶 Budget</t>
        </is>
      </c>
    </row>
    <row r="2" ht="20" customHeight="1">
      <c r="B2" s="2" t="inlineStr">
        <is>
          <t>What this tab does: compares your budget per category with what you have committed, invoiced and paid, and forecasts the final cost.</t>
        </is>
      </c>
    </row>
    <row r="3">
      <c r="B3" s="3" t="inlineStr">
        <is>
          <t>© 2026 Hang Nguyen — Renovation OS. Licensed to the original purchaser for personal use only. Do not share, copy, resell or redistribute.</t>
        </is>
      </c>
    </row>
    <row r="4">
      <c r="B4" s="13">
        <f>"Working budget ("&amp;CurSym&amp;")"</f>
        <v/>
      </c>
      <c r="C4" s="68">
        <f>WorkBudget</f>
        <v/>
      </c>
      <c r="E4" s="6" t="inlineStr">
        <is>
          <t>Sum of category budgets</t>
        </is>
      </c>
      <c r="G4" s="68">
        <f>BudgetSum</f>
        <v/>
      </c>
      <c r="H4" s="69">
        <f>IF(WorkBudget=0,"",IF(ABS(BudgetSum-WorkBudget)&lt;1,"✓ matches",IF(BudgetSum&gt;WorkBudget,"▲ "&amp;FIXED(BudgetSum-WorkBudget,0)&amp;" more than working budget","▼ "&amp;FIXED(WorkBudget-BudgetSum,0)&amp;" not yet allocated")))</f>
        <v/>
      </c>
    </row>
    <row r="5"/>
    <row r="6"/>
    <row r="7" ht="32" customHeight="1">
      <c r="B7" s="52" t="inlineStr">
        <is>
          <t>Category</t>
        </is>
      </c>
      <c r="C7" s="70">
        <f>"Budget ("&amp;CurSym&amp;")"</f>
        <v/>
      </c>
      <c r="D7" s="52" t="inlineStr">
        <is>
          <t>Stage</t>
        </is>
      </c>
      <c r="E7" s="70">
        <f>"Best quote ("&amp;CurSym&amp;")"</f>
        <v/>
      </c>
      <c r="F7" s="70">
        <f>"Contracted ("&amp;CurSym&amp;")"</f>
        <v/>
      </c>
      <c r="G7" s="70">
        <f>"Materials ("&amp;CurSym&amp;")"</f>
        <v/>
      </c>
      <c r="H7" s="70">
        <f>"Approved changes ("&amp;CurSym&amp;")"</f>
        <v/>
      </c>
      <c r="I7" s="70">
        <f>"Committed ("&amp;CurSym&amp;")"</f>
        <v/>
      </c>
      <c r="J7" s="70">
        <f>"Invoiced ("&amp;CurSym&amp;")"</f>
        <v/>
      </c>
      <c r="K7" s="70">
        <f>"Paid ("&amp;CurSym&amp;")"</f>
        <v/>
      </c>
      <c r="L7" s="70">
        <f>"Forecast ("&amp;CurSym&amp;")"</f>
        <v/>
      </c>
      <c r="M7" s="70">
        <f>"Variance ("&amp;CurSym&amp;")"</f>
        <v/>
      </c>
      <c r="N7" s="52" t="inlineStr">
        <is>
          <t>Status</t>
        </is>
      </c>
      <c r="O7" s="71" t="inlineStr">
        <is>
          <t>lvl</t>
        </is>
      </c>
      <c r="P7" s="71" t="inlineStr">
        <is>
          <t>chart key</t>
        </is>
      </c>
    </row>
    <row r="8" ht="20" customHeight="1">
      <c r="B8" s="72" t="inlineStr">
        <is>
          <t>Demolition</t>
        </is>
      </c>
      <c r="C8" s="73" t="n">
        <v>4000</v>
      </c>
      <c r="D8" s="74" t="inlineStr">
        <is>
          <t>Complete</t>
        </is>
      </c>
      <c r="E8" s="75">
        <f>IF(B8="","",IFERROR(1/SUMPRODUCT(MAX((QBlockCat=B8)*QBlockInv)),""))</f>
        <v/>
      </c>
      <c r="F8" s="75">
        <f>IF(B8="","",SUMIFS('Contractors'!$I$6:$I$35,'Contractors'!$D$6:$D$35,B8,'Contractors'!$L$6:$L$35,"Yes"))</f>
        <v/>
      </c>
      <c r="G8" s="75">
        <f>IF(B8="","",SUMIFS('Selections &amp; Orders'!$L$8:$L$157,'Selections &amp; Orders'!$D$8:$D$157,B8))</f>
        <v/>
      </c>
      <c r="H8" s="75">
        <f>IF(B8="","",SUMIFS('Change Orders'!$J$7:$J$106,'Change Orders'!$F$7:$F$106,B8,'Change Orders'!$L$7:$L$106,"Approved"))</f>
        <v/>
      </c>
      <c r="I8" s="76">
        <f>IF(B8="","",F8+G8+H8)</f>
        <v/>
      </c>
      <c r="J8" s="75">
        <f>IF(B8="","",SUMIFS('Payments'!$L$6:$L$205,'Payments'!$P$6:$P$205,B8))</f>
        <v/>
      </c>
      <c r="K8" s="75">
        <f>IF(B8="","",SUMIFS('Payments'!$N$6:$N$205,'Payments'!$P$6:$P$205,B8))</f>
        <v/>
      </c>
      <c r="L8" s="76">
        <f>IF(B8="","",IF(OR(D8="Estimating",D8=""),MAX(C8,E8,I8,J8),MAX(I8,J8)))</f>
        <v/>
      </c>
      <c r="M8" s="77">
        <f>IF(B8="","",C8-L8)</f>
        <v/>
      </c>
      <c r="N8" s="78">
        <f>IF(O8="","",IF(O8=0,"🟢 On track",IF(O8=1,"🟡 Watch","🔴 Over")))</f>
        <v/>
      </c>
      <c r="O8" s="79">
        <f>IF(B8="","",IF(L8&lt;=C8,0,IF(L8&lt;=C8*(1+BudgetWarnPct),1,2)))</f>
        <v/>
      </c>
      <c r="P8" s="79">
        <f>IF(B8="","",IF(MAX(C8,L8)&gt;0,MAX(C8,L8)+ROW()/100000,""))</f>
        <v/>
      </c>
    </row>
    <row r="9" ht="20" customHeight="1">
      <c r="B9" s="72" t="inlineStr">
        <is>
          <t>Structural</t>
        </is>
      </c>
      <c r="C9" s="73" t="n">
        <v>9000</v>
      </c>
      <c r="D9" s="74" t="inlineStr">
        <is>
          <t>Complete</t>
        </is>
      </c>
      <c r="E9" s="75">
        <f>IF(B9="","",IFERROR(1/SUMPRODUCT(MAX((QBlockCat=B9)*QBlockInv)),""))</f>
        <v/>
      </c>
      <c r="F9" s="75">
        <f>IF(B9="","",SUMIFS('Contractors'!$I$6:$I$35,'Contractors'!$D$6:$D$35,B9,'Contractors'!$L$6:$L$35,"Yes"))</f>
        <v/>
      </c>
      <c r="G9" s="75">
        <f>IF(B9="","",SUMIFS('Selections &amp; Orders'!$L$8:$L$157,'Selections &amp; Orders'!$D$8:$D$157,B9))</f>
        <v/>
      </c>
      <c r="H9" s="75">
        <f>IF(B9="","",SUMIFS('Change Orders'!$J$7:$J$106,'Change Orders'!$F$7:$F$106,B9,'Change Orders'!$L$7:$L$106,"Approved"))</f>
        <v/>
      </c>
      <c r="I9" s="76">
        <f>IF(B9="","",F9+G9+H9)</f>
        <v/>
      </c>
      <c r="J9" s="75">
        <f>IF(B9="","",SUMIFS('Payments'!$L$6:$L$205,'Payments'!$P$6:$P$205,B9))</f>
        <v/>
      </c>
      <c r="K9" s="75">
        <f>IF(B9="","",SUMIFS('Payments'!$N$6:$N$205,'Payments'!$P$6:$P$205,B9))</f>
        <v/>
      </c>
      <c r="L9" s="76">
        <f>IF(B9="","",IF(OR(D9="Estimating",D9=""),MAX(C9,E9,I9,J9),MAX(I9,J9)))</f>
        <v/>
      </c>
      <c r="M9" s="77">
        <f>IF(B9="","",C9-L9)</f>
        <v/>
      </c>
      <c r="N9" s="78">
        <f>IF(O9="","",IF(O9=0,"🟢 On track",IF(O9=1,"🟡 Watch","🔴 Over")))</f>
        <v/>
      </c>
      <c r="O9" s="79">
        <f>IF(B9="","",IF(L9&lt;=C9,0,IF(L9&lt;=C9*(1+BudgetWarnPct),1,2)))</f>
        <v/>
      </c>
      <c r="P9" s="79">
        <f>IF(B9="","",IF(MAX(C9,L9)&gt;0,MAX(C9,L9)+ROW()/100000,""))</f>
        <v/>
      </c>
    </row>
    <row r="10" ht="20" customHeight="1">
      <c r="B10" s="72" t="inlineStr">
        <is>
          <t>Plumbing</t>
        </is>
      </c>
      <c r="C10" s="73" t="n">
        <v>9500</v>
      </c>
      <c r="D10" s="74" t="inlineStr">
        <is>
          <t>Contracted</t>
        </is>
      </c>
      <c r="E10" s="75">
        <f>IF(B10="","",IFERROR(1/SUMPRODUCT(MAX((QBlockCat=B10)*QBlockInv)),""))</f>
        <v/>
      </c>
      <c r="F10" s="75">
        <f>IF(B10="","",SUMIFS('Contractors'!$I$6:$I$35,'Contractors'!$D$6:$D$35,B10,'Contractors'!$L$6:$L$35,"Yes"))</f>
        <v/>
      </c>
      <c r="G10" s="75">
        <f>IF(B10="","",SUMIFS('Selections &amp; Orders'!$L$8:$L$157,'Selections &amp; Orders'!$D$8:$D$157,B10))</f>
        <v/>
      </c>
      <c r="H10" s="75">
        <f>IF(B10="","",SUMIFS('Change Orders'!$J$7:$J$106,'Change Orders'!$F$7:$F$106,B10,'Change Orders'!$L$7:$L$106,"Approved"))</f>
        <v/>
      </c>
      <c r="I10" s="76">
        <f>IF(B10="","",F10+G10+H10)</f>
        <v/>
      </c>
      <c r="J10" s="75">
        <f>IF(B10="","",SUMIFS('Payments'!$L$6:$L$205,'Payments'!$P$6:$P$205,B10))</f>
        <v/>
      </c>
      <c r="K10" s="75">
        <f>IF(B10="","",SUMIFS('Payments'!$N$6:$N$205,'Payments'!$P$6:$P$205,B10))</f>
        <v/>
      </c>
      <c r="L10" s="76">
        <f>IF(B10="","",IF(OR(D10="Estimating",D10=""),MAX(C10,E10,I10,J10),MAX(I10,J10)))</f>
        <v/>
      </c>
      <c r="M10" s="77">
        <f>IF(B10="","",C10-L10)</f>
        <v/>
      </c>
      <c r="N10" s="78">
        <f>IF(O10="","",IF(O10=0,"🟢 On track",IF(O10=1,"🟡 Watch","🔴 Over")))</f>
        <v/>
      </c>
      <c r="O10" s="79">
        <f>IF(B10="","",IF(L10&lt;=C10,0,IF(L10&lt;=C10*(1+BudgetWarnPct),1,2)))</f>
        <v/>
      </c>
      <c r="P10" s="79">
        <f>IF(B10="","",IF(MAX(C10,L10)&gt;0,MAX(C10,L10)+ROW()/100000,""))</f>
        <v/>
      </c>
    </row>
    <row r="11" ht="20" customHeight="1">
      <c r="B11" s="72" t="inlineStr">
        <is>
          <t>Electrical</t>
        </is>
      </c>
      <c r="C11" s="73" t="n">
        <v>10000</v>
      </c>
      <c r="D11" s="74" t="inlineStr">
        <is>
          <t>Contracted</t>
        </is>
      </c>
      <c r="E11" s="75">
        <f>IF(B11="","",IFERROR(1/SUMPRODUCT(MAX((QBlockCat=B11)*QBlockInv)),""))</f>
        <v/>
      </c>
      <c r="F11" s="75">
        <f>IF(B11="","",SUMIFS('Contractors'!$I$6:$I$35,'Contractors'!$D$6:$D$35,B11,'Contractors'!$L$6:$L$35,"Yes"))</f>
        <v/>
      </c>
      <c r="G11" s="75">
        <f>IF(B11="","",SUMIFS('Selections &amp; Orders'!$L$8:$L$157,'Selections &amp; Orders'!$D$8:$D$157,B11))</f>
        <v/>
      </c>
      <c r="H11" s="75">
        <f>IF(B11="","",SUMIFS('Change Orders'!$J$7:$J$106,'Change Orders'!$F$7:$F$106,B11,'Change Orders'!$L$7:$L$106,"Approved"))</f>
        <v/>
      </c>
      <c r="I11" s="76">
        <f>IF(B11="","",F11+G11+H11)</f>
        <v/>
      </c>
      <c r="J11" s="75">
        <f>IF(B11="","",SUMIFS('Payments'!$L$6:$L$205,'Payments'!$P$6:$P$205,B11))</f>
        <v/>
      </c>
      <c r="K11" s="75">
        <f>IF(B11="","",SUMIFS('Payments'!$N$6:$N$205,'Payments'!$P$6:$P$205,B11))</f>
        <v/>
      </c>
      <c r="L11" s="76">
        <f>IF(B11="","",IF(OR(D11="Estimating",D11=""),MAX(C11,E11,I11,J11),MAX(I11,J11)))</f>
        <v/>
      </c>
      <c r="M11" s="77">
        <f>IF(B11="","",C11-L11)</f>
        <v/>
      </c>
      <c r="N11" s="78">
        <f>IF(O11="","",IF(O11=0,"🟢 On track",IF(O11=1,"🟡 Watch","🔴 Over")))</f>
        <v/>
      </c>
      <c r="O11" s="79">
        <f>IF(B11="","",IF(L11&lt;=C11,0,IF(L11&lt;=C11*(1+BudgetWarnPct),1,2)))</f>
        <v/>
      </c>
      <c r="P11" s="79">
        <f>IF(B11="","",IF(MAX(C11,L11)&gt;0,MAX(C11,L11)+ROW()/100000,""))</f>
        <v/>
      </c>
    </row>
    <row r="12" ht="20" customHeight="1">
      <c r="B12" s="72" t="inlineStr">
        <is>
          <t>HVAC</t>
        </is>
      </c>
      <c r="C12" s="73" t="n">
        <v>9000</v>
      </c>
      <c r="D12" s="74" t="inlineStr">
        <is>
          <t>Contracted</t>
        </is>
      </c>
      <c r="E12" s="75">
        <f>IF(B12="","",IFERROR(1/SUMPRODUCT(MAX((QBlockCat=B12)*QBlockInv)),""))</f>
        <v/>
      </c>
      <c r="F12" s="75">
        <f>IF(B12="","",SUMIFS('Contractors'!$I$6:$I$35,'Contractors'!$D$6:$D$35,B12,'Contractors'!$L$6:$L$35,"Yes"))</f>
        <v/>
      </c>
      <c r="G12" s="75">
        <f>IF(B12="","",SUMIFS('Selections &amp; Orders'!$L$8:$L$157,'Selections &amp; Orders'!$D$8:$D$157,B12))</f>
        <v/>
      </c>
      <c r="H12" s="75">
        <f>IF(B12="","",SUMIFS('Change Orders'!$J$7:$J$106,'Change Orders'!$F$7:$F$106,B12,'Change Orders'!$L$7:$L$106,"Approved"))</f>
        <v/>
      </c>
      <c r="I12" s="76">
        <f>IF(B12="","",F12+G12+H12)</f>
        <v/>
      </c>
      <c r="J12" s="75">
        <f>IF(B12="","",SUMIFS('Payments'!$L$6:$L$205,'Payments'!$P$6:$P$205,B12))</f>
        <v/>
      </c>
      <c r="K12" s="75">
        <f>IF(B12="","",SUMIFS('Payments'!$N$6:$N$205,'Payments'!$P$6:$P$205,B12))</f>
        <v/>
      </c>
      <c r="L12" s="76">
        <f>IF(B12="","",IF(OR(D12="Estimating",D12=""),MAX(C12,E12,I12,J12),MAX(I12,J12)))</f>
        <v/>
      </c>
      <c r="M12" s="77">
        <f>IF(B12="","",C12-L12)</f>
        <v/>
      </c>
      <c r="N12" s="78">
        <f>IF(O12="","",IF(O12=0,"🟢 On track",IF(O12=1,"🟡 Watch","🔴 Over")))</f>
        <v/>
      </c>
      <c r="O12" s="79">
        <f>IF(B12="","",IF(L12&lt;=C12,0,IF(L12&lt;=C12*(1+BudgetWarnPct),1,2)))</f>
        <v/>
      </c>
      <c r="P12" s="79">
        <f>IF(B12="","",IF(MAX(C12,L12)&gt;0,MAX(C12,L12)+ROW()/100000,""))</f>
        <v/>
      </c>
    </row>
    <row r="13" ht="20" customHeight="1">
      <c r="B13" s="72" t="inlineStr">
        <is>
          <t>Windows &amp; doors</t>
        </is>
      </c>
      <c r="C13" s="73" t="n">
        <v>12000</v>
      </c>
      <c r="D13" s="74" t="inlineStr">
        <is>
          <t>Contracted</t>
        </is>
      </c>
      <c r="E13" s="75">
        <f>IF(B13="","",IFERROR(1/SUMPRODUCT(MAX((QBlockCat=B13)*QBlockInv)),""))</f>
        <v/>
      </c>
      <c r="F13" s="75">
        <f>IF(B13="","",SUMIFS('Contractors'!$I$6:$I$35,'Contractors'!$D$6:$D$35,B13,'Contractors'!$L$6:$L$35,"Yes"))</f>
        <v/>
      </c>
      <c r="G13" s="75">
        <f>IF(B13="","",SUMIFS('Selections &amp; Orders'!$L$8:$L$157,'Selections &amp; Orders'!$D$8:$D$157,B13))</f>
        <v/>
      </c>
      <c r="H13" s="75">
        <f>IF(B13="","",SUMIFS('Change Orders'!$J$7:$J$106,'Change Orders'!$F$7:$F$106,B13,'Change Orders'!$L$7:$L$106,"Approved"))</f>
        <v/>
      </c>
      <c r="I13" s="76">
        <f>IF(B13="","",F13+G13+H13)</f>
        <v/>
      </c>
      <c r="J13" s="75">
        <f>IF(B13="","",SUMIFS('Payments'!$L$6:$L$205,'Payments'!$P$6:$P$205,B13))</f>
        <v/>
      </c>
      <c r="K13" s="75">
        <f>IF(B13="","",SUMIFS('Payments'!$N$6:$N$205,'Payments'!$P$6:$P$205,B13))</f>
        <v/>
      </c>
      <c r="L13" s="76">
        <f>IF(B13="","",IF(OR(D13="Estimating",D13=""),MAX(C13,E13,I13,J13),MAX(I13,J13)))</f>
        <v/>
      </c>
      <c r="M13" s="77">
        <f>IF(B13="","",C13-L13)</f>
        <v/>
      </c>
      <c r="N13" s="78">
        <f>IF(O13="","",IF(O13=0,"🟢 On track",IF(O13=1,"🟡 Watch","🔴 Over")))</f>
        <v/>
      </c>
      <c r="O13" s="79">
        <f>IF(B13="","",IF(L13&lt;=C13,0,IF(L13&lt;=C13*(1+BudgetWarnPct),1,2)))</f>
        <v/>
      </c>
      <c r="P13" s="79">
        <f>IF(B13="","",IF(MAX(C13,L13)&gt;0,MAX(C13,L13)+ROW()/100000,""))</f>
        <v/>
      </c>
    </row>
    <row r="14" ht="20" customHeight="1">
      <c r="B14" s="72" t="inlineStr">
        <is>
          <t>Roofing</t>
        </is>
      </c>
      <c r="C14" s="73" t="n">
        <v>3000</v>
      </c>
      <c r="D14" s="74" t="inlineStr">
        <is>
          <t>Estimating</t>
        </is>
      </c>
      <c r="E14" s="75">
        <f>IF(B14="","",IFERROR(1/SUMPRODUCT(MAX((QBlockCat=B14)*QBlockInv)),""))</f>
        <v/>
      </c>
      <c r="F14" s="75">
        <f>IF(B14="","",SUMIFS('Contractors'!$I$6:$I$35,'Contractors'!$D$6:$D$35,B14,'Contractors'!$L$6:$L$35,"Yes"))</f>
        <v/>
      </c>
      <c r="G14" s="75">
        <f>IF(B14="","",SUMIFS('Selections &amp; Orders'!$L$8:$L$157,'Selections &amp; Orders'!$D$8:$D$157,B14))</f>
        <v/>
      </c>
      <c r="H14" s="75">
        <f>IF(B14="","",SUMIFS('Change Orders'!$J$7:$J$106,'Change Orders'!$F$7:$F$106,B14,'Change Orders'!$L$7:$L$106,"Approved"))</f>
        <v/>
      </c>
      <c r="I14" s="76">
        <f>IF(B14="","",F14+G14+H14)</f>
        <v/>
      </c>
      <c r="J14" s="75">
        <f>IF(B14="","",SUMIFS('Payments'!$L$6:$L$205,'Payments'!$P$6:$P$205,B14))</f>
        <v/>
      </c>
      <c r="K14" s="75">
        <f>IF(B14="","",SUMIFS('Payments'!$N$6:$N$205,'Payments'!$P$6:$P$205,B14))</f>
        <v/>
      </c>
      <c r="L14" s="76">
        <f>IF(B14="","",IF(OR(D14="Estimating",D14=""),MAX(C14,E14,I14,J14),MAX(I14,J14)))</f>
        <v/>
      </c>
      <c r="M14" s="77">
        <f>IF(B14="","",C14-L14)</f>
        <v/>
      </c>
      <c r="N14" s="78">
        <f>IF(O14="","",IF(O14=0,"🟢 On track",IF(O14=1,"🟡 Watch","🔴 Over")))</f>
        <v/>
      </c>
      <c r="O14" s="79">
        <f>IF(B14="","",IF(L14&lt;=C14,0,IF(L14&lt;=C14*(1+BudgetWarnPct),1,2)))</f>
        <v/>
      </c>
      <c r="P14" s="79">
        <f>IF(B14="","",IF(MAX(C14,L14)&gt;0,MAX(C14,L14)+ROW()/100000,""))</f>
        <v/>
      </c>
    </row>
    <row r="15" ht="20" customHeight="1">
      <c r="B15" s="72" t="inlineStr">
        <is>
          <t>Kitchen</t>
        </is>
      </c>
      <c r="C15" s="73" t="n">
        <v>20000</v>
      </c>
      <c r="D15" s="74" t="inlineStr">
        <is>
          <t>Contracted</t>
        </is>
      </c>
      <c r="E15" s="75">
        <f>IF(B15="","",IFERROR(1/SUMPRODUCT(MAX((QBlockCat=B15)*QBlockInv)),""))</f>
        <v/>
      </c>
      <c r="F15" s="75">
        <f>IF(B15="","",SUMIFS('Contractors'!$I$6:$I$35,'Contractors'!$D$6:$D$35,B15,'Contractors'!$L$6:$L$35,"Yes"))</f>
        <v/>
      </c>
      <c r="G15" s="75">
        <f>IF(B15="","",SUMIFS('Selections &amp; Orders'!$L$8:$L$157,'Selections &amp; Orders'!$D$8:$D$157,B15))</f>
        <v/>
      </c>
      <c r="H15" s="75">
        <f>IF(B15="","",SUMIFS('Change Orders'!$J$7:$J$106,'Change Orders'!$F$7:$F$106,B15,'Change Orders'!$L$7:$L$106,"Approved"))</f>
        <v/>
      </c>
      <c r="I15" s="76">
        <f>IF(B15="","",F15+G15+H15)</f>
        <v/>
      </c>
      <c r="J15" s="75">
        <f>IF(B15="","",SUMIFS('Payments'!$L$6:$L$205,'Payments'!$P$6:$P$205,B15))</f>
        <v/>
      </c>
      <c r="K15" s="75">
        <f>IF(B15="","",SUMIFS('Payments'!$N$6:$N$205,'Payments'!$P$6:$P$205,B15))</f>
        <v/>
      </c>
      <c r="L15" s="76">
        <f>IF(B15="","",IF(OR(D15="Estimating",D15=""),MAX(C15,E15,I15,J15),MAX(I15,J15)))</f>
        <v/>
      </c>
      <c r="M15" s="77">
        <f>IF(B15="","",C15-L15)</f>
        <v/>
      </c>
      <c r="N15" s="78">
        <f>IF(O15="","",IF(O15=0,"🟢 On track",IF(O15=1,"🟡 Watch","🔴 Over")))</f>
        <v/>
      </c>
      <c r="O15" s="79">
        <f>IF(B15="","",IF(L15&lt;=C15,0,IF(L15&lt;=C15*(1+BudgetWarnPct),1,2)))</f>
        <v/>
      </c>
      <c r="P15" s="79">
        <f>IF(B15="","",IF(MAX(C15,L15)&gt;0,MAX(C15,L15)+ROW()/100000,""))</f>
        <v/>
      </c>
    </row>
    <row r="16" ht="20" customHeight="1">
      <c r="B16" s="72" t="inlineStr">
        <is>
          <t>Bathrooms</t>
        </is>
      </c>
      <c r="C16" s="73" t="n">
        <v>15000</v>
      </c>
      <c r="D16" s="74" t="inlineStr">
        <is>
          <t>Contracted</t>
        </is>
      </c>
      <c r="E16" s="75">
        <f>IF(B16="","",IFERROR(1/SUMPRODUCT(MAX((QBlockCat=B16)*QBlockInv)),""))</f>
        <v/>
      </c>
      <c r="F16" s="75">
        <f>IF(B16="","",SUMIFS('Contractors'!$I$6:$I$35,'Contractors'!$D$6:$D$35,B16,'Contractors'!$L$6:$L$35,"Yes"))</f>
        <v/>
      </c>
      <c r="G16" s="75">
        <f>IF(B16="","",SUMIFS('Selections &amp; Orders'!$L$8:$L$157,'Selections &amp; Orders'!$D$8:$D$157,B16))</f>
        <v/>
      </c>
      <c r="H16" s="75">
        <f>IF(B16="","",SUMIFS('Change Orders'!$J$7:$J$106,'Change Orders'!$F$7:$F$106,B16,'Change Orders'!$L$7:$L$106,"Approved"))</f>
        <v/>
      </c>
      <c r="I16" s="76">
        <f>IF(B16="","",F16+G16+H16)</f>
        <v/>
      </c>
      <c r="J16" s="75">
        <f>IF(B16="","",SUMIFS('Payments'!$L$6:$L$205,'Payments'!$P$6:$P$205,B16))</f>
        <v/>
      </c>
      <c r="K16" s="75">
        <f>IF(B16="","",SUMIFS('Payments'!$N$6:$N$205,'Payments'!$P$6:$P$205,B16))</f>
        <v/>
      </c>
      <c r="L16" s="76">
        <f>IF(B16="","",IF(OR(D16="Estimating",D16=""),MAX(C16,E16,I16,J16),MAX(I16,J16)))</f>
        <v/>
      </c>
      <c r="M16" s="77">
        <f>IF(B16="","",C16-L16)</f>
        <v/>
      </c>
      <c r="N16" s="78">
        <f>IF(O16="","",IF(O16=0,"🟢 On track",IF(O16=1,"🟡 Watch","🔴 Over")))</f>
        <v/>
      </c>
      <c r="O16" s="79">
        <f>IF(B16="","",IF(L16&lt;=C16,0,IF(L16&lt;=C16*(1+BudgetWarnPct),1,2)))</f>
        <v/>
      </c>
      <c r="P16" s="79">
        <f>IF(B16="","",IF(MAX(C16,L16)&gt;0,MAX(C16,L16)+ROW()/100000,""))</f>
        <v/>
      </c>
    </row>
    <row r="17" ht="20" customHeight="1">
      <c r="B17" s="72" t="inlineStr">
        <is>
          <t>Flooring</t>
        </is>
      </c>
      <c r="C17" s="73" t="n">
        <v>8500</v>
      </c>
      <c r="D17" s="74" t="inlineStr">
        <is>
          <t>Estimating</t>
        </is>
      </c>
      <c r="E17" s="75">
        <f>IF(B17="","",IFERROR(1/SUMPRODUCT(MAX((QBlockCat=B17)*QBlockInv)),""))</f>
        <v/>
      </c>
      <c r="F17" s="75">
        <f>IF(B17="","",SUMIFS('Contractors'!$I$6:$I$35,'Contractors'!$D$6:$D$35,B17,'Contractors'!$L$6:$L$35,"Yes"))</f>
        <v/>
      </c>
      <c r="G17" s="75">
        <f>IF(B17="","",SUMIFS('Selections &amp; Orders'!$L$8:$L$157,'Selections &amp; Orders'!$D$8:$D$157,B17))</f>
        <v/>
      </c>
      <c r="H17" s="75">
        <f>IF(B17="","",SUMIFS('Change Orders'!$J$7:$J$106,'Change Orders'!$F$7:$F$106,B17,'Change Orders'!$L$7:$L$106,"Approved"))</f>
        <v/>
      </c>
      <c r="I17" s="76">
        <f>IF(B17="","",F17+G17+H17)</f>
        <v/>
      </c>
      <c r="J17" s="75">
        <f>IF(B17="","",SUMIFS('Payments'!$L$6:$L$205,'Payments'!$P$6:$P$205,B17))</f>
        <v/>
      </c>
      <c r="K17" s="75">
        <f>IF(B17="","",SUMIFS('Payments'!$N$6:$N$205,'Payments'!$P$6:$P$205,B17))</f>
        <v/>
      </c>
      <c r="L17" s="76">
        <f>IF(B17="","",IF(OR(D17="Estimating",D17=""),MAX(C17,E17,I17,J17),MAX(I17,J17)))</f>
        <v/>
      </c>
      <c r="M17" s="77">
        <f>IF(B17="","",C17-L17)</f>
        <v/>
      </c>
      <c r="N17" s="78">
        <f>IF(O17="","",IF(O17=0,"🟢 On track",IF(O17=1,"🟡 Watch","🔴 Over")))</f>
        <v/>
      </c>
      <c r="O17" s="79">
        <f>IF(B17="","",IF(L17&lt;=C17,0,IF(L17&lt;=C17*(1+BudgetWarnPct),1,2)))</f>
        <v/>
      </c>
      <c r="P17" s="79">
        <f>IF(B17="","",IF(MAX(C17,L17)&gt;0,MAX(C17,L17)+ROW()/100000,""))</f>
        <v/>
      </c>
    </row>
    <row r="18" ht="20" customHeight="1">
      <c r="B18" s="72" t="inlineStr">
        <is>
          <t>Painting</t>
        </is>
      </c>
      <c r="C18" s="73" t="n">
        <v>4500</v>
      </c>
      <c r="D18" s="74" t="inlineStr">
        <is>
          <t>Estimating</t>
        </is>
      </c>
      <c r="E18" s="75">
        <f>IF(B18="","",IFERROR(1/SUMPRODUCT(MAX((QBlockCat=B18)*QBlockInv)),""))</f>
        <v/>
      </c>
      <c r="F18" s="75">
        <f>IF(B18="","",SUMIFS('Contractors'!$I$6:$I$35,'Contractors'!$D$6:$D$35,B18,'Contractors'!$L$6:$L$35,"Yes"))</f>
        <v/>
      </c>
      <c r="G18" s="75">
        <f>IF(B18="","",SUMIFS('Selections &amp; Orders'!$L$8:$L$157,'Selections &amp; Orders'!$D$8:$D$157,B18))</f>
        <v/>
      </c>
      <c r="H18" s="75">
        <f>IF(B18="","",SUMIFS('Change Orders'!$J$7:$J$106,'Change Orders'!$F$7:$F$106,B18,'Change Orders'!$L$7:$L$106,"Approved"))</f>
        <v/>
      </c>
      <c r="I18" s="76">
        <f>IF(B18="","",F18+G18+H18)</f>
        <v/>
      </c>
      <c r="J18" s="75">
        <f>IF(B18="","",SUMIFS('Payments'!$L$6:$L$205,'Payments'!$P$6:$P$205,B18))</f>
        <v/>
      </c>
      <c r="K18" s="75">
        <f>IF(B18="","",SUMIFS('Payments'!$N$6:$N$205,'Payments'!$P$6:$P$205,B18))</f>
        <v/>
      </c>
      <c r="L18" s="76">
        <f>IF(B18="","",IF(OR(D18="Estimating",D18=""),MAX(C18,E18,I18,J18),MAX(I18,J18)))</f>
        <v/>
      </c>
      <c r="M18" s="77">
        <f>IF(B18="","",C18-L18)</f>
        <v/>
      </c>
      <c r="N18" s="78">
        <f>IF(O18="","",IF(O18=0,"🟢 On track",IF(O18=1,"🟡 Watch","🔴 Over")))</f>
        <v/>
      </c>
      <c r="O18" s="79">
        <f>IF(B18="","",IF(L18&lt;=C18,0,IF(L18&lt;=C18*(1+BudgetWarnPct),1,2)))</f>
        <v/>
      </c>
      <c r="P18" s="79">
        <f>IF(B18="","",IF(MAX(C18,L18)&gt;0,MAX(C18,L18)+ROW()/100000,""))</f>
        <v/>
      </c>
    </row>
    <row r="19" ht="20" customHeight="1">
      <c r="B19" s="72" t="inlineStr">
        <is>
          <t>Landscaping</t>
        </is>
      </c>
      <c r="C19" s="73" t="n">
        <v>2000</v>
      </c>
      <c r="D19" s="74" t="inlineStr">
        <is>
          <t>Estimating</t>
        </is>
      </c>
      <c r="E19" s="75">
        <f>IF(B19="","",IFERROR(1/SUMPRODUCT(MAX((QBlockCat=B19)*QBlockInv)),""))</f>
        <v/>
      </c>
      <c r="F19" s="75">
        <f>IF(B19="","",SUMIFS('Contractors'!$I$6:$I$35,'Contractors'!$D$6:$D$35,B19,'Contractors'!$L$6:$L$35,"Yes"))</f>
        <v/>
      </c>
      <c r="G19" s="75">
        <f>IF(B19="","",SUMIFS('Selections &amp; Orders'!$L$8:$L$157,'Selections &amp; Orders'!$D$8:$D$157,B19))</f>
        <v/>
      </c>
      <c r="H19" s="75">
        <f>IF(B19="","",SUMIFS('Change Orders'!$J$7:$J$106,'Change Orders'!$F$7:$F$106,B19,'Change Orders'!$L$7:$L$106,"Approved"))</f>
        <v/>
      </c>
      <c r="I19" s="76">
        <f>IF(B19="","",F19+G19+H19)</f>
        <v/>
      </c>
      <c r="J19" s="75">
        <f>IF(B19="","",SUMIFS('Payments'!$L$6:$L$205,'Payments'!$P$6:$P$205,B19))</f>
        <v/>
      </c>
      <c r="K19" s="75">
        <f>IF(B19="","",SUMIFS('Payments'!$N$6:$N$205,'Payments'!$P$6:$P$205,B19))</f>
        <v/>
      </c>
      <c r="L19" s="76">
        <f>IF(B19="","",IF(OR(D19="Estimating",D19=""),MAX(C19,E19,I19,J19),MAX(I19,J19)))</f>
        <v/>
      </c>
      <c r="M19" s="77">
        <f>IF(B19="","",C19-L19)</f>
        <v/>
      </c>
      <c r="N19" s="78">
        <f>IF(O19="","",IF(O19=0,"🟢 On track",IF(O19=1,"🟡 Watch","🔴 Over")))</f>
        <v/>
      </c>
      <c r="O19" s="79">
        <f>IF(B19="","",IF(L19&lt;=C19,0,IF(L19&lt;=C19*(1+BudgetWarnPct),1,2)))</f>
        <v/>
      </c>
      <c r="P19" s="79">
        <f>IF(B19="","",IF(MAX(C19,L19)&gt;0,MAX(C19,L19)+ROW()/100000,""))</f>
        <v/>
      </c>
    </row>
    <row r="20" ht="20" customHeight="1">
      <c r="B20" s="72" t="inlineStr">
        <is>
          <t>Furniture</t>
        </is>
      </c>
      <c r="C20" s="73" t="n">
        <v>3000</v>
      </c>
      <c r="D20" s="74" t="inlineStr">
        <is>
          <t>Estimating</t>
        </is>
      </c>
      <c r="E20" s="75">
        <f>IF(B20="","",IFERROR(1/SUMPRODUCT(MAX((QBlockCat=B20)*QBlockInv)),""))</f>
        <v/>
      </c>
      <c r="F20" s="75">
        <f>IF(B20="","",SUMIFS('Contractors'!$I$6:$I$35,'Contractors'!$D$6:$D$35,B20,'Contractors'!$L$6:$L$35,"Yes"))</f>
        <v/>
      </c>
      <c r="G20" s="75">
        <f>IF(B20="","",SUMIFS('Selections &amp; Orders'!$L$8:$L$157,'Selections &amp; Orders'!$D$8:$D$157,B20))</f>
        <v/>
      </c>
      <c r="H20" s="75">
        <f>IF(B20="","",SUMIFS('Change Orders'!$J$7:$J$106,'Change Orders'!$F$7:$F$106,B20,'Change Orders'!$L$7:$L$106,"Approved"))</f>
        <v/>
      </c>
      <c r="I20" s="76">
        <f>IF(B20="","",F20+G20+H20)</f>
        <v/>
      </c>
      <c r="J20" s="75">
        <f>IF(B20="","",SUMIFS('Payments'!$L$6:$L$205,'Payments'!$P$6:$P$205,B20))</f>
        <v/>
      </c>
      <c r="K20" s="75">
        <f>IF(B20="","",SUMIFS('Payments'!$N$6:$N$205,'Payments'!$P$6:$P$205,B20))</f>
        <v/>
      </c>
      <c r="L20" s="76">
        <f>IF(B20="","",IF(OR(D20="Estimating",D20=""),MAX(C20,E20,I20,J20),MAX(I20,J20)))</f>
        <v/>
      </c>
      <c r="M20" s="77">
        <f>IF(B20="","",C20-L20)</f>
        <v/>
      </c>
      <c r="N20" s="78">
        <f>IF(O20="","",IF(O20=0,"🟢 On track",IF(O20=1,"🟡 Watch","🔴 Over")))</f>
        <v/>
      </c>
      <c r="O20" s="79">
        <f>IF(B20="","",IF(L20&lt;=C20,0,IF(L20&lt;=C20*(1+BudgetWarnPct),1,2)))</f>
        <v/>
      </c>
      <c r="P20" s="79">
        <f>IF(B20="","",IF(MAX(C20,L20)&gt;0,MAX(C20,L20)+ROW()/100000,""))</f>
        <v/>
      </c>
    </row>
    <row r="21" ht="20" customHeight="1">
      <c r="B21" s="72" t="inlineStr">
        <is>
          <t>Appliances</t>
        </is>
      </c>
      <c r="C21" s="73" t="n">
        <v>3500</v>
      </c>
      <c r="D21" s="74" t="inlineStr">
        <is>
          <t>Estimating</t>
        </is>
      </c>
      <c r="E21" s="75">
        <f>IF(B21="","",IFERROR(1/SUMPRODUCT(MAX((QBlockCat=B21)*QBlockInv)),""))</f>
        <v/>
      </c>
      <c r="F21" s="75">
        <f>IF(B21="","",SUMIFS('Contractors'!$I$6:$I$35,'Contractors'!$D$6:$D$35,B21,'Contractors'!$L$6:$L$35,"Yes"))</f>
        <v/>
      </c>
      <c r="G21" s="75">
        <f>IF(B21="","",SUMIFS('Selections &amp; Orders'!$L$8:$L$157,'Selections &amp; Orders'!$D$8:$D$157,B21))</f>
        <v/>
      </c>
      <c r="H21" s="75">
        <f>IF(B21="","",SUMIFS('Change Orders'!$J$7:$J$106,'Change Orders'!$F$7:$F$106,B21,'Change Orders'!$L$7:$L$106,"Approved"))</f>
        <v/>
      </c>
      <c r="I21" s="76">
        <f>IF(B21="","",F21+G21+H21)</f>
        <v/>
      </c>
      <c r="J21" s="75">
        <f>IF(B21="","",SUMIFS('Payments'!$L$6:$L$205,'Payments'!$P$6:$P$205,B21))</f>
        <v/>
      </c>
      <c r="K21" s="75">
        <f>IF(B21="","",SUMIFS('Payments'!$N$6:$N$205,'Payments'!$P$6:$P$205,B21))</f>
        <v/>
      </c>
      <c r="L21" s="76">
        <f>IF(B21="","",IF(OR(D21="Estimating",D21=""),MAX(C21,E21,I21,J21),MAX(I21,J21)))</f>
        <v/>
      </c>
      <c r="M21" s="77">
        <f>IF(B21="","",C21-L21)</f>
        <v/>
      </c>
      <c r="N21" s="78">
        <f>IF(O21="","",IF(O21=0,"🟢 On track",IF(O21=1,"🟡 Watch","🔴 Over")))</f>
        <v/>
      </c>
      <c r="O21" s="79">
        <f>IF(B21="","",IF(L21&lt;=C21,0,IF(L21&lt;=C21*(1+BudgetWarnPct),1,2)))</f>
        <v/>
      </c>
      <c r="P21" s="79">
        <f>IF(B21="","",IF(MAX(C21,L21)&gt;0,MAX(C21,L21)+ROW()/100000,""))</f>
        <v/>
      </c>
    </row>
    <row r="22" ht="20" customHeight="1">
      <c r="B22" s="72" t="inlineStr">
        <is>
          <t>Permits</t>
        </is>
      </c>
      <c r="C22" s="73" t="n">
        <v>1500</v>
      </c>
      <c r="D22" s="74" t="inlineStr">
        <is>
          <t>Complete</t>
        </is>
      </c>
      <c r="E22" s="75">
        <f>IF(B22="","",IFERROR(1/SUMPRODUCT(MAX((QBlockCat=B22)*QBlockInv)),""))</f>
        <v/>
      </c>
      <c r="F22" s="75">
        <f>IF(B22="","",SUMIFS('Contractors'!$I$6:$I$35,'Contractors'!$D$6:$D$35,B22,'Contractors'!$L$6:$L$35,"Yes"))</f>
        <v/>
      </c>
      <c r="G22" s="75">
        <f>IF(B22="","",SUMIFS('Selections &amp; Orders'!$L$8:$L$157,'Selections &amp; Orders'!$D$8:$D$157,B22))</f>
        <v/>
      </c>
      <c r="H22" s="75">
        <f>IF(B22="","",SUMIFS('Change Orders'!$J$7:$J$106,'Change Orders'!$F$7:$F$106,B22,'Change Orders'!$L$7:$L$106,"Approved"))</f>
        <v/>
      </c>
      <c r="I22" s="76">
        <f>IF(B22="","",F22+G22+H22)</f>
        <v/>
      </c>
      <c r="J22" s="75">
        <f>IF(B22="","",SUMIFS('Payments'!$L$6:$L$205,'Payments'!$P$6:$P$205,B22))</f>
        <v/>
      </c>
      <c r="K22" s="75">
        <f>IF(B22="","",SUMIFS('Payments'!$N$6:$N$205,'Payments'!$P$6:$P$205,B22))</f>
        <v/>
      </c>
      <c r="L22" s="76">
        <f>IF(B22="","",IF(OR(D22="Estimating",D22=""),MAX(C22,E22,I22,J22),MAX(I22,J22)))</f>
        <v/>
      </c>
      <c r="M22" s="77">
        <f>IF(B22="","",C22-L22)</f>
        <v/>
      </c>
      <c r="N22" s="78">
        <f>IF(O22="","",IF(O22=0,"🟢 On track",IF(O22=1,"🟡 Watch","🔴 Over")))</f>
        <v/>
      </c>
      <c r="O22" s="79">
        <f>IF(B22="","",IF(L22&lt;=C22,0,IF(L22&lt;=C22*(1+BudgetWarnPct),1,2)))</f>
        <v/>
      </c>
      <c r="P22" s="79">
        <f>IF(B22="","",IF(MAX(C22,L22)&gt;0,MAX(C22,L22)+ROW()/100000,""))</f>
        <v/>
      </c>
    </row>
    <row r="23" ht="20" customHeight="1">
      <c r="B23" s="72" t="inlineStr">
        <is>
          <t>Professional fees</t>
        </is>
      </c>
      <c r="C23" s="73" t="n">
        <v>5000</v>
      </c>
      <c r="D23" s="74" t="inlineStr">
        <is>
          <t>Contracted</t>
        </is>
      </c>
      <c r="E23" s="75">
        <f>IF(B23="","",IFERROR(1/SUMPRODUCT(MAX((QBlockCat=B23)*QBlockInv)),""))</f>
        <v/>
      </c>
      <c r="F23" s="75">
        <f>IF(B23="","",SUMIFS('Contractors'!$I$6:$I$35,'Contractors'!$D$6:$D$35,B23,'Contractors'!$L$6:$L$35,"Yes"))</f>
        <v/>
      </c>
      <c r="G23" s="75">
        <f>IF(B23="","",SUMIFS('Selections &amp; Orders'!$L$8:$L$157,'Selections &amp; Orders'!$D$8:$D$157,B23))</f>
        <v/>
      </c>
      <c r="H23" s="75">
        <f>IF(B23="","",SUMIFS('Change Orders'!$J$7:$J$106,'Change Orders'!$F$7:$F$106,B23,'Change Orders'!$L$7:$L$106,"Approved"))</f>
        <v/>
      </c>
      <c r="I23" s="76">
        <f>IF(B23="","",F23+G23+H23)</f>
        <v/>
      </c>
      <c r="J23" s="75">
        <f>IF(B23="","",SUMIFS('Payments'!$L$6:$L$205,'Payments'!$P$6:$P$205,B23))</f>
        <v/>
      </c>
      <c r="K23" s="75">
        <f>IF(B23="","",SUMIFS('Payments'!$N$6:$N$205,'Payments'!$P$6:$P$205,B23))</f>
        <v/>
      </c>
      <c r="L23" s="76">
        <f>IF(B23="","",IF(OR(D23="Estimating",D23=""),MAX(C23,E23,I23,J23),MAX(I23,J23)))</f>
        <v/>
      </c>
      <c r="M23" s="77">
        <f>IF(B23="","",C23-L23)</f>
        <v/>
      </c>
      <c r="N23" s="78">
        <f>IF(O23="","",IF(O23=0,"🟢 On track",IF(O23=1,"🟡 Watch","🔴 Over")))</f>
        <v/>
      </c>
      <c r="O23" s="79">
        <f>IF(B23="","",IF(L23&lt;=C23,0,IF(L23&lt;=C23*(1+BudgetWarnPct),1,2)))</f>
        <v/>
      </c>
      <c r="P23" s="79">
        <f>IF(B23="","",IF(MAX(C23,L23)&gt;0,MAX(C23,L23)+ROW()/100000,""))</f>
        <v/>
      </c>
    </row>
    <row r="24" ht="20" customHeight="1">
      <c r="B24" s="72" t="inlineStr">
        <is>
          <t>Waste removal</t>
        </is>
      </c>
      <c r="C24" s="73" t="n">
        <v>1500</v>
      </c>
      <c r="D24" s="74" t="inlineStr">
        <is>
          <t>Estimating</t>
        </is>
      </c>
      <c r="E24" s="75">
        <f>IF(B24="","",IFERROR(1/SUMPRODUCT(MAX((QBlockCat=B24)*QBlockInv)),""))</f>
        <v/>
      </c>
      <c r="F24" s="75">
        <f>IF(B24="","",SUMIFS('Contractors'!$I$6:$I$35,'Contractors'!$D$6:$D$35,B24,'Contractors'!$L$6:$L$35,"Yes"))</f>
        <v/>
      </c>
      <c r="G24" s="75">
        <f>IF(B24="","",SUMIFS('Selections &amp; Orders'!$L$8:$L$157,'Selections &amp; Orders'!$D$8:$D$157,B24))</f>
        <v/>
      </c>
      <c r="H24" s="75">
        <f>IF(B24="","",SUMIFS('Change Orders'!$J$7:$J$106,'Change Orders'!$F$7:$F$106,B24,'Change Orders'!$L$7:$L$106,"Approved"))</f>
        <v/>
      </c>
      <c r="I24" s="76">
        <f>IF(B24="","",F24+G24+H24)</f>
        <v/>
      </c>
      <c r="J24" s="75">
        <f>IF(B24="","",SUMIFS('Payments'!$L$6:$L$205,'Payments'!$P$6:$P$205,B24))</f>
        <v/>
      </c>
      <c r="K24" s="75">
        <f>IF(B24="","",SUMIFS('Payments'!$N$6:$N$205,'Payments'!$P$6:$P$205,B24))</f>
        <v/>
      </c>
      <c r="L24" s="76">
        <f>IF(B24="","",IF(OR(D24="Estimating",D24=""),MAX(C24,E24,I24,J24),MAX(I24,J24)))</f>
        <v/>
      </c>
      <c r="M24" s="77">
        <f>IF(B24="","",C24-L24)</f>
        <v/>
      </c>
      <c r="N24" s="78">
        <f>IF(O24="","",IF(O24=0,"🟢 On track",IF(O24=1,"🟡 Watch","🔴 Over")))</f>
        <v/>
      </c>
      <c r="O24" s="79">
        <f>IF(B24="","",IF(L24&lt;=C24,0,IF(L24&lt;=C24*(1+BudgetWarnPct),1,2)))</f>
        <v/>
      </c>
      <c r="P24" s="79">
        <f>IF(B24="","",IF(MAX(C24,L24)&gt;0,MAX(C24,L24)+ROW()/100000,""))</f>
        <v/>
      </c>
    </row>
    <row r="25" ht="20" customHeight="1">
      <c r="B25" s="72" t="inlineStr">
        <is>
          <t>Other</t>
        </is>
      </c>
      <c r="C25" s="73" t="n">
        <v>500</v>
      </c>
      <c r="D25" s="74" t="inlineStr">
        <is>
          <t>Estimating</t>
        </is>
      </c>
      <c r="E25" s="75">
        <f>IF(B25="","",IFERROR(1/SUMPRODUCT(MAX((QBlockCat=B25)*QBlockInv)),""))</f>
        <v/>
      </c>
      <c r="F25" s="75">
        <f>IF(B25="","",SUMIFS('Contractors'!$I$6:$I$35,'Contractors'!$D$6:$D$35,B25,'Contractors'!$L$6:$L$35,"Yes"))</f>
        <v/>
      </c>
      <c r="G25" s="75">
        <f>IF(B25="","",SUMIFS('Selections &amp; Orders'!$L$8:$L$157,'Selections &amp; Orders'!$D$8:$D$157,B25))</f>
        <v/>
      </c>
      <c r="H25" s="75">
        <f>IF(B25="","",SUMIFS('Change Orders'!$J$7:$J$106,'Change Orders'!$F$7:$F$106,B25,'Change Orders'!$L$7:$L$106,"Approved"))</f>
        <v/>
      </c>
      <c r="I25" s="76">
        <f>IF(B25="","",F25+G25+H25)</f>
        <v/>
      </c>
      <c r="J25" s="75">
        <f>IF(B25="","",SUMIFS('Payments'!$L$6:$L$205,'Payments'!$P$6:$P$205,B25))</f>
        <v/>
      </c>
      <c r="K25" s="75">
        <f>IF(B25="","",SUMIFS('Payments'!$N$6:$N$205,'Payments'!$P$6:$P$205,B25))</f>
        <v/>
      </c>
      <c r="L25" s="76">
        <f>IF(B25="","",IF(OR(D25="Estimating",D25=""),MAX(C25,E25,I25,J25),MAX(I25,J25)))</f>
        <v/>
      </c>
      <c r="M25" s="77">
        <f>IF(B25="","",C25-L25)</f>
        <v/>
      </c>
      <c r="N25" s="78">
        <f>IF(O25="","",IF(O25=0,"🟢 On track",IF(O25=1,"🟡 Watch","🔴 Over")))</f>
        <v/>
      </c>
      <c r="O25" s="79">
        <f>IF(B25="","",IF(L25&lt;=C25,0,IF(L25&lt;=C25*(1+BudgetWarnPct),1,2)))</f>
        <v/>
      </c>
      <c r="P25" s="79">
        <f>IF(B25="","",IF(MAX(C25,L25)&gt;0,MAX(C25,L25)+ROW()/100000,""))</f>
        <v/>
      </c>
    </row>
    <row r="26" ht="20" customHeight="1">
      <c r="B26" s="72" t="n"/>
      <c r="C26" s="73" t="n"/>
      <c r="D26" s="74" t="n"/>
      <c r="E26" s="75">
        <f>IF(B26="","",IFERROR(1/SUMPRODUCT(MAX((QBlockCat=B26)*QBlockInv)),""))</f>
        <v/>
      </c>
      <c r="F26" s="75">
        <f>IF(B26="","",SUMIFS('Contractors'!$I$6:$I$35,'Contractors'!$D$6:$D$35,B26,'Contractors'!$L$6:$L$35,"Yes"))</f>
        <v/>
      </c>
      <c r="G26" s="75">
        <f>IF(B26="","",SUMIFS('Selections &amp; Orders'!$L$8:$L$157,'Selections &amp; Orders'!$D$8:$D$157,B26))</f>
        <v/>
      </c>
      <c r="H26" s="75">
        <f>IF(B26="","",SUMIFS('Change Orders'!$J$7:$J$106,'Change Orders'!$F$7:$F$106,B26,'Change Orders'!$L$7:$L$106,"Approved"))</f>
        <v/>
      </c>
      <c r="I26" s="76">
        <f>IF(B26="","",F26+G26+H26)</f>
        <v/>
      </c>
      <c r="J26" s="75">
        <f>IF(B26="","",SUMIFS('Payments'!$L$6:$L$205,'Payments'!$P$6:$P$205,B26))</f>
        <v/>
      </c>
      <c r="K26" s="75">
        <f>IF(B26="","",SUMIFS('Payments'!$N$6:$N$205,'Payments'!$P$6:$P$205,B26))</f>
        <v/>
      </c>
      <c r="L26" s="76">
        <f>IF(B26="","",IF(OR(D26="Estimating",D26=""),MAX(C26,E26,I26,J26),MAX(I26,J26)))</f>
        <v/>
      </c>
      <c r="M26" s="77">
        <f>IF(B26="","",C26-L26)</f>
        <v/>
      </c>
      <c r="N26" s="78">
        <f>IF(O26="","",IF(O26=0,"🟢 On track",IF(O26=1,"🟡 Watch","🔴 Over")))</f>
        <v/>
      </c>
      <c r="O26" s="79">
        <f>IF(B26="","",IF(L26&lt;=C26,0,IF(L26&lt;=C26*(1+BudgetWarnPct),1,2)))</f>
        <v/>
      </c>
      <c r="P26" s="79">
        <f>IF(B26="","",IF(MAX(C26,L26)&gt;0,MAX(C26,L26)+ROW()/100000,""))</f>
        <v/>
      </c>
    </row>
    <row r="27" ht="20" customHeight="1">
      <c r="B27" s="72" t="n"/>
      <c r="C27" s="73" t="n"/>
      <c r="D27" s="74" t="n"/>
      <c r="E27" s="75">
        <f>IF(B27="","",IFERROR(1/SUMPRODUCT(MAX((QBlockCat=B27)*QBlockInv)),""))</f>
        <v/>
      </c>
      <c r="F27" s="75">
        <f>IF(B27="","",SUMIFS('Contractors'!$I$6:$I$35,'Contractors'!$D$6:$D$35,B27,'Contractors'!$L$6:$L$35,"Yes"))</f>
        <v/>
      </c>
      <c r="G27" s="75">
        <f>IF(B27="","",SUMIFS('Selections &amp; Orders'!$L$8:$L$157,'Selections &amp; Orders'!$D$8:$D$157,B27))</f>
        <v/>
      </c>
      <c r="H27" s="75">
        <f>IF(B27="","",SUMIFS('Change Orders'!$J$7:$J$106,'Change Orders'!$F$7:$F$106,B27,'Change Orders'!$L$7:$L$106,"Approved"))</f>
        <v/>
      </c>
      <c r="I27" s="76">
        <f>IF(B27="","",F27+G27+H27)</f>
        <v/>
      </c>
      <c r="J27" s="75">
        <f>IF(B27="","",SUMIFS('Payments'!$L$6:$L$205,'Payments'!$P$6:$P$205,B27))</f>
        <v/>
      </c>
      <c r="K27" s="75">
        <f>IF(B27="","",SUMIFS('Payments'!$N$6:$N$205,'Payments'!$P$6:$P$205,B27))</f>
        <v/>
      </c>
      <c r="L27" s="76">
        <f>IF(B27="","",IF(OR(D27="Estimating",D27=""),MAX(C27,E27,I27,J27),MAX(I27,J27)))</f>
        <v/>
      </c>
      <c r="M27" s="77">
        <f>IF(B27="","",C27-L27)</f>
        <v/>
      </c>
      <c r="N27" s="78">
        <f>IF(O27="","",IF(O27=0,"🟢 On track",IF(O27=1,"🟡 Watch","🔴 Over")))</f>
        <v/>
      </c>
      <c r="O27" s="79">
        <f>IF(B27="","",IF(L27&lt;=C27,0,IF(L27&lt;=C27*(1+BudgetWarnPct),1,2)))</f>
        <v/>
      </c>
      <c r="P27" s="79">
        <f>IF(B27="","",IF(MAX(C27,L27)&gt;0,MAX(C27,L27)+ROW()/100000,""))</f>
        <v/>
      </c>
    </row>
    <row r="28" ht="20" customHeight="1">
      <c r="B28" s="72" t="n"/>
      <c r="C28" s="73" t="n"/>
      <c r="D28" s="74" t="n"/>
      <c r="E28" s="75">
        <f>IF(B28="","",IFERROR(1/SUMPRODUCT(MAX((QBlockCat=B28)*QBlockInv)),""))</f>
        <v/>
      </c>
      <c r="F28" s="75">
        <f>IF(B28="","",SUMIFS('Contractors'!$I$6:$I$35,'Contractors'!$D$6:$D$35,B28,'Contractors'!$L$6:$L$35,"Yes"))</f>
        <v/>
      </c>
      <c r="G28" s="75">
        <f>IF(B28="","",SUMIFS('Selections &amp; Orders'!$L$8:$L$157,'Selections &amp; Orders'!$D$8:$D$157,B28))</f>
        <v/>
      </c>
      <c r="H28" s="75">
        <f>IF(B28="","",SUMIFS('Change Orders'!$J$7:$J$106,'Change Orders'!$F$7:$F$106,B28,'Change Orders'!$L$7:$L$106,"Approved"))</f>
        <v/>
      </c>
      <c r="I28" s="76">
        <f>IF(B28="","",F28+G28+H28)</f>
        <v/>
      </c>
      <c r="J28" s="75">
        <f>IF(B28="","",SUMIFS('Payments'!$L$6:$L$205,'Payments'!$P$6:$P$205,B28))</f>
        <v/>
      </c>
      <c r="K28" s="75">
        <f>IF(B28="","",SUMIFS('Payments'!$N$6:$N$205,'Payments'!$P$6:$P$205,B28))</f>
        <v/>
      </c>
      <c r="L28" s="76">
        <f>IF(B28="","",IF(OR(D28="Estimating",D28=""),MAX(C28,E28,I28,J28),MAX(I28,J28)))</f>
        <v/>
      </c>
      <c r="M28" s="77">
        <f>IF(B28="","",C28-L28)</f>
        <v/>
      </c>
      <c r="N28" s="78">
        <f>IF(O28="","",IF(O28=0,"🟢 On track",IF(O28=1,"🟡 Watch","🔴 Over")))</f>
        <v/>
      </c>
      <c r="O28" s="79">
        <f>IF(B28="","",IF(L28&lt;=C28,0,IF(L28&lt;=C28*(1+BudgetWarnPct),1,2)))</f>
        <v/>
      </c>
      <c r="P28" s="79">
        <f>IF(B28="","",IF(MAX(C28,L28)&gt;0,MAX(C28,L28)+ROW()/100000,""))</f>
        <v/>
      </c>
    </row>
    <row r="29" ht="20" customHeight="1">
      <c r="B29" s="72" t="n"/>
      <c r="C29" s="73" t="n"/>
      <c r="D29" s="74" t="n"/>
      <c r="E29" s="75">
        <f>IF(B29="","",IFERROR(1/SUMPRODUCT(MAX((QBlockCat=B29)*QBlockInv)),""))</f>
        <v/>
      </c>
      <c r="F29" s="75">
        <f>IF(B29="","",SUMIFS('Contractors'!$I$6:$I$35,'Contractors'!$D$6:$D$35,B29,'Contractors'!$L$6:$L$35,"Yes"))</f>
        <v/>
      </c>
      <c r="G29" s="75">
        <f>IF(B29="","",SUMIFS('Selections &amp; Orders'!$L$8:$L$157,'Selections &amp; Orders'!$D$8:$D$157,B29))</f>
        <v/>
      </c>
      <c r="H29" s="75">
        <f>IF(B29="","",SUMIFS('Change Orders'!$J$7:$J$106,'Change Orders'!$F$7:$F$106,B29,'Change Orders'!$L$7:$L$106,"Approved"))</f>
        <v/>
      </c>
      <c r="I29" s="76">
        <f>IF(B29="","",F29+G29+H29)</f>
        <v/>
      </c>
      <c r="J29" s="75">
        <f>IF(B29="","",SUMIFS('Payments'!$L$6:$L$205,'Payments'!$P$6:$P$205,B29))</f>
        <v/>
      </c>
      <c r="K29" s="75">
        <f>IF(B29="","",SUMIFS('Payments'!$N$6:$N$205,'Payments'!$P$6:$P$205,B29))</f>
        <v/>
      </c>
      <c r="L29" s="76">
        <f>IF(B29="","",IF(OR(D29="Estimating",D29=""),MAX(C29,E29,I29,J29),MAX(I29,J29)))</f>
        <v/>
      </c>
      <c r="M29" s="77">
        <f>IF(B29="","",C29-L29)</f>
        <v/>
      </c>
      <c r="N29" s="78">
        <f>IF(O29="","",IF(O29=0,"🟢 On track",IF(O29=1,"🟡 Watch","🔴 Over")))</f>
        <v/>
      </c>
      <c r="O29" s="79">
        <f>IF(B29="","",IF(L29&lt;=C29,0,IF(L29&lt;=C29*(1+BudgetWarnPct),1,2)))</f>
        <v/>
      </c>
      <c r="P29" s="79">
        <f>IF(B29="","",IF(MAX(C29,L29)&gt;0,MAX(C29,L29)+ROW()/100000,""))</f>
        <v/>
      </c>
    </row>
    <row r="30" ht="20" customHeight="1">
      <c r="B30" s="72" t="n"/>
      <c r="C30" s="73" t="n"/>
      <c r="D30" s="74" t="n"/>
      <c r="E30" s="75">
        <f>IF(B30="","",IFERROR(1/SUMPRODUCT(MAX((QBlockCat=B30)*QBlockInv)),""))</f>
        <v/>
      </c>
      <c r="F30" s="75">
        <f>IF(B30="","",SUMIFS('Contractors'!$I$6:$I$35,'Contractors'!$D$6:$D$35,B30,'Contractors'!$L$6:$L$35,"Yes"))</f>
        <v/>
      </c>
      <c r="G30" s="75">
        <f>IF(B30="","",SUMIFS('Selections &amp; Orders'!$L$8:$L$157,'Selections &amp; Orders'!$D$8:$D$157,B30))</f>
        <v/>
      </c>
      <c r="H30" s="75">
        <f>IF(B30="","",SUMIFS('Change Orders'!$J$7:$J$106,'Change Orders'!$F$7:$F$106,B30,'Change Orders'!$L$7:$L$106,"Approved"))</f>
        <v/>
      </c>
      <c r="I30" s="76">
        <f>IF(B30="","",F30+G30+H30)</f>
        <v/>
      </c>
      <c r="J30" s="75">
        <f>IF(B30="","",SUMIFS('Payments'!$L$6:$L$205,'Payments'!$P$6:$P$205,B30))</f>
        <v/>
      </c>
      <c r="K30" s="75">
        <f>IF(B30="","",SUMIFS('Payments'!$N$6:$N$205,'Payments'!$P$6:$P$205,B30))</f>
        <v/>
      </c>
      <c r="L30" s="76">
        <f>IF(B30="","",IF(OR(D30="Estimating",D30=""),MAX(C30,E30,I30,J30),MAX(I30,J30)))</f>
        <v/>
      </c>
      <c r="M30" s="77">
        <f>IF(B30="","",C30-L30)</f>
        <v/>
      </c>
      <c r="N30" s="78">
        <f>IF(O30="","",IF(O30=0,"🟢 On track",IF(O30=1,"🟡 Watch","🔴 Over")))</f>
        <v/>
      </c>
      <c r="O30" s="79">
        <f>IF(B30="","",IF(L30&lt;=C30,0,IF(L30&lt;=C30*(1+BudgetWarnPct),1,2)))</f>
        <v/>
      </c>
      <c r="P30" s="79">
        <f>IF(B30="","",IF(MAX(C30,L30)&gt;0,MAX(C30,L30)+ROW()/100000,""))</f>
        <v/>
      </c>
    </row>
    <row r="31" ht="20" customHeight="1">
      <c r="B31" s="72" t="n"/>
      <c r="C31" s="73" t="n"/>
      <c r="D31" s="74" t="n"/>
      <c r="E31" s="75">
        <f>IF(B31="","",IFERROR(1/SUMPRODUCT(MAX((QBlockCat=B31)*QBlockInv)),""))</f>
        <v/>
      </c>
      <c r="F31" s="75">
        <f>IF(B31="","",SUMIFS('Contractors'!$I$6:$I$35,'Contractors'!$D$6:$D$35,B31,'Contractors'!$L$6:$L$35,"Yes"))</f>
        <v/>
      </c>
      <c r="G31" s="75">
        <f>IF(B31="","",SUMIFS('Selections &amp; Orders'!$L$8:$L$157,'Selections &amp; Orders'!$D$8:$D$157,B31))</f>
        <v/>
      </c>
      <c r="H31" s="75">
        <f>IF(B31="","",SUMIFS('Change Orders'!$J$7:$J$106,'Change Orders'!$F$7:$F$106,B31,'Change Orders'!$L$7:$L$106,"Approved"))</f>
        <v/>
      </c>
      <c r="I31" s="76">
        <f>IF(B31="","",F31+G31+H31)</f>
        <v/>
      </c>
      <c r="J31" s="75">
        <f>IF(B31="","",SUMIFS('Payments'!$L$6:$L$205,'Payments'!$P$6:$P$205,B31))</f>
        <v/>
      </c>
      <c r="K31" s="75">
        <f>IF(B31="","",SUMIFS('Payments'!$N$6:$N$205,'Payments'!$P$6:$P$205,B31))</f>
        <v/>
      </c>
      <c r="L31" s="76">
        <f>IF(B31="","",IF(OR(D31="Estimating",D31=""),MAX(C31,E31,I31,J31),MAX(I31,J31)))</f>
        <v/>
      </c>
      <c r="M31" s="77">
        <f>IF(B31="","",C31-L31)</f>
        <v/>
      </c>
      <c r="N31" s="78">
        <f>IF(O31="","",IF(O31=0,"🟢 On track",IF(O31=1,"🟡 Watch","🔴 Over")))</f>
        <v/>
      </c>
      <c r="O31" s="79">
        <f>IF(B31="","",IF(L31&lt;=C31,0,IF(L31&lt;=C31*(1+BudgetWarnPct),1,2)))</f>
        <v/>
      </c>
      <c r="P31" s="79">
        <f>IF(B31="","",IF(MAX(C31,L31)&gt;0,MAX(C31,L31)+ROW()/100000,""))</f>
        <v/>
      </c>
    </row>
    <row r="32" ht="20" customHeight="1">
      <c r="B32" s="72" t="n"/>
      <c r="C32" s="73" t="n"/>
      <c r="D32" s="74" t="n"/>
      <c r="E32" s="75">
        <f>IF(B32="","",IFERROR(1/SUMPRODUCT(MAX((QBlockCat=B32)*QBlockInv)),""))</f>
        <v/>
      </c>
      <c r="F32" s="75">
        <f>IF(B32="","",SUMIFS('Contractors'!$I$6:$I$35,'Contractors'!$D$6:$D$35,B32,'Contractors'!$L$6:$L$35,"Yes"))</f>
        <v/>
      </c>
      <c r="G32" s="75">
        <f>IF(B32="","",SUMIFS('Selections &amp; Orders'!$L$8:$L$157,'Selections &amp; Orders'!$D$8:$D$157,B32))</f>
        <v/>
      </c>
      <c r="H32" s="75">
        <f>IF(B32="","",SUMIFS('Change Orders'!$J$7:$J$106,'Change Orders'!$F$7:$F$106,B32,'Change Orders'!$L$7:$L$106,"Approved"))</f>
        <v/>
      </c>
      <c r="I32" s="76">
        <f>IF(B32="","",F32+G32+H32)</f>
        <v/>
      </c>
      <c r="J32" s="75">
        <f>IF(B32="","",SUMIFS('Payments'!$L$6:$L$205,'Payments'!$P$6:$P$205,B32))</f>
        <v/>
      </c>
      <c r="K32" s="75">
        <f>IF(B32="","",SUMIFS('Payments'!$N$6:$N$205,'Payments'!$P$6:$P$205,B32))</f>
        <v/>
      </c>
      <c r="L32" s="76">
        <f>IF(B32="","",IF(OR(D32="Estimating",D32=""),MAX(C32,E32,I32,J32),MAX(I32,J32)))</f>
        <v/>
      </c>
      <c r="M32" s="77">
        <f>IF(B32="","",C32-L32)</f>
        <v/>
      </c>
      <c r="N32" s="78">
        <f>IF(O32="","",IF(O32=0,"🟢 On track",IF(O32=1,"🟡 Watch","🔴 Over")))</f>
        <v/>
      </c>
      <c r="O32" s="79">
        <f>IF(B32="","",IF(L32&lt;=C32,0,IF(L32&lt;=C32*(1+BudgetWarnPct),1,2)))</f>
        <v/>
      </c>
      <c r="P32" s="79">
        <f>IF(B32="","",IF(MAX(C32,L32)&gt;0,MAX(C32,L32)+ROW()/100000,""))</f>
        <v/>
      </c>
    </row>
    <row r="33" ht="20" customHeight="1">
      <c r="B33" s="72" t="n"/>
      <c r="C33" s="73" t="n"/>
      <c r="D33" s="74" t="n"/>
      <c r="E33" s="75">
        <f>IF(B33="","",IFERROR(1/SUMPRODUCT(MAX((QBlockCat=B33)*QBlockInv)),""))</f>
        <v/>
      </c>
      <c r="F33" s="75">
        <f>IF(B33="","",SUMIFS('Contractors'!$I$6:$I$35,'Contractors'!$D$6:$D$35,B33,'Contractors'!$L$6:$L$35,"Yes"))</f>
        <v/>
      </c>
      <c r="G33" s="75">
        <f>IF(B33="","",SUMIFS('Selections &amp; Orders'!$L$8:$L$157,'Selections &amp; Orders'!$D$8:$D$157,B33))</f>
        <v/>
      </c>
      <c r="H33" s="75">
        <f>IF(B33="","",SUMIFS('Change Orders'!$J$7:$J$106,'Change Orders'!$F$7:$F$106,B33,'Change Orders'!$L$7:$L$106,"Approved"))</f>
        <v/>
      </c>
      <c r="I33" s="76">
        <f>IF(B33="","",F33+G33+H33)</f>
        <v/>
      </c>
      <c r="J33" s="75">
        <f>IF(B33="","",SUMIFS('Payments'!$L$6:$L$205,'Payments'!$P$6:$P$205,B33))</f>
        <v/>
      </c>
      <c r="K33" s="75">
        <f>IF(B33="","",SUMIFS('Payments'!$N$6:$N$205,'Payments'!$P$6:$P$205,B33))</f>
        <v/>
      </c>
      <c r="L33" s="76">
        <f>IF(B33="","",IF(OR(D33="Estimating",D33=""),MAX(C33,E33,I33,J33),MAX(I33,J33)))</f>
        <v/>
      </c>
      <c r="M33" s="77">
        <f>IF(B33="","",C33-L33)</f>
        <v/>
      </c>
      <c r="N33" s="78">
        <f>IF(O33="","",IF(O33=0,"🟢 On track",IF(O33=1,"🟡 Watch","🔴 Over")))</f>
        <v/>
      </c>
      <c r="O33" s="79">
        <f>IF(B33="","",IF(L33&lt;=C33,0,IF(L33&lt;=C33*(1+BudgetWarnPct),1,2)))</f>
        <v/>
      </c>
      <c r="P33" s="79">
        <f>IF(B33="","",IF(MAX(C33,L33)&gt;0,MAX(C33,L33)+ROW()/100000,""))</f>
        <v/>
      </c>
    </row>
    <row r="34" ht="20" customHeight="1">
      <c r="B34" s="72" t="n"/>
      <c r="C34" s="73" t="n"/>
      <c r="D34" s="74" t="n"/>
      <c r="E34" s="75">
        <f>IF(B34="","",IFERROR(1/SUMPRODUCT(MAX((QBlockCat=B34)*QBlockInv)),""))</f>
        <v/>
      </c>
      <c r="F34" s="75">
        <f>IF(B34="","",SUMIFS('Contractors'!$I$6:$I$35,'Contractors'!$D$6:$D$35,B34,'Contractors'!$L$6:$L$35,"Yes"))</f>
        <v/>
      </c>
      <c r="G34" s="75">
        <f>IF(B34="","",SUMIFS('Selections &amp; Orders'!$L$8:$L$157,'Selections &amp; Orders'!$D$8:$D$157,B34))</f>
        <v/>
      </c>
      <c r="H34" s="75">
        <f>IF(B34="","",SUMIFS('Change Orders'!$J$7:$J$106,'Change Orders'!$F$7:$F$106,B34,'Change Orders'!$L$7:$L$106,"Approved"))</f>
        <v/>
      </c>
      <c r="I34" s="76">
        <f>IF(B34="","",F34+G34+H34)</f>
        <v/>
      </c>
      <c r="J34" s="75">
        <f>IF(B34="","",SUMIFS('Payments'!$L$6:$L$205,'Payments'!$P$6:$P$205,B34))</f>
        <v/>
      </c>
      <c r="K34" s="75">
        <f>IF(B34="","",SUMIFS('Payments'!$N$6:$N$205,'Payments'!$P$6:$P$205,B34))</f>
        <v/>
      </c>
      <c r="L34" s="76">
        <f>IF(B34="","",IF(OR(D34="Estimating",D34=""),MAX(C34,E34,I34,J34),MAX(I34,J34)))</f>
        <v/>
      </c>
      <c r="M34" s="77">
        <f>IF(B34="","",C34-L34)</f>
        <v/>
      </c>
      <c r="N34" s="78">
        <f>IF(O34="","",IF(O34=0,"🟢 On track",IF(O34=1,"🟡 Watch","🔴 Over")))</f>
        <v/>
      </c>
      <c r="O34" s="79">
        <f>IF(B34="","",IF(L34&lt;=C34,0,IF(L34&lt;=C34*(1+BudgetWarnPct),1,2)))</f>
        <v/>
      </c>
      <c r="P34" s="79">
        <f>IF(B34="","",IF(MAX(C34,L34)&gt;0,MAX(C34,L34)+ROW()/100000,""))</f>
        <v/>
      </c>
    </row>
    <row r="35" ht="20" customHeight="1">
      <c r="B35" s="72" t="n"/>
      <c r="C35" s="73" t="n"/>
      <c r="D35" s="74" t="n"/>
      <c r="E35" s="75">
        <f>IF(B35="","",IFERROR(1/SUMPRODUCT(MAX((QBlockCat=B35)*QBlockInv)),""))</f>
        <v/>
      </c>
      <c r="F35" s="75">
        <f>IF(B35="","",SUMIFS('Contractors'!$I$6:$I$35,'Contractors'!$D$6:$D$35,B35,'Contractors'!$L$6:$L$35,"Yes"))</f>
        <v/>
      </c>
      <c r="G35" s="75">
        <f>IF(B35="","",SUMIFS('Selections &amp; Orders'!$L$8:$L$157,'Selections &amp; Orders'!$D$8:$D$157,B35))</f>
        <v/>
      </c>
      <c r="H35" s="75">
        <f>IF(B35="","",SUMIFS('Change Orders'!$J$7:$J$106,'Change Orders'!$F$7:$F$106,B35,'Change Orders'!$L$7:$L$106,"Approved"))</f>
        <v/>
      </c>
      <c r="I35" s="76">
        <f>IF(B35="","",F35+G35+H35)</f>
        <v/>
      </c>
      <c r="J35" s="75">
        <f>IF(B35="","",SUMIFS('Payments'!$L$6:$L$205,'Payments'!$P$6:$P$205,B35))</f>
        <v/>
      </c>
      <c r="K35" s="75">
        <f>IF(B35="","",SUMIFS('Payments'!$N$6:$N$205,'Payments'!$P$6:$P$205,B35))</f>
        <v/>
      </c>
      <c r="L35" s="76">
        <f>IF(B35="","",IF(OR(D35="Estimating",D35=""),MAX(C35,E35,I35,J35),MAX(I35,J35)))</f>
        <v/>
      </c>
      <c r="M35" s="77">
        <f>IF(B35="","",C35-L35)</f>
        <v/>
      </c>
      <c r="N35" s="78">
        <f>IF(O35="","",IF(O35=0,"🟢 On track",IF(O35=1,"🟡 Watch","🔴 Over")))</f>
        <v/>
      </c>
      <c r="O35" s="79">
        <f>IF(B35="","",IF(L35&lt;=C35,0,IF(L35&lt;=C35*(1+BudgetWarnPct),1,2)))</f>
        <v/>
      </c>
      <c r="P35" s="79">
        <f>IF(B35="","",IF(MAX(C35,L35)&gt;0,MAX(C35,L35)+ROW()/100000,""))</f>
        <v/>
      </c>
    </row>
    <row r="36" ht="20" customHeight="1">
      <c r="B36" s="72" t="n"/>
      <c r="C36" s="73" t="n"/>
      <c r="D36" s="74" t="n"/>
      <c r="E36" s="75">
        <f>IF(B36="","",IFERROR(1/SUMPRODUCT(MAX((QBlockCat=B36)*QBlockInv)),""))</f>
        <v/>
      </c>
      <c r="F36" s="75">
        <f>IF(B36="","",SUMIFS('Contractors'!$I$6:$I$35,'Contractors'!$D$6:$D$35,B36,'Contractors'!$L$6:$L$35,"Yes"))</f>
        <v/>
      </c>
      <c r="G36" s="75">
        <f>IF(B36="","",SUMIFS('Selections &amp; Orders'!$L$8:$L$157,'Selections &amp; Orders'!$D$8:$D$157,B36))</f>
        <v/>
      </c>
      <c r="H36" s="75">
        <f>IF(B36="","",SUMIFS('Change Orders'!$J$7:$J$106,'Change Orders'!$F$7:$F$106,B36,'Change Orders'!$L$7:$L$106,"Approved"))</f>
        <v/>
      </c>
      <c r="I36" s="76">
        <f>IF(B36="","",F36+G36+H36)</f>
        <v/>
      </c>
      <c r="J36" s="75">
        <f>IF(B36="","",SUMIFS('Payments'!$L$6:$L$205,'Payments'!$P$6:$P$205,B36))</f>
        <v/>
      </c>
      <c r="K36" s="75">
        <f>IF(B36="","",SUMIFS('Payments'!$N$6:$N$205,'Payments'!$P$6:$P$205,B36))</f>
        <v/>
      </c>
      <c r="L36" s="76">
        <f>IF(B36="","",IF(OR(D36="Estimating",D36=""),MAX(C36,E36,I36,J36),MAX(I36,J36)))</f>
        <v/>
      </c>
      <c r="M36" s="77">
        <f>IF(B36="","",C36-L36)</f>
        <v/>
      </c>
      <c r="N36" s="78">
        <f>IF(O36="","",IF(O36=0,"🟢 On track",IF(O36=1,"🟡 Watch","🔴 Over")))</f>
        <v/>
      </c>
      <c r="O36" s="79">
        <f>IF(B36="","",IF(L36&lt;=C36,0,IF(L36&lt;=C36*(1+BudgetWarnPct),1,2)))</f>
        <v/>
      </c>
      <c r="P36" s="79">
        <f>IF(B36="","",IF(MAX(C36,L36)&gt;0,MAX(C36,L36)+ROW()/100000,""))</f>
        <v/>
      </c>
    </row>
    <row r="37" ht="20" customHeight="1">
      <c r="B37" s="72" t="n"/>
      <c r="C37" s="73" t="n"/>
      <c r="D37" s="74" t="n"/>
      <c r="E37" s="75">
        <f>IF(B37="","",IFERROR(1/SUMPRODUCT(MAX((QBlockCat=B37)*QBlockInv)),""))</f>
        <v/>
      </c>
      <c r="F37" s="75">
        <f>IF(B37="","",SUMIFS('Contractors'!$I$6:$I$35,'Contractors'!$D$6:$D$35,B37,'Contractors'!$L$6:$L$35,"Yes"))</f>
        <v/>
      </c>
      <c r="G37" s="75">
        <f>IF(B37="","",SUMIFS('Selections &amp; Orders'!$L$8:$L$157,'Selections &amp; Orders'!$D$8:$D$157,B37))</f>
        <v/>
      </c>
      <c r="H37" s="75">
        <f>IF(B37="","",SUMIFS('Change Orders'!$J$7:$J$106,'Change Orders'!$F$7:$F$106,B37,'Change Orders'!$L$7:$L$106,"Approved"))</f>
        <v/>
      </c>
      <c r="I37" s="76">
        <f>IF(B37="","",F37+G37+H37)</f>
        <v/>
      </c>
      <c r="J37" s="75">
        <f>IF(B37="","",SUMIFS('Payments'!$L$6:$L$205,'Payments'!$P$6:$P$205,B37))</f>
        <v/>
      </c>
      <c r="K37" s="75">
        <f>IF(B37="","",SUMIFS('Payments'!$N$6:$N$205,'Payments'!$P$6:$P$205,B37))</f>
        <v/>
      </c>
      <c r="L37" s="76">
        <f>IF(B37="","",IF(OR(D37="Estimating",D37=""),MAX(C37,E37,I37,J37),MAX(I37,J37)))</f>
        <v/>
      </c>
      <c r="M37" s="77">
        <f>IF(B37="","",C37-L37)</f>
        <v/>
      </c>
      <c r="N37" s="78">
        <f>IF(O37="","",IF(O37=0,"🟢 On track",IF(O37=1,"🟡 Watch","🔴 Over")))</f>
        <v/>
      </c>
      <c r="O37" s="79">
        <f>IF(B37="","",IF(L37&lt;=C37,0,IF(L37&lt;=C37*(1+BudgetWarnPct),1,2)))</f>
        <v/>
      </c>
      <c r="P37" s="79">
        <f>IF(B37="","",IF(MAX(C37,L37)&gt;0,MAX(C37,L37)+ROW()/100000,""))</f>
        <v/>
      </c>
    </row>
    <row r="38" ht="26" customHeight="1">
      <c r="B38" s="80" t="inlineStr">
        <is>
          <t>TOTAL</t>
        </is>
      </c>
      <c r="C38" s="81">
        <f>SUM(C8:C37)</f>
        <v/>
      </c>
      <c r="D38" s="80" t="n"/>
      <c r="E38" s="80" t="n"/>
      <c r="F38" s="81">
        <f>SUM(F8:F37)</f>
        <v/>
      </c>
      <c r="G38" s="81">
        <f>SUM(G8:G37)</f>
        <v/>
      </c>
      <c r="H38" s="81">
        <f>SUM(H8:H37)</f>
        <v/>
      </c>
      <c r="I38" s="81">
        <f>SUM(I8:I37)</f>
        <v/>
      </c>
      <c r="J38" s="81">
        <f>SUM(J8:J37)</f>
        <v/>
      </c>
      <c r="K38" s="81">
        <f>SUM(K8:K37)</f>
        <v/>
      </c>
      <c r="L38" s="81">
        <f>SUM(L8:L37)</f>
        <v/>
      </c>
      <c r="M38" s="81">
        <f>SUM(M8:M37)</f>
        <v/>
      </c>
      <c r="N38" s="82">
        <f>IF(O38=0,"🟢 On track",IF(O38=1,"🟡 Watch","🔴 Over"))</f>
        <v/>
      </c>
      <c r="O38" s="79">
        <f>IF(L38&lt;=C38,0,IF(L38&lt;=C38*(1+BudgetWarnPct),1,2))</f>
        <v/>
      </c>
    </row>
    <row r="39">
      <c r="B39" s="4" t="inlineStr">
        <is>
          <t>RISK — what could still come on top of the forecast</t>
        </is>
      </c>
      <c r="C39" s="5" t="n"/>
      <c r="D39" s="5" t="n"/>
      <c r="E39" s="5" t="n"/>
      <c r="F39" s="5" t="n"/>
      <c r="G39" s="5" t="n"/>
      <c r="H39" s="5" t="n"/>
      <c r="I39" s="5" t="n"/>
      <c r="J39" s="5" t="n"/>
      <c r="K39" s="5" t="n"/>
      <c r="L39" s="5" t="n"/>
      <c r="M39" s="5" t="n"/>
      <c r="N39" s="5" t="n"/>
    </row>
    <row r="40" ht="22" customHeight="1">
      <c r="B40" s="83" t="inlineStr">
        <is>
          <t>Pending change orders (not approved yet)</t>
        </is>
      </c>
      <c r="L40" s="68">
        <f>SUMIFS('Change Orders'!$J$7:$J$106,'Change Orders'!$L$7:$L$106,"Pending")</f>
        <v/>
      </c>
      <c r="Q40" s="84">
        <f>IF(AND(WorkBudget&gt;0,ForecastTotal&gt;WorkBudget),AsOf,"")</f>
        <v/>
      </c>
      <c r="R40" s="46">
        <f>IF(Q40="","",1)</f>
        <v/>
      </c>
      <c r="S40" s="46">
        <f>IF(R40="","","Forecast is over your working budget by "&amp;CurSym&amp;" "&amp;FIXED(ForecastTotal-WorkBudget,0)&amp;" — review Budget")</f>
        <v/>
      </c>
    </row>
    <row r="41" ht="22" customHeight="1">
      <c r="B41" s="83" t="inlineStr">
        <is>
          <t>Estimated cost of open issues</t>
        </is>
      </c>
      <c r="L41" s="68">
        <f>SUM('Issues &amp; Punch List'!$T$8:$T$207)</f>
        <v/>
      </c>
      <c r="Q41" s="84">
        <f>IF(ContUsed&gt;0.75,AsOf,"")</f>
        <v/>
      </c>
      <c r="R41" s="46">
        <f>IF(Q41="","",1)</f>
        <v/>
      </c>
      <c r="S41" s="46">
        <f>IF(R41="","","Contingency "&amp;ROUND(ContUsed*100,0)&amp;"% used — pause optional changes")</f>
        <v/>
      </c>
    </row>
    <row r="42" ht="22" customHeight="1">
      <c r="B42" s="85" t="inlineStr">
        <is>
          <t>RISK (could still be added)</t>
        </is>
      </c>
      <c r="L42" s="81">
        <f>L40+L41</f>
        <v/>
      </c>
    </row>
    <row r="43" ht="22" customHeight="1">
      <c r="B43" s="85" t="inlineStr">
        <is>
          <t>FORECAST INCL. RISK</t>
        </is>
      </c>
      <c r="L43" s="81">
        <f>ForecastTotal+L42</f>
        <v/>
      </c>
    </row>
    <row r="44" ht="22" customHeight="1">
      <c r="B44" s="83" t="inlineStr">
        <is>
          <t>Contingency used by forecast</t>
        </is>
      </c>
      <c r="L44" s="86">
        <f>IF(ContAmt&gt;0,MAX(0,ForecastTotal-WorkBudget)/ContAmt,0)</f>
        <v/>
      </c>
      <c r="M44" s="87">
        <f>REPT("█",ROUND(MIN(1,ContUsed)*10,0))&amp;REPT("░",10-ROUND(MIN(1,ContUsed)*10,0))</f>
        <v/>
      </c>
    </row>
  </sheetData>
  <sheetProtection selectLockedCells="1" selectUnlockedCells="0" sheet="1" objects="0" insertRows="1" insertHyperlinks="1" autoFilter="1" scenarios="0" formatColumns="0" deleteColumns="1" insertColumns="1" pivotTables="1" deleteRows="1" formatCells="1" formatRows="0" sort="1" password="CD61"/>
  <mergeCells count="7">
    <mergeCell ref="E4:F4"/>
    <mergeCell ref="B41:K41"/>
    <mergeCell ref="B40:K40"/>
    <mergeCell ref="B44:K44"/>
    <mergeCell ref="B43:K43"/>
    <mergeCell ref="H4:L4"/>
    <mergeCell ref="B42:K42"/>
  </mergeCells>
  <conditionalFormatting sqref="L44">
    <cfRule type="expression" priority="1" dxfId="0" stopIfTrue="0">
      <formula>L44&gt;0.75</formula>
    </cfRule>
  </conditionalFormatting>
  <conditionalFormatting sqref="N8:N38">
    <cfRule type="expression" priority="2" dxfId="0" stopIfTrue="0">
      <formula>$O8=2</formula>
    </cfRule>
    <cfRule type="expression" priority="3" dxfId="2" stopIfTrue="0">
      <formula>$O8=1</formula>
    </cfRule>
    <cfRule type="expression" priority="4" dxfId="3" stopIfTrue="0">
      <formula>$O8=0</formula>
    </cfRule>
  </conditionalFormatting>
  <dataValidations count="1">
    <dataValidation sqref="D8:D37" showDropDown="0" showInputMessage="0" showErrorMessage="1" allowBlank="1" errorTitle="Renovation OS" error="Please pick a value from the dropdown list." type="list">
      <formula1>='Lists'!$B$2:$B$4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2E7D32"/>
    <outlinePr summaryBelow="1" summaryRight="1"/>
    <pageSetUpPr/>
  </sheetPr>
  <dimension ref="A1:V396"/>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7" customWidth="1" min="3" max="3"/>
    <col width="12" customWidth="1" min="4" max="4"/>
    <col width="17" customWidth="1" min="5" max="5"/>
    <col width="12" customWidth="1" min="6" max="6"/>
    <col width="17" customWidth="1" min="7" max="7"/>
    <col width="12" customWidth="1" min="8" max="8"/>
    <col width="17" customWidth="1" min="9" max="9"/>
    <col width="12" customWidth="1" min="10" max="10"/>
    <col width="3" customWidth="1" min="11" max="11"/>
    <col width="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Quotes</t>
        </is>
      </c>
    </row>
    <row r="2" ht="20" customHeight="1">
      <c r="B2" s="2" t="inlineStr">
        <is>
          <t>What this tab does: compares up to 4 contractors per trade side by side and reveals the TRUE cost once hidden extras are added.</t>
        </is>
      </c>
    </row>
    <row r="3">
      <c r="B3" s="3" t="inlineStr">
        <is>
          <t>© 2026 Hang Nguyen — Renovation OS. Licensed to the original purchaser for personal use only. Do not share, copy, resell or redistribute.</t>
        </is>
      </c>
    </row>
    <row r="4">
      <c r="B4" s="4" t="inlineStr">
        <is>
          <t>SCORING WEIGHTS (points, should total 100)</t>
        </is>
      </c>
      <c r="C4" s="5" t="n"/>
      <c r="D4" s="5" t="n"/>
      <c r="E4" s="5" t="n"/>
      <c r="F4" s="5" t="n"/>
      <c r="G4" s="5" t="n"/>
      <c r="H4" s="5" t="n"/>
    </row>
    <row r="5">
      <c r="C5" s="52" t="inlineStr">
        <is>
          <t>Price</t>
        </is>
      </c>
      <c r="D5" s="52" t="inlineStr">
        <is>
          <t>Timeline</t>
        </is>
      </c>
      <c r="E5" s="52" t="inlineStr">
        <is>
          <t>Warranty</t>
        </is>
      </c>
      <c r="F5" s="52" t="inlineStr">
        <is>
          <t>Checklist</t>
        </is>
      </c>
      <c r="G5" s="52" t="inlineStr">
        <is>
          <t>Gut &amp; refs</t>
        </is>
      </c>
      <c r="H5" s="52" t="inlineStr">
        <is>
          <t>Total</t>
        </is>
      </c>
    </row>
    <row r="6" ht="30" customHeight="1">
      <c r="B6" s="88" t="inlineStr">
        <is>
          <t>Cheapest TRUE cost, shortest timeline and longest warranty get full points; others get proportional points.</t>
        </is>
      </c>
      <c r="C6" s="89" t="n">
        <v>40</v>
      </c>
      <c r="D6" s="89" t="n">
        <v>20</v>
      </c>
      <c r="E6" s="89" t="n">
        <v>15</v>
      </c>
      <c r="F6" s="89" t="n">
        <v>15</v>
      </c>
      <c r="G6" s="89" t="n">
        <v>10</v>
      </c>
      <c r="H6" s="90">
        <f>SUM(C6:G6)</f>
        <v/>
      </c>
    </row>
    <row r="7">
      <c r="B7" s="8" t="inlineStr">
        <is>
          <t>Tip: type prices exactly as quoted. Yellow checklist cells: estimate what a missing item will cost you — it is added to the TRUE COST.</t>
        </is>
      </c>
    </row>
    <row r="8">
      <c r="M8" t="inlineStr">
        <is>
          <t>block cat</t>
        </is>
      </c>
      <c r="N8" t="inlineStr">
        <is>
          <t>best true</t>
        </is>
      </c>
      <c r="O8" t="inlineStr">
        <is>
          <t>1/best</t>
        </is>
      </c>
      <c r="P8" t="inlineStr">
        <is>
          <t>warn</t>
        </is>
      </c>
      <c r="T8" t="inlineStr">
        <is>
          <t>expiry due</t>
        </is>
      </c>
      <c r="U8" t="inlineStr">
        <is>
          <t>pri</t>
        </is>
      </c>
      <c r="V8" t="inlineStr">
        <is>
          <t>text</t>
        </is>
      </c>
    </row>
    <row r="9" ht="28" customHeight="1">
      <c r="B9" s="91" t="inlineStr">
        <is>
          <t>COMPARISON 1  ▸  trade:</t>
        </is>
      </c>
      <c r="C9" s="92" t="inlineStr">
        <is>
          <t>Kitchen</t>
        </is>
      </c>
      <c r="D9" s="91" t="n"/>
      <c r="E9" s="93">
        <f>IF(COUNT($C$43:$J$43)=0,"Enter up to 4 quotes below","🏆 Best overall: "&amp;INDEX($C$11:$J$11,MATCH(MAX($C$43:$J$43),$C$43:$J$43,0))&amp;"  —  true cost "&amp;CurSym&amp;" "&amp;FIXED(INDEX($C$35:$J$35,MATCH(MAX($C$43:$J$43),$C$43:$J$43,0)),0))</f>
        <v/>
      </c>
      <c r="F9" s="94" t="n"/>
      <c r="G9" s="94" t="n"/>
      <c r="H9" s="94" t="n"/>
      <c r="I9" s="94" t="n"/>
      <c r="J9" s="63" t="n"/>
      <c r="M9" s="46">
        <f>IF(C9="","",C9)</f>
        <v/>
      </c>
      <c r="N9" s="46">
        <f>IF(OR(M9="",COUNT($C35:$J35)=0),"",MIN($C35:$J35))</f>
        <v/>
      </c>
      <c r="O9" s="46">
        <f>IF(N9="",0,IF(N9&gt;0,1/N9,0))</f>
        <v/>
      </c>
      <c r="T9" s="84">
        <f>IF(OR(C11="",C19=""),"",IF(OR(IFERROR(INDEX('Budget'!$D$8:$D$37,MATCH($C$9,'Budget'!$B$8:$B$37,0)),"")="Contracted",IFERROR(INDEX('Budget'!$D$8:$D$37,MATCH($C$9,'Budget'!$B$8:$B$37,0)),"")="Complete"),"",IF(C19&lt;AsOf,"",C19)))</f>
        <v/>
      </c>
      <c r="U9" s="46">
        <f>IF(T9="","",IF(T9&lt;AsOf,1,IF(T9&lt;=AsOf+AlertDays,2,IF(T9&lt;=AsOf+2*AlertDays,3,""))))</f>
        <v/>
      </c>
      <c r="V9" s="46">
        <f>IF(U9="","","Quote expires: "&amp;C11&amp;IF($C$9="",""," ("&amp;$C$9&amp;")")&amp;" — decide or ask for an extension")</f>
        <v/>
      </c>
    </row>
    <row r="10">
      <c r="C10" s="95" t="inlineStr">
        <is>
          <t>Contractor 1</t>
        </is>
      </c>
      <c r="D10" s="63" t="n"/>
      <c r="E10" s="95" t="inlineStr">
        <is>
          <t>Contractor 2</t>
        </is>
      </c>
      <c r="F10" s="63" t="n"/>
      <c r="G10" s="95" t="inlineStr">
        <is>
          <t>Contractor 3</t>
        </is>
      </c>
      <c r="H10" s="63" t="n"/>
      <c r="I10" s="95" t="inlineStr">
        <is>
          <t>Contractor 4</t>
        </is>
      </c>
      <c r="J10" s="63" t="n"/>
      <c r="M10" s="46">
        <f>IF(C48="","",C48)</f>
        <v/>
      </c>
      <c r="N10" s="46">
        <f>IF(OR(M10="",COUNT($C74:$J74)=0),"",MIN($C74:$J74))</f>
        <v/>
      </c>
      <c r="O10" s="46">
        <f>IF(N10="",0,IF(N10&gt;0,1/N10,0))</f>
        <v/>
      </c>
      <c r="T10" s="84">
        <f>IF(OR(E11="",E19=""),"",IF(OR(IFERROR(INDEX('Budget'!$D$8:$D$37,MATCH($C$9,'Budget'!$B$8:$B$37,0)),"")="Contracted",IFERROR(INDEX('Budget'!$D$8:$D$37,MATCH($C$9,'Budget'!$B$8:$B$37,0)),"")="Complete"),"",IF(E19&lt;AsOf,"",E19)))</f>
        <v/>
      </c>
      <c r="U10" s="46">
        <f>IF(T10="","",IF(T10&lt;AsOf,1,IF(T10&lt;=AsOf+AlertDays,2,IF(T10&lt;=AsOf+2*AlertDays,3,""))))</f>
        <v/>
      </c>
      <c r="V10" s="46">
        <f>IF(U10="","","Quote expires: "&amp;E11&amp;IF($C$9="",""," ("&amp;$C$9&amp;")")&amp;" — decide or ask for an extension")</f>
        <v/>
      </c>
    </row>
    <row r="11">
      <c r="B11" s="6" t="inlineStr">
        <is>
          <t>Contractor / company</t>
        </is>
      </c>
      <c r="C11" s="74" t="inlineStr">
        <is>
          <t>BudgetKitchen Co</t>
        </is>
      </c>
      <c r="D11" s="96" t="n"/>
      <c r="E11" s="74" t="inlineStr">
        <is>
          <t>Nordic Kitchens</t>
        </is>
      </c>
      <c r="F11" s="96" t="n"/>
      <c r="G11" s="74" t="inlineStr">
        <is>
          <t>Kitchen World</t>
        </is>
      </c>
      <c r="H11" s="96" t="n"/>
      <c r="I11" s="74" t="n"/>
      <c r="J11" s="96" t="n"/>
      <c r="M11" s="46">
        <f>IF(C87="","",C87)</f>
        <v/>
      </c>
      <c r="N11" s="46">
        <f>IF(OR(M11="",COUNT($C113:$J113)=0),"",MIN($C113:$J113))</f>
        <v/>
      </c>
      <c r="O11" s="46">
        <f>IF(N11="",0,IF(N11&gt;0,1/N11,0))</f>
        <v/>
      </c>
      <c r="T11" s="84">
        <f>IF(OR(G11="",G19=""),"",IF(OR(IFERROR(INDEX('Budget'!$D$8:$D$37,MATCH($C$9,'Budget'!$B$8:$B$37,0)),"")="Contracted",IFERROR(INDEX('Budget'!$D$8:$D$37,MATCH($C$9,'Budget'!$B$8:$B$37,0)),"")="Complete"),"",IF(G19&lt;AsOf,"",G19)))</f>
        <v/>
      </c>
      <c r="U11" s="46">
        <f>IF(T11="","",IF(T11&lt;AsOf,1,IF(T11&lt;=AsOf+AlertDays,2,IF(T11&lt;=AsOf+2*AlertDays,3,""))))</f>
        <v/>
      </c>
      <c r="V11" s="46">
        <f>IF(U11="","","Quote expires: "&amp;G11&amp;IF($C$9="",""," ("&amp;$C$9&amp;")")&amp;" — decide or ask for an extension")</f>
        <v/>
      </c>
    </row>
    <row r="12">
      <c r="B12" s="97">
        <f>"Quoted price ("&amp;CurSym&amp;")"</f>
        <v/>
      </c>
      <c r="C12" s="98" t="n">
        <v>16900</v>
      </c>
      <c r="D12" s="96" t="n"/>
      <c r="E12" s="98" t="n">
        <v>19400</v>
      </c>
      <c r="F12" s="96" t="n"/>
      <c r="G12" s="98" t="n">
        <v>18200</v>
      </c>
      <c r="H12" s="96" t="n"/>
      <c r="I12" s="98" t="n"/>
      <c r="J12" s="96" t="n"/>
      <c r="M12" s="46">
        <f>IF(C126="","",C126)</f>
        <v/>
      </c>
      <c r="N12" s="46">
        <f>IF(OR(M12="",COUNT($C152:$J152)=0),"",MIN($C152:$J152))</f>
        <v/>
      </c>
      <c r="O12" s="46">
        <f>IF(N12="",0,IF(N12&gt;0,1/N12,0))</f>
        <v/>
      </c>
      <c r="T12" s="84">
        <f>IF(OR(I11="",I19=""),"",IF(OR(IFERROR(INDEX('Budget'!$D$8:$D$37,MATCH($C$9,'Budget'!$B$8:$B$37,0)),"")="Contracted",IFERROR(INDEX('Budget'!$D$8:$D$37,MATCH($C$9,'Budget'!$B$8:$B$37,0)),"")="Complete"),"",IF(I19&lt;AsOf,"",I19)))</f>
        <v/>
      </c>
      <c r="U12" s="46">
        <f>IF(T12="","",IF(T12&lt;AsOf,1,IF(T12&lt;=AsOf+AlertDays,2,IF(T12&lt;=AsOf+2*AlertDays,3,""))))</f>
        <v/>
      </c>
      <c r="V12" s="46">
        <f>IF(U12="","","Quote expires: "&amp;I11&amp;IF($C$9="",""," ("&amp;$C$9&amp;")")&amp;" — decide or ask for an extension")</f>
        <v/>
      </c>
    </row>
    <row r="13">
      <c r="B13" s="97">
        <f>"Price includes "&amp;TaxWord&amp;"?"</f>
        <v/>
      </c>
      <c r="C13" s="74" t="inlineStr">
        <is>
          <t>Yes</t>
        </is>
      </c>
      <c r="D13" s="96" t="n"/>
      <c r="E13" s="74" t="inlineStr">
        <is>
          <t>Yes</t>
        </is>
      </c>
      <c r="F13" s="96" t="n"/>
      <c r="G13" s="74" t="inlineStr">
        <is>
          <t>No</t>
        </is>
      </c>
      <c r="H13" s="96" t="n"/>
      <c r="I13" s="74">
        <f>DefInclTax</f>
        <v/>
      </c>
      <c r="J13" s="96" t="n"/>
      <c r="M13" s="46">
        <f>IF(C165="","",C165)</f>
        <v/>
      </c>
      <c r="N13" s="46">
        <f>IF(OR(M13="",COUNT($C191:$J191)=0),"",MIN($C191:$J191))</f>
        <v/>
      </c>
      <c r="O13" s="46">
        <f>IF(N13="",0,IF(N13&gt;0,1/N13,0))</f>
        <v/>
      </c>
      <c r="T13" s="84">
        <f>IF(OR(C50="",C58=""),"",IF(OR(IFERROR(INDEX('Budget'!$D$8:$D$37,MATCH($C$48,'Budget'!$B$8:$B$37,0)),"")="Contracted",IFERROR(INDEX('Budget'!$D$8:$D$37,MATCH($C$48,'Budget'!$B$8:$B$37,0)),"")="Complete"),"",IF(C58&lt;AsOf,"",C58)))</f>
        <v/>
      </c>
      <c r="U13" s="46">
        <f>IF(T13="","",IF(T13&lt;AsOf,1,IF(T13&lt;=AsOf+AlertDays,2,IF(T13&lt;=AsOf+2*AlertDays,3,""))))</f>
        <v/>
      </c>
      <c r="V13" s="46">
        <f>IF(U13="","","Quote expires: "&amp;C50&amp;IF($C$48="",""," ("&amp;$C$48&amp;")")&amp;" — decide or ask for an extension")</f>
        <v/>
      </c>
    </row>
    <row r="14">
      <c r="B14" s="97">
        <f>"Price incl. "&amp;TaxWord&amp;" ("&amp;CurSym&amp;")"</f>
        <v/>
      </c>
      <c r="C14" s="99">
        <f>IF(C12="","",IF(C13="No",C12*(1+VatRate),C12))</f>
        <v/>
      </c>
      <c r="D14" s="63" t="n"/>
      <c r="E14" s="99">
        <f>IF(E12="","",IF(E13="No",E12*(1+VatRate),E12))</f>
        <v/>
      </c>
      <c r="F14" s="63" t="n"/>
      <c r="G14" s="99">
        <f>IF(G12="","",IF(G13="No",G12*(1+VatRate),G12))</f>
        <v/>
      </c>
      <c r="H14" s="63" t="n"/>
      <c r="I14" s="99">
        <f>IF(I12="","",IF(I13="No",I12*(1+VatRate),I12))</f>
        <v/>
      </c>
      <c r="J14" s="63" t="n"/>
      <c r="M14" s="46">
        <f>IF(C204="","",C204)</f>
        <v/>
      </c>
      <c r="N14" s="46">
        <f>IF(OR(M14="",COUNT($C230:$J230)=0),"",MIN($C230:$J230))</f>
        <v/>
      </c>
      <c r="O14" s="46">
        <f>IF(N14="",0,IF(N14&gt;0,1/N14,0))</f>
        <v/>
      </c>
      <c r="T14" s="84">
        <f>IF(OR(E50="",E58=""),"",IF(OR(IFERROR(INDEX('Budget'!$D$8:$D$37,MATCH($C$48,'Budget'!$B$8:$B$37,0)),"")="Contracted",IFERROR(INDEX('Budget'!$D$8:$D$37,MATCH($C$48,'Budget'!$B$8:$B$37,0)),"")="Complete"),"",IF(E58&lt;AsOf,"",E58)))</f>
        <v/>
      </c>
      <c r="U14" s="46">
        <f>IF(T14="","",IF(T14&lt;AsOf,1,IF(T14&lt;=AsOf+AlertDays,2,IF(T14&lt;=AsOf+2*AlertDays,3,""))))</f>
        <v/>
      </c>
      <c r="V14" s="46">
        <f>IF(U14="","","Quote expires: "&amp;E50&amp;IF($C$48="",""," ("&amp;$C$48&amp;")")&amp;" — decide or ask for an extension")</f>
        <v/>
      </c>
    </row>
    <row r="15">
      <c r="B15" s="19" t="inlineStr">
        <is>
          <t>Timeline (weeks)</t>
        </is>
      </c>
      <c r="C15" s="100" t="n">
        <v>3</v>
      </c>
      <c r="D15" s="96" t="n"/>
      <c r="E15" s="100" t="n">
        <v>2</v>
      </c>
      <c r="F15" s="96" t="n"/>
      <c r="G15" s="100" t="n">
        <v>4</v>
      </c>
      <c r="H15" s="96" t="n"/>
      <c r="I15" s="100" t="n"/>
      <c r="J15" s="96" t="n"/>
      <c r="M15" s="46">
        <f>IF(C243="","",C243)</f>
        <v/>
      </c>
      <c r="N15" s="46">
        <f>IF(OR(M15="",COUNT($C269:$J269)=0),"",MIN($C269:$J269))</f>
        <v/>
      </c>
      <c r="O15" s="46">
        <f>IF(N15="",0,IF(N15&gt;0,1/N15,0))</f>
        <v/>
      </c>
      <c r="T15" s="84">
        <f>IF(OR(G50="",G58=""),"",IF(OR(IFERROR(INDEX('Budget'!$D$8:$D$37,MATCH($C$48,'Budget'!$B$8:$B$37,0)),"")="Contracted",IFERROR(INDEX('Budget'!$D$8:$D$37,MATCH($C$48,'Budget'!$B$8:$B$37,0)),"")="Complete"),"",IF(G58&lt;AsOf,"",G58)))</f>
        <v/>
      </c>
      <c r="U15" s="46">
        <f>IF(T15="","",IF(T15&lt;AsOf,1,IF(T15&lt;=AsOf+AlertDays,2,IF(T15&lt;=AsOf+2*AlertDays,3,""))))</f>
        <v/>
      </c>
      <c r="V15" s="46">
        <f>IF(U15="","","Quote expires: "&amp;G50&amp;IF($C$48="",""," ("&amp;$C$48&amp;")")&amp;" — decide or ask for an extension")</f>
        <v/>
      </c>
    </row>
    <row r="16">
      <c r="B16" s="19" t="inlineStr">
        <is>
          <t>Warranty (years)</t>
        </is>
      </c>
      <c r="C16" s="100" t="n">
        <v>2</v>
      </c>
      <c r="D16" s="96" t="n"/>
      <c r="E16" s="100" t="n">
        <v>5</v>
      </c>
      <c r="F16" s="96" t="n"/>
      <c r="G16" s="100" t="n">
        <v>3</v>
      </c>
      <c r="H16" s="96" t="n"/>
      <c r="I16" s="100" t="n"/>
      <c r="J16" s="96" t="n"/>
      <c r="M16" s="46">
        <f>IF(C282="","",C282)</f>
        <v/>
      </c>
      <c r="N16" s="46">
        <f>IF(OR(M16="",COUNT($C308:$J308)=0),"",MIN($C308:$J308))</f>
        <v/>
      </c>
      <c r="O16" s="46">
        <f>IF(N16="",0,IF(N16&gt;0,1/N16,0))</f>
        <v/>
      </c>
      <c r="T16" s="84">
        <f>IF(OR(I50="",I58=""),"",IF(OR(IFERROR(INDEX('Budget'!$D$8:$D$37,MATCH($C$48,'Budget'!$B$8:$B$37,0)),"")="Contracted",IFERROR(INDEX('Budget'!$D$8:$D$37,MATCH($C$48,'Budget'!$B$8:$B$37,0)),"")="Complete"),"",IF(I58&lt;AsOf,"",I58)))</f>
        <v/>
      </c>
      <c r="U16" s="46">
        <f>IF(T16="","",IF(T16&lt;AsOf,1,IF(T16&lt;=AsOf+AlertDays,2,IF(T16&lt;=AsOf+2*AlertDays,3,""))))</f>
        <v/>
      </c>
      <c r="V16" s="46">
        <f>IF(U16="","","Quote expires: "&amp;I50&amp;IF($C$48="",""," ("&amp;$C$48&amp;")")&amp;" — decide or ask for an extension")</f>
        <v/>
      </c>
    </row>
    <row r="17">
      <c r="B17" s="19" t="inlineStr">
        <is>
          <t>References checked?</t>
        </is>
      </c>
      <c r="C17" s="74" t="inlineStr">
        <is>
          <t>No</t>
        </is>
      </c>
      <c r="D17" s="96" t="n"/>
      <c r="E17" s="74" t="inlineStr">
        <is>
          <t>Yes</t>
        </is>
      </c>
      <c r="F17" s="96" t="n"/>
      <c r="G17" s="74" t="inlineStr">
        <is>
          <t>Yes</t>
        </is>
      </c>
      <c r="H17" s="96" t="n"/>
      <c r="I17" s="74" t="n"/>
      <c r="J17" s="96" t="n"/>
      <c r="M17" s="46">
        <f>IF(C321="","",C321)</f>
        <v/>
      </c>
      <c r="N17" s="46">
        <f>IF(OR(M17="",COUNT($C347:$J347)=0),"",MIN($C347:$J347))</f>
        <v/>
      </c>
      <c r="O17" s="46">
        <f>IF(N17="",0,IF(N17&gt;0,1/N17,0))</f>
        <v/>
      </c>
      <c r="T17" s="84">
        <f>IF(OR(C89="",C97=""),"",IF(OR(IFERROR(INDEX('Budget'!$D$8:$D$37,MATCH($C$87,'Budget'!$B$8:$B$37,0)),"")="Contracted",IFERROR(INDEX('Budget'!$D$8:$D$37,MATCH($C$87,'Budget'!$B$8:$B$37,0)),"")="Complete"),"",IF(C97&lt;AsOf,"",C97)))</f>
        <v/>
      </c>
      <c r="U17" s="46">
        <f>IF(T17="","",IF(T17&lt;AsOf,1,IF(T17&lt;=AsOf+AlertDays,2,IF(T17&lt;=AsOf+2*AlertDays,3,""))))</f>
        <v/>
      </c>
      <c r="V17" s="46">
        <f>IF(U17="","","Quote expires: "&amp;C89&amp;IF($C$87="",""," ("&amp;$C$87&amp;")")&amp;" — decide or ask for an extension")</f>
        <v/>
      </c>
    </row>
    <row r="18">
      <c r="B18" s="19" t="inlineStr">
        <is>
          <t>Gut feeling (1–5)</t>
        </is>
      </c>
      <c r="C18" s="89" t="n">
        <v>2</v>
      </c>
      <c r="D18" s="96" t="n"/>
      <c r="E18" s="89" t="n">
        <v>5</v>
      </c>
      <c r="F18" s="96" t="n"/>
      <c r="G18" s="89" t="n">
        <v>3</v>
      </c>
      <c r="H18" s="96" t="n"/>
      <c r="I18" s="89" t="n"/>
      <c r="J18" s="96" t="n"/>
      <c r="M18" s="46">
        <f>IF(C360="","",C360)</f>
        <v/>
      </c>
      <c r="N18" s="46">
        <f>IF(OR(M18="",COUNT($C386:$J386)=0),"",MIN($C386:$J386))</f>
        <v/>
      </c>
      <c r="O18" s="46">
        <f>IF(N18="",0,IF(N18&gt;0,1/N18,0))</f>
        <v/>
      </c>
      <c r="T18" s="84">
        <f>IF(OR(E89="",E97=""),"",IF(OR(IFERROR(INDEX('Budget'!$D$8:$D$37,MATCH($C$87,'Budget'!$B$8:$B$37,0)),"")="Contracted",IFERROR(INDEX('Budget'!$D$8:$D$37,MATCH($C$87,'Budget'!$B$8:$B$37,0)),"")="Complete"),"",IF(E97&lt;AsOf,"",E97)))</f>
        <v/>
      </c>
      <c r="U18" s="46">
        <f>IF(T18="","",IF(T18&lt;AsOf,1,IF(T18&lt;=AsOf+AlertDays,2,IF(T18&lt;=AsOf+2*AlertDays,3,""))))</f>
        <v/>
      </c>
      <c r="V18" s="46">
        <f>IF(U18="","","Quote expires: "&amp;E89&amp;IF($C$87="",""," ("&amp;$C$87&amp;")")&amp;" — decide or ask for an extension")</f>
        <v/>
      </c>
    </row>
    <row r="19">
      <c r="B19" s="19" t="inlineStr">
        <is>
          <t>Quote valid until</t>
        </is>
      </c>
      <c r="C19" s="101" t="n">
        <v>46157</v>
      </c>
      <c r="D19" s="96" t="n"/>
      <c r="E19" s="101" t="n">
        <v>46162</v>
      </c>
      <c r="F19" s="96" t="n"/>
      <c r="G19" s="101" t="n">
        <v>46172</v>
      </c>
      <c r="H19" s="96" t="n"/>
      <c r="I19" s="101" t="n"/>
      <c r="J19" s="96" t="n"/>
      <c r="T19" s="84">
        <f>IF(OR(G89="",G97=""),"",IF(OR(IFERROR(INDEX('Budget'!$D$8:$D$37,MATCH($C$87,'Budget'!$B$8:$B$37,0)),"")="Contracted",IFERROR(INDEX('Budget'!$D$8:$D$37,MATCH($C$87,'Budget'!$B$8:$B$37,0)),"")="Complete"),"",IF(G97&lt;AsOf,"",G97)))</f>
        <v/>
      </c>
      <c r="U19" s="46">
        <f>IF(T19="","",IF(T19&lt;AsOf,1,IF(T19&lt;=AsOf+AlertDays,2,IF(T19&lt;=AsOf+2*AlertDays,3,""))))</f>
        <v/>
      </c>
      <c r="V19" s="46">
        <f>IF(U19="","","Quote expires: "&amp;G89&amp;IF($C$87="",""," ("&amp;$C$87&amp;")")&amp;" — decide or ask for an extension")</f>
        <v/>
      </c>
    </row>
    <row r="20">
      <c r="B20" s="80" t="inlineStr">
        <is>
          <t>HIDDEN-COST CHECKLIST</t>
        </is>
      </c>
      <c r="C20" s="95" t="inlineStr">
        <is>
          <t>Included?</t>
        </is>
      </c>
      <c r="D20" s="82">
        <f>"Extra "&amp;CurSym</f>
        <v/>
      </c>
      <c r="E20" s="95" t="inlineStr">
        <is>
          <t>Included?</t>
        </is>
      </c>
      <c r="F20" s="82">
        <f>"Extra "&amp;CurSym</f>
        <v/>
      </c>
      <c r="G20" s="95" t="inlineStr">
        <is>
          <t>Included?</t>
        </is>
      </c>
      <c r="H20" s="82">
        <f>"Extra "&amp;CurSym</f>
        <v/>
      </c>
      <c r="I20" s="95" t="inlineStr">
        <is>
          <t>Included?</t>
        </is>
      </c>
      <c r="J20" s="82">
        <f>"Extra "&amp;CurSym</f>
        <v/>
      </c>
      <c r="T20" s="84">
        <f>IF(OR(I89="",I97=""),"",IF(OR(IFERROR(INDEX('Budget'!$D$8:$D$37,MATCH($C$87,'Budget'!$B$8:$B$37,0)),"")="Contracted",IFERROR(INDEX('Budget'!$D$8:$D$37,MATCH($C$87,'Budget'!$B$8:$B$37,0)),"")="Complete"),"",IF(I97&lt;AsOf,"",I97)))</f>
        <v/>
      </c>
      <c r="U20" s="46">
        <f>IF(T20="","",IF(T20&lt;AsOf,1,IF(T20&lt;=AsOf+AlertDays,2,IF(T20&lt;=AsOf+2*AlertDays,3,""))))</f>
        <v/>
      </c>
      <c r="V20" s="46">
        <f>IF(U20="","","Quote expires: "&amp;I89&amp;IF($C$87="",""," ("&amp;$C$87&amp;")")&amp;" — decide or ask for an extension")</f>
        <v/>
      </c>
    </row>
    <row r="21">
      <c r="B21" s="19" t="inlineStr">
        <is>
          <t>Demolition</t>
        </is>
      </c>
      <c r="C21" s="74" t="inlineStr">
        <is>
          <t>Not included</t>
        </is>
      </c>
      <c r="D21" s="73" t="n">
        <v>600</v>
      </c>
      <c r="E21" s="74" t="inlineStr">
        <is>
          <t>Included</t>
        </is>
      </c>
      <c r="F21" s="73" t="n"/>
      <c r="G21" s="74" t="inlineStr">
        <is>
          <t>Included</t>
        </is>
      </c>
      <c r="H21" s="73" t="n"/>
      <c r="I21" s="74" t="n"/>
      <c r="J21" s="73" t="n"/>
      <c r="T21" s="84">
        <f>IF(OR(C128="",C136=""),"",IF(OR(IFERROR(INDEX('Budget'!$D$8:$D$37,MATCH($C$126,'Budget'!$B$8:$B$37,0)),"")="Contracted",IFERROR(INDEX('Budget'!$D$8:$D$37,MATCH($C$126,'Budget'!$B$8:$B$37,0)),"")="Complete"),"",IF(C136&lt;AsOf,"",C136)))</f>
        <v/>
      </c>
      <c r="U21" s="46">
        <f>IF(T21="","",IF(T21&lt;AsOf,1,IF(T21&lt;=AsOf+AlertDays,2,IF(T21&lt;=AsOf+2*AlertDays,3,""))))</f>
        <v/>
      </c>
      <c r="V21" s="46">
        <f>IF(U21="","","Quote expires: "&amp;C128&amp;IF($C$126="",""," ("&amp;$C$126&amp;")")&amp;" — decide or ask for an extension")</f>
        <v/>
      </c>
    </row>
    <row r="22">
      <c r="B22" s="19" t="inlineStr">
        <is>
          <t>Waste disposal</t>
        </is>
      </c>
      <c r="C22" s="74" t="inlineStr">
        <is>
          <t>Not included</t>
        </is>
      </c>
      <c r="D22" s="73" t="n">
        <v>350</v>
      </c>
      <c r="E22" s="74" t="inlineStr">
        <is>
          <t>Included</t>
        </is>
      </c>
      <c r="F22" s="73" t="n"/>
      <c r="G22" s="74" t="inlineStr">
        <is>
          <t>Included</t>
        </is>
      </c>
      <c r="H22" s="73" t="n"/>
      <c r="I22" s="74" t="n"/>
      <c r="J22" s="73" t="n"/>
      <c r="T22" s="84">
        <f>IF(OR(E128="",E136=""),"",IF(OR(IFERROR(INDEX('Budget'!$D$8:$D$37,MATCH($C$126,'Budget'!$B$8:$B$37,0)),"")="Contracted",IFERROR(INDEX('Budget'!$D$8:$D$37,MATCH($C$126,'Budget'!$B$8:$B$37,0)),"")="Complete"),"",IF(E136&lt;AsOf,"",E136)))</f>
        <v/>
      </c>
      <c r="U22" s="46">
        <f>IF(T22="","",IF(T22&lt;AsOf,1,IF(T22&lt;=AsOf+AlertDays,2,IF(T22&lt;=AsOf+2*AlertDays,3,""))))</f>
        <v/>
      </c>
      <c r="V22" s="46">
        <f>IF(U22="","","Quote expires: "&amp;E128&amp;IF($C$126="",""," ("&amp;$C$126&amp;")")&amp;" — decide or ask for an extension")</f>
        <v/>
      </c>
    </row>
    <row r="23">
      <c r="B23" s="19" t="inlineStr">
        <is>
          <t>Delivery</t>
        </is>
      </c>
      <c r="C23" s="74" t="inlineStr">
        <is>
          <t>Not included</t>
        </is>
      </c>
      <c r="D23" s="73" t="n">
        <v>450</v>
      </c>
      <c r="E23" s="74" t="inlineStr">
        <is>
          <t>Included</t>
        </is>
      </c>
      <c r="F23" s="73" t="n"/>
      <c r="G23" s="74" t="inlineStr">
        <is>
          <t>Included</t>
        </is>
      </c>
      <c r="H23" s="73" t="n"/>
      <c r="I23" s="74" t="n"/>
      <c r="J23" s="73" t="n"/>
      <c r="T23" s="84">
        <f>IF(OR(G128="",G136=""),"",IF(OR(IFERROR(INDEX('Budget'!$D$8:$D$37,MATCH($C$126,'Budget'!$B$8:$B$37,0)),"")="Contracted",IFERROR(INDEX('Budget'!$D$8:$D$37,MATCH($C$126,'Budget'!$B$8:$B$37,0)),"")="Complete"),"",IF(G136&lt;AsOf,"",G136)))</f>
        <v/>
      </c>
      <c r="U23" s="46">
        <f>IF(T23="","",IF(T23&lt;AsOf,1,IF(T23&lt;=AsOf+AlertDays,2,IF(T23&lt;=AsOf+2*AlertDays,3,""))))</f>
        <v/>
      </c>
      <c r="V23" s="46">
        <f>IF(U23="","","Quote expires: "&amp;G128&amp;IF($C$126="",""," ("&amp;$C$126&amp;")")&amp;" — decide or ask for an extension")</f>
        <v/>
      </c>
    </row>
    <row r="24">
      <c r="B24" s="19" t="inlineStr">
        <is>
          <t>Permits</t>
        </is>
      </c>
      <c r="C24" s="74" t="inlineStr">
        <is>
          <t>Included</t>
        </is>
      </c>
      <c r="D24" s="73" t="n"/>
      <c r="E24" s="74" t="inlineStr">
        <is>
          <t>Included</t>
        </is>
      </c>
      <c r="F24" s="73" t="n"/>
      <c r="G24" s="74" t="inlineStr">
        <is>
          <t>Included</t>
        </is>
      </c>
      <c r="H24" s="73" t="n"/>
      <c r="I24" s="74" t="n"/>
      <c r="J24" s="73" t="n"/>
      <c r="T24" s="84">
        <f>IF(OR(I128="",I136=""),"",IF(OR(IFERROR(INDEX('Budget'!$D$8:$D$37,MATCH($C$126,'Budget'!$B$8:$B$37,0)),"")="Contracted",IFERROR(INDEX('Budget'!$D$8:$D$37,MATCH($C$126,'Budget'!$B$8:$B$37,0)),"")="Complete"),"",IF(I136&lt;AsOf,"",I136)))</f>
        <v/>
      </c>
      <c r="U24" s="46">
        <f>IF(T24="","",IF(T24&lt;AsOf,1,IF(T24&lt;=AsOf+AlertDays,2,IF(T24&lt;=AsOf+2*AlertDays,3,""))))</f>
        <v/>
      </c>
      <c r="V24" s="46">
        <f>IF(U24="","","Quote expires: "&amp;I128&amp;IF($C$126="",""," ("&amp;$C$126&amp;")")&amp;" — decide or ask for an extension")</f>
        <v/>
      </c>
    </row>
    <row r="25">
      <c r="B25" s="19" t="inlineStr">
        <is>
          <t>Materials specified</t>
        </is>
      </c>
      <c r="C25" s="74" t="inlineStr">
        <is>
          <t>Included</t>
        </is>
      </c>
      <c r="D25" s="73" t="n"/>
      <c r="E25" s="74" t="inlineStr">
        <is>
          <t>Included</t>
        </is>
      </c>
      <c r="F25" s="73" t="n"/>
      <c r="G25" s="74" t="inlineStr">
        <is>
          <t>Included</t>
        </is>
      </c>
      <c r="H25" s="73" t="n"/>
      <c r="I25" s="74" t="n"/>
      <c r="J25" s="73" t="n"/>
      <c r="T25" s="84">
        <f>IF(OR(C167="",C175=""),"",IF(OR(IFERROR(INDEX('Budget'!$D$8:$D$37,MATCH($C$165,'Budget'!$B$8:$B$37,0)),"")="Contracted",IFERROR(INDEX('Budget'!$D$8:$D$37,MATCH($C$165,'Budget'!$B$8:$B$37,0)),"")="Complete"),"",IF(C175&lt;AsOf,"",C175)))</f>
        <v/>
      </c>
      <c r="U25" s="46">
        <f>IF(T25="","",IF(T25&lt;AsOf,1,IF(T25&lt;=AsOf+AlertDays,2,IF(T25&lt;=AsOf+2*AlertDays,3,""))))</f>
        <v/>
      </c>
      <c r="V25" s="46">
        <f>IF(U25="","","Quote expires: "&amp;C167&amp;IF($C$165="",""," ("&amp;$C$165&amp;")")&amp;" — decide or ask for an extension")</f>
        <v/>
      </c>
    </row>
    <row r="26">
      <c r="B26" s="19" t="inlineStr">
        <is>
          <t>Labor specified</t>
        </is>
      </c>
      <c r="C26" s="74" t="inlineStr">
        <is>
          <t>Included</t>
        </is>
      </c>
      <c r="D26" s="73" t="n"/>
      <c r="E26" s="74" t="inlineStr">
        <is>
          <t>Included</t>
        </is>
      </c>
      <c r="F26" s="73" t="n"/>
      <c r="G26" s="74" t="inlineStr">
        <is>
          <t>Included</t>
        </is>
      </c>
      <c r="H26" s="73" t="n"/>
      <c r="I26" s="74" t="n"/>
      <c r="J26" s="73" t="n"/>
      <c r="T26" s="84">
        <f>IF(OR(E167="",E175=""),"",IF(OR(IFERROR(INDEX('Budget'!$D$8:$D$37,MATCH($C$165,'Budget'!$B$8:$B$37,0)),"")="Contracted",IFERROR(INDEX('Budget'!$D$8:$D$37,MATCH($C$165,'Budget'!$B$8:$B$37,0)),"")="Complete"),"",IF(E175&lt;AsOf,"",E175)))</f>
        <v/>
      </c>
      <c r="U26" s="46">
        <f>IF(T26="","",IF(T26&lt;AsOf,1,IF(T26&lt;=AsOf+AlertDays,2,IF(T26&lt;=AsOf+2*AlertDays,3,""))))</f>
        <v/>
      </c>
      <c r="V26" s="46">
        <f>IF(U26="","","Quote expires: "&amp;E167&amp;IF($C$165="",""," ("&amp;$C$165&amp;")")&amp;" — decide or ask for an extension")</f>
        <v/>
      </c>
    </row>
    <row r="27">
      <c r="B27" s="19" t="inlineStr">
        <is>
          <t>Finishing</t>
        </is>
      </c>
      <c r="C27" s="74" t="inlineStr">
        <is>
          <t>Unclear</t>
        </is>
      </c>
      <c r="D27" s="73" t="n">
        <v>800</v>
      </c>
      <c r="E27" s="74" t="inlineStr">
        <is>
          <t>Included</t>
        </is>
      </c>
      <c r="F27" s="73" t="n"/>
      <c r="G27" s="74" t="inlineStr">
        <is>
          <t>Included</t>
        </is>
      </c>
      <c r="H27" s="73" t="n"/>
      <c r="I27" s="74" t="n"/>
      <c r="J27" s="73" t="n"/>
      <c r="T27" s="84">
        <f>IF(OR(G167="",G175=""),"",IF(OR(IFERROR(INDEX('Budget'!$D$8:$D$37,MATCH($C$165,'Budget'!$B$8:$B$37,0)),"")="Contracted",IFERROR(INDEX('Budget'!$D$8:$D$37,MATCH($C$165,'Budget'!$B$8:$B$37,0)),"")="Complete"),"",IF(G175&lt;AsOf,"",G175)))</f>
        <v/>
      </c>
      <c r="U27" s="46">
        <f>IF(T27="","",IF(T27&lt;AsOf,1,IF(T27&lt;=AsOf+AlertDays,2,IF(T27&lt;=AsOf+2*AlertDays,3,""))))</f>
        <v/>
      </c>
      <c r="V27" s="46">
        <f>IF(U27="","","Quote expires: "&amp;G167&amp;IF($C$165="",""," ("&amp;$C$165&amp;")")&amp;" — decide or ask for an extension")</f>
        <v/>
      </c>
    </row>
    <row r="28">
      <c r="B28" s="19" t="inlineStr">
        <is>
          <t>Cleanup</t>
        </is>
      </c>
      <c r="C28" s="74" t="inlineStr">
        <is>
          <t>Not included</t>
        </is>
      </c>
      <c r="D28" s="73" t="n">
        <v>200</v>
      </c>
      <c r="E28" s="74" t="inlineStr">
        <is>
          <t>Included</t>
        </is>
      </c>
      <c r="F28" s="73" t="n"/>
      <c r="G28" s="74" t="inlineStr">
        <is>
          <t>Unclear</t>
        </is>
      </c>
      <c r="H28" s="73" t="n">
        <v>150</v>
      </c>
      <c r="I28" s="74" t="n"/>
      <c r="J28" s="73" t="n"/>
      <c r="T28" s="84">
        <f>IF(OR(I167="",I175=""),"",IF(OR(IFERROR(INDEX('Budget'!$D$8:$D$37,MATCH($C$165,'Budget'!$B$8:$B$37,0)),"")="Contracted",IFERROR(INDEX('Budget'!$D$8:$D$37,MATCH($C$165,'Budget'!$B$8:$B$37,0)),"")="Complete"),"",IF(I175&lt;AsOf,"",I175)))</f>
        <v/>
      </c>
      <c r="U28" s="46">
        <f>IF(T28="","",IF(T28&lt;AsOf,1,IF(T28&lt;=AsOf+AlertDays,2,IF(T28&lt;=AsOf+2*AlertDays,3,""))))</f>
        <v/>
      </c>
      <c r="V28" s="46">
        <f>IF(U28="","","Quote expires: "&amp;I167&amp;IF($C$165="",""," ("&amp;$C$165&amp;")")&amp;" — decide or ask for an extension")</f>
        <v/>
      </c>
    </row>
    <row r="29">
      <c r="B29" s="97">
        <f>TaxWord&amp;" shown in price"</f>
        <v/>
      </c>
      <c r="C29" s="74" t="inlineStr">
        <is>
          <t>Included</t>
        </is>
      </c>
      <c r="D29" s="73" t="n"/>
      <c r="E29" s="74" t="inlineStr">
        <is>
          <t>Included</t>
        </is>
      </c>
      <c r="F29" s="73" t="n"/>
      <c r="G29" s="74" t="inlineStr">
        <is>
          <t>Included</t>
        </is>
      </c>
      <c r="H29" s="73" t="n"/>
      <c r="I29" s="74" t="n"/>
      <c r="J29" s="73" t="n"/>
      <c r="T29" s="84">
        <f>IF(OR(C206="",C214=""),"",IF(OR(IFERROR(INDEX('Budget'!$D$8:$D$37,MATCH($C$204,'Budget'!$B$8:$B$37,0)),"")="Contracted",IFERROR(INDEX('Budget'!$D$8:$D$37,MATCH($C$204,'Budget'!$B$8:$B$37,0)),"")="Complete"),"",IF(C214&lt;AsOf,"",C214)))</f>
        <v/>
      </c>
      <c r="U29" s="46">
        <f>IF(T29="","",IF(T29&lt;AsOf,1,IF(T29&lt;=AsOf+AlertDays,2,IF(T29&lt;=AsOf+2*AlertDays,3,""))))</f>
        <v/>
      </c>
      <c r="V29" s="46">
        <f>IF(U29="","","Quote expires: "&amp;C206&amp;IF($C$204="",""," ("&amp;$C$204&amp;")")&amp;" — decide or ask for an extension")</f>
        <v/>
      </c>
    </row>
    <row r="30">
      <c r="B30" s="19" t="inlineStr">
        <is>
          <t>Electrical upgrades</t>
        </is>
      </c>
      <c r="C30" s="74" t="inlineStr">
        <is>
          <t>Not included</t>
        </is>
      </c>
      <c r="D30" s="73" t="n">
        <v>900</v>
      </c>
      <c r="E30" s="74" t="inlineStr">
        <is>
          <t>Included</t>
        </is>
      </c>
      <c r="F30" s="73" t="n"/>
      <c r="G30" s="74" t="inlineStr">
        <is>
          <t>Unclear</t>
        </is>
      </c>
      <c r="H30" s="73" t="n">
        <v>400</v>
      </c>
      <c r="I30" s="74" t="n"/>
      <c r="J30" s="73" t="n"/>
      <c r="T30" s="84">
        <f>IF(OR(E206="",E214=""),"",IF(OR(IFERROR(INDEX('Budget'!$D$8:$D$37,MATCH($C$204,'Budget'!$B$8:$B$37,0)),"")="Contracted",IFERROR(INDEX('Budget'!$D$8:$D$37,MATCH($C$204,'Budget'!$B$8:$B$37,0)),"")="Complete"),"",IF(E214&lt;AsOf,"",E214)))</f>
        <v/>
      </c>
      <c r="U30" s="46">
        <f>IF(T30="","",IF(T30&lt;AsOf,1,IF(T30&lt;=AsOf+AlertDays,2,IF(T30&lt;=AsOf+2*AlertDays,3,""))))</f>
        <v/>
      </c>
      <c r="V30" s="46">
        <f>IF(U30="","","Quote expires: "&amp;E206&amp;IF($C$204="",""," ("&amp;$C$204&amp;")")&amp;" — decide or ask for an extension")</f>
        <v/>
      </c>
    </row>
    <row r="31">
      <c r="B31" s="19" t="inlineStr">
        <is>
          <t>Plumbing modifications</t>
        </is>
      </c>
      <c r="C31" s="74" t="inlineStr">
        <is>
          <t>Not included</t>
        </is>
      </c>
      <c r="D31" s="73" t="n">
        <v>700</v>
      </c>
      <c r="E31" s="74" t="inlineStr">
        <is>
          <t>Included</t>
        </is>
      </c>
      <c r="F31" s="73" t="n"/>
      <c r="G31" s="74" t="inlineStr">
        <is>
          <t>Included</t>
        </is>
      </c>
      <c r="H31" s="73" t="n"/>
      <c r="I31" s="74" t="n"/>
      <c r="J31" s="73" t="n"/>
      <c r="T31" s="84">
        <f>IF(OR(G206="",G214=""),"",IF(OR(IFERROR(INDEX('Budget'!$D$8:$D$37,MATCH($C$204,'Budget'!$B$8:$B$37,0)),"")="Contracted",IFERROR(INDEX('Budget'!$D$8:$D$37,MATCH($C$204,'Budget'!$B$8:$B$37,0)),"")="Complete"),"",IF(G214&lt;AsOf,"",G214)))</f>
        <v/>
      </c>
      <c r="U31" s="46">
        <f>IF(T31="","",IF(T31&lt;AsOf,1,IF(T31&lt;=AsOf+AlertDays,2,IF(T31&lt;=AsOf+2*AlertDays,3,""))))</f>
        <v/>
      </c>
      <c r="V31" s="46">
        <f>IF(U31="","","Quote expires: "&amp;G206&amp;IF($C$204="",""," ("&amp;$C$204&amp;")")&amp;" — decide or ask for an extension")</f>
        <v/>
      </c>
    </row>
    <row r="32">
      <c r="B32" s="19" t="inlineStr">
        <is>
          <t>Payment schedule defined</t>
        </is>
      </c>
      <c r="C32" s="74" t="inlineStr">
        <is>
          <t>Unclear</t>
        </is>
      </c>
      <c r="D32" s="73" t="n">
        <v>0</v>
      </c>
      <c r="E32" s="74" t="inlineStr">
        <is>
          <t>Included</t>
        </is>
      </c>
      <c r="F32" s="73" t="n"/>
      <c r="G32" s="74" t="inlineStr">
        <is>
          <t>Included</t>
        </is>
      </c>
      <c r="H32" s="73" t="n"/>
      <c r="I32" s="74" t="n"/>
      <c r="J32" s="73" t="n"/>
      <c r="T32" s="84">
        <f>IF(OR(I206="",I214=""),"",IF(OR(IFERROR(INDEX('Budget'!$D$8:$D$37,MATCH($C$204,'Budget'!$B$8:$B$37,0)),"")="Contracted",IFERROR(INDEX('Budget'!$D$8:$D$37,MATCH($C$204,'Budget'!$B$8:$B$37,0)),"")="Complete"),"",IF(I214&lt;AsOf,"",I214)))</f>
        <v/>
      </c>
      <c r="U32" s="46">
        <f>IF(T32="","",IF(T32&lt;AsOf,1,IF(T32&lt;=AsOf+AlertDays,2,IF(T32&lt;=AsOf+2*AlertDays,3,""))))</f>
        <v/>
      </c>
      <c r="V32" s="46">
        <f>IF(U32="","","Quote expires: "&amp;I206&amp;IF($C$204="",""," ("&amp;$C$204&amp;")")&amp;" — decide or ask for an extension")</f>
        <v/>
      </c>
    </row>
    <row r="33">
      <c r="B33" s="19" t="inlineStr">
        <is>
          <t>Warranty in writing</t>
        </is>
      </c>
      <c r="C33" s="74" t="inlineStr">
        <is>
          <t>Included</t>
        </is>
      </c>
      <c r="D33" s="73" t="n"/>
      <c r="E33" s="74" t="inlineStr">
        <is>
          <t>Included</t>
        </is>
      </c>
      <c r="F33" s="73" t="n"/>
      <c r="G33" s="74" t="inlineStr">
        <is>
          <t>Included</t>
        </is>
      </c>
      <c r="H33" s="73" t="n"/>
      <c r="I33" s="74" t="n"/>
      <c r="J33" s="73" t="n"/>
      <c r="T33" s="84">
        <f>IF(OR(C245="",C253=""),"",IF(OR(IFERROR(INDEX('Budget'!$D$8:$D$37,MATCH($C$243,'Budget'!$B$8:$B$37,0)),"")="Contracted",IFERROR(INDEX('Budget'!$D$8:$D$37,MATCH($C$243,'Budget'!$B$8:$B$37,0)),"")="Complete"),"",IF(C253&lt;AsOf,"",C253)))</f>
        <v/>
      </c>
      <c r="U33" s="46">
        <f>IF(T33="","",IF(T33&lt;AsOf,1,IF(T33&lt;=AsOf+AlertDays,2,IF(T33&lt;=AsOf+2*AlertDays,3,""))))</f>
        <v/>
      </c>
      <c r="V33" s="46">
        <f>IF(U33="","","Quote expires: "&amp;C245&amp;IF($C$243="",""," ("&amp;$C$243&amp;")")&amp;" — decide or ask for an extension")</f>
        <v/>
      </c>
    </row>
    <row r="34">
      <c r="B34" s="97">
        <f>"Hidden extras ("&amp;CurSym&amp;")"</f>
        <v/>
      </c>
      <c r="C34" s="99">
        <f>IF(C11="","",SUMPRODUCT((C21:C33&lt;&gt;"Included")*D21:D33))</f>
        <v/>
      </c>
      <c r="D34" s="63" t="n"/>
      <c r="E34" s="99">
        <f>IF(E11="","",SUMPRODUCT((E21:E33&lt;&gt;"Included")*F21:F33))</f>
        <v/>
      </c>
      <c r="F34" s="63" t="n"/>
      <c r="G34" s="99">
        <f>IF(G11="","",SUMPRODUCT((G21:G33&lt;&gt;"Included")*H21:H33))</f>
        <v/>
      </c>
      <c r="H34" s="63" t="n"/>
      <c r="I34" s="99">
        <f>IF(I11="","",SUMPRODUCT((I21:I33&lt;&gt;"Included")*J21:J33))</f>
        <v/>
      </c>
      <c r="J34" s="63" t="n"/>
      <c r="T34" s="84">
        <f>IF(OR(E245="",E253=""),"",IF(OR(IFERROR(INDEX('Budget'!$D$8:$D$37,MATCH($C$243,'Budget'!$B$8:$B$37,0)),"")="Contracted",IFERROR(INDEX('Budget'!$D$8:$D$37,MATCH($C$243,'Budget'!$B$8:$B$37,0)),"")="Complete"),"",IF(E253&lt;AsOf,"",E253)))</f>
        <v/>
      </c>
      <c r="U34" s="46">
        <f>IF(T34="","",IF(T34&lt;AsOf,1,IF(T34&lt;=AsOf+AlertDays,2,IF(T34&lt;=AsOf+2*AlertDays,3,""))))</f>
        <v/>
      </c>
      <c r="V34" s="46">
        <f>IF(U34="","","Quote expires: "&amp;E245&amp;IF($C$243="",""," ("&amp;$C$243&amp;")")&amp;" — decide or ask for an extension")</f>
        <v/>
      </c>
    </row>
    <row r="35">
      <c r="B35" s="13">
        <f>"TRUE COST ("&amp;CurSym&amp;")"</f>
        <v/>
      </c>
      <c r="C35" s="102">
        <f>IF(OR(C11="",C14=""),"",C14+C34)</f>
        <v/>
      </c>
      <c r="D35" s="63" t="n"/>
      <c r="E35" s="102">
        <f>IF(OR(E11="",E14=""),"",E14+E34)</f>
        <v/>
      </c>
      <c r="F35" s="63" t="n"/>
      <c r="G35" s="102">
        <f>IF(OR(G11="",G14=""),"",G14+G34)</f>
        <v/>
      </c>
      <c r="H35" s="63" t="n"/>
      <c r="I35" s="102">
        <f>IF(OR(I11="",I14=""),"",I14+I34)</f>
        <v/>
      </c>
      <c r="J35" s="63" t="n"/>
      <c r="T35" s="84">
        <f>IF(OR(G245="",G253=""),"",IF(OR(IFERROR(INDEX('Budget'!$D$8:$D$37,MATCH($C$243,'Budget'!$B$8:$B$37,0)),"")="Contracted",IFERROR(INDEX('Budget'!$D$8:$D$37,MATCH($C$243,'Budget'!$B$8:$B$37,0)),"")="Complete"),"",IF(G253&lt;AsOf,"",G253)))</f>
        <v/>
      </c>
      <c r="U35" s="46">
        <f>IF(T35="","",IF(T35&lt;AsOf,1,IF(T35&lt;=AsOf+AlertDays,2,IF(T35&lt;=AsOf+2*AlertDays,3,""))))</f>
        <v/>
      </c>
      <c r="V35" s="46">
        <f>IF(U35="","","Quote expires: "&amp;G245&amp;IF($C$243="",""," ("&amp;$C$243&amp;")")&amp;" — decide or ask for an extension")</f>
        <v/>
      </c>
    </row>
    <row r="36">
      <c r="B36" s="19" t="inlineStr">
        <is>
          <t>Completeness</t>
        </is>
      </c>
      <c r="C36" s="103">
        <f>IF(C11="","",COUNTIF(C21:C33,"Included")/13)</f>
        <v/>
      </c>
      <c r="D36" s="63" t="n"/>
      <c r="E36" s="103">
        <f>IF(E11="","",COUNTIF(E21:E33,"Included")/13)</f>
        <v/>
      </c>
      <c r="F36" s="63" t="n"/>
      <c r="G36" s="103">
        <f>IF(G11="","",COUNTIF(G21:G33,"Included")/13)</f>
        <v/>
      </c>
      <c r="H36" s="63" t="n"/>
      <c r="I36" s="103">
        <f>IF(I11="","",COUNTIF(I21:I33,"Included")/13)</f>
        <v/>
      </c>
      <c r="J36" s="63" t="n"/>
      <c r="T36" s="84">
        <f>IF(OR(I245="",I253=""),"",IF(OR(IFERROR(INDEX('Budget'!$D$8:$D$37,MATCH($C$243,'Budget'!$B$8:$B$37,0)),"")="Contracted",IFERROR(INDEX('Budget'!$D$8:$D$37,MATCH($C$243,'Budget'!$B$8:$B$37,0)),"")="Complete"),"",IF(I253&lt;AsOf,"",I253)))</f>
        <v/>
      </c>
      <c r="U36" s="46">
        <f>IF(T36="","",IF(T36&lt;AsOf,1,IF(T36&lt;=AsOf+AlertDays,2,IF(T36&lt;=AsOf+2*AlertDays,3,""))))</f>
        <v/>
      </c>
      <c r="V36" s="46">
        <f>IF(U36="","","Quote expires: "&amp;I245&amp;IF($C$243="",""," ("&amp;$C$243&amp;")")&amp;" — decide or ask for an extension")</f>
        <v/>
      </c>
    </row>
    <row r="37">
      <c r="B37" s="80" t="inlineStr">
        <is>
          <t>SCORE</t>
        </is>
      </c>
      <c r="T37" s="84">
        <f>IF(OR(C284="",C292=""),"",IF(OR(IFERROR(INDEX('Budget'!$D$8:$D$37,MATCH($C$282,'Budget'!$B$8:$B$37,0)),"")="Contracted",IFERROR(INDEX('Budget'!$D$8:$D$37,MATCH($C$282,'Budget'!$B$8:$B$37,0)),"")="Complete"),"",IF(C292&lt;AsOf,"",C292)))</f>
        <v/>
      </c>
      <c r="U37" s="46">
        <f>IF(T37="","",IF(T37&lt;AsOf,1,IF(T37&lt;=AsOf+AlertDays,2,IF(T37&lt;=AsOf+2*AlertDays,3,""))))</f>
        <v/>
      </c>
      <c r="V37" s="46">
        <f>IF(U37="","","Quote expires: "&amp;C284&amp;IF($C$282="",""," ("&amp;$C$282&amp;")")&amp;" — decide or ask for an extension")</f>
        <v/>
      </c>
    </row>
    <row r="38">
      <c r="B38" s="19" t="inlineStr">
        <is>
          <t>Price points</t>
        </is>
      </c>
      <c r="C38" s="104">
        <f>IF(C35="","",IF(C35&gt;0,MIN($C35:$J35)/C35,0)*WPrice)</f>
        <v/>
      </c>
      <c r="D38" s="63" t="n"/>
      <c r="E38" s="104">
        <f>IF(E35="","",IF(E35&gt;0,MIN($C35:$J35)/E35,0)*WPrice)</f>
        <v/>
      </c>
      <c r="F38" s="63" t="n"/>
      <c r="G38" s="104">
        <f>IF(G35="","",IF(G35&gt;0,MIN($C35:$J35)/G35,0)*WPrice)</f>
        <v/>
      </c>
      <c r="H38" s="63" t="n"/>
      <c r="I38" s="104">
        <f>IF(I35="","",IF(I35&gt;0,MIN($C35:$J35)/I35,0)*WPrice)</f>
        <v/>
      </c>
      <c r="J38" s="63" t="n"/>
      <c r="T38" s="84">
        <f>IF(OR(E284="",E292=""),"",IF(OR(IFERROR(INDEX('Budget'!$D$8:$D$37,MATCH($C$282,'Budget'!$B$8:$B$37,0)),"")="Contracted",IFERROR(INDEX('Budget'!$D$8:$D$37,MATCH($C$282,'Budget'!$B$8:$B$37,0)),"")="Complete"),"",IF(E292&lt;AsOf,"",E292)))</f>
        <v/>
      </c>
      <c r="U38" s="46">
        <f>IF(T38="","",IF(T38&lt;AsOf,1,IF(T38&lt;=AsOf+AlertDays,2,IF(T38&lt;=AsOf+2*AlertDays,3,""))))</f>
        <v/>
      </c>
      <c r="V38" s="46">
        <f>IF(U38="","","Quote expires: "&amp;E284&amp;IF($C$282="",""," ("&amp;$C$282&amp;")")&amp;" — decide or ask for an extension")</f>
        <v/>
      </c>
    </row>
    <row r="39">
      <c r="B39" s="19" t="inlineStr">
        <is>
          <t>Timeline points</t>
        </is>
      </c>
      <c r="C39" s="104">
        <f>IF(C35="","",IF(C15&gt;0,MIN($C15:$J15)/C15,0)*WTime)</f>
        <v/>
      </c>
      <c r="D39" s="63" t="n"/>
      <c r="E39" s="104">
        <f>IF(E35="","",IF(E15&gt;0,MIN($C15:$J15)/E15,0)*WTime)</f>
        <v/>
      </c>
      <c r="F39" s="63" t="n"/>
      <c r="G39" s="104">
        <f>IF(G35="","",IF(G15&gt;0,MIN($C15:$J15)/G15,0)*WTime)</f>
        <v/>
      </c>
      <c r="H39" s="63" t="n"/>
      <c r="I39" s="104">
        <f>IF(I35="","",IF(I15&gt;0,MIN($C15:$J15)/I15,0)*WTime)</f>
        <v/>
      </c>
      <c r="J39" s="63" t="n"/>
      <c r="T39" s="84">
        <f>IF(OR(G284="",G292=""),"",IF(OR(IFERROR(INDEX('Budget'!$D$8:$D$37,MATCH($C$282,'Budget'!$B$8:$B$37,0)),"")="Contracted",IFERROR(INDEX('Budget'!$D$8:$D$37,MATCH($C$282,'Budget'!$B$8:$B$37,0)),"")="Complete"),"",IF(G292&lt;AsOf,"",G292)))</f>
        <v/>
      </c>
      <c r="U39" s="46">
        <f>IF(T39="","",IF(T39&lt;AsOf,1,IF(T39&lt;=AsOf+AlertDays,2,IF(T39&lt;=AsOf+2*AlertDays,3,""))))</f>
        <v/>
      </c>
      <c r="V39" s="46">
        <f>IF(U39="","","Quote expires: "&amp;G284&amp;IF($C$282="",""," ("&amp;$C$282&amp;")")&amp;" — decide or ask for an extension")</f>
        <v/>
      </c>
    </row>
    <row r="40">
      <c r="B40" s="19" t="inlineStr">
        <is>
          <t>Warranty points</t>
        </is>
      </c>
      <c r="C40" s="104">
        <f>IF(C35="","",IF(MAX($C16:$J16)&gt;0,C16/MAX($C16:$J16),0)*WWar)</f>
        <v/>
      </c>
      <c r="D40" s="63" t="n"/>
      <c r="E40" s="104">
        <f>IF(E35="","",IF(MAX($C16:$J16)&gt;0,E16/MAX($C16:$J16),0)*WWar)</f>
        <v/>
      </c>
      <c r="F40" s="63" t="n"/>
      <c r="G40" s="104">
        <f>IF(G35="","",IF(MAX($C16:$J16)&gt;0,G16/MAX($C16:$J16),0)*WWar)</f>
        <v/>
      </c>
      <c r="H40" s="63" t="n"/>
      <c r="I40" s="104">
        <f>IF(I35="","",IF(MAX($C16:$J16)&gt;0,I16/MAX($C16:$J16),0)*WWar)</f>
        <v/>
      </c>
      <c r="J40" s="63" t="n"/>
      <c r="T40" s="84">
        <f>IF(OR(I284="",I292=""),"",IF(OR(IFERROR(INDEX('Budget'!$D$8:$D$37,MATCH($C$282,'Budget'!$B$8:$B$37,0)),"")="Contracted",IFERROR(INDEX('Budget'!$D$8:$D$37,MATCH($C$282,'Budget'!$B$8:$B$37,0)),"")="Complete"),"",IF(I292&lt;AsOf,"",I292)))</f>
        <v/>
      </c>
      <c r="U40" s="46">
        <f>IF(T40="","",IF(T40&lt;AsOf,1,IF(T40&lt;=AsOf+AlertDays,2,IF(T40&lt;=AsOf+2*AlertDays,3,""))))</f>
        <v/>
      </c>
      <c r="V40" s="46">
        <f>IF(U40="","","Quote expires: "&amp;I284&amp;IF($C$282="",""," ("&amp;$C$282&amp;")")&amp;" — decide or ask for an extension")</f>
        <v/>
      </c>
    </row>
    <row r="41">
      <c r="B41" s="19" t="inlineStr">
        <is>
          <t>Completeness points</t>
        </is>
      </c>
      <c r="C41" s="104">
        <f>IF(C35="","",C36*WComp)</f>
        <v/>
      </c>
      <c r="D41" s="63" t="n"/>
      <c r="E41" s="104">
        <f>IF(E35="","",E36*WComp)</f>
        <v/>
      </c>
      <c r="F41" s="63" t="n"/>
      <c r="G41" s="104">
        <f>IF(G35="","",G36*WComp)</f>
        <v/>
      </c>
      <c r="H41" s="63" t="n"/>
      <c r="I41" s="104">
        <f>IF(I35="","",I36*WComp)</f>
        <v/>
      </c>
      <c r="J41" s="63" t="n"/>
      <c r="T41" s="84">
        <f>IF(OR(C323="",C331=""),"",IF(OR(IFERROR(INDEX('Budget'!$D$8:$D$37,MATCH($C$321,'Budget'!$B$8:$B$37,0)),"")="Contracted",IFERROR(INDEX('Budget'!$D$8:$D$37,MATCH($C$321,'Budget'!$B$8:$B$37,0)),"")="Complete"),"",IF(C331&lt;AsOf,"",C331)))</f>
        <v/>
      </c>
      <c r="U41" s="46">
        <f>IF(T41="","",IF(T41&lt;AsOf,1,IF(T41&lt;=AsOf+AlertDays,2,IF(T41&lt;=AsOf+2*AlertDays,3,""))))</f>
        <v/>
      </c>
      <c r="V41" s="46">
        <f>IF(U41="","","Quote expires: "&amp;C323&amp;IF($C$321="",""," ("&amp;$C$321&amp;")")&amp;" — decide or ask for an extension")</f>
        <v/>
      </c>
    </row>
    <row r="42">
      <c r="B42" s="19" t="inlineStr">
        <is>
          <t>Gut &amp; references points</t>
        </is>
      </c>
      <c r="C42" s="104">
        <f>IF(C35="","",(IF(C18="",0,C18/5)*0.7+IF(C17="Yes",0.3,0))*WGut)</f>
        <v/>
      </c>
      <c r="D42" s="63" t="n"/>
      <c r="E42" s="104">
        <f>IF(E35="","",(IF(E18="",0,E18/5)*0.7+IF(E17="Yes",0.3,0))*WGut)</f>
        <v/>
      </c>
      <c r="F42" s="63" t="n"/>
      <c r="G42" s="104">
        <f>IF(G35="","",(IF(G18="",0,G18/5)*0.7+IF(G17="Yes",0.3,0))*WGut)</f>
        <v/>
      </c>
      <c r="H42" s="63" t="n"/>
      <c r="I42" s="104">
        <f>IF(I35="","",(IF(I18="",0,I18/5)*0.7+IF(I17="Yes",0.3,0))*WGut)</f>
        <v/>
      </c>
      <c r="J42" s="63" t="n"/>
      <c r="T42" s="84">
        <f>IF(OR(E323="",E331=""),"",IF(OR(IFERROR(INDEX('Budget'!$D$8:$D$37,MATCH($C$321,'Budget'!$B$8:$B$37,0)),"")="Contracted",IFERROR(INDEX('Budget'!$D$8:$D$37,MATCH($C$321,'Budget'!$B$8:$B$37,0)),"")="Complete"),"",IF(E331&lt;AsOf,"",E331)))</f>
        <v/>
      </c>
      <c r="U42" s="46">
        <f>IF(T42="","",IF(T42&lt;AsOf,1,IF(T42&lt;=AsOf+AlertDays,2,IF(T42&lt;=AsOf+2*AlertDays,3,""))))</f>
        <v/>
      </c>
      <c r="V42" s="46">
        <f>IF(U42="","","Quote expires: "&amp;E323&amp;IF($C$321="",""," ("&amp;$C$321&amp;")")&amp;" — decide or ask for an extension")</f>
        <v/>
      </c>
    </row>
    <row r="43">
      <c r="B43" s="6" t="inlineStr">
        <is>
          <t>TOTAL SCORE</t>
        </is>
      </c>
      <c r="C43" s="105">
        <f>IF(C35="","",ROUND(SUM(C38:C42),1))</f>
        <v/>
      </c>
      <c r="D43" s="63" t="n"/>
      <c r="E43" s="105">
        <f>IF(E35="","",ROUND(SUM(E38:E42),1))</f>
        <v/>
      </c>
      <c r="F43" s="63" t="n"/>
      <c r="G43" s="105">
        <f>IF(G35="","",ROUND(SUM(G38:G42),1))</f>
        <v/>
      </c>
      <c r="H43" s="63" t="n"/>
      <c r="I43" s="105">
        <f>IF(I35="","",ROUND(SUM(I38:I42),1))</f>
        <v/>
      </c>
      <c r="J43" s="63" t="n"/>
      <c r="T43" s="84">
        <f>IF(OR(G323="",G331=""),"",IF(OR(IFERROR(INDEX('Budget'!$D$8:$D$37,MATCH($C$321,'Budget'!$B$8:$B$37,0)),"")="Contracted",IFERROR(INDEX('Budget'!$D$8:$D$37,MATCH($C$321,'Budget'!$B$8:$B$37,0)),"")="Complete"),"",IF(G331&lt;AsOf,"",G331)))</f>
        <v/>
      </c>
      <c r="U43" s="46">
        <f>IF(T43="","",IF(T43&lt;AsOf,1,IF(T43&lt;=AsOf+AlertDays,2,IF(T43&lt;=AsOf+2*AlertDays,3,""))))</f>
        <v/>
      </c>
      <c r="V43" s="46">
        <f>IF(U43="","","Quote expires: "&amp;G323&amp;IF($C$321="",""," ("&amp;$C$321&amp;")")&amp;" — decide or ask for an extension")</f>
        <v/>
      </c>
    </row>
    <row r="44">
      <c r="B44" s="6" t="inlineStr">
        <is>
          <t>Ranking</t>
        </is>
      </c>
      <c r="C44" s="106">
        <f>IF(C43="","",IF(C43=MAX($C43:$J43),"🏆 WINNER","#"&amp;(1+COUNTIF($C43:$J43,"&gt;"&amp;C43))))</f>
        <v/>
      </c>
      <c r="D44" s="63" t="n"/>
      <c r="E44" s="106">
        <f>IF(E43="","",IF(E43=MAX($C43:$J43),"🏆 WINNER","#"&amp;(1+COUNTIF($C43:$J43,"&gt;"&amp;E43))))</f>
        <v/>
      </c>
      <c r="F44" s="63" t="n"/>
      <c r="G44" s="106">
        <f>IF(G43="","",IF(G43=MAX($C43:$J43),"🏆 WINNER","#"&amp;(1+COUNTIF($C43:$J43,"&gt;"&amp;G43))))</f>
        <v/>
      </c>
      <c r="H44" s="63" t="n"/>
      <c r="I44" s="106">
        <f>IF(I43="","",IF(I43=MAX($C43:$J43),"🏆 WINNER","#"&amp;(1+COUNTIF($C43:$J43,"&gt;"&amp;I43))))</f>
        <v/>
      </c>
      <c r="J44" s="63" t="n"/>
      <c r="T44" s="84">
        <f>IF(OR(I323="",I331=""),"",IF(OR(IFERROR(INDEX('Budget'!$D$8:$D$37,MATCH($C$321,'Budget'!$B$8:$B$37,0)),"")="Contracted",IFERROR(INDEX('Budget'!$D$8:$D$37,MATCH($C$321,'Budget'!$B$8:$B$37,0)),"")="Complete"),"",IF(I331&lt;AsOf,"",I331)))</f>
        <v/>
      </c>
      <c r="U44" s="46">
        <f>IF(T44="","",IF(T44&lt;AsOf,1,IF(T44&lt;=AsOf+AlertDays,2,IF(T44&lt;=AsOf+2*AlertDays,3,""))))</f>
        <v/>
      </c>
      <c r="V44" s="46">
        <f>IF(U44="","","Quote expires: "&amp;I323&amp;IF($C$321="",""," ("&amp;$C$321&amp;")")&amp;" — decide or ask for an extension")</f>
        <v/>
      </c>
    </row>
    <row r="45" ht="26" customHeight="1">
      <c r="B45" s="107">
        <f>IF(COUNT($C35:$J35)&lt;2,"",IF(INDEX($C11:$J11,MATCH(MIN($C14:$J14),$C14:$J14,0))&lt;&gt;INDEX($C11:$J11,MATCH(MIN($C35:$J35),$C35:$J35,0)),"⚠️ Hidden costs change the ranking! Cheapest quoted price: "&amp;INDEX($C11:$J11,MATCH(MIN($C14:$J14),$C14:$J14,0))&amp;"  →  cheapest TRUE cost: "&amp;INDEX($C11:$J11,MATCH(MIN($C35:$J35),$C35:$J35,0)),"✓ The cheapest quote is also the cheapest true cost."))</f>
        <v/>
      </c>
      <c r="P45" s="46">
        <f>IF(B45="",0,IF(LEFT(B45,1)="✓",0,1))</f>
        <v/>
      </c>
      <c r="T45" s="84">
        <f>IF(OR(C362="",C370=""),"",IF(OR(IFERROR(INDEX('Budget'!$D$8:$D$37,MATCH($C$360,'Budget'!$B$8:$B$37,0)),"")="Contracted",IFERROR(INDEX('Budget'!$D$8:$D$37,MATCH($C$360,'Budget'!$B$8:$B$37,0)),"")="Complete"),"",IF(C370&lt;AsOf,"",C370)))</f>
        <v/>
      </c>
      <c r="U45" s="46">
        <f>IF(T45="","",IF(T45&lt;AsOf,1,IF(T45&lt;=AsOf+AlertDays,2,IF(T45&lt;=AsOf+2*AlertDays,3,""))))</f>
        <v/>
      </c>
      <c r="V45" s="46">
        <f>IF(U45="","","Quote expires: "&amp;C362&amp;IF($C$360="",""," ("&amp;$C$360&amp;")")&amp;" — decide or ask for an extension")</f>
        <v/>
      </c>
    </row>
    <row r="46">
      <c r="T46" s="84">
        <f>IF(OR(E362="",E370=""),"",IF(OR(IFERROR(INDEX('Budget'!$D$8:$D$37,MATCH($C$360,'Budget'!$B$8:$B$37,0)),"")="Contracted",IFERROR(INDEX('Budget'!$D$8:$D$37,MATCH($C$360,'Budget'!$B$8:$B$37,0)),"")="Complete"),"",IF(E370&lt;AsOf,"",E370)))</f>
        <v/>
      </c>
      <c r="U46" s="46">
        <f>IF(T46="","",IF(T46&lt;AsOf,1,IF(T46&lt;=AsOf+AlertDays,2,IF(T46&lt;=AsOf+2*AlertDays,3,""))))</f>
        <v/>
      </c>
      <c r="V46" s="46">
        <f>IF(U46="","","Quote expires: "&amp;E362&amp;IF($C$360="",""," ("&amp;$C$360&amp;")")&amp;" — decide or ask for an extension")</f>
        <v/>
      </c>
    </row>
    <row r="47">
      <c r="T47" s="84">
        <f>IF(OR(G362="",G370=""),"",IF(OR(IFERROR(INDEX('Budget'!$D$8:$D$37,MATCH($C$360,'Budget'!$B$8:$B$37,0)),"")="Contracted",IFERROR(INDEX('Budget'!$D$8:$D$37,MATCH($C$360,'Budget'!$B$8:$B$37,0)),"")="Complete"),"",IF(G370&lt;AsOf,"",G370)))</f>
        <v/>
      </c>
      <c r="U47" s="46">
        <f>IF(T47="","",IF(T47&lt;AsOf,1,IF(T47&lt;=AsOf+AlertDays,2,IF(T47&lt;=AsOf+2*AlertDays,3,""))))</f>
        <v/>
      </c>
      <c r="V47" s="46">
        <f>IF(U47="","","Quote expires: "&amp;G362&amp;IF($C$360="",""," ("&amp;$C$360&amp;")")&amp;" — decide or ask for an extension")</f>
        <v/>
      </c>
    </row>
    <row r="48" ht="28" customHeight="1">
      <c r="B48" s="91" t="inlineStr">
        <is>
          <t>COMPARISON 2  ▸  trade:</t>
        </is>
      </c>
      <c r="C48" s="92" t="inlineStr">
        <is>
          <t>Flooring</t>
        </is>
      </c>
      <c r="D48" s="91" t="n"/>
      <c r="E48" s="93">
        <f>IF(COUNT($C$82:$J$82)=0,"Enter up to 4 quotes below","🏆 Best overall: "&amp;INDEX($C$50:$J$50,MATCH(MAX($C$82:$J$82),$C$82:$J$82,0))&amp;"  —  true cost "&amp;CurSym&amp;" "&amp;FIXED(INDEX($C$74:$J$74,MATCH(MAX($C$82:$J$82),$C$82:$J$82,0)),0))</f>
        <v/>
      </c>
      <c r="F48" s="94" t="n"/>
      <c r="G48" s="94" t="n"/>
      <c r="H48" s="94" t="n"/>
      <c r="I48" s="94" t="n"/>
      <c r="J48" s="63" t="n"/>
      <c r="T48" s="84">
        <f>IF(OR(I362="",I370=""),"",IF(OR(IFERROR(INDEX('Budget'!$D$8:$D$37,MATCH($C$360,'Budget'!$B$8:$B$37,0)),"")="Contracted",IFERROR(INDEX('Budget'!$D$8:$D$37,MATCH($C$360,'Budget'!$B$8:$B$37,0)),"")="Complete"),"",IF(I370&lt;AsOf,"",I370)))</f>
        <v/>
      </c>
      <c r="U48" s="46">
        <f>IF(T48="","",IF(T48&lt;AsOf,1,IF(T48&lt;=AsOf+AlertDays,2,IF(T48&lt;=AsOf+2*AlertDays,3,""))))</f>
        <v/>
      </c>
      <c r="V48" s="46">
        <f>IF(U48="","","Quote expires: "&amp;I362&amp;IF($C$360="",""," ("&amp;$C$360&amp;")")&amp;" — decide or ask for an extension")</f>
        <v/>
      </c>
    </row>
    <row r="49">
      <c r="C49" s="95" t="inlineStr">
        <is>
          <t>Contractor 1</t>
        </is>
      </c>
      <c r="D49" s="63" t="n"/>
      <c r="E49" s="95" t="inlineStr">
        <is>
          <t>Contractor 2</t>
        </is>
      </c>
      <c r="F49" s="63" t="n"/>
      <c r="G49" s="95" t="inlineStr">
        <is>
          <t>Contractor 3</t>
        </is>
      </c>
      <c r="H49" s="63" t="n"/>
      <c r="I49" s="95" t="inlineStr">
        <is>
          <t>Contractor 4</t>
        </is>
      </c>
      <c r="J49" s="63" t="n"/>
    </row>
    <row r="50">
      <c r="B50" s="6" t="inlineStr">
        <is>
          <t>Contractor / company</t>
        </is>
      </c>
      <c r="C50" s="74" t="inlineStr">
        <is>
          <t>Oak &amp; Plank Flooring</t>
        </is>
      </c>
      <c r="D50" s="96" t="n"/>
      <c r="E50" s="74" t="inlineStr">
        <is>
          <t>FloorMasters</t>
        </is>
      </c>
      <c r="F50" s="96" t="n"/>
      <c r="G50" s="74" t="n"/>
      <c r="H50" s="96" t="n"/>
      <c r="I50" s="74" t="n"/>
      <c r="J50" s="96" t="n"/>
    </row>
    <row r="51">
      <c r="B51" s="97">
        <f>"Quoted price ("&amp;CurSym&amp;")"</f>
        <v/>
      </c>
      <c r="C51" s="98" t="n">
        <v>8900</v>
      </c>
      <c r="D51" s="96" t="n"/>
      <c r="E51" s="98" t="n">
        <v>8200</v>
      </c>
      <c r="F51" s="96" t="n"/>
      <c r="G51" s="98" t="n"/>
      <c r="H51" s="96" t="n"/>
      <c r="I51" s="98" t="n"/>
      <c r="J51" s="96" t="n"/>
    </row>
    <row r="52">
      <c r="B52" s="97">
        <f>"Price includes "&amp;TaxWord&amp;"?"</f>
        <v/>
      </c>
      <c r="C52" s="74" t="inlineStr">
        <is>
          <t>Yes</t>
        </is>
      </c>
      <c r="D52" s="96" t="n"/>
      <c r="E52" s="74" t="inlineStr">
        <is>
          <t>Yes</t>
        </is>
      </c>
      <c r="F52" s="96" t="n"/>
      <c r="G52" s="74">
        <f>DefInclTax</f>
        <v/>
      </c>
      <c r="H52" s="96" t="n"/>
      <c r="I52" s="74">
        <f>DefInclTax</f>
        <v/>
      </c>
      <c r="J52" s="96" t="n"/>
    </row>
    <row r="53">
      <c r="B53" s="97">
        <f>"Price incl. "&amp;TaxWord&amp;" ("&amp;CurSym&amp;")"</f>
        <v/>
      </c>
      <c r="C53" s="99">
        <f>IF(C51="","",IF(C52="No",C51*(1+VatRate),C51))</f>
        <v/>
      </c>
      <c r="D53" s="63" t="n"/>
      <c r="E53" s="99">
        <f>IF(E51="","",IF(E52="No",E51*(1+VatRate),E51))</f>
        <v/>
      </c>
      <c r="F53" s="63" t="n"/>
      <c r="G53" s="99">
        <f>IF(G51="","",IF(G52="No",G51*(1+VatRate),G51))</f>
        <v/>
      </c>
      <c r="H53" s="63" t="n"/>
      <c r="I53" s="99">
        <f>IF(I51="","",IF(I52="No",I51*(1+VatRate),I51))</f>
        <v/>
      </c>
      <c r="J53" s="63" t="n"/>
    </row>
    <row r="54">
      <c r="B54" s="19" t="inlineStr">
        <is>
          <t>Timeline (weeks)</t>
        </is>
      </c>
      <c r="C54" s="100" t="n">
        <v>2</v>
      </c>
      <c r="D54" s="96" t="n"/>
      <c r="E54" s="100" t="n">
        <v>3</v>
      </c>
      <c r="F54" s="96" t="n"/>
      <c r="G54" s="100" t="n"/>
      <c r="H54" s="96" t="n"/>
      <c r="I54" s="100" t="n"/>
      <c r="J54" s="96" t="n"/>
    </row>
    <row r="55">
      <c r="B55" s="19" t="inlineStr">
        <is>
          <t>Warranty (years)</t>
        </is>
      </c>
      <c r="C55" s="100" t="n">
        <v>10</v>
      </c>
      <c r="D55" s="96" t="n"/>
      <c r="E55" s="100" t="n">
        <v>5</v>
      </c>
      <c r="F55" s="96" t="n"/>
      <c r="G55" s="100" t="n"/>
      <c r="H55" s="96" t="n"/>
      <c r="I55" s="100" t="n"/>
      <c r="J55" s="96" t="n"/>
    </row>
    <row r="56">
      <c r="B56" s="19" t="inlineStr">
        <is>
          <t>References checked?</t>
        </is>
      </c>
      <c r="C56" s="74" t="inlineStr">
        <is>
          <t>Yes</t>
        </is>
      </c>
      <c r="D56" s="96" t="n"/>
      <c r="E56" s="74" t="inlineStr">
        <is>
          <t>No</t>
        </is>
      </c>
      <c r="F56" s="96" t="n"/>
      <c r="G56" s="74" t="n"/>
      <c r="H56" s="96" t="n"/>
      <c r="I56" s="74" t="n"/>
      <c r="J56" s="96" t="n"/>
    </row>
    <row r="57">
      <c r="B57" s="19" t="inlineStr">
        <is>
          <t>Gut feeling (1–5)</t>
        </is>
      </c>
      <c r="C57" s="89" t="n">
        <v>4</v>
      </c>
      <c r="D57" s="96" t="n"/>
      <c r="E57" s="89" t="n">
        <v>3</v>
      </c>
      <c r="F57" s="96" t="n"/>
      <c r="G57" s="89" t="n"/>
      <c r="H57" s="96" t="n"/>
      <c r="I57" s="89" t="n"/>
      <c r="J57" s="96" t="n"/>
    </row>
    <row r="58">
      <c r="B58" s="19" t="inlineStr">
        <is>
          <t>Quote valid until</t>
        </is>
      </c>
      <c r="C58" s="101" t="n">
        <v>46192</v>
      </c>
      <c r="D58" s="96" t="n"/>
      <c r="E58" s="101" t="n">
        <v>46218</v>
      </c>
      <c r="F58" s="96" t="n"/>
      <c r="G58" s="101" t="n"/>
      <c r="H58" s="96" t="n"/>
      <c r="I58" s="101" t="n"/>
      <c r="J58" s="96" t="n"/>
    </row>
    <row r="59">
      <c r="B59" s="80" t="inlineStr">
        <is>
          <t>HIDDEN-COST CHECKLIST</t>
        </is>
      </c>
      <c r="C59" s="95" t="inlineStr">
        <is>
          <t>Included?</t>
        </is>
      </c>
      <c r="D59" s="82">
        <f>"Extra "&amp;CurSym</f>
        <v/>
      </c>
      <c r="E59" s="95" t="inlineStr">
        <is>
          <t>Included?</t>
        </is>
      </c>
      <c r="F59" s="82">
        <f>"Extra "&amp;CurSym</f>
        <v/>
      </c>
      <c r="G59" s="95" t="inlineStr">
        <is>
          <t>Included?</t>
        </is>
      </c>
      <c r="H59" s="82">
        <f>"Extra "&amp;CurSym</f>
        <v/>
      </c>
      <c r="I59" s="95" t="inlineStr">
        <is>
          <t>Included?</t>
        </is>
      </c>
      <c r="J59" s="82">
        <f>"Extra "&amp;CurSym</f>
        <v/>
      </c>
    </row>
    <row r="60">
      <c r="B60" s="19" t="inlineStr">
        <is>
          <t>Demolition</t>
        </is>
      </c>
      <c r="C60" s="74" t="inlineStr">
        <is>
          <t>Included</t>
        </is>
      </c>
      <c r="D60" s="73" t="n"/>
      <c r="E60" s="74" t="inlineStr">
        <is>
          <t>Included</t>
        </is>
      </c>
      <c r="F60" s="73" t="n"/>
      <c r="G60" s="74" t="n"/>
      <c r="H60" s="73" t="n"/>
      <c r="I60" s="74" t="n"/>
      <c r="J60" s="73" t="n"/>
    </row>
    <row r="61">
      <c r="B61" s="19" t="inlineStr">
        <is>
          <t>Waste disposal</t>
        </is>
      </c>
      <c r="C61" s="74" t="inlineStr">
        <is>
          <t>Included</t>
        </is>
      </c>
      <c r="D61" s="73" t="n"/>
      <c r="E61" s="74" t="inlineStr">
        <is>
          <t>Not included</t>
        </is>
      </c>
      <c r="F61" s="73" t="n">
        <v>250</v>
      </c>
      <c r="G61" s="74" t="n"/>
      <c r="H61" s="73" t="n"/>
      <c r="I61" s="74" t="n"/>
      <c r="J61" s="73" t="n"/>
    </row>
    <row r="62">
      <c r="B62" s="19" t="inlineStr">
        <is>
          <t>Delivery</t>
        </is>
      </c>
      <c r="C62" s="74" t="inlineStr">
        <is>
          <t>Unclear</t>
        </is>
      </c>
      <c r="D62" s="73" t="n">
        <v>150</v>
      </c>
      <c r="E62" s="74" t="inlineStr">
        <is>
          <t>Not included</t>
        </is>
      </c>
      <c r="F62" s="73" t="n">
        <v>200</v>
      </c>
      <c r="G62" s="74" t="n"/>
      <c r="H62" s="73" t="n"/>
      <c r="I62" s="74" t="n"/>
      <c r="J62" s="73" t="n"/>
    </row>
    <row r="63">
      <c r="B63" s="19" t="inlineStr">
        <is>
          <t>Permits</t>
        </is>
      </c>
      <c r="C63" s="74" t="inlineStr">
        <is>
          <t>Included</t>
        </is>
      </c>
      <c r="D63" s="73" t="n"/>
      <c r="E63" s="74" t="inlineStr">
        <is>
          <t>Included</t>
        </is>
      </c>
      <c r="F63" s="73" t="n"/>
      <c r="G63" s="74" t="n"/>
      <c r="H63" s="73" t="n"/>
      <c r="I63" s="74" t="n"/>
      <c r="J63" s="73" t="n"/>
    </row>
    <row r="64">
      <c r="B64" s="19" t="inlineStr">
        <is>
          <t>Materials specified</t>
        </is>
      </c>
      <c r="C64" s="74" t="inlineStr">
        <is>
          <t>Included</t>
        </is>
      </c>
      <c r="D64" s="73" t="n"/>
      <c r="E64" s="74" t="inlineStr">
        <is>
          <t>Included</t>
        </is>
      </c>
      <c r="F64" s="73" t="n"/>
      <c r="G64" s="74" t="n"/>
      <c r="H64" s="73" t="n"/>
      <c r="I64" s="74" t="n"/>
      <c r="J64" s="73" t="n"/>
    </row>
    <row r="65">
      <c r="B65" s="19" t="inlineStr">
        <is>
          <t>Labor specified</t>
        </is>
      </c>
      <c r="C65" s="74" t="inlineStr">
        <is>
          <t>Included</t>
        </is>
      </c>
      <c r="D65" s="73" t="n"/>
      <c r="E65" s="74" t="inlineStr">
        <is>
          <t>Included</t>
        </is>
      </c>
      <c r="F65" s="73" t="n"/>
      <c r="G65" s="74" t="n"/>
      <c r="H65" s="73" t="n"/>
      <c r="I65" s="74" t="n"/>
      <c r="J65" s="73" t="n"/>
    </row>
    <row r="66">
      <c r="B66" s="19" t="inlineStr">
        <is>
          <t>Finishing</t>
        </is>
      </c>
      <c r="C66" s="74" t="inlineStr">
        <is>
          <t>Not included</t>
        </is>
      </c>
      <c r="D66" s="73" t="n">
        <v>600</v>
      </c>
      <c r="E66" s="74" t="inlineStr">
        <is>
          <t>Not included</t>
        </is>
      </c>
      <c r="F66" s="73" t="n">
        <v>900</v>
      </c>
      <c r="G66" s="74" t="n"/>
      <c r="H66" s="73" t="n"/>
      <c r="I66" s="74" t="n"/>
      <c r="J66" s="73" t="n"/>
    </row>
    <row r="67">
      <c r="B67" s="19" t="inlineStr">
        <is>
          <t>Cleanup</t>
        </is>
      </c>
      <c r="C67" s="74" t="inlineStr">
        <is>
          <t>Included</t>
        </is>
      </c>
      <c r="D67" s="73" t="n"/>
      <c r="E67" s="74" t="inlineStr">
        <is>
          <t>Not included</t>
        </is>
      </c>
      <c r="F67" s="73" t="n">
        <v>150</v>
      </c>
      <c r="G67" s="74" t="n"/>
      <c r="H67" s="73" t="n"/>
      <c r="I67" s="74" t="n"/>
      <c r="J67" s="73" t="n"/>
    </row>
    <row r="68">
      <c r="B68" s="97">
        <f>TaxWord&amp;" shown in price"</f>
        <v/>
      </c>
      <c r="C68" s="74" t="inlineStr">
        <is>
          <t>Included</t>
        </is>
      </c>
      <c r="D68" s="73" t="n"/>
      <c r="E68" s="74" t="inlineStr">
        <is>
          <t>Included</t>
        </is>
      </c>
      <c r="F68" s="73" t="n"/>
      <c r="G68" s="74" t="n"/>
      <c r="H68" s="73" t="n"/>
      <c r="I68" s="74" t="n"/>
      <c r="J68" s="73" t="n"/>
    </row>
    <row r="69">
      <c r="B69" s="19" t="inlineStr">
        <is>
          <t>Electrical upgrades</t>
        </is>
      </c>
      <c r="C69" s="74" t="inlineStr">
        <is>
          <t>Included</t>
        </is>
      </c>
      <c r="D69" s="73" t="n"/>
      <c r="E69" s="74" t="inlineStr">
        <is>
          <t>Included</t>
        </is>
      </c>
      <c r="F69" s="73" t="n"/>
      <c r="G69" s="74" t="n"/>
      <c r="H69" s="73" t="n"/>
      <c r="I69" s="74" t="n"/>
      <c r="J69" s="73" t="n"/>
    </row>
    <row r="70">
      <c r="B70" s="19" t="inlineStr">
        <is>
          <t>Plumbing modifications</t>
        </is>
      </c>
      <c r="C70" s="74" t="inlineStr">
        <is>
          <t>Included</t>
        </is>
      </c>
      <c r="D70" s="73" t="n"/>
      <c r="E70" s="74" t="inlineStr">
        <is>
          <t>Included</t>
        </is>
      </c>
      <c r="F70" s="73" t="n"/>
      <c r="G70" s="74" t="n"/>
      <c r="H70" s="73" t="n"/>
      <c r="I70" s="74" t="n"/>
      <c r="J70" s="73" t="n"/>
    </row>
    <row r="71">
      <c r="B71" s="19" t="inlineStr">
        <is>
          <t>Payment schedule defined</t>
        </is>
      </c>
      <c r="C71" s="74" t="inlineStr">
        <is>
          <t>Included</t>
        </is>
      </c>
      <c r="D71" s="73" t="n"/>
      <c r="E71" s="74" t="inlineStr">
        <is>
          <t>Unclear</t>
        </is>
      </c>
      <c r="F71" s="73" t="n">
        <v>0</v>
      </c>
      <c r="G71" s="74" t="n"/>
      <c r="H71" s="73" t="n"/>
      <c r="I71" s="74" t="n"/>
      <c r="J71" s="73" t="n"/>
    </row>
    <row r="72">
      <c r="B72" s="19" t="inlineStr">
        <is>
          <t>Warranty in writing</t>
        </is>
      </c>
      <c r="C72" s="74" t="inlineStr">
        <is>
          <t>Included</t>
        </is>
      </c>
      <c r="D72" s="73" t="n"/>
      <c r="E72" s="74" t="inlineStr">
        <is>
          <t>Included</t>
        </is>
      </c>
      <c r="F72" s="73" t="n"/>
      <c r="G72" s="74" t="n"/>
      <c r="H72" s="73" t="n"/>
      <c r="I72" s="74" t="n"/>
      <c r="J72" s="73" t="n"/>
    </row>
    <row r="73">
      <c r="B73" s="97">
        <f>"Hidden extras ("&amp;CurSym&amp;")"</f>
        <v/>
      </c>
      <c r="C73" s="99">
        <f>IF(C50="","",SUMPRODUCT((C60:C72&lt;&gt;"Included")*D60:D72))</f>
        <v/>
      </c>
      <c r="D73" s="63" t="n"/>
      <c r="E73" s="99">
        <f>IF(E50="","",SUMPRODUCT((E60:E72&lt;&gt;"Included")*F60:F72))</f>
        <v/>
      </c>
      <c r="F73" s="63" t="n"/>
      <c r="G73" s="99">
        <f>IF(G50="","",SUMPRODUCT((G60:G72&lt;&gt;"Included")*H60:H72))</f>
        <v/>
      </c>
      <c r="H73" s="63" t="n"/>
      <c r="I73" s="99">
        <f>IF(I50="","",SUMPRODUCT((I60:I72&lt;&gt;"Included")*J60:J72))</f>
        <v/>
      </c>
      <c r="J73" s="63" t="n"/>
    </row>
    <row r="74">
      <c r="B74" s="13">
        <f>"TRUE COST ("&amp;CurSym&amp;")"</f>
        <v/>
      </c>
      <c r="C74" s="102">
        <f>IF(OR(C50="",C53=""),"",C53+C73)</f>
        <v/>
      </c>
      <c r="D74" s="63" t="n"/>
      <c r="E74" s="102">
        <f>IF(OR(E50="",E53=""),"",E53+E73)</f>
        <v/>
      </c>
      <c r="F74" s="63" t="n"/>
      <c r="G74" s="102">
        <f>IF(OR(G50="",G53=""),"",G53+G73)</f>
        <v/>
      </c>
      <c r="H74" s="63" t="n"/>
      <c r="I74" s="102">
        <f>IF(OR(I50="",I53=""),"",I53+I73)</f>
        <v/>
      </c>
      <c r="J74" s="63" t="n"/>
    </row>
    <row r="75">
      <c r="B75" s="19" t="inlineStr">
        <is>
          <t>Completeness</t>
        </is>
      </c>
      <c r="C75" s="103">
        <f>IF(C50="","",COUNTIF(C60:C72,"Included")/13)</f>
        <v/>
      </c>
      <c r="D75" s="63" t="n"/>
      <c r="E75" s="103">
        <f>IF(E50="","",COUNTIF(E60:E72,"Included")/13)</f>
        <v/>
      </c>
      <c r="F75" s="63" t="n"/>
      <c r="G75" s="103">
        <f>IF(G50="","",COUNTIF(G60:G72,"Included")/13)</f>
        <v/>
      </c>
      <c r="H75" s="63" t="n"/>
      <c r="I75" s="103">
        <f>IF(I50="","",COUNTIF(I60:I72,"Included")/13)</f>
        <v/>
      </c>
      <c r="J75" s="63" t="n"/>
    </row>
    <row r="76">
      <c r="B76" s="80" t="inlineStr">
        <is>
          <t>SCORE</t>
        </is>
      </c>
    </row>
    <row r="77">
      <c r="B77" s="19" t="inlineStr">
        <is>
          <t>Price points</t>
        </is>
      </c>
      <c r="C77" s="104">
        <f>IF(C74="","",IF(C74&gt;0,MIN($C74:$J74)/C74,0)*WPrice)</f>
        <v/>
      </c>
      <c r="D77" s="63" t="n"/>
      <c r="E77" s="104">
        <f>IF(E74="","",IF(E74&gt;0,MIN($C74:$J74)/E74,0)*WPrice)</f>
        <v/>
      </c>
      <c r="F77" s="63" t="n"/>
      <c r="G77" s="104">
        <f>IF(G74="","",IF(G74&gt;0,MIN($C74:$J74)/G74,0)*WPrice)</f>
        <v/>
      </c>
      <c r="H77" s="63" t="n"/>
      <c r="I77" s="104">
        <f>IF(I74="","",IF(I74&gt;0,MIN($C74:$J74)/I74,0)*WPrice)</f>
        <v/>
      </c>
      <c r="J77" s="63" t="n"/>
    </row>
    <row r="78">
      <c r="B78" s="19" t="inlineStr">
        <is>
          <t>Timeline points</t>
        </is>
      </c>
      <c r="C78" s="104">
        <f>IF(C74="","",IF(C54&gt;0,MIN($C54:$J54)/C54,0)*WTime)</f>
        <v/>
      </c>
      <c r="D78" s="63" t="n"/>
      <c r="E78" s="104">
        <f>IF(E74="","",IF(E54&gt;0,MIN($C54:$J54)/E54,0)*WTime)</f>
        <v/>
      </c>
      <c r="F78" s="63" t="n"/>
      <c r="G78" s="104">
        <f>IF(G74="","",IF(G54&gt;0,MIN($C54:$J54)/G54,0)*WTime)</f>
        <v/>
      </c>
      <c r="H78" s="63" t="n"/>
      <c r="I78" s="104">
        <f>IF(I74="","",IF(I54&gt;0,MIN($C54:$J54)/I54,0)*WTime)</f>
        <v/>
      </c>
      <c r="J78" s="63" t="n"/>
    </row>
    <row r="79">
      <c r="B79" s="19" t="inlineStr">
        <is>
          <t>Warranty points</t>
        </is>
      </c>
      <c r="C79" s="104">
        <f>IF(C74="","",IF(MAX($C55:$J55)&gt;0,C55/MAX($C55:$J55),0)*WWar)</f>
        <v/>
      </c>
      <c r="D79" s="63" t="n"/>
      <c r="E79" s="104">
        <f>IF(E74="","",IF(MAX($C55:$J55)&gt;0,E55/MAX($C55:$J55),0)*WWar)</f>
        <v/>
      </c>
      <c r="F79" s="63" t="n"/>
      <c r="G79" s="104">
        <f>IF(G74="","",IF(MAX($C55:$J55)&gt;0,G55/MAX($C55:$J55),0)*WWar)</f>
        <v/>
      </c>
      <c r="H79" s="63" t="n"/>
      <c r="I79" s="104">
        <f>IF(I74="","",IF(MAX($C55:$J55)&gt;0,I55/MAX($C55:$J55),0)*WWar)</f>
        <v/>
      </c>
      <c r="J79" s="63" t="n"/>
    </row>
    <row r="80">
      <c r="B80" s="19" t="inlineStr">
        <is>
          <t>Completeness points</t>
        </is>
      </c>
      <c r="C80" s="104">
        <f>IF(C74="","",C75*WComp)</f>
        <v/>
      </c>
      <c r="D80" s="63" t="n"/>
      <c r="E80" s="104">
        <f>IF(E74="","",E75*WComp)</f>
        <v/>
      </c>
      <c r="F80" s="63" t="n"/>
      <c r="G80" s="104">
        <f>IF(G74="","",G75*WComp)</f>
        <v/>
      </c>
      <c r="H80" s="63" t="n"/>
      <c r="I80" s="104">
        <f>IF(I74="","",I75*WComp)</f>
        <v/>
      </c>
      <c r="J80" s="63" t="n"/>
    </row>
    <row r="81">
      <c r="B81" s="19" t="inlineStr">
        <is>
          <t>Gut &amp; references points</t>
        </is>
      </c>
      <c r="C81" s="104">
        <f>IF(C74="","",(IF(C57="",0,C57/5)*0.7+IF(C56="Yes",0.3,0))*WGut)</f>
        <v/>
      </c>
      <c r="D81" s="63" t="n"/>
      <c r="E81" s="104">
        <f>IF(E74="","",(IF(E57="",0,E57/5)*0.7+IF(E56="Yes",0.3,0))*WGut)</f>
        <v/>
      </c>
      <c r="F81" s="63" t="n"/>
      <c r="G81" s="104">
        <f>IF(G74="","",(IF(G57="",0,G57/5)*0.7+IF(G56="Yes",0.3,0))*WGut)</f>
        <v/>
      </c>
      <c r="H81" s="63" t="n"/>
      <c r="I81" s="104">
        <f>IF(I74="","",(IF(I57="",0,I57/5)*0.7+IF(I56="Yes",0.3,0))*WGut)</f>
        <v/>
      </c>
      <c r="J81" s="63" t="n"/>
    </row>
    <row r="82">
      <c r="B82" s="6" t="inlineStr">
        <is>
          <t>TOTAL SCORE</t>
        </is>
      </c>
      <c r="C82" s="105">
        <f>IF(C74="","",ROUND(SUM(C77:C81),1))</f>
        <v/>
      </c>
      <c r="D82" s="63" t="n"/>
      <c r="E82" s="105">
        <f>IF(E74="","",ROUND(SUM(E77:E81),1))</f>
        <v/>
      </c>
      <c r="F82" s="63" t="n"/>
      <c r="G82" s="105">
        <f>IF(G74="","",ROUND(SUM(G77:G81),1))</f>
        <v/>
      </c>
      <c r="H82" s="63" t="n"/>
      <c r="I82" s="105">
        <f>IF(I74="","",ROUND(SUM(I77:I81),1))</f>
        <v/>
      </c>
      <c r="J82" s="63" t="n"/>
    </row>
    <row r="83">
      <c r="B83" s="6" t="inlineStr">
        <is>
          <t>Ranking</t>
        </is>
      </c>
      <c r="C83" s="106">
        <f>IF(C82="","",IF(C82=MAX($C82:$J82),"🏆 WINNER","#"&amp;(1+COUNTIF($C82:$J82,"&gt;"&amp;C82))))</f>
        <v/>
      </c>
      <c r="D83" s="63" t="n"/>
      <c r="E83" s="106">
        <f>IF(E82="","",IF(E82=MAX($C82:$J82),"🏆 WINNER","#"&amp;(1+COUNTIF($C82:$J82,"&gt;"&amp;E82))))</f>
        <v/>
      </c>
      <c r="F83" s="63" t="n"/>
      <c r="G83" s="106">
        <f>IF(G82="","",IF(G82=MAX($C82:$J82),"🏆 WINNER","#"&amp;(1+COUNTIF($C82:$J82,"&gt;"&amp;G82))))</f>
        <v/>
      </c>
      <c r="H83" s="63" t="n"/>
      <c r="I83" s="106">
        <f>IF(I82="","",IF(I82=MAX($C82:$J82),"🏆 WINNER","#"&amp;(1+COUNTIF($C82:$J82,"&gt;"&amp;I82))))</f>
        <v/>
      </c>
      <c r="J83" s="63" t="n"/>
    </row>
    <row r="84" ht="26" customHeight="1">
      <c r="B84" s="107">
        <f>IF(COUNT($C74:$J74)&lt;2,"",IF(INDEX($C50:$J50,MATCH(MIN($C53:$J53),$C53:$J53,0))&lt;&gt;INDEX($C50:$J50,MATCH(MIN($C74:$J74),$C74:$J74,0)),"⚠️ Hidden costs change the ranking! Cheapest quoted price: "&amp;INDEX($C50:$J50,MATCH(MIN($C53:$J53),$C53:$J53,0))&amp;"  →  cheapest TRUE cost: "&amp;INDEX($C50:$J50,MATCH(MIN($C74:$J74),$C74:$J74,0)),"✓ The cheapest quote is also the cheapest true cost."))</f>
        <v/>
      </c>
      <c r="P84" s="46">
        <f>IF(B84="",0,IF(LEFT(B84,1)="✓",0,1))</f>
        <v/>
      </c>
    </row>
    <row r="85"/>
    <row r="86"/>
    <row r="87" ht="28" customHeight="1">
      <c r="B87" s="91" t="inlineStr">
        <is>
          <t>COMPARISON 3  ▸  trade:</t>
        </is>
      </c>
      <c r="C87" s="92" t="inlineStr">
        <is>
          <t>Painting</t>
        </is>
      </c>
      <c r="D87" s="91" t="n"/>
      <c r="E87" s="93">
        <f>IF(COUNT($C$121:$J$121)=0,"Enter up to 4 quotes below","🏆 Best overall: "&amp;INDEX($C$89:$J$89,MATCH(MAX($C$121:$J$121),$C$121:$J$121,0))&amp;"  —  true cost "&amp;CurSym&amp;" "&amp;FIXED(INDEX($C$113:$J$113,MATCH(MAX($C$121:$J$121),$C$121:$J$121,0)),0))</f>
        <v/>
      </c>
      <c r="F87" s="94" t="n"/>
      <c r="G87" s="94" t="n"/>
      <c r="H87" s="94" t="n"/>
      <c r="I87" s="94" t="n"/>
      <c r="J87" s="63" t="n"/>
    </row>
    <row r="88">
      <c r="C88" s="95" t="inlineStr">
        <is>
          <t>Contractor 1</t>
        </is>
      </c>
      <c r="D88" s="63" t="n"/>
      <c r="E88" s="95" t="inlineStr">
        <is>
          <t>Contractor 2</t>
        </is>
      </c>
      <c r="F88" s="63" t="n"/>
      <c r="G88" s="95" t="inlineStr">
        <is>
          <t>Contractor 3</t>
        </is>
      </c>
      <c r="H88" s="63" t="n"/>
      <c r="I88" s="95" t="inlineStr">
        <is>
          <t>Contractor 4</t>
        </is>
      </c>
      <c r="J88" s="63" t="n"/>
    </row>
    <row r="89">
      <c r="B89" s="6" t="inlineStr">
        <is>
          <t>Contractor / company</t>
        </is>
      </c>
      <c r="C89" s="74" t="inlineStr">
        <is>
          <t>Finish Line Painters</t>
        </is>
      </c>
      <c r="D89" s="96" t="n"/>
      <c r="E89" s="74" t="inlineStr">
        <is>
          <t>ColourPro</t>
        </is>
      </c>
      <c r="F89" s="96" t="n"/>
      <c r="G89" s="74" t="n"/>
      <c r="H89" s="96" t="n"/>
      <c r="I89" s="74" t="n"/>
      <c r="J89" s="96" t="n"/>
    </row>
    <row r="90">
      <c r="B90" s="97">
        <f>"Quoted price ("&amp;CurSym&amp;")"</f>
        <v/>
      </c>
      <c r="C90" s="98" t="n">
        <v>4700</v>
      </c>
      <c r="D90" s="96" t="n"/>
      <c r="E90" s="98" t="n">
        <v>5300</v>
      </c>
      <c r="F90" s="96" t="n"/>
      <c r="G90" s="98" t="n"/>
      <c r="H90" s="96" t="n"/>
      <c r="I90" s="98" t="n"/>
      <c r="J90" s="96" t="n"/>
    </row>
    <row r="91">
      <c r="B91" s="97">
        <f>"Price includes "&amp;TaxWord&amp;"?"</f>
        <v/>
      </c>
      <c r="C91" s="74" t="inlineStr">
        <is>
          <t>Yes</t>
        </is>
      </c>
      <c r="D91" s="96" t="n"/>
      <c r="E91" s="74" t="inlineStr">
        <is>
          <t>Yes</t>
        </is>
      </c>
      <c r="F91" s="96" t="n"/>
      <c r="G91" s="74">
        <f>DefInclTax</f>
        <v/>
      </c>
      <c r="H91" s="96" t="n"/>
      <c r="I91" s="74">
        <f>DefInclTax</f>
        <v/>
      </c>
      <c r="J91" s="96" t="n"/>
    </row>
    <row r="92">
      <c r="B92" s="97">
        <f>"Price incl. "&amp;TaxWord&amp;" ("&amp;CurSym&amp;")"</f>
        <v/>
      </c>
      <c r="C92" s="99">
        <f>IF(C90="","",IF(C91="No",C90*(1+VatRate),C90))</f>
        <v/>
      </c>
      <c r="D92" s="63" t="n"/>
      <c r="E92" s="99">
        <f>IF(E90="","",IF(E91="No",E90*(1+VatRate),E90))</f>
        <v/>
      </c>
      <c r="F92" s="63" t="n"/>
      <c r="G92" s="99">
        <f>IF(G90="","",IF(G91="No",G90*(1+VatRate),G90))</f>
        <v/>
      </c>
      <c r="H92" s="63" t="n"/>
      <c r="I92" s="99">
        <f>IF(I90="","",IF(I91="No",I90*(1+VatRate),I90))</f>
        <v/>
      </c>
      <c r="J92" s="63" t="n"/>
    </row>
    <row r="93">
      <c r="B93" s="19" t="inlineStr">
        <is>
          <t>Timeline (weeks)</t>
        </is>
      </c>
      <c r="C93" s="100" t="n">
        <v>2</v>
      </c>
      <c r="D93" s="96" t="n"/>
      <c r="E93" s="100" t="n">
        <v>2</v>
      </c>
      <c r="F93" s="96" t="n"/>
      <c r="G93" s="100" t="n"/>
      <c r="H93" s="96" t="n"/>
      <c r="I93" s="100" t="n"/>
      <c r="J93" s="96" t="n"/>
    </row>
    <row r="94">
      <c r="B94" s="19" t="inlineStr">
        <is>
          <t>Warranty (years)</t>
        </is>
      </c>
      <c r="C94" s="100" t="n">
        <v>2</v>
      </c>
      <c r="D94" s="96" t="n"/>
      <c r="E94" s="100" t="n">
        <v>1</v>
      </c>
      <c r="F94" s="96" t="n"/>
      <c r="G94" s="100" t="n"/>
      <c r="H94" s="96" t="n"/>
      <c r="I94" s="100" t="n"/>
      <c r="J94" s="96" t="n"/>
    </row>
    <row r="95">
      <c r="B95" s="19" t="inlineStr">
        <is>
          <t>References checked?</t>
        </is>
      </c>
      <c r="C95" s="74" t="inlineStr">
        <is>
          <t>Yes</t>
        </is>
      </c>
      <c r="D95" s="96" t="n"/>
      <c r="E95" s="74" t="inlineStr">
        <is>
          <t>No</t>
        </is>
      </c>
      <c r="F95" s="96" t="n"/>
      <c r="G95" s="74" t="n"/>
      <c r="H95" s="96" t="n"/>
      <c r="I95" s="74" t="n"/>
      <c r="J95" s="96" t="n"/>
    </row>
    <row r="96">
      <c r="B96" s="19" t="inlineStr">
        <is>
          <t>Gut feeling (1–5)</t>
        </is>
      </c>
      <c r="C96" s="89" t="n">
        <v>4</v>
      </c>
      <c r="D96" s="96" t="n"/>
      <c r="E96" s="89" t="n">
        <v>3</v>
      </c>
      <c r="F96" s="96" t="n"/>
      <c r="G96" s="89" t="n"/>
      <c r="H96" s="96" t="n"/>
      <c r="I96" s="89" t="n"/>
      <c r="J96" s="96" t="n"/>
    </row>
    <row r="97">
      <c r="B97" s="19" t="inlineStr">
        <is>
          <t>Quote valid until</t>
        </is>
      </c>
      <c r="C97" s="101" t="n">
        <v>46234</v>
      </c>
      <c r="D97" s="96" t="n"/>
      <c r="E97" s="101" t="n">
        <v>46199</v>
      </c>
      <c r="F97" s="96" t="n"/>
      <c r="G97" s="101" t="n"/>
      <c r="H97" s="96" t="n"/>
      <c r="I97" s="101" t="n"/>
      <c r="J97" s="96" t="n"/>
    </row>
    <row r="98">
      <c r="B98" s="80" t="inlineStr">
        <is>
          <t>HIDDEN-COST CHECKLIST</t>
        </is>
      </c>
      <c r="C98" s="95" t="inlineStr">
        <is>
          <t>Included?</t>
        </is>
      </c>
      <c r="D98" s="82">
        <f>"Extra "&amp;CurSym</f>
        <v/>
      </c>
      <c r="E98" s="95" t="inlineStr">
        <is>
          <t>Included?</t>
        </is>
      </c>
      <c r="F98" s="82">
        <f>"Extra "&amp;CurSym</f>
        <v/>
      </c>
      <c r="G98" s="95" t="inlineStr">
        <is>
          <t>Included?</t>
        </is>
      </c>
      <c r="H98" s="82">
        <f>"Extra "&amp;CurSym</f>
        <v/>
      </c>
      <c r="I98" s="95" t="inlineStr">
        <is>
          <t>Included?</t>
        </is>
      </c>
      <c r="J98" s="82">
        <f>"Extra "&amp;CurSym</f>
        <v/>
      </c>
    </row>
    <row r="99">
      <c r="B99" s="19" t="inlineStr">
        <is>
          <t>Demolition</t>
        </is>
      </c>
      <c r="C99" s="74" t="inlineStr">
        <is>
          <t>Included</t>
        </is>
      </c>
      <c r="D99" s="73" t="n"/>
      <c r="E99" s="74" t="inlineStr">
        <is>
          <t>Included</t>
        </is>
      </c>
      <c r="F99" s="73" t="n"/>
      <c r="G99" s="74" t="n"/>
      <c r="H99" s="73" t="n"/>
      <c r="I99" s="74" t="n"/>
      <c r="J99" s="73" t="n"/>
    </row>
    <row r="100">
      <c r="B100" s="19" t="inlineStr">
        <is>
          <t>Waste disposal</t>
        </is>
      </c>
      <c r="C100" s="74" t="inlineStr">
        <is>
          <t>Included</t>
        </is>
      </c>
      <c r="D100" s="73" t="n"/>
      <c r="E100" s="74" t="inlineStr">
        <is>
          <t>Included</t>
        </is>
      </c>
      <c r="F100" s="73" t="n"/>
      <c r="G100" s="74" t="n"/>
      <c r="H100" s="73" t="n"/>
      <c r="I100" s="74" t="n"/>
      <c r="J100" s="73" t="n"/>
    </row>
    <row r="101">
      <c r="B101" s="19" t="inlineStr">
        <is>
          <t>Delivery</t>
        </is>
      </c>
      <c r="C101" s="74" t="inlineStr">
        <is>
          <t>Included</t>
        </is>
      </c>
      <c r="D101" s="73" t="n"/>
      <c r="E101" s="74" t="inlineStr">
        <is>
          <t>Included</t>
        </is>
      </c>
      <c r="F101" s="73" t="n"/>
      <c r="G101" s="74" t="n"/>
      <c r="H101" s="73" t="n"/>
      <c r="I101" s="74" t="n"/>
      <c r="J101" s="73" t="n"/>
    </row>
    <row r="102">
      <c r="B102" s="19" t="inlineStr">
        <is>
          <t>Permits</t>
        </is>
      </c>
      <c r="C102" s="74" t="inlineStr">
        <is>
          <t>Included</t>
        </is>
      </c>
      <c r="D102" s="73" t="n"/>
      <c r="E102" s="74" t="inlineStr">
        <is>
          <t>Included</t>
        </is>
      </c>
      <c r="F102" s="73" t="n"/>
      <c r="G102" s="74" t="n"/>
      <c r="H102" s="73" t="n"/>
      <c r="I102" s="74" t="n"/>
      <c r="J102" s="73" t="n"/>
    </row>
    <row r="103">
      <c r="B103" s="19" t="inlineStr">
        <is>
          <t>Materials specified</t>
        </is>
      </c>
      <c r="C103" s="74" t="inlineStr">
        <is>
          <t>Included</t>
        </is>
      </c>
      <c r="D103" s="73" t="n"/>
      <c r="E103" s="74" t="inlineStr">
        <is>
          <t>Included</t>
        </is>
      </c>
      <c r="F103" s="73" t="n"/>
      <c r="G103" s="74" t="n"/>
      <c r="H103" s="73" t="n"/>
      <c r="I103" s="74" t="n"/>
      <c r="J103" s="73" t="n"/>
    </row>
    <row r="104">
      <c r="B104" s="19" t="inlineStr">
        <is>
          <t>Labor specified</t>
        </is>
      </c>
      <c r="C104" s="74" t="inlineStr">
        <is>
          <t>Included</t>
        </is>
      </c>
      <c r="D104" s="73" t="n"/>
      <c r="E104" s="74" t="inlineStr">
        <is>
          <t>Included</t>
        </is>
      </c>
      <c r="F104" s="73" t="n"/>
      <c r="G104" s="74" t="n"/>
      <c r="H104" s="73" t="n"/>
      <c r="I104" s="74" t="n"/>
      <c r="J104" s="73" t="n"/>
    </row>
    <row r="105">
      <c r="B105" s="19" t="inlineStr">
        <is>
          <t>Finishing</t>
        </is>
      </c>
      <c r="C105" s="74" t="inlineStr">
        <is>
          <t>Included</t>
        </is>
      </c>
      <c r="D105" s="73" t="n"/>
      <c r="E105" s="74" t="inlineStr">
        <is>
          <t>Included</t>
        </is>
      </c>
      <c r="F105" s="73" t="n"/>
      <c r="G105" s="74" t="n"/>
      <c r="H105" s="73" t="n"/>
      <c r="I105" s="74" t="n"/>
      <c r="J105" s="73" t="n"/>
    </row>
    <row r="106">
      <c r="B106" s="19" t="inlineStr">
        <is>
          <t>Cleanup</t>
        </is>
      </c>
      <c r="C106" s="74" t="inlineStr">
        <is>
          <t>Included</t>
        </is>
      </c>
      <c r="D106" s="73" t="n"/>
      <c r="E106" s="74" t="inlineStr">
        <is>
          <t>Unclear</t>
        </is>
      </c>
      <c r="F106" s="73" t="n">
        <v>0</v>
      </c>
      <c r="G106" s="74" t="n"/>
      <c r="H106" s="73" t="n"/>
      <c r="I106" s="74" t="n"/>
      <c r="J106" s="73" t="n"/>
    </row>
    <row r="107">
      <c r="B107" s="97">
        <f>TaxWord&amp;" shown in price"</f>
        <v/>
      </c>
      <c r="C107" s="74" t="inlineStr">
        <is>
          <t>Included</t>
        </is>
      </c>
      <c r="D107" s="73" t="n"/>
      <c r="E107" s="74" t="inlineStr">
        <is>
          <t>Included</t>
        </is>
      </c>
      <c r="F107" s="73" t="n"/>
      <c r="G107" s="74" t="n"/>
      <c r="H107" s="73" t="n"/>
      <c r="I107" s="74" t="n"/>
      <c r="J107" s="73" t="n"/>
    </row>
    <row r="108">
      <c r="B108" s="19" t="inlineStr">
        <is>
          <t>Electrical upgrades</t>
        </is>
      </c>
      <c r="C108" s="74" t="inlineStr">
        <is>
          <t>Included</t>
        </is>
      </c>
      <c r="D108" s="73" t="n"/>
      <c r="E108" s="74" t="inlineStr">
        <is>
          <t>Included</t>
        </is>
      </c>
      <c r="F108" s="73" t="n"/>
      <c r="G108" s="74" t="n"/>
      <c r="H108" s="73" t="n"/>
      <c r="I108" s="74" t="n"/>
      <c r="J108" s="73" t="n"/>
    </row>
    <row r="109">
      <c r="B109" s="19" t="inlineStr">
        <is>
          <t>Plumbing modifications</t>
        </is>
      </c>
      <c r="C109" s="74" t="inlineStr">
        <is>
          <t>Included</t>
        </is>
      </c>
      <c r="D109" s="73" t="n"/>
      <c r="E109" s="74" t="inlineStr">
        <is>
          <t>Included</t>
        </is>
      </c>
      <c r="F109" s="73" t="n"/>
      <c r="G109" s="74" t="n"/>
      <c r="H109" s="73" t="n"/>
      <c r="I109" s="74" t="n"/>
      <c r="J109" s="73" t="n"/>
    </row>
    <row r="110">
      <c r="B110" s="19" t="inlineStr">
        <is>
          <t>Payment schedule defined</t>
        </is>
      </c>
      <c r="C110" s="74" t="inlineStr">
        <is>
          <t>Included</t>
        </is>
      </c>
      <c r="D110" s="73" t="n"/>
      <c r="E110" s="74" t="inlineStr">
        <is>
          <t>Included</t>
        </is>
      </c>
      <c r="F110" s="73" t="n"/>
      <c r="G110" s="74" t="n"/>
      <c r="H110" s="73" t="n"/>
      <c r="I110" s="74" t="n"/>
      <c r="J110" s="73" t="n"/>
    </row>
    <row r="111">
      <c r="B111" s="19" t="inlineStr">
        <is>
          <t>Warranty in writing</t>
        </is>
      </c>
      <c r="C111" s="74" t="inlineStr">
        <is>
          <t>Included</t>
        </is>
      </c>
      <c r="D111" s="73" t="n"/>
      <c r="E111" s="74" t="inlineStr">
        <is>
          <t>Included</t>
        </is>
      </c>
      <c r="F111" s="73" t="n"/>
      <c r="G111" s="74" t="n"/>
      <c r="H111" s="73" t="n"/>
      <c r="I111" s="74" t="n"/>
      <c r="J111" s="73" t="n"/>
    </row>
    <row r="112">
      <c r="B112" s="97">
        <f>"Hidden extras ("&amp;CurSym&amp;")"</f>
        <v/>
      </c>
      <c r="C112" s="99">
        <f>IF(C89="","",SUMPRODUCT((C99:C111&lt;&gt;"Included")*D99:D111))</f>
        <v/>
      </c>
      <c r="D112" s="63" t="n"/>
      <c r="E112" s="99">
        <f>IF(E89="","",SUMPRODUCT((E99:E111&lt;&gt;"Included")*F99:F111))</f>
        <v/>
      </c>
      <c r="F112" s="63" t="n"/>
      <c r="G112" s="99">
        <f>IF(G89="","",SUMPRODUCT((G99:G111&lt;&gt;"Included")*H99:H111))</f>
        <v/>
      </c>
      <c r="H112" s="63" t="n"/>
      <c r="I112" s="99">
        <f>IF(I89="","",SUMPRODUCT((I99:I111&lt;&gt;"Included")*J99:J111))</f>
        <v/>
      </c>
      <c r="J112" s="63" t="n"/>
    </row>
    <row r="113">
      <c r="B113" s="13">
        <f>"TRUE COST ("&amp;CurSym&amp;")"</f>
        <v/>
      </c>
      <c r="C113" s="102">
        <f>IF(OR(C89="",C92=""),"",C92+C112)</f>
        <v/>
      </c>
      <c r="D113" s="63" t="n"/>
      <c r="E113" s="102">
        <f>IF(OR(E89="",E92=""),"",E92+E112)</f>
        <v/>
      </c>
      <c r="F113" s="63" t="n"/>
      <c r="G113" s="102">
        <f>IF(OR(G89="",G92=""),"",G92+G112)</f>
        <v/>
      </c>
      <c r="H113" s="63" t="n"/>
      <c r="I113" s="102">
        <f>IF(OR(I89="",I92=""),"",I92+I112)</f>
        <v/>
      </c>
      <c r="J113" s="63" t="n"/>
    </row>
    <row r="114">
      <c r="B114" s="19" t="inlineStr">
        <is>
          <t>Completeness</t>
        </is>
      </c>
      <c r="C114" s="103">
        <f>IF(C89="","",COUNTIF(C99:C111,"Included")/13)</f>
        <v/>
      </c>
      <c r="D114" s="63" t="n"/>
      <c r="E114" s="103">
        <f>IF(E89="","",COUNTIF(E99:E111,"Included")/13)</f>
        <v/>
      </c>
      <c r="F114" s="63" t="n"/>
      <c r="G114" s="103">
        <f>IF(G89="","",COUNTIF(G99:G111,"Included")/13)</f>
        <v/>
      </c>
      <c r="H114" s="63" t="n"/>
      <c r="I114" s="103">
        <f>IF(I89="","",COUNTIF(I99:I111,"Included")/13)</f>
        <v/>
      </c>
      <c r="J114" s="63" t="n"/>
    </row>
    <row r="115">
      <c r="B115" s="80" t="inlineStr">
        <is>
          <t>SCORE</t>
        </is>
      </c>
    </row>
    <row r="116">
      <c r="B116" s="19" t="inlineStr">
        <is>
          <t>Price points</t>
        </is>
      </c>
      <c r="C116" s="104">
        <f>IF(C113="","",IF(C113&gt;0,MIN($C113:$J113)/C113,0)*WPrice)</f>
        <v/>
      </c>
      <c r="D116" s="63" t="n"/>
      <c r="E116" s="104">
        <f>IF(E113="","",IF(E113&gt;0,MIN($C113:$J113)/E113,0)*WPrice)</f>
        <v/>
      </c>
      <c r="F116" s="63" t="n"/>
      <c r="G116" s="104">
        <f>IF(G113="","",IF(G113&gt;0,MIN($C113:$J113)/G113,0)*WPrice)</f>
        <v/>
      </c>
      <c r="H116" s="63" t="n"/>
      <c r="I116" s="104">
        <f>IF(I113="","",IF(I113&gt;0,MIN($C113:$J113)/I113,0)*WPrice)</f>
        <v/>
      </c>
      <c r="J116" s="63" t="n"/>
    </row>
    <row r="117">
      <c r="B117" s="19" t="inlineStr">
        <is>
          <t>Timeline points</t>
        </is>
      </c>
      <c r="C117" s="104">
        <f>IF(C113="","",IF(C93&gt;0,MIN($C93:$J93)/C93,0)*WTime)</f>
        <v/>
      </c>
      <c r="D117" s="63" t="n"/>
      <c r="E117" s="104">
        <f>IF(E113="","",IF(E93&gt;0,MIN($C93:$J93)/E93,0)*WTime)</f>
        <v/>
      </c>
      <c r="F117" s="63" t="n"/>
      <c r="G117" s="104">
        <f>IF(G113="","",IF(G93&gt;0,MIN($C93:$J93)/G93,0)*WTime)</f>
        <v/>
      </c>
      <c r="H117" s="63" t="n"/>
      <c r="I117" s="104">
        <f>IF(I113="","",IF(I93&gt;0,MIN($C93:$J93)/I93,0)*WTime)</f>
        <v/>
      </c>
      <c r="J117" s="63" t="n"/>
    </row>
    <row r="118">
      <c r="B118" s="19" t="inlineStr">
        <is>
          <t>Warranty points</t>
        </is>
      </c>
      <c r="C118" s="104">
        <f>IF(C113="","",IF(MAX($C94:$J94)&gt;0,C94/MAX($C94:$J94),0)*WWar)</f>
        <v/>
      </c>
      <c r="D118" s="63" t="n"/>
      <c r="E118" s="104">
        <f>IF(E113="","",IF(MAX($C94:$J94)&gt;0,E94/MAX($C94:$J94),0)*WWar)</f>
        <v/>
      </c>
      <c r="F118" s="63" t="n"/>
      <c r="G118" s="104">
        <f>IF(G113="","",IF(MAX($C94:$J94)&gt;0,G94/MAX($C94:$J94),0)*WWar)</f>
        <v/>
      </c>
      <c r="H118" s="63" t="n"/>
      <c r="I118" s="104">
        <f>IF(I113="","",IF(MAX($C94:$J94)&gt;0,I94/MAX($C94:$J94),0)*WWar)</f>
        <v/>
      </c>
      <c r="J118" s="63" t="n"/>
    </row>
    <row r="119">
      <c r="B119" s="19" t="inlineStr">
        <is>
          <t>Completeness points</t>
        </is>
      </c>
      <c r="C119" s="104">
        <f>IF(C113="","",C114*WComp)</f>
        <v/>
      </c>
      <c r="D119" s="63" t="n"/>
      <c r="E119" s="104">
        <f>IF(E113="","",E114*WComp)</f>
        <v/>
      </c>
      <c r="F119" s="63" t="n"/>
      <c r="G119" s="104">
        <f>IF(G113="","",G114*WComp)</f>
        <v/>
      </c>
      <c r="H119" s="63" t="n"/>
      <c r="I119" s="104">
        <f>IF(I113="","",I114*WComp)</f>
        <v/>
      </c>
      <c r="J119" s="63" t="n"/>
    </row>
    <row r="120">
      <c r="B120" s="19" t="inlineStr">
        <is>
          <t>Gut &amp; references points</t>
        </is>
      </c>
      <c r="C120" s="104">
        <f>IF(C113="","",(IF(C96="",0,C96/5)*0.7+IF(C95="Yes",0.3,0))*WGut)</f>
        <v/>
      </c>
      <c r="D120" s="63" t="n"/>
      <c r="E120" s="104">
        <f>IF(E113="","",(IF(E96="",0,E96/5)*0.7+IF(E95="Yes",0.3,0))*WGut)</f>
        <v/>
      </c>
      <c r="F120" s="63" t="n"/>
      <c r="G120" s="104">
        <f>IF(G113="","",(IF(G96="",0,G96/5)*0.7+IF(G95="Yes",0.3,0))*WGut)</f>
        <v/>
      </c>
      <c r="H120" s="63" t="n"/>
      <c r="I120" s="104">
        <f>IF(I113="","",(IF(I96="",0,I96/5)*0.7+IF(I95="Yes",0.3,0))*WGut)</f>
        <v/>
      </c>
      <c r="J120" s="63" t="n"/>
    </row>
    <row r="121">
      <c r="B121" s="6" t="inlineStr">
        <is>
          <t>TOTAL SCORE</t>
        </is>
      </c>
      <c r="C121" s="105">
        <f>IF(C113="","",ROUND(SUM(C116:C120),1))</f>
        <v/>
      </c>
      <c r="D121" s="63" t="n"/>
      <c r="E121" s="105">
        <f>IF(E113="","",ROUND(SUM(E116:E120),1))</f>
        <v/>
      </c>
      <c r="F121" s="63" t="n"/>
      <c r="G121" s="105">
        <f>IF(G113="","",ROUND(SUM(G116:G120),1))</f>
        <v/>
      </c>
      <c r="H121" s="63" t="n"/>
      <c r="I121" s="105">
        <f>IF(I113="","",ROUND(SUM(I116:I120),1))</f>
        <v/>
      </c>
      <c r="J121" s="63" t="n"/>
    </row>
    <row r="122">
      <c r="B122" s="6" t="inlineStr">
        <is>
          <t>Ranking</t>
        </is>
      </c>
      <c r="C122" s="106">
        <f>IF(C121="","",IF(C121=MAX($C121:$J121),"🏆 WINNER","#"&amp;(1+COUNTIF($C121:$J121,"&gt;"&amp;C121))))</f>
        <v/>
      </c>
      <c r="D122" s="63" t="n"/>
      <c r="E122" s="106">
        <f>IF(E121="","",IF(E121=MAX($C121:$J121),"🏆 WINNER","#"&amp;(1+COUNTIF($C121:$J121,"&gt;"&amp;E121))))</f>
        <v/>
      </c>
      <c r="F122" s="63" t="n"/>
      <c r="G122" s="106">
        <f>IF(G121="","",IF(G121=MAX($C121:$J121),"🏆 WINNER","#"&amp;(1+COUNTIF($C121:$J121,"&gt;"&amp;G121))))</f>
        <v/>
      </c>
      <c r="H122" s="63" t="n"/>
      <c r="I122" s="106">
        <f>IF(I121="","",IF(I121=MAX($C121:$J121),"🏆 WINNER","#"&amp;(1+COUNTIF($C121:$J121,"&gt;"&amp;I121))))</f>
        <v/>
      </c>
      <c r="J122" s="63" t="n"/>
    </row>
    <row r="123" ht="26" customHeight="1">
      <c r="B123" s="107">
        <f>IF(COUNT($C113:$J113)&lt;2,"",IF(INDEX($C89:$J89,MATCH(MIN($C92:$J92),$C92:$J92,0))&lt;&gt;INDEX($C89:$J89,MATCH(MIN($C113:$J113),$C113:$J113,0)),"⚠️ Hidden costs change the ranking! Cheapest quoted price: "&amp;INDEX($C89:$J89,MATCH(MIN($C92:$J92),$C92:$J92,0))&amp;"  →  cheapest TRUE cost: "&amp;INDEX($C89:$J89,MATCH(MIN($C113:$J113),$C113:$J113,0)),"✓ The cheapest quote is also the cheapest true cost."))</f>
        <v/>
      </c>
      <c r="P123" s="46">
        <f>IF(B123="",0,IF(LEFT(B123,1)="✓",0,1))</f>
        <v/>
      </c>
    </row>
    <row r="124"/>
    <row r="125"/>
    <row r="126" ht="28" customHeight="1">
      <c r="B126" s="91" t="inlineStr">
        <is>
          <t>COMPARISON 4  ▸  trade:</t>
        </is>
      </c>
      <c r="C126" s="92" t="inlineStr">
        <is>
          <t>Roofing</t>
        </is>
      </c>
      <c r="D126" s="91" t="n"/>
      <c r="E126" s="93">
        <f>IF(COUNT($C$160:$J$160)=0,"Enter up to 4 quotes below","🏆 Best overall: "&amp;INDEX($C$128:$J$128,MATCH(MAX($C$160:$J$160),$C$160:$J$160,0))&amp;"  —  true cost "&amp;CurSym&amp;" "&amp;FIXED(INDEX($C$152:$J$152,MATCH(MAX($C$160:$J$160),$C$160:$J$160,0)),0))</f>
        <v/>
      </c>
      <c r="F126" s="94" t="n"/>
      <c r="G126" s="94" t="n"/>
      <c r="H126" s="94" t="n"/>
      <c r="I126" s="94" t="n"/>
      <c r="J126" s="63" t="n"/>
    </row>
    <row r="127">
      <c r="C127" s="95" t="inlineStr">
        <is>
          <t>Contractor 1</t>
        </is>
      </c>
      <c r="D127" s="63" t="n"/>
      <c r="E127" s="95" t="inlineStr">
        <is>
          <t>Contractor 2</t>
        </is>
      </c>
      <c r="F127" s="63" t="n"/>
      <c r="G127" s="95" t="inlineStr">
        <is>
          <t>Contractor 3</t>
        </is>
      </c>
      <c r="H127" s="63" t="n"/>
      <c r="I127" s="95" t="inlineStr">
        <is>
          <t>Contractor 4</t>
        </is>
      </c>
      <c r="J127" s="63" t="n"/>
    </row>
    <row r="128">
      <c r="B128" s="6" t="inlineStr">
        <is>
          <t>Contractor / company</t>
        </is>
      </c>
      <c r="C128" s="74" t="inlineStr">
        <is>
          <t>TopRoof</t>
        </is>
      </c>
      <c r="D128" s="96" t="n"/>
      <c r="E128" s="74" t="inlineStr">
        <is>
          <t>SkyHigh Roofing</t>
        </is>
      </c>
      <c r="F128" s="96" t="n"/>
      <c r="G128" s="74" t="n"/>
      <c r="H128" s="96" t="n"/>
      <c r="I128" s="74" t="n"/>
      <c r="J128" s="96" t="n"/>
    </row>
    <row r="129">
      <c r="B129" s="97">
        <f>"Quoted price ("&amp;CurSym&amp;")"</f>
        <v/>
      </c>
      <c r="C129" s="98" t="n">
        <v>4950</v>
      </c>
      <c r="D129" s="96" t="n"/>
      <c r="E129" s="98" t="n">
        <v>5400</v>
      </c>
      <c r="F129" s="96" t="n"/>
      <c r="G129" s="98" t="n"/>
      <c r="H129" s="96" t="n"/>
      <c r="I129" s="98" t="n"/>
      <c r="J129" s="96" t="n"/>
    </row>
    <row r="130">
      <c r="B130" s="97">
        <f>"Price includes "&amp;TaxWord&amp;"?"</f>
        <v/>
      </c>
      <c r="C130" s="74" t="inlineStr">
        <is>
          <t>Yes</t>
        </is>
      </c>
      <c r="D130" s="96" t="n"/>
      <c r="E130" s="74" t="inlineStr">
        <is>
          <t>Yes</t>
        </is>
      </c>
      <c r="F130" s="96" t="n"/>
      <c r="G130" s="74">
        <f>DefInclTax</f>
        <v/>
      </c>
      <c r="H130" s="96" t="n"/>
      <c r="I130" s="74">
        <f>DefInclTax</f>
        <v/>
      </c>
      <c r="J130" s="96" t="n"/>
    </row>
    <row r="131">
      <c r="B131" s="97">
        <f>"Price incl. "&amp;TaxWord&amp;" ("&amp;CurSym&amp;")"</f>
        <v/>
      </c>
      <c r="C131" s="99">
        <f>IF(C129="","",IF(C130="No",C129*(1+VatRate),C129))</f>
        <v/>
      </c>
      <c r="D131" s="63" t="n"/>
      <c r="E131" s="99">
        <f>IF(E129="","",IF(E130="No",E129*(1+VatRate),E129))</f>
        <v/>
      </c>
      <c r="F131" s="63" t="n"/>
      <c r="G131" s="99">
        <f>IF(G129="","",IF(G130="No",G129*(1+VatRate),G129))</f>
        <v/>
      </c>
      <c r="H131" s="63" t="n"/>
      <c r="I131" s="99">
        <f>IF(I129="","",IF(I130="No",I129*(1+VatRate),I129))</f>
        <v/>
      </c>
      <c r="J131" s="63" t="n"/>
    </row>
    <row r="132">
      <c r="B132" s="19" t="inlineStr">
        <is>
          <t>Timeline (weeks)</t>
        </is>
      </c>
      <c r="C132" s="100" t="n">
        <v>1</v>
      </c>
      <c r="D132" s="96" t="n"/>
      <c r="E132" s="100" t="n">
        <v>1</v>
      </c>
      <c r="F132" s="96" t="n"/>
      <c r="G132" s="100" t="n"/>
      <c r="H132" s="96" t="n"/>
      <c r="I132" s="100" t="n"/>
      <c r="J132" s="96" t="n"/>
    </row>
    <row r="133">
      <c r="B133" s="19" t="inlineStr">
        <is>
          <t>Warranty (years)</t>
        </is>
      </c>
      <c r="C133" s="100" t="n">
        <v>10</v>
      </c>
      <c r="D133" s="96" t="n"/>
      <c r="E133" s="100" t="n">
        <v>5</v>
      </c>
      <c r="F133" s="96" t="n"/>
      <c r="G133" s="100" t="n"/>
      <c r="H133" s="96" t="n"/>
      <c r="I133" s="100" t="n"/>
      <c r="J133" s="96" t="n"/>
    </row>
    <row r="134">
      <c r="B134" s="19" t="inlineStr">
        <is>
          <t>References checked?</t>
        </is>
      </c>
      <c r="C134" s="74" t="inlineStr">
        <is>
          <t>Yes</t>
        </is>
      </c>
      <c r="D134" s="96" t="n"/>
      <c r="E134" s="74" t="inlineStr">
        <is>
          <t>Yes</t>
        </is>
      </c>
      <c r="F134" s="96" t="n"/>
      <c r="G134" s="74" t="n"/>
      <c r="H134" s="96" t="n"/>
      <c r="I134" s="74" t="n"/>
      <c r="J134" s="96" t="n"/>
    </row>
    <row r="135">
      <c r="B135" s="19" t="inlineStr">
        <is>
          <t>Gut feeling (1–5)</t>
        </is>
      </c>
      <c r="C135" s="89" t="n">
        <v>4</v>
      </c>
      <c r="D135" s="96" t="n"/>
      <c r="E135" s="89" t="n">
        <v>3</v>
      </c>
      <c r="F135" s="96" t="n"/>
      <c r="G135" s="89" t="n"/>
      <c r="H135" s="96" t="n"/>
      <c r="I135" s="89" t="n"/>
      <c r="J135" s="96" t="n"/>
    </row>
    <row r="136">
      <c r="B136" s="19" t="inlineStr">
        <is>
          <t>Quote valid until</t>
        </is>
      </c>
      <c r="C136" s="101" t="n">
        <v>46265</v>
      </c>
      <c r="D136" s="96" t="n"/>
      <c r="E136" s="101" t="n">
        <v>46265</v>
      </c>
      <c r="F136" s="96" t="n"/>
      <c r="G136" s="101" t="n"/>
      <c r="H136" s="96" t="n"/>
      <c r="I136" s="101" t="n"/>
      <c r="J136" s="96" t="n"/>
    </row>
    <row r="137">
      <c r="B137" s="80" t="inlineStr">
        <is>
          <t>HIDDEN-COST CHECKLIST</t>
        </is>
      </c>
      <c r="C137" s="95" t="inlineStr">
        <is>
          <t>Included?</t>
        </is>
      </c>
      <c r="D137" s="82">
        <f>"Extra "&amp;CurSym</f>
        <v/>
      </c>
      <c r="E137" s="95" t="inlineStr">
        <is>
          <t>Included?</t>
        </is>
      </c>
      <c r="F137" s="82">
        <f>"Extra "&amp;CurSym</f>
        <v/>
      </c>
      <c r="G137" s="95" t="inlineStr">
        <is>
          <t>Included?</t>
        </is>
      </c>
      <c r="H137" s="82">
        <f>"Extra "&amp;CurSym</f>
        <v/>
      </c>
      <c r="I137" s="95" t="inlineStr">
        <is>
          <t>Included?</t>
        </is>
      </c>
      <c r="J137" s="82">
        <f>"Extra "&amp;CurSym</f>
        <v/>
      </c>
    </row>
    <row r="138">
      <c r="B138" s="19" t="inlineStr">
        <is>
          <t>Demolition</t>
        </is>
      </c>
      <c r="C138" s="74" t="inlineStr">
        <is>
          <t>Included</t>
        </is>
      </c>
      <c r="D138" s="73" t="n"/>
      <c r="E138" s="74" t="inlineStr">
        <is>
          <t>Included</t>
        </is>
      </c>
      <c r="F138" s="73" t="n"/>
      <c r="G138" s="74" t="n"/>
      <c r="H138" s="73" t="n"/>
      <c r="I138" s="74" t="n"/>
      <c r="J138" s="73" t="n"/>
    </row>
    <row r="139">
      <c r="B139" s="19" t="inlineStr">
        <is>
          <t>Waste disposal</t>
        </is>
      </c>
      <c r="C139" s="74" t="inlineStr">
        <is>
          <t>Included</t>
        </is>
      </c>
      <c r="D139" s="73" t="n"/>
      <c r="E139" s="74" t="inlineStr">
        <is>
          <t>Unclear</t>
        </is>
      </c>
      <c r="F139" s="73" t="n">
        <v>300</v>
      </c>
      <c r="G139" s="74" t="n"/>
      <c r="H139" s="73" t="n"/>
      <c r="I139" s="74" t="n"/>
      <c r="J139" s="73" t="n"/>
    </row>
    <row r="140">
      <c r="B140" s="19" t="inlineStr">
        <is>
          <t>Delivery</t>
        </is>
      </c>
      <c r="C140" s="74" t="inlineStr">
        <is>
          <t>Included</t>
        </is>
      </c>
      <c r="D140" s="73" t="n"/>
      <c r="E140" s="74" t="inlineStr">
        <is>
          <t>Included</t>
        </is>
      </c>
      <c r="F140" s="73" t="n"/>
      <c r="G140" s="74" t="n"/>
      <c r="H140" s="73" t="n"/>
      <c r="I140" s="74" t="n"/>
      <c r="J140" s="73" t="n"/>
    </row>
    <row r="141">
      <c r="B141" s="19" t="inlineStr">
        <is>
          <t>Permits</t>
        </is>
      </c>
      <c r="C141" s="74" t="inlineStr">
        <is>
          <t>Included</t>
        </is>
      </c>
      <c r="D141" s="73" t="n"/>
      <c r="E141" s="74" t="inlineStr">
        <is>
          <t>Included</t>
        </is>
      </c>
      <c r="F141" s="73" t="n"/>
      <c r="G141" s="74" t="n"/>
      <c r="H141" s="73" t="n"/>
      <c r="I141" s="74" t="n"/>
      <c r="J141" s="73" t="n"/>
    </row>
    <row r="142">
      <c r="B142" s="19" t="inlineStr">
        <is>
          <t>Materials specified</t>
        </is>
      </c>
      <c r="C142" s="74" t="inlineStr">
        <is>
          <t>Included</t>
        </is>
      </c>
      <c r="D142" s="73" t="n"/>
      <c r="E142" s="74" t="inlineStr">
        <is>
          <t>Included</t>
        </is>
      </c>
      <c r="F142" s="73" t="n"/>
      <c r="G142" s="74" t="n"/>
      <c r="H142" s="73" t="n"/>
      <c r="I142" s="74" t="n"/>
      <c r="J142" s="73" t="n"/>
    </row>
    <row r="143">
      <c r="B143" s="19" t="inlineStr">
        <is>
          <t>Labor specified</t>
        </is>
      </c>
      <c r="C143" s="74" t="inlineStr">
        <is>
          <t>Included</t>
        </is>
      </c>
      <c r="D143" s="73" t="n"/>
      <c r="E143" s="74" t="inlineStr">
        <is>
          <t>Included</t>
        </is>
      </c>
      <c r="F143" s="73" t="n"/>
      <c r="G143" s="74" t="n"/>
      <c r="H143" s="73" t="n"/>
      <c r="I143" s="74" t="n"/>
      <c r="J143" s="73" t="n"/>
    </row>
    <row r="144">
      <c r="B144" s="19" t="inlineStr">
        <is>
          <t>Finishing</t>
        </is>
      </c>
      <c r="C144" s="74" t="inlineStr">
        <is>
          <t>Included</t>
        </is>
      </c>
      <c r="D144" s="73" t="n"/>
      <c r="E144" s="74" t="inlineStr">
        <is>
          <t>Included</t>
        </is>
      </c>
      <c r="F144" s="73" t="n"/>
      <c r="G144" s="74" t="n"/>
      <c r="H144" s="73" t="n"/>
      <c r="I144" s="74" t="n"/>
      <c r="J144" s="73" t="n"/>
    </row>
    <row r="145">
      <c r="B145" s="19" t="inlineStr">
        <is>
          <t>Cleanup</t>
        </is>
      </c>
      <c r="C145" s="74" t="inlineStr">
        <is>
          <t>Included</t>
        </is>
      </c>
      <c r="D145" s="73" t="n"/>
      <c r="E145" s="74" t="inlineStr">
        <is>
          <t>Included</t>
        </is>
      </c>
      <c r="F145" s="73" t="n"/>
      <c r="G145" s="74" t="n"/>
      <c r="H145" s="73" t="n"/>
      <c r="I145" s="74" t="n"/>
      <c r="J145" s="73" t="n"/>
    </row>
    <row r="146">
      <c r="B146" s="97">
        <f>TaxWord&amp;" shown in price"</f>
        <v/>
      </c>
      <c r="C146" s="74" t="inlineStr">
        <is>
          <t>Included</t>
        </is>
      </c>
      <c r="D146" s="73" t="n"/>
      <c r="E146" s="74" t="inlineStr">
        <is>
          <t>Included</t>
        </is>
      </c>
      <c r="F146" s="73" t="n"/>
      <c r="G146" s="74" t="n"/>
      <c r="H146" s="73" t="n"/>
      <c r="I146" s="74" t="n"/>
      <c r="J146" s="73" t="n"/>
    </row>
    <row r="147">
      <c r="B147" s="19" t="inlineStr">
        <is>
          <t>Electrical upgrades</t>
        </is>
      </c>
      <c r="C147" s="74" t="inlineStr">
        <is>
          <t>Included</t>
        </is>
      </c>
      <c r="D147" s="73" t="n"/>
      <c r="E147" s="74" t="inlineStr">
        <is>
          <t>Included</t>
        </is>
      </c>
      <c r="F147" s="73" t="n"/>
      <c r="G147" s="74" t="n"/>
      <c r="H147" s="73" t="n"/>
      <c r="I147" s="74" t="n"/>
      <c r="J147" s="73" t="n"/>
    </row>
    <row r="148">
      <c r="B148" s="19" t="inlineStr">
        <is>
          <t>Plumbing modifications</t>
        </is>
      </c>
      <c r="C148" s="74" t="inlineStr">
        <is>
          <t>Included</t>
        </is>
      </c>
      <c r="D148" s="73" t="n"/>
      <c r="E148" s="74" t="inlineStr">
        <is>
          <t>Included</t>
        </is>
      </c>
      <c r="F148" s="73" t="n"/>
      <c r="G148" s="74" t="n"/>
      <c r="H148" s="73" t="n"/>
      <c r="I148" s="74" t="n"/>
      <c r="J148" s="73" t="n"/>
    </row>
    <row r="149">
      <c r="B149" s="19" t="inlineStr">
        <is>
          <t>Payment schedule defined</t>
        </is>
      </c>
      <c r="C149" s="74" t="inlineStr">
        <is>
          <t>Included</t>
        </is>
      </c>
      <c r="D149" s="73" t="n"/>
      <c r="E149" s="74" t="inlineStr">
        <is>
          <t>Included</t>
        </is>
      </c>
      <c r="F149" s="73" t="n"/>
      <c r="G149" s="74" t="n"/>
      <c r="H149" s="73" t="n"/>
      <c r="I149" s="74" t="n"/>
      <c r="J149" s="73" t="n"/>
    </row>
    <row r="150">
      <c r="B150" s="19" t="inlineStr">
        <is>
          <t>Warranty in writing</t>
        </is>
      </c>
      <c r="C150" s="74" t="inlineStr">
        <is>
          <t>Included</t>
        </is>
      </c>
      <c r="D150" s="73" t="n"/>
      <c r="E150" s="74" t="inlineStr">
        <is>
          <t>Included</t>
        </is>
      </c>
      <c r="F150" s="73" t="n"/>
      <c r="G150" s="74" t="n"/>
      <c r="H150" s="73" t="n"/>
      <c r="I150" s="74" t="n"/>
      <c r="J150" s="73" t="n"/>
    </row>
    <row r="151">
      <c r="B151" s="97">
        <f>"Hidden extras ("&amp;CurSym&amp;")"</f>
        <v/>
      </c>
      <c r="C151" s="99">
        <f>IF(C128="","",SUMPRODUCT((C138:C150&lt;&gt;"Included")*D138:D150))</f>
        <v/>
      </c>
      <c r="D151" s="63" t="n"/>
      <c r="E151" s="99">
        <f>IF(E128="","",SUMPRODUCT((E138:E150&lt;&gt;"Included")*F138:F150))</f>
        <v/>
      </c>
      <c r="F151" s="63" t="n"/>
      <c r="G151" s="99">
        <f>IF(G128="","",SUMPRODUCT((G138:G150&lt;&gt;"Included")*H138:H150))</f>
        <v/>
      </c>
      <c r="H151" s="63" t="n"/>
      <c r="I151" s="99">
        <f>IF(I128="","",SUMPRODUCT((I138:I150&lt;&gt;"Included")*J138:J150))</f>
        <v/>
      </c>
      <c r="J151" s="63" t="n"/>
    </row>
    <row r="152">
      <c r="B152" s="13">
        <f>"TRUE COST ("&amp;CurSym&amp;")"</f>
        <v/>
      </c>
      <c r="C152" s="102">
        <f>IF(OR(C128="",C131=""),"",C131+C151)</f>
        <v/>
      </c>
      <c r="D152" s="63" t="n"/>
      <c r="E152" s="102">
        <f>IF(OR(E128="",E131=""),"",E131+E151)</f>
        <v/>
      </c>
      <c r="F152" s="63" t="n"/>
      <c r="G152" s="102">
        <f>IF(OR(G128="",G131=""),"",G131+G151)</f>
        <v/>
      </c>
      <c r="H152" s="63" t="n"/>
      <c r="I152" s="102">
        <f>IF(OR(I128="",I131=""),"",I131+I151)</f>
        <v/>
      </c>
      <c r="J152" s="63" t="n"/>
    </row>
    <row r="153">
      <c r="B153" s="19" t="inlineStr">
        <is>
          <t>Completeness</t>
        </is>
      </c>
      <c r="C153" s="103">
        <f>IF(C128="","",COUNTIF(C138:C150,"Included")/13)</f>
        <v/>
      </c>
      <c r="D153" s="63" t="n"/>
      <c r="E153" s="103">
        <f>IF(E128="","",COUNTIF(E138:E150,"Included")/13)</f>
        <v/>
      </c>
      <c r="F153" s="63" t="n"/>
      <c r="G153" s="103">
        <f>IF(G128="","",COUNTIF(G138:G150,"Included")/13)</f>
        <v/>
      </c>
      <c r="H153" s="63" t="n"/>
      <c r="I153" s="103">
        <f>IF(I128="","",COUNTIF(I138:I150,"Included")/13)</f>
        <v/>
      </c>
      <c r="J153" s="63" t="n"/>
    </row>
    <row r="154">
      <c r="B154" s="80" t="inlineStr">
        <is>
          <t>SCORE</t>
        </is>
      </c>
    </row>
    <row r="155">
      <c r="B155" s="19" t="inlineStr">
        <is>
          <t>Price points</t>
        </is>
      </c>
      <c r="C155" s="104">
        <f>IF(C152="","",IF(C152&gt;0,MIN($C152:$J152)/C152,0)*WPrice)</f>
        <v/>
      </c>
      <c r="D155" s="63" t="n"/>
      <c r="E155" s="104">
        <f>IF(E152="","",IF(E152&gt;0,MIN($C152:$J152)/E152,0)*WPrice)</f>
        <v/>
      </c>
      <c r="F155" s="63" t="n"/>
      <c r="G155" s="104">
        <f>IF(G152="","",IF(G152&gt;0,MIN($C152:$J152)/G152,0)*WPrice)</f>
        <v/>
      </c>
      <c r="H155" s="63" t="n"/>
      <c r="I155" s="104">
        <f>IF(I152="","",IF(I152&gt;0,MIN($C152:$J152)/I152,0)*WPrice)</f>
        <v/>
      </c>
      <c r="J155" s="63" t="n"/>
    </row>
    <row r="156">
      <c r="B156" s="19" t="inlineStr">
        <is>
          <t>Timeline points</t>
        </is>
      </c>
      <c r="C156" s="104">
        <f>IF(C152="","",IF(C132&gt;0,MIN($C132:$J132)/C132,0)*WTime)</f>
        <v/>
      </c>
      <c r="D156" s="63" t="n"/>
      <c r="E156" s="104">
        <f>IF(E152="","",IF(E132&gt;0,MIN($C132:$J132)/E132,0)*WTime)</f>
        <v/>
      </c>
      <c r="F156" s="63" t="n"/>
      <c r="G156" s="104">
        <f>IF(G152="","",IF(G132&gt;0,MIN($C132:$J132)/G132,0)*WTime)</f>
        <v/>
      </c>
      <c r="H156" s="63" t="n"/>
      <c r="I156" s="104">
        <f>IF(I152="","",IF(I132&gt;0,MIN($C132:$J132)/I132,0)*WTime)</f>
        <v/>
      </c>
      <c r="J156" s="63" t="n"/>
    </row>
    <row r="157">
      <c r="B157" s="19" t="inlineStr">
        <is>
          <t>Warranty points</t>
        </is>
      </c>
      <c r="C157" s="104">
        <f>IF(C152="","",IF(MAX($C133:$J133)&gt;0,C133/MAX($C133:$J133),0)*WWar)</f>
        <v/>
      </c>
      <c r="D157" s="63" t="n"/>
      <c r="E157" s="104">
        <f>IF(E152="","",IF(MAX($C133:$J133)&gt;0,E133/MAX($C133:$J133),0)*WWar)</f>
        <v/>
      </c>
      <c r="F157" s="63" t="n"/>
      <c r="G157" s="104">
        <f>IF(G152="","",IF(MAX($C133:$J133)&gt;0,G133/MAX($C133:$J133),0)*WWar)</f>
        <v/>
      </c>
      <c r="H157" s="63" t="n"/>
      <c r="I157" s="104">
        <f>IF(I152="","",IF(MAX($C133:$J133)&gt;0,I133/MAX($C133:$J133),0)*WWar)</f>
        <v/>
      </c>
      <c r="J157" s="63" t="n"/>
    </row>
    <row r="158">
      <c r="B158" s="19" t="inlineStr">
        <is>
          <t>Completeness points</t>
        </is>
      </c>
      <c r="C158" s="104">
        <f>IF(C152="","",C153*WComp)</f>
        <v/>
      </c>
      <c r="D158" s="63" t="n"/>
      <c r="E158" s="104">
        <f>IF(E152="","",E153*WComp)</f>
        <v/>
      </c>
      <c r="F158" s="63" t="n"/>
      <c r="G158" s="104">
        <f>IF(G152="","",G153*WComp)</f>
        <v/>
      </c>
      <c r="H158" s="63" t="n"/>
      <c r="I158" s="104">
        <f>IF(I152="","",I153*WComp)</f>
        <v/>
      </c>
      <c r="J158" s="63" t="n"/>
    </row>
    <row r="159">
      <c r="B159" s="19" t="inlineStr">
        <is>
          <t>Gut &amp; references points</t>
        </is>
      </c>
      <c r="C159" s="104">
        <f>IF(C152="","",(IF(C135="",0,C135/5)*0.7+IF(C134="Yes",0.3,0))*WGut)</f>
        <v/>
      </c>
      <c r="D159" s="63" t="n"/>
      <c r="E159" s="104">
        <f>IF(E152="","",(IF(E135="",0,E135/5)*0.7+IF(E134="Yes",0.3,0))*WGut)</f>
        <v/>
      </c>
      <c r="F159" s="63" t="n"/>
      <c r="G159" s="104">
        <f>IF(G152="","",(IF(G135="",0,G135/5)*0.7+IF(G134="Yes",0.3,0))*WGut)</f>
        <v/>
      </c>
      <c r="H159" s="63" t="n"/>
      <c r="I159" s="104">
        <f>IF(I152="","",(IF(I135="",0,I135/5)*0.7+IF(I134="Yes",0.3,0))*WGut)</f>
        <v/>
      </c>
      <c r="J159" s="63" t="n"/>
    </row>
    <row r="160">
      <c r="B160" s="6" t="inlineStr">
        <is>
          <t>TOTAL SCORE</t>
        </is>
      </c>
      <c r="C160" s="105">
        <f>IF(C152="","",ROUND(SUM(C155:C159),1))</f>
        <v/>
      </c>
      <c r="D160" s="63" t="n"/>
      <c r="E160" s="105">
        <f>IF(E152="","",ROUND(SUM(E155:E159),1))</f>
        <v/>
      </c>
      <c r="F160" s="63" t="n"/>
      <c r="G160" s="105">
        <f>IF(G152="","",ROUND(SUM(G155:G159),1))</f>
        <v/>
      </c>
      <c r="H160" s="63" t="n"/>
      <c r="I160" s="105">
        <f>IF(I152="","",ROUND(SUM(I155:I159),1))</f>
        <v/>
      </c>
      <c r="J160" s="63" t="n"/>
    </row>
    <row r="161">
      <c r="B161" s="6" t="inlineStr">
        <is>
          <t>Ranking</t>
        </is>
      </c>
      <c r="C161" s="106">
        <f>IF(C160="","",IF(C160=MAX($C160:$J160),"🏆 WINNER","#"&amp;(1+COUNTIF($C160:$J160,"&gt;"&amp;C160))))</f>
        <v/>
      </c>
      <c r="D161" s="63" t="n"/>
      <c r="E161" s="106">
        <f>IF(E160="","",IF(E160=MAX($C160:$J160),"🏆 WINNER","#"&amp;(1+COUNTIF($C160:$J160,"&gt;"&amp;E160))))</f>
        <v/>
      </c>
      <c r="F161" s="63" t="n"/>
      <c r="G161" s="106">
        <f>IF(G160="","",IF(G160=MAX($C160:$J160),"🏆 WINNER","#"&amp;(1+COUNTIF($C160:$J160,"&gt;"&amp;G160))))</f>
        <v/>
      </c>
      <c r="H161" s="63" t="n"/>
      <c r="I161" s="106">
        <f>IF(I160="","",IF(I160=MAX($C160:$J160),"🏆 WINNER","#"&amp;(1+COUNTIF($C160:$J160,"&gt;"&amp;I160))))</f>
        <v/>
      </c>
      <c r="J161" s="63" t="n"/>
    </row>
    <row r="162" ht="26" customHeight="1">
      <c r="B162" s="107">
        <f>IF(COUNT($C152:$J152)&lt;2,"",IF(INDEX($C128:$J128,MATCH(MIN($C131:$J131),$C131:$J131,0))&lt;&gt;INDEX($C128:$J128,MATCH(MIN($C152:$J152),$C152:$J152,0)),"⚠️ Hidden costs change the ranking! Cheapest quoted price: "&amp;INDEX($C128:$J128,MATCH(MIN($C131:$J131),$C131:$J131,0))&amp;"  →  cheapest TRUE cost: "&amp;INDEX($C128:$J128,MATCH(MIN($C152:$J152),$C152:$J152,0)),"✓ The cheapest quote is also the cheapest true cost."))</f>
        <v/>
      </c>
      <c r="P162" s="46">
        <f>IF(B162="",0,IF(LEFT(B162,1)="✓",0,1))</f>
        <v/>
      </c>
    </row>
    <row r="163"/>
    <row r="164"/>
    <row r="165" ht="28" customHeight="1">
      <c r="B165" s="91" t="inlineStr">
        <is>
          <t>COMPARISON 5  ▸  trade:</t>
        </is>
      </c>
      <c r="C165" s="92" t="n"/>
      <c r="D165" s="91" t="n"/>
      <c r="E165" s="93">
        <f>IF(COUNT($C$199:$J$199)=0,"Enter up to 4 quotes below","🏆 Best overall: "&amp;INDEX($C$167:$J$167,MATCH(MAX($C$199:$J$199),$C$199:$J$199,0))&amp;"  —  true cost "&amp;CurSym&amp;" "&amp;FIXED(INDEX($C$191:$J$191,MATCH(MAX($C$199:$J$199),$C$199:$J$199,0)),0))</f>
        <v/>
      </c>
      <c r="F165" s="94" t="n"/>
      <c r="G165" s="94" t="n"/>
      <c r="H165" s="94" t="n"/>
      <c r="I165" s="94" t="n"/>
      <c r="J165" s="63" t="n"/>
    </row>
    <row r="166">
      <c r="C166" s="95" t="inlineStr">
        <is>
          <t>Contractor 1</t>
        </is>
      </c>
      <c r="D166" s="63" t="n"/>
      <c r="E166" s="95" t="inlineStr">
        <is>
          <t>Contractor 2</t>
        </is>
      </c>
      <c r="F166" s="63" t="n"/>
      <c r="G166" s="95" t="inlineStr">
        <is>
          <t>Contractor 3</t>
        </is>
      </c>
      <c r="H166" s="63" t="n"/>
      <c r="I166" s="95" t="inlineStr">
        <is>
          <t>Contractor 4</t>
        </is>
      </c>
      <c r="J166" s="63" t="n"/>
    </row>
    <row r="167">
      <c r="B167" s="6" t="inlineStr">
        <is>
          <t>Contractor / company</t>
        </is>
      </c>
      <c r="C167" s="74" t="n"/>
      <c r="D167" s="96" t="n"/>
      <c r="E167" s="74" t="n"/>
      <c r="F167" s="96" t="n"/>
      <c r="G167" s="74" t="n"/>
      <c r="H167" s="96" t="n"/>
      <c r="I167" s="74" t="n"/>
      <c r="J167" s="96" t="n"/>
    </row>
    <row r="168">
      <c r="B168" s="97">
        <f>"Quoted price ("&amp;CurSym&amp;")"</f>
        <v/>
      </c>
      <c r="C168" s="98" t="n"/>
      <c r="D168" s="96" t="n"/>
      <c r="E168" s="98" t="n"/>
      <c r="F168" s="96" t="n"/>
      <c r="G168" s="98" t="n"/>
      <c r="H168" s="96" t="n"/>
      <c r="I168" s="98" t="n"/>
      <c r="J168" s="96" t="n"/>
    </row>
    <row r="169">
      <c r="B169" s="97">
        <f>"Price includes "&amp;TaxWord&amp;"?"</f>
        <v/>
      </c>
      <c r="C169" s="74">
        <f>DefInclTax</f>
        <v/>
      </c>
      <c r="D169" s="96" t="n"/>
      <c r="E169" s="74">
        <f>DefInclTax</f>
        <v/>
      </c>
      <c r="F169" s="96" t="n"/>
      <c r="G169" s="74">
        <f>DefInclTax</f>
        <v/>
      </c>
      <c r="H169" s="96" t="n"/>
      <c r="I169" s="74">
        <f>DefInclTax</f>
        <v/>
      </c>
      <c r="J169" s="96" t="n"/>
    </row>
    <row r="170">
      <c r="B170" s="97">
        <f>"Price incl. "&amp;TaxWord&amp;" ("&amp;CurSym&amp;")"</f>
        <v/>
      </c>
      <c r="C170" s="99">
        <f>IF(C168="","",IF(C169="No",C168*(1+VatRate),C168))</f>
        <v/>
      </c>
      <c r="D170" s="63" t="n"/>
      <c r="E170" s="99">
        <f>IF(E168="","",IF(E169="No",E168*(1+VatRate),E168))</f>
        <v/>
      </c>
      <c r="F170" s="63" t="n"/>
      <c r="G170" s="99">
        <f>IF(G168="","",IF(G169="No",G168*(1+VatRate),G168))</f>
        <v/>
      </c>
      <c r="H170" s="63" t="n"/>
      <c r="I170" s="99">
        <f>IF(I168="","",IF(I169="No",I168*(1+VatRate),I168))</f>
        <v/>
      </c>
      <c r="J170" s="63" t="n"/>
    </row>
    <row r="171">
      <c r="B171" s="19" t="inlineStr">
        <is>
          <t>Timeline (weeks)</t>
        </is>
      </c>
      <c r="C171" s="100" t="n"/>
      <c r="D171" s="96" t="n"/>
      <c r="E171" s="100" t="n"/>
      <c r="F171" s="96" t="n"/>
      <c r="G171" s="100" t="n"/>
      <c r="H171" s="96" t="n"/>
      <c r="I171" s="100" t="n"/>
      <c r="J171" s="96" t="n"/>
    </row>
    <row r="172">
      <c r="B172" s="19" t="inlineStr">
        <is>
          <t>Warranty (years)</t>
        </is>
      </c>
      <c r="C172" s="100" t="n"/>
      <c r="D172" s="96" t="n"/>
      <c r="E172" s="100" t="n"/>
      <c r="F172" s="96" t="n"/>
      <c r="G172" s="100" t="n"/>
      <c r="H172" s="96" t="n"/>
      <c r="I172" s="100" t="n"/>
      <c r="J172" s="96" t="n"/>
    </row>
    <row r="173">
      <c r="B173" s="19" t="inlineStr">
        <is>
          <t>References checked?</t>
        </is>
      </c>
      <c r="C173" s="74" t="n"/>
      <c r="D173" s="96" t="n"/>
      <c r="E173" s="74" t="n"/>
      <c r="F173" s="96" t="n"/>
      <c r="G173" s="74" t="n"/>
      <c r="H173" s="96" t="n"/>
      <c r="I173" s="74" t="n"/>
      <c r="J173" s="96" t="n"/>
    </row>
    <row r="174">
      <c r="B174" s="19" t="inlineStr">
        <is>
          <t>Gut feeling (1–5)</t>
        </is>
      </c>
      <c r="C174" s="89" t="n"/>
      <c r="D174" s="96" t="n"/>
      <c r="E174" s="89" t="n"/>
      <c r="F174" s="96" t="n"/>
      <c r="G174" s="89" t="n"/>
      <c r="H174" s="96" t="n"/>
      <c r="I174" s="89" t="n"/>
      <c r="J174" s="96" t="n"/>
    </row>
    <row r="175">
      <c r="B175" s="19" t="inlineStr">
        <is>
          <t>Quote valid until</t>
        </is>
      </c>
      <c r="C175" s="101" t="n"/>
      <c r="D175" s="96" t="n"/>
      <c r="E175" s="101" t="n"/>
      <c r="F175" s="96" t="n"/>
      <c r="G175" s="101" t="n"/>
      <c r="H175" s="96" t="n"/>
      <c r="I175" s="101" t="n"/>
      <c r="J175" s="96" t="n"/>
    </row>
    <row r="176">
      <c r="B176" s="80" t="inlineStr">
        <is>
          <t>HIDDEN-COST CHECKLIST</t>
        </is>
      </c>
      <c r="C176" s="95" t="inlineStr">
        <is>
          <t>Included?</t>
        </is>
      </c>
      <c r="D176" s="82">
        <f>"Extra "&amp;CurSym</f>
        <v/>
      </c>
      <c r="E176" s="95" t="inlineStr">
        <is>
          <t>Included?</t>
        </is>
      </c>
      <c r="F176" s="82">
        <f>"Extra "&amp;CurSym</f>
        <v/>
      </c>
      <c r="G176" s="95" t="inlineStr">
        <is>
          <t>Included?</t>
        </is>
      </c>
      <c r="H176" s="82">
        <f>"Extra "&amp;CurSym</f>
        <v/>
      </c>
      <c r="I176" s="95" t="inlineStr">
        <is>
          <t>Included?</t>
        </is>
      </c>
      <c r="J176" s="82">
        <f>"Extra "&amp;CurSym</f>
        <v/>
      </c>
    </row>
    <row r="177">
      <c r="B177" s="19" t="inlineStr">
        <is>
          <t>Demolition</t>
        </is>
      </c>
      <c r="C177" s="74" t="n"/>
      <c r="D177" s="73" t="n"/>
      <c r="E177" s="74" t="n"/>
      <c r="F177" s="73" t="n"/>
      <c r="G177" s="74" t="n"/>
      <c r="H177" s="73" t="n"/>
      <c r="I177" s="74" t="n"/>
      <c r="J177" s="73" t="n"/>
    </row>
    <row r="178">
      <c r="B178" s="19" t="inlineStr">
        <is>
          <t>Waste disposal</t>
        </is>
      </c>
      <c r="C178" s="74" t="n"/>
      <c r="D178" s="73" t="n"/>
      <c r="E178" s="74" t="n"/>
      <c r="F178" s="73" t="n"/>
      <c r="G178" s="74" t="n"/>
      <c r="H178" s="73" t="n"/>
      <c r="I178" s="74" t="n"/>
      <c r="J178" s="73" t="n"/>
    </row>
    <row r="179">
      <c r="B179" s="19" t="inlineStr">
        <is>
          <t>Delivery</t>
        </is>
      </c>
      <c r="C179" s="74" t="n"/>
      <c r="D179" s="73" t="n"/>
      <c r="E179" s="74" t="n"/>
      <c r="F179" s="73" t="n"/>
      <c r="G179" s="74" t="n"/>
      <c r="H179" s="73" t="n"/>
      <c r="I179" s="74" t="n"/>
      <c r="J179" s="73" t="n"/>
    </row>
    <row r="180">
      <c r="B180" s="19" t="inlineStr">
        <is>
          <t>Permits</t>
        </is>
      </c>
      <c r="C180" s="74" t="n"/>
      <c r="D180" s="73" t="n"/>
      <c r="E180" s="74" t="n"/>
      <c r="F180" s="73" t="n"/>
      <c r="G180" s="74" t="n"/>
      <c r="H180" s="73" t="n"/>
      <c r="I180" s="74" t="n"/>
      <c r="J180" s="73" t="n"/>
    </row>
    <row r="181">
      <c r="B181" s="19" t="inlineStr">
        <is>
          <t>Materials specified</t>
        </is>
      </c>
      <c r="C181" s="74" t="n"/>
      <c r="D181" s="73" t="n"/>
      <c r="E181" s="74" t="n"/>
      <c r="F181" s="73" t="n"/>
      <c r="G181" s="74" t="n"/>
      <c r="H181" s="73" t="n"/>
      <c r="I181" s="74" t="n"/>
      <c r="J181" s="73" t="n"/>
    </row>
    <row r="182">
      <c r="B182" s="19" t="inlineStr">
        <is>
          <t>Labor specified</t>
        </is>
      </c>
      <c r="C182" s="74" t="n"/>
      <c r="D182" s="73" t="n"/>
      <c r="E182" s="74" t="n"/>
      <c r="F182" s="73" t="n"/>
      <c r="G182" s="74" t="n"/>
      <c r="H182" s="73" t="n"/>
      <c r="I182" s="74" t="n"/>
      <c r="J182" s="73" t="n"/>
    </row>
    <row r="183">
      <c r="B183" s="19" t="inlineStr">
        <is>
          <t>Finishing</t>
        </is>
      </c>
      <c r="C183" s="74" t="n"/>
      <c r="D183" s="73" t="n"/>
      <c r="E183" s="74" t="n"/>
      <c r="F183" s="73" t="n"/>
      <c r="G183" s="74" t="n"/>
      <c r="H183" s="73" t="n"/>
      <c r="I183" s="74" t="n"/>
      <c r="J183" s="73" t="n"/>
    </row>
    <row r="184">
      <c r="B184" s="19" t="inlineStr">
        <is>
          <t>Cleanup</t>
        </is>
      </c>
      <c r="C184" s="74" t="n"/>
      <c r="D184" s="73" t="n"/>
      <c r="E184" s="74" t="n"/>
      <c r="F184" s="73" t="n"/>
      <c r="G184" s="74" t="n"/>
      <c r="H184" s="73" t="n"/>
      <c r="I184" s="74" t="n"/>
      <c r="J184" s="73" t="n"/>
    </row>
    <row r="185">
      <c r="B185" s="97">
        <f>TaxWord&amp;" shown in price"</f>
        <v/>
      </c>
      <c r="C185" s="74" t="n"/>
      <c r="D185" s="73" t="n"/>
      <c r="E185" s="74" t="n"/>
      <c r="F185" s="73" t="n"/>
      <c r="G185" s="74" t="n"/>
      <c r="H185" s="73" t="n"/>
      <c r="I185" s="74" t="n"/>
      <c r="J185" s="73" t="n"/>
    </row>
    <row r="186">
      <c r="B186" s="19" t="inlineStr">
        <is>
          <t>Electrical upgrades</t>
        </is>
      </c>
      <c r="C186" s="74" t="n"/>
      <c r="D186" s="73" t="n"/>
      <c r="E186" s="74" t="n"/>
      <c r="F186" s="73" t="n"/>
      <c r="G186" s="74" t="n"/>
      <c r="H186" s="73" t="n"/>
      <c r="I186" s="74" t="n"/>
      <c r="J186" s="73" t="n"/>
    </row>
    <row r="187">
      <c r="B187" s="19" t="inlineStr">
        <is>
          <t>Plumbing modifications</t>
        </is>
      </c>
      <c r="C187" s="74" t="n"/>
      <c r="D187" s="73" t="n"/>
      <c r="E187" s="74" t="n"/>
      <c r="F187" s="73" t="n"/>
      <c r="G187" s="74" t="n"/>
      <c r="H187" s="73" t="n"/>
      <c r="I187" s="74" t="n"/>
      <c r="J187" s="73" t="n"/>
    </row>
    <row r="188">
      <c r="B188" s="19" t="inlineStr">
        <is>
          <t>Payment schedule defined</t>
        </is>
      </c>
      <c r="C188" s="74" t="n"/>
      <c r="D188" s="73" t="n"/>
      <c r="E188" s="74" t="n"/>
      <c r="F188" s="73" t="n"/>
      <c r="G188" s="74" t="n"/>
      <c r="H188" s="73" t="n"/>
      <c r="I188" s="74" t="n"/>
      <c r="J188" s="73" t="n"/>
    </row>
    <row r="189">
      <c r="B189" s="19" t="inlineStr">
        <is>
          <t>Warranty in writing</t>
        </is>
      </c>
      <c r="C189" s="74" t="n"/>
      <c r="D189" s="73" t="n"/>
      <c r="E189" s="74" t="n"/>
      <c r="F189" s="73" t="n"/>
      <c r="G189" s="74" t="n"/>
      <c r="H189" s="73" t="n"/>
      <c r="I189" s="74" t="n"/>
      <c r="J189" s="73" t="n"/>
    </row>
    <row r="190">
      <c r="B190" s="97">
        <f>"Hidden extras ("&amp;CurSym&amp;")"</f>
        <v/>
      </c>
      <c r="C190" s="99">
        <f>IF(C167="","",SUMPRODUCT((C177:C189&lt;&gt;"Included")*D177:D189))</f>
        <v/>
      </c>
      <c r="D190" s="63" t="n"/>
      <c r="E190" s="99">
        <f>IF(E167="","",SUMPRODUCT((E177:E189&lt;&gt;"Included")*F177:F189))</f>
        <v/>
      </c>
      <c r="F190" s="63" t="n"/>
      <c r="G190" s="99">
        <f>IF(G167="","",SUMPRODUCT((G177:G189&lt;&gt;"Included")*H177:H189))</f>
        <v/>
      </c>
      <c r="H190" s="63" t="n"/>
      <c r="I190" s="99">
        <f>IF(I167="","",SUMPRODUCT((I177:I189&lt;&gt;"Included")*J177:J189))</f>
        <v/>
      </c>
      <c r="J190" s="63" t="n"/>
    </row>
    <row r="191">
      <c r="B191" s="13">
        <f>"TRUE COST ("&amp;CurSym&amp;")"</f>
        <v/>
      </c>
      <c r="C191" s="102">
        <f>IF(OR(C167="",C170=""),"",C170+C190)</f>
        <v/>
      </c>
      <c r="D191" s="63" t="n"/>
      <c r="E191" s="102">
        <f>IF(OR(E167="",E170=""),"",E170+E190)</f>
        <v/>
      </c>
      <c r="F191" s="63" t="n"/>
      <c r="G191" s="102">
        <f>IF(OR(G167="",G170=""),"",G170+G190)</f>
        <v/>
      </c>
      <c r="H191" s="63" t="n"/>
      <c r="I191" s="102">
        <f>IF(OR(I167="",I170=""),"",I170+I190)</f>
        <v/>
      </c>
      <c r="J191" s="63" t="n"/>
    </row>
    <row r="192">
      <c r="B192" s="19" t="inlineStr">
        <is>
          <t>Completeness</t>
        </is>
      </c>
      <c r="C192" s="103">
        <f>IF(C167="","",COUNTIF(C177:C189,"Included")/13)</f>
        <v/>
      </c>
      <c r="D192" s="63" t="n"/>
      <c r="E192" s="103">
        <f>IF(E167="","",COUNTIF(E177:E189,"Included")/13)</f>
        <v/>
      </c>
      <c r="F192" s="63" t="n"/>
      <c r="G192" s="103">
        <f>IF(G167="","",COUNTIF(G177:G189,"Included")/13)</f>
        <v/>
      </c>
      <c r="H192" s="63" t="n"/>
      <c r="I192" s="103">
        <f>IF(I167="","",COUNTIF(I177:I189,"Included")/13)</f>
        <v/>
      </c>
      <c r="J192" s="63" t="n"/>
    </row>
    <row r="193">
      <c r="B193" s="80" t="inlineStr">
        <is>
          <t>SCORE</t>
        </is>
      </c>
    </row>
    <row r="194">
      <c r="B194" s="19" t="inlineStr">
        <is>
          <t>Price points</t>
        </is>
      </c>
      <c r="C194" s="104">
        <f>IF(C191="","",IF(C191&gt;0,MIN($C191:$J191)/C191,0)*WPrice)</f>
        <v/>
      </c>
      <c r="D194" s="63" t="n"/>
      <c r="E194" s="104">
        <f>IF(E191="","",IF(E191&gt;0,MIN($C191:$J191)/E191,0)*WPrice)</f>
        <v/>
      </c>
      <c r="F194" s="63" t="n"/>
      <c r="G194" s="104">
        <f>IF(G191="","",IF(G191&gt;0,MIN($C191:$J191)/G191,0)*WPrice)</f>
        <v/>
      </c>
      <c r="H194" s="63" t="n"/>
      <c r="I194" s="104">
        <f>IF(I191="","",IF(I191&gt;0,MIN($C191:$J191)/I191,0)*WPrice)</f>
        <v/>
      </c>
      <c r="J194" s="63" t="n"/>
    </row>
    <row r="195">
      <c r="B195" s="19" t="inlineStr">
        <is>
          <t>Timeline points</t>
        </is>
      </c>
      <c r="C195" s="104">
        <f>IF(C191="","",IF(C171&gt;0,MIN($C171:$J171)/C171,0)*WTime)</f>
        <v/>
      </c>
      <c r="D195" s="63" t="n"/>
      <c r="E195" s="104">
        <f>IF(E191="","",IF(E171&gt;0,MIN($C171:$J171)/E171,0)*WTime)</f>
        <v/>
      </c>
      <c r="F195" s="63" t="n"/>
      <c r="G195" s="104">
        <f>IF(G191="","",IF(G171&gt;0,MIN($C171:$J171)/G171,0)*WTime)</f>
        <v/>
      </c>
      <c r="H195" s="63" t="n"/>
      <c r="I195" s="104">
        <f>IF(I191="","",IF(I171&gt;0,MIN($C171:$J171)/I171,0)*WTime)</f>
        <v/>
      </c>
      <c r="J195" s="63" t="n"/>
    </row>
    <row r="196">
      <c r="B196" s="19" t="inlineStr">
        <is>
          <t>Warranty points</t>
        </is>
      </c>
      <c r="C196" s="104">
        <f>IF(C191="","",IF(MAX($C172:$J172)&gt;0,C172/MAX($C172:$J172),0)*WWar)</f>
        <v/>
      </c>
      <c r="D196" s="63" t="n"/>
      <c r="E196" s="104">
        <f>IF(E191="","",IF(MAX($C172:$J172)&gt;0,E172/MAX($C172:$J172),0)*WWar)</f>
        <v/>
      </c>
      <c r="F196" s="63" t="n"/>
      <c r="G196" s="104">
        <f>IF(G191="","",IF(MAX($C172:$J172)&gt;0,G172/MAX($C172:$J172),0)*WWar)</f>
        <v/>
      </c>
      <c r="H196" s="63" t="n"/>
      <c r="I196" s="104">
        <f>IF(I191="","",IF(MAX($C172:$J172)&gt;0,I172/MAX($C172:$J172),0)*WWar)</f>
        <v/>
      </c>
      <c r="J196" s="63" t="n"/>
    </row>
    <row r="197">
      <c r="B197" s="19" t="inlineStr">
        <is>
          <t>Completeness points</t>
        </is>
      </c>
      <c r="C197" s="104">
        <f>IF(C191="","",C192*WComp)</f>
        <v/>
      </c>
      <c r="D197" s="63" t="n"/>
      <c r="E197" s="104">
        <f>IF(E191="","",E192*WComp)</f>
        <v/>
      </c>
      <c r="F197" s="63" t="n"/>
      <c r="G197" s="104">
        <f>IF(G191="","",G192*WComp)</f>
        <v/>
      </c>
      <c r="H197" s="63" t="n"/>
      <c r="I197" s="104">
        <f>IF(I191="","",I192*WComp)</f>
        <v/>
      </c>
      <c r="J197" s="63" t="n"/>
    </row>
    <row r="198">
      <c r="B198" s="19" t="inlineStr">
        <is>
          <t>Gut &amp; references points</t>
        </is>
      </c>
      <c r="C198" s="104">
        <f>IF(C191="","",(IF(C174="",0,C174/5)*0.7+IF(C173="Yes",0.3,0))*WGut)</f>
        <v/>
      </c>
      <c r="D198" s="63" t="n"/>
      <c r="E198" s="104">
        <f>IF(E191="","",(IF(E174="",0,E174/5)*0.7+IF(E173="Yes",0.3,0))*WGut)</f>
        <v/>
      </c>
      <c r="F198" s="63" t="n"/>
      <c r="G198" s="104">
        <f>IF(G191="","",(IF(G174="",0,G174/5)*0.7+IF(G173="Yes",0.3,0))*WGut)</f>
        <v/>
      </c>
      <c r="H198" s="63" t="n"/>
      <c r="I198" s="104">
        <f>IF(I191="","",(IF(I174="",0,I174/5)*0.7+IF(I173="Yes",0.3,0))*WGut)</f>
        <v/>
      </c>
      <c r="J198" s="63" t="n"/>
    </row>
    <row r="199">
      <c r="B199" s="6" t="inlineStr">
        <is>
          <t>TOTAL SCORE</t>
        </is>
      </c>
      <c r="C199" s="105">
        <f>IF(C191="","",ROUND(SUM(C194:C198),1))</f>
        <v/>
      </c>
      <c r="D199" s="63" t="n"/>
      <c r="E199" s="105">
        <f>IF(E191="","",ROUND(SUM(E194:E198),1))</f>
        <v/>
      </c>
      <c r="F199" s="63" t="n"/>
      <c r="G199" s="105">
        <f>IF(G191="","",ROUND(SUM(G194:G198),1))</f>
        <v/>
      </c>
      <c r="H199" s="63" t="n"/>
      <c r="I199" s="105">
        <f>IF(I191="","",ROUND(SUM(I194:I198),1))</f>
        <v/>
      </c>
      <c r="J199" s="63" t="n"/>
    </row>
    <row r="200">
      <c r="B200" s="6" t="inlineStr">
        <is>
          <t>Ranking</t>
        </is>
      </c>
      <c r="C200" s="106">
        <f>IF(C199="","",IF(C199=MAX($C199:$J199),"🏆 WINNER","#"&amp;(1+COUNTIF($C199:$J199,"&gt;"&amp;C199))))</f>
        <v/>
      </c>
      <c r="D200" s="63" t="n"/>
      <c r="E200" s="106">
        <f>IF(E199="","",IF(E199=MAX($C199:$J199),"🏆 WINNER","#"&amp;(1+COUNTIF($C199:$J199,"&gt;"&amp;E199))))</f>
        <v/>
      </c>
      <c r="F200" s="63" t="n"/>
      <c r="G200" s="106">
        <f>IF(G199="","",IF(G199=MAX($C199:$J199),"🏆 WINNER","#"&amp;(1+COUNTIF($C199:$J199,"&gt;"&amp;G199))))</f>
        <v/>
      </c>
      <c r="H200" s="63" t="n"/>
      <c r="I200" s="106">
        <f>IF(I199="","",IF(I199=MAX($C199:$J199),"🏆 WINNER","#"&amp;(1+COUNTIF($C199:$J199,"&gt;"&amp;I199))))</f>
        <v/>
      </c>
      <c r="J200" s="63" t="n"/>
    </row>
    <row r="201" ht="26" customHeight="1">
      <c r="B201" s="107">
        <f>IF(COUNT($C191:$J191)&lt;2,"",IF(INDEX($C167:$J167,MATCH(MIN($C170:$J170),$C170:$J170,0))&lt;&gt;INDEX($C167:$J167,MATCH(MIN($C191:$J191),$C191:$J191,0)),"⚠️ Hidden costs change the ranking! Cheapest quoted price: "&amp;INDEX($C167:$J167,MATCH(MIN($C170:$J170),$C170:$J170,0))&amp;"  →  cheapest TRUE cost: "&amp;INDEX($C167:$J167,MATCH(MIN($C191:$J191),$C191:$J191,0)),"✓ The cheapest quote is also the cheapest true cost."))</f>
        <v/>
      </c>
      <c r="P201" s="46">
        <f>IF(B201="",0,IF(LEFT(B201,1)="✓",0,1))</f>
        <v/>
      </c>
    </row>
    <row r="202"/>
    <row r="203"/>
    <row r="204" ht="28" customHeight="1">
      <c r="B204" s="91" t="inlineStr">
        <is>
          <t>COMPARISON 6  ▸  trade:</t>
        </is>
      </c>
      <c r="C204" s="92" t="n"/>
      <c r="D204" s="91" t="n"/>
      <c r="E204" s="93">
        <f>IF(COUNT($C$238:$J$238)=0,"Enter up to 4 quotes below","🏆 Best overall: "&amp;INDEX($C$206:$J$206,MATCH(MAX($C$238:$J$238),$C$238:$J$238,0))&amp;"  —  true cost "&amp;CurSym&amp;" "&amp;FIXED(INDEX($C$230:$J$230,MATCH(MAX($C$238:$J$238),$C$238:$J$238,0)),0))</f>
        <v/>
      </c>
      <c r="F204" s="94" t="n"/>
      <c r="G204" s="94" t="n"/>
      <c r="H204" s="94" t="n"/>
      <c r="I204" s="94" t="n"/>
      <c r="J204" s="63" t="n"/>
    </row>
    <row r="205">
      <c r="C205" s="95" t="inlineStr">
        <is>
          <t>Contractor 1</t>
        </is>
      </c>
      <c r="D205" s="63" t="n"/>
      <c r="E205" s="95" t="inlineStr">
        <is>
          <t>Contractor 2</t>
        </is>
      </c>
      <c r="F205" s="63" t="n"/>
      <c r="G205" s="95" t="inlineStr">
        <is>
          <t>Contractor 3</t>
        </is>
      </c>
      <c r="H205" s="63" t="n"/>
      <c r="I205" s="95" t="inlineStr">
        <is>
          <t>Contractor 4</t>
        </is>
      </c>
      <c r="J205" s="63" t="n"/>
    </row>
    <row r="206">
      <c r="B206" s="6" t="inlineStr">
        <is>
          <t>Contractor / company</t>
        </is>
      </c>
      <c r="C206" s="74" t="n"/>
      <c r="D206" s="96" t="n"/>
      <c r="E206" s="74" t="n"/>
      <c r="F206" s="96" t="n"/>
      <c r="G206" s="74" t="n"/>
      <c r="H206" s="96" t="n"/>
      <c r="I206" s="74" t="n"/>
      <c r="J206" s="96" t="n"/>
    </row>
    <row r="207">
      <c r="B207" s="97">
        <f>"Quoted price ("&amp;CurSym&amp;")"</f>
        <v/>
      </c>
      <c r="C207" s="98" t="n"/>
      <c r="D207" s="96" t="n"/>
      <c r="E207" s="98" t="n"/>
      <c r="F207" s="96" t="n"/>
      <c r="G207" s="98" t="n"/>
      <c r="H207" s="96" t="n"/>
      <c r="I207" s="98" t="n"/>
      <c r="J207" s="96" t="n"/>
    </row>
    <row r="208">
      <c r="B208" s="97">
        <f>"Price includes "&amp;TaxWord&amp;"?"</f>
        <v/>
      </c>
      <c r="C208" s="74">
        <f>DefInclTax</f>
        <v/>
      </c>
      <c r="D208" s="96" t="n"/>
      <c r="E208" s="74">
        <f>DefInclTax</f>
        <v/>
      </c>
      <c r="F208" s="96" t="n"/>
      <c r="G208" s="74">
        <f>DefInclTax</f>
        <v/>
      </c>
      <c r="H208" s="96" t="n"/>
      <c r="I208" s="74">
        <f>DefInclTax</f>
        <v/>
      </c>
      <c r="J208" s="96" t="n"/>
    </row>
    <row r="209">
      <c r="B209" s="97">
        <f>"Price incl. "&amp;TaxWord&amp;" ("&amp;CurSym&amp;")"</f>
        <v/>
      </c>
      <c r="C209" s="99">
        <f>IF(C207="","",IF(C208="No",C207*(1+VatRate),C207))</f>
        <v/>
      </c>
      <c r="D209" s="63" t="n"/>
      <c r="E209" s="99">
        <f>IF(E207="","",IF(E208="No",E207*(1+VatRate),E207))</f>
        <v/>
      </c>
      <c r="F209" s="63" t="n"/>
      <c r="G209" s="99">
        <f>IF(G207="","",IF(G208="No",G207*(1+VatRate),G207))</f>
        <v/>
      </c>
      <c r="H209" s="63" t="n"/>
      <c r="I209" s="99">
        <f>IF(I207="","",IF(I208="No",I207*(1+VatRate),I207))</f>
        <v/>
      </c>
      <c r="J209" s="63" t="n"/>
    </row>
    <row r="210">
      <c r="B210" s="19" t="inlineStr">
        <is>
          <t>Timeline (weeks)</t>
        </is>
      </c>
      <c r="C210" s="100" t="n"/>
      <c r="D210" s="96" t="n"/>
      <c r="E210" s="100" t="n"/>
      <c r="F210" s="96" t="n"/>
      <c r="G210" s="100" t="n"/>
      <c r="H210" s="96" t="n"/>
      <c r="I210" s="100" t="n"/>
      <c r="J210" s="96" t="n"/>
    </row>
    <row r="211">
      <c r="B211" s="19" t="inlineStr">
        <is>
          <t>Warranty (years)</t>
        </is>
      </c>
      <c r="C211" s="100" t="n"/>
      <c r="D211" s="96" t="n"/>
      <c r="E211" s="100" t="n"/>
      <c r="F211" s="96" t="n"/>
      <c r="G211" s="100" t="n"/>
      <c r="H211" s="96" t="n"/>
      <c r="I211" s="100" t="n"/>
      <c r="J211" s="96" t="n"/>
    </row>
    <row r="212">
      <c r="B212" s="19" t="inlineStr">
        <is>
          <t>References checked?</t>
        </is>
      </c>
      <c r="C212" s="74" t="n"/>
      <c r="D212" s="96" t="n"/>
      <c r="E212" s="74" t="n"/>
      <c r="F212" s="96" t="n"/>
      <c r="G212" s="74" t="n"/>
      <c r="H212" s="96" t="n"/>
      <c r="I212" s="74" t="n"/>
      <c r="J212" s="96" t="n"/>
    </row>
    <row r="213">
      <c r="B213" s="19" t="inlineStr">
        <is>
          <t>Gut feeling (1–5)</t>
        </is>
      </c>
      <c r="C213" s="89" t="n"/>
      <c r="D213" s="96" t="n"/>
      <c r="E213" s="89" t="n"/>
      <c r="F213" s="96" t="n"/>
      <c r="G213" s="89" t="n"/>
      <c r="H213" s="96" t="n"/>
      <c r="I213" s="89" t="n"/>
      <c r="J213" s="96" t="n"/>
    </row>
    <row r="214">
      <c r="B214" s="19" t="inlineStr">
        <is>
          <t>Quote valid until</t>
        </is>
      </c>
      <c r="C214" s="101" t="n"/>
      <c r="D214" s="96" t="n"/>
      <c r="E214" s="101" t="n"/>
      <c r="F214" s="96" t="n"/>
      <c r="G214" s="101" t="n"/>
      <c r="H214" s="96" t="n"/>
      <c r="I214" s="101" t="n"/>
      <c r="J214" s="96" t="n"/>
    </row>
    <row r="215">
      <c r="B215" s="80" t="inlineStr">
        <is>
          <t>HIDDEN-COST CHECKLIST</t>
        </is>
      </c>
      <c r="C215" s="95" t="inlineStr">
        <is>
          <t>Included?</t>
        </is>
      </c>
      <c r="D215" s="82">
        <f>"Extra "&amp;CurSym</f>
        <v/>
      </c>
      <c r="E215" s="95" t="inlineStr">
        <is>
          <t>Included?</t>
        </is>
      </c>
      <c r="F215" s="82">
        <f>"Extra "&amp;CurSym</f>
        <v/>
      </c>
      <c r="G215" s="95" t="inlineStr">
        <is>
          <t>Included?</t>
        </is>
      </c>
      <c r="H215" s="82">
        <f>"Extra "&amp;CurSym</f>
        <v/>
      </c>
      <c r="I215" s="95" t="inlineStr">
        <is>
          <t>Included?</t>
        </is>
      </c>
      <c r="J215" s="82">
        <f>"Extra "&amp;CurSym</f>
        <v/>
      </c>
    </row>
    <row r="216">
      <c r="B216" s="19" t="inlineStr">
        <is>
          <t>Demolition</t>
        </is>
      </c>
      <c r="C216" s="74" t="n"/>
      <c r="D216" s="73" t="n"/>
      <c r="E216" s="74" t="n"/>
      <c r="F216" s="73" t="n"/>
      <c r="G216" s="74" t="n"/>
      <c r="H216" s="73" t="n"/>
      <c r="I216" s="74" t="n"/>
      <c r="J216" s="73" t="n"/>
    </row>
    <row r="217">
      <c r="B217" s="19" t="inlineStr">
        <is>
          <t>Waste disposal</t>
        </is>
      </c>
      <c r="C217" s="74" t="n"/>
      <c r="D217" s="73" t="n"/>
      <c r="E217" s="74" t="n"/>
      <c r="F217" s="73" t="n"/>
      <c r="G217" s="74" t="n"/>
      <c r="H217" s="73" t="n"/>
      <c r="I217" s="74" t="n"/>
      <c r="J217" s="73" t="n"/>
    </row>
    <row r="218">
      <c r="B218" s="19" t="inlineStr">
        <is>
          <t>Delivery</t>
        </is>
      </c>
      <c r="C218" s="74" t="n"/>
      <c r="D218" s="73" t="n"/>
      <c r="E218" s="74" t="n"/>
      <c r="F218" s="73" t="n"/>
      <c r="G218" s="74" t="n"/>
      <c r="H218" s="73" t="n"/>
      <c r="I218" s="74" t="n"/>
      <c r="J218" s="73" t="n"/>
    </row>
    <row r="219">
      <c r="B219" s="19" t="inlineStr">
        <is>
          <t>Permits</t>
        </is>
      </c>
      <c r="C219" s="74" t="n"/>
      <c r="D219" s="73" t="n"/>
      <c r="E219" s="74" t="n"/>
      <c r="F219" s="73" t="n"/>
      <c r="G219" s="74" t="n"/>
      <c r="H219" s="73" t="n"/>
      <c r="I219" s="74" t="n"/>
      <c r="J219" s="73" t="n"/>
    </row>
    <row r="220">
      <c r="B220" s="19" t="inlineStr">
        <is>
          <t>Materials specified</t>
        </is>
      </c>
      <c r="C220" s="74" t="n"/>
      <c r="D220" s="73" t="n"/>
      <c r="E220" s="74" t="n"/>
      <c r="F220" s="73" t="n"/>
      <c r="G220" s="74" t="n"/>
      <c r="H220" s="73" t="n"/>
      <c r="I220" s="74" t="n"/>
      <c r="J220" s="73" t="n"/>
    </row>
    <row r="221">
      <c r="B221" s="19" t="inlineStr">
        <is>
          <t>Labor specified</t>
        </is>
      </c>
      <c r="C221" s="74" t="n"/>
      <c r="D221" s="73" t="n"/>
      <c r="E221" s="74" t="n"/>
      <c r="F221" s="73" t="n"/>
      <c r="G221" s="74" t="n"/>
      <c r="H221" s="73" t="n"/>
      <c r="I221" s="74" t="n"/>
      <c r="J221" s="73" t="n"/>
    </row>
    <row r="222">
      <c r="B222" s="19" t="inlineStr">
        <is>
          <t>Finishing</t>
        </is>
      </c>
      <c r="C222" s="74" t="n"/>
      <c r="D222" s="73" t="n"/>
      <c r="E222" s="74" t="n"/>
      <c r="F222" s="73" t="n"/>
      <c r="G222" s="74" t="n"/>
      <c r="H222" s="73" t="n"/>
      <c r="I222" s="74" t="n"/>
      <c r="J222" s="73" t="n"/>
    </row>
    <row r="223">
      <c r="B223" s="19" t="inlineStr">
        <is>
          <t>Cleanup</t>
        </is>
      </c>
      <c r="C223" s="74" t="n"/>
      <c r="D223" s="73" t="n"/>
      <c r="E223" s="74" t="n"/>
      <c r="F223" s="73" t="n"/>
      <c r="G223" s="74" t="n"/>
      <c r="H223" s="73" t="n"/>
      <c r="I223" s="74" t="n"/>
      <c r="J223" s="73" t="n"/>
    </row>
    <row r="224">
      <c r="B224" s="97">
        <f>TaxWord&amp;" shown in price"</f>
        <v/>
      </c>
      <c r="C224" s="74" t="n"/>
      <c r="D224" s="73" t="n"/>
      <c r="E224" s="74" t="n"/>
      <c r="F224" s="73" t="n"/>
      <c r="G224" s="74" t="n"/>
      <c r="H224" s="73" t="n"/>
      <c r="I224" s="74" t="n"/>
      <c r="J224" s="73" t="n"/>
    </row>
    <row r="225">
      <c r="B225" s="19" t="inlineStr">
        <is>
          <t>Electrical upgrades</t>
        </is>
      </c>
      <c r="C225" s="74" t="n"/>
      <c r="D225" s="73" t="n"/>
      <c r="E225" s="74" t="n"/>
      <c r="F225" s="73" t="n"/>
      <c r="G225" s="74" t="n"/>
      <c r="H225" s="73" t="n"/>
      <c r="I225" s="74" t="n"/>
      <c r="J225" s="73" t="n"/>
    </row>
    <row r="226">
      <c r="B226" s="19" t="inlineStr">
        <is>
          <t>Plumbing modifications</t>
        </is>
      </c>
      <c r="C226" s="74" t="n"/>
      <c r="D226" s="73" t="n"/>
      <c r="E226" s="74" t="n"/>
      <c r="F226" s="73" t="n"/>
      <c r="G226" s="74" t="n"/>
      <c r="H226" s="73" t="n"/>
      <c r="I226" s="74" t="n"/>
      <c r="J226" s="73" t="n"/>
    </row>
    <row r="227">
      <c r="B227" s="19" t="inlineStr">
        <is>
          <t>Payment schedule defined</t>
        </is>
      </c>
      <c r="C227" s="74" t="n"/>
      <c r="D227" s="73" t="n"/>
      <c r="E227" s="74" t="n"/>
      <c r="F227" s="73" t="n"/>
      <c r="G227" s="74" t="n"/>
      <c r="H227" s="73" t="n"/>
      <c r="I227" s="74" t="n"/>
      <c r="J227" s="73" t="n"/>
    </row>
    <row r="228">
      <c r="B228" s="19" t="inlineStr">
        <is>
          <t>Warranty in writing</t>
        </is>
      </c>
      <c r="C228" s="74" t="n"/>
      <c r="D228" s="73" t="n"/>
      <c r="E228" s="74" t="n"/>
      <c r="F228" s="73" t="n"/>
      <c r="G228" s="74" t="n"/>
      <c r="H228" s="73" t="n"/>
      <c r="I228" s="74" t="n"/>
      <c r="J228" s="73" t="n"/>
    </row>
    <row r="229">
      <c r="B229" s="97">
        <f>"Hidden extras ("&amp;CurSym&amp;")"</f>
        <v/>
      </c>
      <c r="C229" s="99">
        <f>IF(C206="","",SUMPRODUCT((C216:C228&lt;&gt;"Included")*D216:D228))</f>
        <v/>
      </c>
      <c r="D229" s="63" t="n"/>
      <c r="E229" s="99">
        <f>IF(E206="","",SUMPRODUCT((E216:E228&lt;&gt;"Included")*F216:F228))</f>
        <v/>
      </c>
      <c r="F229" s="63" t="n"/>
      <c r="G229" s="99">
        <f>IF(G206="","",SUMPRODUCT((G216:G228&lt;&gt;"Included")*H216:H228))</f>
        <v/>
      </c>
      <c r="H229" s="63" t="n"/>
      <c r="I229" s="99">
        <f>IF(I206="","",SUMPRODUCT((I216:I228&lt;&gt;"Included")*J216:J228))</f>
        <v/>
      </c>
      <c r="J229" s="63" t="n"/>
    </row>
    <row r="230">
      <c r="B230" s="13">
        <f>"TRUE COST ("&amp;CurSym&amp;")"</f>
        <v/>
      </c>
      <c r="C230" s="102">
        <f>IF(OR(C206="",C209=""),"",C209+C229)</f>
        <v/>
      </c>
      <c r="D230" s="63" t="n"/>
      <c r="E230" s="102">
        <f>IF(OR(E206="",E209=""),"",E209+E229)</f>
        <v/>
      </c>
      <c r="F230" s="63" t="n"/>
      <c r="G230" s="102">
        <f>IF(OR(G206="",G209=""),"",G209+G229)</f>
        <v/>
      </c>
      <c r="H230" s="63" t="n"/>
      <c r="I230" s="102">
        <f>IF(OR(I206="",I209=""),"",I209+I229)</f>
        <v/>
      </c>
      <c r="J230" s="63" t="n"/>
    </row>
    <row r="231">
      <c r="B231" s="19" t="inlineStr">
        <is>
          <t>Completeness</t>
        </is>
      </c>
      <c r="C231" s="103">
        <f>IF(C206="","",COUNTIF(C216:C228,"Included")/13)</f>
        <v/>
      </c>
      <c r="D231" s="63" t="n"/>
      <c r="E231" s="103">
        <f>IF(E206="","",COUNTIF(E216:E228,"Included")/13)</f>
        <v/>
      </c>
      <c r="F231" s="63" t="n"/>
      <c r="G231" s="103">
        <f>IF(G206="","",COUNTIF(G216:G228,"Included")/13)</f>
        <v/>
      </c>
      <c r="H231" s="63" t="n"/>
      <c r="I231" s="103">
        <f>IF(I206="","",COUNTIF(I216:I228,"Included")/13)</f>
        <v/>
      </c>
      <c r="J231" s="63" t="n"/>
    </row>
    <row r="232">
      <c r="B232" s="80" t="inlineStr">
        <is>
          <t>SCORE</t>
        </is>
      </c>
    </row>
    <row r="233">
      <c r="B233" s="19" t="inlineStr">
        <is>
          <t>Price points</t>
        </is>
      </c>
      <c r="C233" s="104">
        <f>IF(C230="","",IF(C230&gt;0,MIN($C230:$J230)/C230,0)*WPrice)</f>
        <v/>
      </c>
      <c r="D233" s="63" t="n"/>
      <c r="E233" s="104">
        <f>IF(E230="","",IF(E230&gt;0,MIN($C230:$J230)/E230,0)*WPrice)</f>
        <v/>
      </c>
      <c r="F233" s="63" t="n"/>
      <c r="G233" s="104">
        <f>IF(G230="","",IF(G230&gt;0,MIN($C230:$J230)/G230,0)*WPrice)</f>
        <v/>
      </c>
      <c r="H233" s="63" t="n"/>
      <c r="I233" s="104">
        <f>IF(I230="","",IF(I230&gt;0,MIN($C230:$J230)/I230,0)*WPrice)</f>
        <v/>
      </c>
      <c r="J233" s="63" t="n"/>
    </row>
    <row r="234">
      <c r="B234" s="19" t="inlineStr">
        <is>
          <t>Timeline points</t>
        </is>
      </c>
      <c r="C234" s="104">
        <f>IF(C230="","",IF(C210&gt;0,MIN($C210:$J210)/C210,0)*WTime)</f>
        <v/>
      </c>
      <c r="D234" s="63" t="n"/>
      <c r="E234" s="104">
        <f>IF(E230="","",IF(E210&gt;0,MIN($C210:$J210)/E210,0)*WTime)</f>
        <v/>
      </c>
      <c r="F234" s="63" t="n"/>
      <c r="G234" s="104">
        <f>IF(G230="","",IF(G210&gt;0,MIN($C210:$J210)/G210,0)*WTime)</f>
        <v/>
      </c>
      <c r="H234" s="63" t="n"/>
      <c r="I234" s="104">
        <f>IF(I230="","",IF(I210&gt;0,MIN($C210:$J210)/I210,0)*WTime)</f>
        <v/>
      </c>
      <c r="J234" s="63" t="n"/>
    </row>
    <row r="235">
      <c r="B235" s="19" t="inlineStr">
        <is>
          <t>Warranty points</t>
        </is>
      </c>
      <c r="C235" s="104">
        <f>IF(C230="","",IF(MAX($C211:$J211)&gt;0,C211/MAX($C211:$J211),0)*WWar)</f>
        <v/>
      </c>
      <c r="D235" s="63" t="n"/>
      <c r="E235" s="104">
        <f>IF(E230="","",IF(MAX($C211:$J211)&gt;0,E211/MAX($C211:$J211),0)*WWar)</f>
        <v/>
      </c>
      <c r="F235" s="63" t="n"/>
      <c r="G235" s="104">
        <f>IF(G230="","",IF(MAX($C211:$J211)&gt;0,G211/MAX($C211:$J211),0)*WWar)</f>
        <v/>
      </c>
      <c r="H235" s="63" t="n"/>
      <c r="I235" s="104">
        <f>IF(I230="","",IF(MAX($C211:$J211)&gt;0,I211/MAX($C211:$J211),0)*WWar)</f>
        <v/>
      </c>
      <c r="J235" s="63" t="n"/>
    </row>
    <row r="236">
      <c r="B236" s="19" t="inlineStr">
        <is>
          <t>Completeness points</t>
        </is>
      </c>
      <c r="C236" s="104">
        <f>IF(C230="","",C231*WComp)</f>
        <v/>
      </c>
      <c r="D236" s="63" t="n"/>
      <c r="E236" s="104">
        <f>IF(E230="","",E231*WComp)</f>
        <v/>
      </c>
      <c r="F236" s="63" t="n"/>
      <c r="G236" s="104">
        <f>IF(G230="","",G231*WComp)</f>
        <v/>
      </c>
      <c r="H236" s="63" t="n"/>
      <c r="I236" s="104">
        <f>IF(I230="","",I231*WComp)</f>
        <v/>
      </c>
      <c r="J236" s="63" t="n"/>
    </row>
    <row r="237">
      <c r="B237" s="19" t="inlineStr">
        <is>
          <t>Gut &amp; references points</t>
        </is>
      </c>
      <c r="C237" s="104">
        <f>IF(C230="","",(IF(C213="",0,C213/5)*0.7+IF(C212="Yes",0.3,0))*WGut)</f>
        <v/>
      </c>
      <c r="D237" s="63" t="n"/>
      <c r="E237" s="104">
        <f>IF(E230="","",(IF(E213="",0,E213/5)*0.7+IF(E212="Yes",0.3,0))*WGut)</f>
        <v/>
      </c>
      <c r="F237" s="63" t="n"/>
      <c r="G237" s="104">
        <f>IF(G230="","",(IF(G213="",0,G213/5)*0.7+IF(G212="Yes",0.3,0))*WGut)</f>
        <v/>
      </c>
      <c r="H237" s="63" t="n"/>
      <c r="I237" s="104">
        <f>IF(I230="","",(IF(I213="",0,I213/5)*0.7+IF(I212="Yes",0.3,0))*WGut)</f>
        <v/>
      </c>
      <c r="J237" s="63" t="n"/>
    </row>
    <row r="238">
      <c r="B238" s="6" t="inlineStr">
        <is>
          <t>TOTAL SCORE</t>
        </is>
      </c>
      <c r="C238" s="105">
        <f>IF(C230="","",ROUND(SUM(C233:C237),1))</f>
        <v/>
      </c>
      <c r="D238" s="63" t="n"/>
      <c r="E238" s="105">
        <f>IF(E230="","",ROUND(SUM(E233:E237),1))</f>
        <v/>
      </c>
      <c r="F238" s="63" t="n"/>
      <c r="G238" s="105">
        <f>IF(G230="","",ROUND(SUM(G233:G237),1))</f>
        <v/>
      </c>
      <c r="H238" s="63" t="n"/>
      <c r="I238" s="105">
        <f>IF(I230="","",ROUND(SUM(I233:I237),1))</f>
        <v/>
      </c>
      <c r="J238" s="63" t="n"/>
    </row>
    <row r="239">
      <c r="B239" s="6" t="inlineStr">
        <is>
          <t>Ranking</t>
        </is>
      </c>
      <c r="C239" s="106">
        <f>IF(C238="","",IF(C238=MAX($C238:$J238),"🏆 WINNER","#"&amp;(1+COUNTIF($C238:$J238,"&gt;"&amp;C238))))</f>
        <v/>
      </c>
      <c r="D239" s="63" t="n"/>
      <c r="E239" s="106">
        <f>IF(E238="","",IF(E238=MAX($C238:$J238),"🏆 WINNER","#"&amp;(1+COUNTIF($C238:$J238,"&gt;"&amp;E238))))</f>
        <v/>
      </c>
      <c r="F239" s="63" t="n"/>
      <c r="G239" s="106">
        <f>IF(G238="","",IF(G238=MAX($C238:$J238),"🏆 WINNER","#"&amp;(1+COUNTIF($C238:$J238,"&gt;"&amp;G238))))</f>
        <v/>
      </c>
      <c r="H239" s="63" t="n"/>
      <c r="I239" s="106">
        <f>IF(I238="","",IF(I238=MAX($C238:$J238),"🏆 WINNER","#"&amp;(1+COUNTIF($C238:$J238,"&gt;"&amp;I238))))</f>
        <v/>
      </c>
      <c r="J239" s="63" t="n"/>
    </row>
    <row r="240" ht="26" customHeight="1">
      <c r="B240" s="107">
        <f>IF(COUNT($C230:$J230)&lt;2,"",IF(INDEX($C206:$J206,MATCH(MIN($C209:$J209),$C209:$J209,0))&lt;&gt;INDEX($C206:$J206,MATCH(MIN($C230:$J230),$C230:$J230,0)),"⚠️ Hidden costs change the ranking! Cheapest quoted price: "&amp;INDEX($C206:$J206,MATCH(MIN($C209:$J209),$C209:$J209,0))&amp;"  →  cheapest TRUE cost: "&amp;INDEX($C206:$J206,MATCH(MIN($C230:$J230),$C230:$J230,0)),"✓ The cheapest quote is also the cheapest true cost."))</f>
        <v/>
      </c>
      <c r="P240" s="46">
        <f>IF(B240="",0,IF(LEFT(B240,1)="✓",0,1))</f>
        <v/>
      </c>
    </row>
    <row r="241"/>
    <row r="242"/>
    <row r="243" ht="28" customHeight="1">
      <c r="B243" s="91" t="inlineStr">
        <is>
          <t>COMPARISON 7  ▸  trade:</t>
        </is>
      </c>
      <c r="C243" s="92" t="n"/>
      <c r="D243" s="91" t="n"/>
      <c r="E243" s="93">
        <f>IF(COUNT($C$277:$J$277)=0,"Enter up to 4 quotes below","🏆 Best overall: "&amp;INDEX($C$245:$J$245,MATCH(MAX($C$277:$J$277),$C$277:$J$277,0))&amp;"  —  true cost "&amp;CurSym&amp;" "&amp;FIXED(INDEX($C$269:$J$269,MATCH(MAX($C$277:$J$277),$C$277:$J$277,0)),0))</f>
        <v/>
      </c>
      <c r="F243" s="94" t="n"/>
      <c r="G243" s="94" t="n"/>
      <c r="H243" s="94" t="n"/>
      <c r="I243" s="94" t="n"/>
      <c r="J243" s="63" t="n"/>
    </row>
    <row r="244">
      <c r="C244" s="95" t="inlineStr">
        <is>
          <t>Contractor 1</t>
        </is>
      </c>
      <c r="D244" s="63" t="n"/>
      <c r="E244" s="95" t="inlineStr">
        <is>
          <t>Contractor 2</t>
        </is>
      </c>
      <c r="F244" s="63" t="n"/>
      <c r="G244" s="95" t="inlineStr">
        <is>
          <t>Contractor 3</t>
        </is>
      </c>
      <c r="H244" s="63" t="n"/>
      <c r="I244" s="95" t="inlineStr">
        <is>
          <t>Contractor 4</t>
        </is>
      </c>
      <c r="J244" s="63" t="n"/>
    </row>
    <row r="245">
      <c r="B245" s="6" t="inlineStr">
        <is>
          <t>Contractor / company</t>
        </is>
      </c>
      <c r="C245" s="74" t="n"/>
      <c r="D245" s="96" t="n"/>
      <c r="E245" s="74" t="n"/>
      <c r="F245" s="96" t="n"/>
      <c r="G245" s="74" t="n"/>
      <c r="H245" s="96" t="n"/>
      <c r="I245" s="74" t="n"/>
      <c r="J245" s="96" t="n"/>
    </row>
    <row r="246">
      <c r="B246" s="97">
        <f>"Quoted price ("&amp;CurSym&amp;")"</f>
        <v/>
      </c>
      <c r="C246" s="98" t="n"/>
      <c r="D246" s="96" t="n"/>
      <c r="E246" s="98" t="n"/>
      <c r="F246" s="96" t="n"/>
      <c r="G246" s="98" t="n"/>
      <c r="H246" s="96" t="n"/>
      <c r="I246" s="98" t="n"/>
      <c r="J246" s="96" t="n"/>
    </row>
    <row r="247">
      <c r="B247" s="97">
        <f>"Price includes "&amp;TaxWord&amp;"?"</f>
        <v/>
      </c>
      <c r="C247" s="74">
        <f>DefInclTax</f>
        <v/>
      </c>
      <c r="D247" s="96" t="n"/>
      <c r="E247" s="74">
        <f>DefInclTax</f>
        <v/>
      </c>
      <c r="F247" s="96" t="n"/>
      <c r="G247" s="74">
        <f>DefInclTax</f>
        <v/>
      </c>
      <c r="H247" s="96" t="n"/>
      <c r="I247" s="74">
        <f>DefInclTax</f>
        <v/>
      </c>
      <c r="J247" s="96" t="n"/>
    </row>
    <row r="248">
      <c r="B248" s="97">
        <f>"Price incl. "&amp;TaxWord&amp;" ("&amp;CurSym&amp;")"</f>
        <v/>
      </c>
      <c r="C248" s="99">
        <f>IF(C246="","",IF(C247="No",C246*(1+VatRate),C246))</f>
        <v/>
      </c>
      <c r="D248" s="63" t="n"/>
      <c r="E248" s="99">
        <f>IF(E246="","",IF(E247="No",E246*(1+VatRate),E246))</f>
        <v/>
      </c>
      <c r="F248" s="63" t="n"/>
      <c r="G248" s="99">
        <f>IF(G246="","",IF(G247="No",G246*(1+VatRate),G246))</f>
        <v/>
      </c>
      <c r="H248" s="63" t="n"/>
      <c r="I248" s="99">
        <f>IF(I246="","",IF(I247="No",I246*(1+VatRate),I246))</f>
        <v/>
      </c>
      <c r="J248" s="63" t="n"/>
    </row>
    <row r="249">
      <c r="B249" s="19" t="inlineStr">
        <is>
          <t>Timeline (weeks)</t>
        </is>
      </c>
      <c r="C249" s="100" t="n"/>
      <c r="D249" s="96" t="n"/>
      <c r="E249" s="100" t="n"/>
      <c r="F249" s="96" t="n"/>
      <c r="G249" s="100" t="n"/>
      <c r="H249" s="96" t="n"/>
      <c r="I249" s="100" t="n"/>
      <c r="J249" s="96" t="n"/>
    </row>
    <row r="250">
      <c r="B250" s="19" t="inlineStr">
        <is>
          <t>Warranty (years)</t>
        </is>
      </c>
      <c r="C250" s="100" t="n"/>
      <c r="D250" s="96" t="n"/>
      <c r="E250" s="100" t="n"/>
      <c r="F250" s="96" t="n"/>
      <c r="G250" s="100" t="n"/>
      <c r="H250" s="96" t="n"/>
      <c r="I250" s="100" t="n"/>
      <c r="J250" s="96" t="n"/>
    </row>
    <row r="251">
      <c r="B251" s="19" t="inlineStr">
        <is>
          <t>References checked?</t>
        </is>
      </c>
      <c r="C251" s="74" t="n"/>
      <c r="D251" s="96" t="n"/>
      <c r="E251" s="74" t="n"/>
      <c r="F251" s="96" t="n"/>
      <c r="G251" s="74" t="n"/>
      <c r="H251" s="96" t="n"/>
      <c r="I251" s="74" t="n"/>
      <c r="J251" s="96" t="n"/>
    </row>
    <row r="252">
      <c r="B252" s="19" t="inlineStr">
        <is>
          <t>Gut feeling (1–5)</t>
        </is>
      </c>
      <c r="C252" s="89" t="n"/>
      <c r="D252" s="96" t="n"/>
      <c r="E252" s="89" t="n"/>
      <c r="F252" s="96" t="n"/>
      <c r="G252" s="89" t="n"/>
      <c r="H252" s="96" t="n"/>
      <c r="I252" s="89" t="n"/>
      <c r="J252" s="96" t="n"/>
    </row>
    <row r="253">
      <c r="B253" s="19" t="inlineStr">
        <is>
          <t>Quote valid until</t>
        </is>
      </c>
      <c r="C253" s="101" t="n"/>
      <c r="D253" s="96" t="n"/>
      <c r="E253" s="101" t="n"/>
      <c r="F253" s="96" t="n"/>
      <c r="G253" s="101" t="n"/>
      <c r="H253" s="96" t="n"/>
      <c r="I253" s="101" t="n"/>
      <c r="J253" s="96" t="n"/>
    </row>
    <row r="254">
      <c r="B254" s="80" t="inlineStr">
        <is>
          <t>HIDDEN-COST CHECKLIST</t>
        </is>
      </c>
      <c r="C254" s="95" t="inlineStr">
        <is>
          <t>Included?</t>
        </is>
      </c>
      <c r="D254" s="82">
        <f>"Extra "&amp;CurSym</f>
        <v/>
      </c>
      <c r="E254" s="95" t="inlineStr">
        <is>
          <t>Included?</t>
        </is>
      </c>
      <c r="F254" s="82">
        <f>"Extra "&amp;CurSym</f>
        <v/>
      </c>
      <c r="G254" s="95" t="inlineStr">
        <is>
          <t>Included?</t>
        </is>
      </c>
      <c r="H254" s="82">
        <f>"Extra "&amp;CurSym</f>
        <v/>
      </c>
      <c r="I254" s="95" t="inlineStr">
        <is>
          <t>Included?</t>
        </is>
      </c>
      <c r="J254" s="82">
        <f>"Extra "&amp;CurSym</f>
        <v/>
      </c>
    </row>
    <row r="255">
      <c r="B255" s="19" t="inlineStr">
        <is>
          <t>Demolition</t>
        </is>
      </c>
      <c r="C255" s="74" t="n"/>
      <c r="D255" s="73" t="n"/>
      <c r="E255" s="74" t="n"/>
      <c r="F255" s="73" t="n"/>
      <c r="G255" s="74" t="n"/>
      <c r="H255" s="73" t="n"/>
      <c r="I255" s="74" t="n"/>
      <c r="J255" s="73" t="n"/>
    </row>
    <row r="256">
      <c r="B256" s="19" t="inlineStr">
        <is>
          <t>Waste disposal</t>
        </is>
      </c>
      <c r="C256" s="74" t="n"/>
      <c r="D256" s="73" t="n"/>
      <c r="E256" s="74" t="n"/>
      <c r="F256" s="73" t="n"/>
      <c r="G256" s="74" t="n"/>
      <c r="H256" s="73" t="n"/>
      <c r="I256" s="74" t="n"/>
      <c r="J256" s="73" t="n"/>
    </row>
    <row r="257">
      <c r="B257" s="19" t="inlineStr">
        <is>
          <t>Delivery</t>
        </is>
      </c>
      <c r="C257" s="74" t="n"/>
      <c r="D257" s="73" t="n"/>
      <c r="E257" s="74" t="n"/>
      <c r="F257" s="73" t="n"/>
      <c r="G257" s="74" t="n"/>
      <c r="H257" s="73" t="n"/>
      <c r="I257" s="74" t="n"/>
      <c r="J257" s="73" t="n"/>
    </row>
    <row r="258">
      <c r="B258" s="19" t="inlineStr">
        <is>
          <t>Permits</t>
        </is>
      </c>
      <c r="C258" s="74" t="n"/>
      <c r="D258" s="73" t="n"/>
      <c r="E258" s="74" t="n"/>
      <c r="F258" s="73" t="n"/>
      <c r="G258" s="74" t="n"/>
      <c r="H258" s="73" t="n"/>
      <c r="I258" s="74" t="n"/>
      <c r="J258" s="73" t="n"/>
    </row>
    <row r="259">
      <c r="B259" s="19" t="inlineStr">
        <is>
          <t>Materials specified</t>
        </is>
      </c>
      <c r="C259" s="74" t="n"/>
      <c r="D259" s="73" t="n"/>
      <c r="E259" s="74" t="n"/>
      <c r="F259" s="73" t="n"/>
      <c r="G259" s="74" t="n"/>
      <c r="H259" s="73" t="n"/>
      <c r="I259" s="74" t="n"/>
      <c r="J259" s="73" t="n"/>
    </row>
    <row r="260">
      <c r="B260" s="19" t="inlineStr">
        <is>
          <t>Labor specified</t>
        </is>
      </c>
      <c r="C260" s="74" t="n"/>
      <c r="D260" s="73" t="n"/>
      <c r="E260" s="74" t="n"/>
      <c r="F260" s="73" t="n"/>
      <c r="G260" s="74" t="n"/>
      <c r="H260" s="73" t="n"/>
      <c r="I260" s="74" t="n"/>
      <c r="J260" s="73" t="n"/>
    </row>
    <row r="261">
      <c r="B261" s="19" t="inlineStr">
        <is>
          <t>Finishing</t>
        </is>
      </c>
      <c r="C261" s="74" t="n"/>
      <c r="D261" s="73" t="n"/>
      <c r="E261" s="74" t="n"/>
      <c r="F261" s="73" t="n"/>
      <c r="G261" s="74" t="n"/>
      <c r="H261" s="73" t="n"/>
      <c r="I261" s="74" t="n"/>
      <c r="J261" s="73" t="n"/>
    </row>
    <row r="262">
      <c r="B262" s="19" t="inlineStr">
        <is>
          <t>Cleanup</t>
        </is>
      </c>
      <c r="C262" s="74" t="n"/>
      <c r="D262" s="73" t="n"/>
      <c r="E262" s="74" t="n"/>
      <c r="F262" s="73" t="n"/>
      <c r="G262" s="74" t="n"/>
      <c r="H262" s="73" t="n"/>
      <c r="I262" s="74" t="n"/>
      <c r="J262" s="73" t="n"/>
    </row>
    <row r="263">
      <c r="B263" s="97">
        <f>TaxWord&amp;" shown in price"</f>
        <v/>
      </c>
      <c r="C263" s="74" t="n"/>
      <c r="D263" s="73" t="n"/>
      <c r="E263" s="74" t="n"/>
      <c r="F263" s="73" t="n"/>
      <c r="G263" s="74" t="n"/>
      <c r="H263" s="73" t="n"/>
      <c r="I263" s="74" t="n"/>
      <c r="J263" s="73" t="n"/>
    </row>
    <row r="264">
      <c r="B264" s="19" t="inlineStr">
        <is>
          <t>Electrical upgrades</t>
        </is>
      </c>
      <c r="C264" s="74" t="n"/>
      <c r="D264" s="73" t="n"/>
      <c r="E264" s="74" t="n"/>
      <c r="F264" s="73" t="n"/>
      <c r="G264" s="74" t="n"/>
      <c r="H264" s="73" t="n"/>
      <c r="I264" s="74" t="n"/>
      <c r="J264" s="73" t="n"/>
    </row>
    <row r="265">
      <c r="B265" s="19" t="inlineStr">
        <is>
          <t>Plumbing modifications</t>
        </is>
      </c>
      <c r="C265" s="74" t="n"/>
      <c r="D265" s="73" t="n"/>
      <c r="E265" s="74" t="n"/>
      <c r="F265" s="73" t="n"/>
      <c r="G265" s="74" t="n"/>
      <c r="H265" s="73" t="n"/>
      <c r="I265" s="74" t="n"/>
      <c r="J265" s="73" t="n"/>
    </row>
    <row r="266">
      <c r="B266" s="19" t="inlineStr">
        <is>
          <t>Payment schedule defined</t>
        </is>
      </c>
      <c r="C266" s="74" t="n"/>
      <c r="D266" s="73" t="n"/>
      <c r="E266" s="74" t="n"/>
      <c r="F266" s="73" t="n"/>
      <c r="G266" s="74" t="n"/>
      <c r="H266" s="73" t="n"/>
      <c r="I266" s="74" t="n"/>
      <c r="J266" s="73" t="n"/>
    </row>
    <row r="267">
      <c r="B267" s="19" t="inlineStr">
        <is>
          <t>Warranty in writing</t>
        </is>
      </c>
      <c r="C267" s="74" t="n"/>
      <c r="D267" s="73" t="n"/>
      <c r="E267" s="74" t="n"/>
      <c r="F267" s="73" t="n"/>
      <c r="G267" s="74" t="n"/>
      <c r="H267" s="73" t="n"/>
      <c r="I267" s="74" t="n"/>
      <c r="J267" s="73" t="n"/>
    </row>
    <row r="268">
      <c r="B268" s="97">
        <f>"Hidden extras ("&amp;CurSym&amp;")"</f>
        <v/>
      </c>
      <c r="C268" s="99">
        <f>IF(C245="","",SUMPRODUCT((C255:C267&lt;&gt;"Included")*D255:D267))</f>
        <v/>
      </c>
      <c r="D268" s="63" t="n"/>
      <c r="E268" s="99">
        <f>IF(E245="","",SUMPRODUCT((E255:E267&lt;&gt;"Included")*F255:F267))</f>
        <v/>
      </c>
      <c r="F268" s="63" t="n"/>
      <c r="G268" s="99">
        <f>IF(G245="","",SUMPRODUCT((G255:G267&lt;&gt;"Included")*H255:H267))</f>
        <v/>
      </c>
      <c r="H268" s="63" t="n"/>
      <c r="I268" s="99">
        <f>IF(I245="","",SUMPRODUCT((I255:I267&lt;&gt;"Included")*J255:J267))</f>
        <v/>
      </c>
      <c r="J268" s="63" t="n"/>
    </row>
    <row r="269">
      <c r="B269" s="13">
        <f>"TRUE COST ("&amp;CurSym&amp;")"</f>
        <v/>
      </c>
      <c r="C269" s="102">
        <f>IF(OR(C245="",C248=""),"",C248+C268)</f>
        <v/>
      </c>
      <c r="D269" s="63" t="n"/>
      <c r="E269" s="102">
        <f>IF(OR(E245="",E248=""),"",E248+E268)</f>
        <v/>
      </c>
      <c r="F269" s="63" t="n"/>
      <c r="G269" s="102">
        <f>IF(OR(G245="",G248=""),"",G248+G268)</f>
        <v/>
      </c>
      <c r="H269" s="63" t="n"/>
      <c r="I269" s="102">
        <f>IF(OR(I245="",I248=""),"",I248+I268)</f>
        <v/>
      </c>
      <c r="J269" s="63" t="n"/>
    </row>
    <row r="270">
      <c r="B270" s="19" t="inlineStr">
        <is>
          <t>Completeness</t>
        </is>
      </c>
      <c r="C270" s="103">
        <f>IF(C245="","",COUNTIF(C255:C267,"Included")/13)</f>
        <v/>
      </c>
      <c r="D270" s="63" t="n"/>
      <c r="E270" s="103">
        <f>IF(E245="","",COUNTIF(E255:E267,"Included")/13)</f>
        <v/>
      </c>
      <c r="F270" s="63" t="n"/>
      <c r="G270" s="103">
        <f>IF(G245="","",COUNTIF(G255:G267,"Included")/13)</f>
        <v/>
      </c>
      <c r="H270" s="63" t="n"/>
      <c r="I270" s="103">
        <f>IF(I245="","",COUNTIF(I255:I267,"Included")/13)</f>
        <v/>
      </c>
      <c r="J270" s="63" t="n"/>
    </row>
    <row r="271">
      <c r="B271" s="80" t="inlineStr">
        <is>
          <t>SCORE</t>
        </is>
      </c>
    </row>
    <row r="272">
      <c r="B272" s="19" t="inlineStr">
        <is>
          <t>Price points</t>
        </is>
      </c>
      <c r="C272" s="104">
        <f>IF(C269="","",IF(C269&gt;0,MIN($C269:$J269)/C269,0)*WPrice)</f>
        <v/>
      </c>
      <c r="D272" s="63" t="n"/>
      <c r="E272" s="104">
        <f>IF(E269="","",IF(E269&gt;0,MIN($C269:$J269)/E269,0)*WPrice)</f>
        <v/>
      </c>
      <c r="F272" s="63" t="n"/>
      <c r="G272" s="104">
        <f>IF(G269="","",IF(G269&gt;0,MIN($C269:$J269)/G269,0)*WPrice)</f>
        <v/>
      </c>
      <c r="H272" s="63" t="n"/>
      <c r="I272" s="104">
        <f>IF(I269="","",IF(I269&gt;0,MIN($C269:$J269)/I269,0)*WPrice)</f>
        <v/>
      </c>
      <c r="J272" s="63" t="n"/>
    </row>
    <row r="273">
      <c r="B273" s="19" t="inlineStr">
        <is>
          <t>Timeline points</t>
        </is>
      </c>
      <c r="C273" s="104">
        <f>IF(C269="","",IF(C249&gt;0,MIN($C249:$J249)/C249,0)*WTime)</f>
        <v/>
      </c>
      <c r="D273" s="63" t="n"/>
      <c r="E273" s="104">
        <f>IF(E269="","",IF(E249&gt;0,MIN($C249:$J249)/E249,0)*WTime)</f>
        <v/>
      </c>
      <c r="F273" s="63" t="n"/>
      <c r="G273" s="104">
        <f>IF(G269="","",IF(G249&gt;0,MIN($C249:$J249)/G249,0)*WTime)</f>
        <v/>
      </c>
      <c r="H273" s="63" t="n"/>
      <c r="I273" s="104">
        <f>IF(I269="","",IF(I249&gt;0,MIN($C249:$J249)/I249,0)*WTime)</f>
        <v/>
      </c>
      <c r="J273" s="63" t="n"/>
    </row>
    <row r="274">
      <c r="B274" s="19" t="inlineStr">
        <is>
          <t>Warranty points</t>
        </is>
      </c>
      <c r="C274" s="104">
        <f>IF(C269="","",IF(MAX($C250:$J250)&gt;0,C250/MAX($C250:$J250),0)*WWar)</f>
        <v/>
      </c>
      <c r="D274" s="63" t="n"/>
      <c r="E274" s="104">
        <f>IF(E269="","",IF(MAX($C250:$J250)&gt;0,E250/MAX($C250:$J250),0)*WWar)</f>
        <v/>
      </c>
      <c r="F274" s="63" t="n"/>
      <c r="G274" s="104">
        <f>IF(G269="","",IF(MAX($C250:$J250)&gt;0,G250/MAX($C250:$J250),0)*WWar)</f>
        <v/>
      </c>
      <c r="H274" s="63" t="n"/>
      <c r="I274" s="104">
        <f>IF(I269="","",IF(MAX($C250:$J250)&gt;0,I250/MAX($C250:$J250),0)*WWar)</f>
        <v/>
      </c>
      <c r="J274" s="63" t="n"/>
    </row>
    <row r="275">
      <c r="B275" s="19" t="inlineStr">
        <is>
          <t>Completeness points</t>
        </is>
      </c>
      <c r="C275" s="104">
        <f>IF(C269="","",C270*WComp)</f>
        <v/>
      </c>
      <c r="D275" s="63" t="n"/>
      <c r="E275" s="104">
        <f>IF(E269="","",E270*WComp)</f>
        <v/>
      </c>
      <c r="F275" s="63" t="n"/>
      <c r="G275" s="104">
        <f>IF(G269="","",G270*WComp)</f>
        <v/>
      </c>
      <c r="H275" s="63" t="n"/>
      <c r="I275" s="104">
        <f>IF(I269="","",I270*WComp)</f>
        <v/>
      </c>
      <c r="J275" s="63" t="n"/>
    </row>
    <row r="276">
      <c r="B276" s="19" t="inlineStr">
        <is>
          <t>Gut &amp; references points</t>
        </is>
      </c>
      <c r="C276" s="104">
        <f>IF(C269="","",(IF(C252="",0,C252/5)*0.7+IF(C251="Yes",0.3,0))*WGut)</f>
        <v/>
      </c>
      <c r="D276" s="63" t="n"/>
      <c r="E276" s="104">
        <f>IF(E269="","",(IF(E252="",0,E252/5)*0.7+IF(E251="Yes",0.3,0))*WGut)</f>
        <v/>
      </c>
      <c r="F276" s="63" t="n"/>
      <c r="G276" s="104">
        <f>IF(G269="","",(IF(G252="",0,G252/5)*0.7+IF(G251="Yes",0.3,0))*WGut)</f>
        <v/>
      </c>
      <c r="H276" s="63" t="n"/>
      <c r="I276" s="104">
        <f>IF(I269="","",(IF(I252="",0,I252/5)*0.7+IF(I251="Yes",0.3,0))*WGut)</f>
        <v/>
      </c>
      <c r="J276" s="63" t="n"/>
    </row>
    <row r="277">
      <c r="B277" s="6" t="inlineStr">
        <is>
          <t>TOTAL SCORE</t>
        </is>
      </c>
      <c r="C277" s="105">
        <f>IF(C269="","",ROUND(SUM(C272:C276),1))</f>
        <v/>
      </c>
      <c r="D277" s="63" t="n"/>
      <c r="E277" s="105">
        <f>IF(E269="","",ROUND(SUM(E272:E276),1))</f>
        <v/>
      </c>
      <c r="F277" s="63" t="n"/>
      <c r="G277" s="105">
        <f>IF(G269="","",ROUND(SUM(G272:G276),1))</f>
        <v/>
      </c>
      <c r="H277" s="63" t="n"/>
      <c r="I277" s="105">
        <f>IF(I269="","",ROUND(SUM(I272:I276),1))</f>
        <v/>
      </c>
      <c r="J277" s="63" t="n"/>
    </row>
    <row r="278">
      <c r="B278" s="6" t="inlineStr">
        <is>
          <t>Ranking</t>
        </is>
      </c>
      <c r="C278" s="106">
        <f>IF(C277="","",IF(C277=MAX($C277:$J277),"🏆 WINNER","#"&amp;(1+COUNTIF($C277:$J277,"&gt;"&amp;C277))))</f>
        <v/>
      </c>
      <c r="D278" s="63" t="n"/>
      <c r="E278" s="106">
        <f>IF(E277="","",IF(E277=MAX($C277:$J277),"🏆 WINNER","#"&amp;(1+COUNTIF($C277:$J277,"&gt;"&amp;E277))))</f>
        <v/>
      </c>
      <c r="F278" s="63" t="n"/>
      <c r="G278" s="106">
        <f>IF(G277="","",IF(G277=MAX($C277:$J277),"🏆 WINNER","#"&amp;(1+COUNTIF($C277:$J277,"&gt;"&amp;G277))))</f>
        <v/>
      </c>
      <c r="H278" s="63" t="n"/>
      <c r="I278" s="106">
        <f>IF(I277="","",IF(I277=MAX($C277:$J277),"🏆 WINNER","#"&amp;(1+COUNTIF($C277:$J277,"&gt;"&amp;I277))))</f>
        <v/>
      </c>
      <c r="J278" s="63" t="n"/>
    </row>
    <row r="279" ht="26" customHeight="1">
      <c r="B279" s="107">
        <f>IF(COUNT($C269:$J269)&lt;2,"",IF(INDEX($C245:$J245,MATCH(MIN($C248:$J248),$C248:$J248,0))&lt;&gt;INDEX($C245:$J245,MATCH(MIN($C269:$J269),$C269:$J269,0)),"⚠️ Hidden costs change the ranking! Cheapest quoted price: "&amp;INDEX($C245:$J245,MATCH(MIN($C248:$J248),$C248:$J248,0))&amp;"  →  cheapest TRUE cost: "&amp;INDEX($C245:$J245,MATCH(MIN($C269:$J269),$C269:$J269,0)),"✓ The cheapest quote is also the cheapest true cost."))</f>
        <v/>
      </c>
      <c r="P279" s="46">
        <f>IF(B279="",0,IF(LEFT(B279,1)="✓",0,1))</f>
        <v/>
      </c>
    </row>
    <row r="280"/>
    <row r="281"/>
    <row r="282" ht="28" customHeight="1">
      <c r="B282" s="91" t="inlineStr">
        <is>
          <t>COMPARISON 8  ▸  trade:</t>
        </is>
      </c>
      <c r="C282" s="92" t="n"/>
      <c r="D282" s="91" t="n"/>
      <c r="E282" s="93">
        <f>IF(COUNT($C$316:$J$316)=0,"Enter up to 4 quotes below","🏆 Best overall: "&amp;INDEX($C$284:$J$284,MATCH(MAX($C$316:$J$316),$C$316:$J$316,0))&amp;"  —  true cost "&amp;CurSym&amp;" "&amp;FIXED(INDEX($C$308:$J$308,MATCH(MAX($C$316:$J$316),$C$316:$J$316,0)),0))</f>
        <v/>
      </c>
      <c r="F282" s="94" t="n"/>
      <c r="G282" s="94" t="n"/>
      <c r="H282" s="94" t="n"/>
      <c r="I282" s="94" t="n"/>
      <c r="J282" s="63" t="n"/>
    </row>
    <row r="283">
      <c r="C283" s="95" t="inlineStr">
        <is>
          <t>Contractor 1</t>
        </is>
      </c>
      <c r="D283" s="63" t="n"/>
      <c r="E283" s="95" t="inlineStr">
        <is>
          <t>Contractor 2</t>
        </is>
      </c>
      <c r="F283" s="63" t="n"/>
      <c r="G283" s="95" t="inlineStr">
        <is>
          <t>Contractor 3</t>
        </is>
      </c>
      <c r="H283" s="63" t="n"/>
      <c r="I283" s="95" t="inlineStr">
        <is>
          <t>Contractor 4</t>
        </is>
      </c>
      <c r="J283" s="63" t="n"/>
    </row>
    <row r="284">
      <c r="B284" s="6" t="inlineStr">
        <is>
          <t>Contractor / company</t>
        </is>
      </c>
      <c r="C284" s="74" t="n"/>
      <c r="D284" s="96" t="n"/>
      <c r="E284" s="74" t="n"/>
      <c r="F284" s="96" t="n"/>
      <c r="G284" s="74" t="n"/>
      <c r="H284" s="96" t="n"/>
      <c r="I284" s="74" t="n"/>
      <c r="J284" s="96" t="n"/>
    </row>
    <row r="285">
      <c r="B285" s="97">
        <f>"Quoted price ("&amp;CurSym&amp;")"</f>
        <v/>
      </c>
      <c r="C285" s="98" t="n"/>
      <c r="D285" s="96" t="n"/>
      <c r="E285" s="98" t="n"/>
      <c r="F285" s="96" t="n"/>
      <c r="G285" s="98" t="n"/>
      <c r="H285" s="96" t="n"/>
      <c r="I285" s="98" t="n"/>
      <c r="J285" s="96" t="n"/>
    </row>
    <row r="286">
      <c r="B286" s="97">
        <f>"Price includes "&amp;TaxWord&amp;"?"</f>
        <v/>
      </c>
      <c r="C286" s="74">
        <f>DefInclTax</f>
        <v/>
      </c>
      <c r="D286" s="96" t="n"/>
      <c r="E286" s="74">
        <f>DefInclTax</f>
        <v/>
      </c>
      <c r="F286" s="96" t="n"/>
      <c r="G286" s="74">
        <f>DefInclTax</f>
        <v/>
      </c>
      <c r="H286" s="96" t="n"/>
      <c r="I286" s="74">
        <f>DefInclTax</f>
        <v/>
      </c>
      <c r="J286" s="96" t="n"/>
    </row>
    <row r="287">
      <c r="B287" s="97">
        <f>"Price incl. "&amp;TaxWord&amp;" ("&amp;CurSym&amp;")"</f>
        <v/>
      </c>
      <c r="C287" s="99">
        <f>IF(C285="","",IF(C286="No",C285*(1+VatRate),C285))</f>
        <v/>
      </c>
      <c r="D287" s="63" t="n"/>
      <c r="E287" s="99">
        <f>IF(E285="","",IF(E286="No",E285*(1+VatRate),E285))</f>
        <v/>
      </c>
      <c r="F287" s="63" t="n"/>
      <c r="G287" s="99">
        <f>IF(G285="","",IF(G286="No",G285*(1+VatRate),G285))</f>
        <v/>
      </c>
      <c r="H287" s="63" t="n"/>
      <c r="I287" s="99">
        <f>IF(I285="","",IF(I286="No",I285*(1+VatRate),I285))</f>
        <v/>
      </c>
      <c r="J287" s="63" t="n"/>
    </row>
    <row r="288">
      <c r="B288" s="19" t="inlineStr">
        <is>
          <t>Timeline (weeks)</t>
        </is>
      </c>
      <c r="C288" s="100" t="n"/>
      <c r="D288" s="96" t="n"/>
      <c r="E288" s="100" t="n"/>
      <c r="F288" s="96" t="n"/>
      <c r="G288" s="100" t="n"/>
      <c r="H288" s="96" t="n"/>
      <c r="I288" s="100" t="n"/>
      <c r="J288" s="96" t="n"/>
    </row>
    <row r="289">
      <c r="B289" s="19" t="inlineStr">
        <is>
          <t>Warranty (years)</t>
        </is>
      </c>
      <c r="C289" s="100" t="n"/>
      <c r="D289" s="96" t="n"/>
      <c r="E289" s="100" t="n"/>
      <c r="F289" s="96" t="n"/>
      <c r="G289" s="100" t="n"/>
      <c r="H289" s="96" t="n"/>
      <c r="I289" s="100" t="n"/>
      <c r="J289" s="96" t="n"/>
    </row>
    <row r="290">
      <c r="B290" s="19" t="inlineStr">
        <is>
          <t>References checked?</t>
        </is>
      </c>
      <c r="C290" s="74" t="n"/>
      <c r="D290" s="96" t="n"/>
      <c r="E290" s="74" t="n"/>
      <c r="F290" s="96" t="n"/>
      <c r="G290" s="74" t="n"/>
      <c r="H290" s="96" t="n"/>
      <c r="I290" s="74" t="n"/>
      <c r="J290" s="96" t="n"/>
    </row>
    <row r="291">
      <c r="B291" s="19" t="inlineStr">
        <is>
          <t>Gut feeling (1–5)</t>
        </is>
      </c>
      <c r="C291" s="89" t="n"/>
      <c r="D291" s="96" t="n"/>
      <c r="E291" s="89" t="n"/>
      <c r="F291" s="96" t="n"/>
      <c r="G291" s="89" t="n"/>
      <c r="H291" s="96" t="n"/>
      <c r="I291" s="89" t="n"/>
      <c r="J291" s="96" t="n"/>
    </row>
    <row r="292">
      <c r="B292" s="19" t="inlineStr">
        <is>
          <t>Quote valid until</t>
        </is>
      </c>
      <c r="C292" s="101" t="n"/>
      <c r="D292" s="96" t="n"/>
      <c r="E292" s="101" t="n"/>
      <c r="F292" s="96" t="n"/>
      <c r="G292" s="101" t="n"/>
      <c r="H292" s="96" t="n"/>
      <c r="I292" s="101" t="n"/>
      <c r="J292" s="96" t="n"/>
    </row>
    <row r="293">
      <c r="B293" s="80" t="inlineStr">
        <is>
          <t>HIDDEN-COST CHECKLIST</t>
        </is>
      </c>
      <c r="C293" s="95" t="inlineStr">
        <is>
          <t>Included?</t>
        </is>
      </c>
      <c r="D293" s="82">
        <f>"Extra "&amp;CurSym</f>
        <v/>
      </c>
      <c r="E293" s="95" t="inlineStr">
        <is>
          <t>Included?</t>
        </is>
      </c>
      <c r="F293" s="82">
        <f>"Extra "&amp;CurSym</f>
        <v/>
      </c>
      <c r="G293" s="95" t="inlineStr">
        <is>
          <t>Included?</t>
        </is>
      </c>
      <c r="H293" s="82">
        <f>"Extra "&amp;CurSym</f>
        <v/>
      </c>
      <c r="I293" s="95" t="inlineStr">
        <is>
          <t>Included?</t>
        </is>
      </c>
      <c r="J293" s="82">
        <f>"Extra "&amp;CurSym</f>
        <v/>
      </c>
    </row>
    <row r="294">
      <c r="B294" s="19" t="inlineStr">
        <is>
          <t>Demolition</t>
        </is>
      </c>
      <c r="C294" s="74" t="n"/>
      <c r="D294" s="73" t="n"/>
      <c r="E294" s="74" t="n"/>
      <c r="F294" s="73" t="n"/>
      <c r="G294" s="74" t="n"/>
      <c r="H294" s="73" t="n"/>
      <c r="I294" s="74" t="n"/>
      <c r="J294" s="73" t="n"/>
    </row>
    <row r="295">
      <c r="B295" s="19" t="inlineStr">
        <is>
          <t>Waste disposal</t>
        </is>
      </c>
      <c r="C295" s="74" t="n"/>
      <c r="D295" s="73" t="n"/>
      <c r="E295" s="74" t="n"/>
      <c r="F295" s="73" t="n"/>
      <c r="G295" s="74" t="n"/>
      <c r="H295" s="73" t="n"/>
      <c r="I295" s="74" t="n"/>
      <c r="J295" s="73" t="n"/>
    </row>
    <row r="296">
      <c r="B296" s="19" t="inlineStr">
        <is>
          <t>Delivery</t>
        </is>
      </c>
      <c r="C296" s="74" t="n"/>
      <c r="D296" s="73" t="n"/>
      <c r="E296" s="74" t="n"/>
      <c r="F296" s="73" t="n"/>
      <c r="G296" s="74" t="n"/>
      <c r="H296" s="73" t="n"/>
      <c r="I296" s="74" t="n"/>
      <c r="J296" s="73" t="n"/>
    </row>
    <row r="297">
      <c r="B297" s="19" t="inlineStr">
        <is>
          <t>Permits</t>
        </is>
      </c>
      <c r="C297" s="74" t="n"/>
      <c r="D297" s="73" t="n"/>
      <c r="E297" s="74" t="n"/>
      <c r="F297" s="73" t="n"/>
      <c r="G297" s="74" t="n"/>
      <c r="H297" s="73" t="n"/>
      <c r="I297" s="74" t="n"/>
      <c r="J297" s="73" t="n"/>
    </row>
    <row r="298">
      <c r="B298" s="19" t="inlineStr">
        <is>
          <t>Materials specified</t>
        </is>
      </c>
      <c r="C298" s="74" t="n"/>
      <c r="D298" s="73" t="n"/>
      <c r="E298" s="74" t="n"/>
      <c r="F298" s="73" t="n"/>
      <c r="G298" s="74" t="n"/>
      <c r="H298" s="73" t="n"/>
      <c r="I298" s="74" t="n"/>
      <c r="J298" s="73" t="n"/>
    </row>
    <row r="299">
      <c r="B299" s="19" t="inlineStr">
        <is>
          <t>Labor specified</t>
        </is>
      </c>
      <c r="C299" s="74" t="n"/>
      <c r="D299" s="73" t="n"/>
      <c r="E299" s="74" t="n"/>
      <c r="F299" s="73" t="n"/>
      <c r="G299" s="74" t="n"/>
      <c r="H299" s="73" t="n"/>
      <c r="I299" s="74" t="n"/>
      <c r="J299" s="73" t="n"/>
    </row>
    <row r="300">
      <c r="B300" s="19" t="inlineStr">
        <is>
          <t>Finishing</t>
        </is>
      </c>
      <c r="C300" s="74" t="n"/>
      <c r="D300" s="73" t="n"/>
      <c r="E300" s="74" t="n"/>
      <c r="F300" s="73" t="n"/>
      <c r="G300" s="74" t="n"/>
      <c r="H300" s="73" t="n"/>
      <c r="I300" s="74" t="n"/>
      <c r="J300" s="73" t="n"/>
    </row>
    <row r="301">
      <c r="B301" s="19" t="inlineStr">
        <is>
          <t>Cleanup</t>
        </is>
      </c>
      <c r="C301" s="74" t="n"/>
      <c r="D301" s="73" t="n"/>
      <c r="E301" s="74" t="n"/>
      <c r="F301" s="73" t="n"/>
      <c r="G301" s="74" t="n"/>
      <c r="H301" s="73" t="n"/>
      <c r="I301" s="74" t="n"/>
      <c r="J301" s="73" t="n"/>
    </row>
    <row r="302">
      <c r="B302" s="97">
        <f>TaxWord&amp;" shown in price"</f>
        <v/>
      </c>
      <c r="C302" s="74" t="n"/>
      <c r="D302" s="73" t="n"/>
      <c r="E302" s="74" t="n"/>
      <c r="F302" s="73" t="n"/>
      <c r="G302" s="74" t="n"/>
      <c r="H302" s="73" t="n"/>
      <c r="I302" s="74" t="n"/>
      <c r="J302" s="73" t="n"/>
    </row>
    <row r="303">
      <c r="B303" s="19" t="inlineStr">
        <is>
          <t>Electrical upgrades</t>
        </is>
      </c>
      <c r="C303" s="74" t="n"/>
      <c r="D303" s="73" t="n"/>
      <c r="E303" s="74" t="n"/>
      <c r="F303" s="73" t="n"/>
      <c r="G303" s="74" t="n"/>
      <c r="H303" s="73" t="n"/>
      <c r="I303" s="74" t="n"/>
      <c r="J303" s="73" t="n"/>
    </row>
    <row r="304">
      <c r="B304" s="19" t="inlineStr">
        <is>
          <t>Plumbing modifications</t>
        </is>
      </c>
      <c r="C304" s="74" t="n"/>
      <c r="D304" s="73" t="n"/>
      <c r="E304" s="74" t="n"/>
      <c r="F304" s="73" t="n"/>
      <c r="G304" s="74" t="n"/>
      <c r="H304" s="73" t="n"/>
      <c r="I304" s="74" t="n"/>
      <c r="J304" s="73" t="n"/>
    </row>
    <row r="305">
      <c r="B305" s="19" t="inlineStr">
        <is>
          <t>Payment schedule defined</t>
        </is>
      </c>
      <c r="C305" s="74" t="n"/>
      <c r="D305" s="73" t="n"/>
      <c r="E305" s="74" t="n"/>
      <c r="F305" s="73" t="n"/>
      <c r="G305" s="74" t="n"/>
      <c r="H305" s="73" t="n"/>
      <c r="I305" s="74" t="n"/>
      <c r="J305" s="73" t="n"/>
    </row>
    <row r="306">
      <c r="B306" s="19" t="inlineStr">
        <is>
          <t>Warranty in writing</t>
        </is>
      </c>
      <c r="C306" s="74" t="n"/>
      <c r="D306" s="73" t="n"/>
      <c r="E306" s="74" t="n"/>
      <c r="F306" s="73" t="n"/>
      <c r="G306" s="74" t="n"/>
      <c r="H306" s="73" t="n"/>
      <c r="I306" s="74" t="n"/>
      <c r="J306" s="73" t="n"/>
    </row>
    <row r="307">
      <c r="B307" s="97">
        <f>"Hidden extras ("&amp;CurSym&amp;")"</f>
        <v/>
      </c>
      <c r="C307" s="99">
        <f>IF(C284="","",SUMPRODUCT((C294:C306&lt;&gt;"Included")*D294:D306))</f>
        <v/>
      </c>
      <c r="D307" s="63" t="n"/>
      <c r="E307" s="99">
        <f>IF(E284="","",SUMPRODUCT((E294:E306&lt;&gt;"Included")*F294:F306))</f>
        <v/>
      </c>
      <c r="F307" s="63" t="n"/>
      <c r="G307" s="99">
        <f>IF(G284="","",SUMPRODUCT((G294:G306&lt;&gt;"Included")*H294:H306))</f>
        <v/>
      </c>
      <c r="H307" s="63" t="n"/>
      <c r="I307" s="99">
        <f>IF(I284="","",SUMPRODUCT((I294:I306&lt;&gt;"Included")*J294:J306))</f>
        <v/>
      </c>
      <c r="J307" s="63" t="n"/>
    </row>
    <row r="308">
      <c r="B308" s="13">
        <f>"TRUE COST ("&amp;CurSym&amp;")"</f>
        <v/>
      </c>
      <c r="C308" s="102">
        <f>IF(OR(C284="",C287=""),"",C287+C307)</f>
        <v/>
      </c>
      <c r="D308" s="63" t="n"/>
      <c r="E308" s="102">
        <f>IF(OR(E284="",E287=""),"",E287+E307)</f>
        <v/>
      </c>
      <c r="F308" s="63" t="n"/>
      <c r="G308" s="102">
        <f>IF(OR(G284="",G287=""),"",G287+G307)</f>
        <v/>
      </c>
      <c r="H308" s="63" t="n"/>
      <c r="I308" s="102">
        <f>IF(OR(I284="",I287=""),"",I287+I307)</f>
        <v/>
      </c>
      <c r="J308" s="63" t="n"/>
    </row>
    <row r="309">
      <c r="B309" s="19" t="inlineStr">
        <is>
          <t>Completeness</t>
        </is>
      </c>
      <c r="C309" s="103">
        <f>IF(C284="","",COUNTIF(C294:C306,"Included")/13)</f>
        <v/>
      </c>
      <c r="D309" s="63" t="n"/>
      <c r="E309" s="103">
        <f>IF(E284="","",COUNTIF(E294:E306,"Included")/13)</f>
        <v/>
      </c>
      <c r="F309" s="63" t="n"/>
      <c r="G309" s="103">
        <f>IF(G284="","",COUNTIF(G294:G306,"Included")/13)</f>
        <v/>
      </c>
      <c r="H309" s="63" t="n"/>
      <c r="I309" s="103">
        <f>IF(I284="","",COUNTIF(I294:I306,"Included")/13)</f>
        <v/>
      </c>
      <c r="J309" s="63" t="n"/>
    </row>
    <row r="310">
      <c r="B310" s="80" t="inlineStr">
        <is>
          <t>SCORE</t>
        </is>
      </c>
    </row>
    <row r="311">
      <c r="B311" s="19" t="inlineStr">
        <is>
          <t>Price points</t>
        </is>
      </c>
      <c r="C311" s="104">
        <f>IF(C308="","",IF(C308&gt;0,MIN($C308:$J308)/C308,0)*WPrice)</f>
        <v/>
      </c>
      <c r="D311" s="63" t="n"/>
      <c r="E311" s="104">
        <f>IF(E308="","",IF(E308&gt;0,MIN($C308:$J308)/E308,0)*WPrice)</f>
        <v/>
      </c>
      <c r="F311" s="63" t="n"/>
      <c r="G311" s="104">
        <f>IF(G308="","",IF(G308&gt;0,MIN($C308:$J308)/G308,0)*WPrice)</f>
        <v/>
      </c>
      <c r="H311" s="63" t="n"/>
      <c r="I311" s="104">
        <f>IF(I308="","",IF(I308&gt;0,MIN($C308:$J308)/I308,0)*WPrice)</f>
        <v/>
      </c>
      <c r="J311" s="63" t="n"/>
    </row>
    <row r="312">
      <c r="B312" s="19" t="inlineStr">
        <is>
          <t>Timeline points</t>
        </is>
      </c>
      <c r="C312" s="104">
        <f>IF(C308="","",IF(C288&gt;0,MIN($C288:$J288)/C288,0)*WTime)</f>
        <v/>
      </c>
      <c r="D312" s="63" t="n"/>
      <c r="E312" s="104">
        <f>IF(E308="","",IF(E288&gt;0,MIN($C288:$J288)/E288,0)*WTime)</f>
        <v/>
      </c>
      <c r="F312" s="63" t="n"/>
      <c r="G312" s="104">
        <f>IF(G308="","",IF(G288&gt;0,MIN($C288:$J288)/G288,0)*WTime)</f>
        <v/>
      </c>
      <c r="H312" s="63" t="n"/>
      <c r="I312" s="104">
        <f>IF(I308="","",IF(I288&gt;0,MIN($C288:$J288)/I288,0)*WTime)</f>
        <v/>
      </c>
      <c r="J312" s="63" t="n"/>
    </row>
    <row r="313">
      <c r="B313" s="19" t="inlineStr">
        <is>
          <t>Warranty points</t>
        </is>
      </c>
      <c r="C313" s="104">
        <f>IF(C308="","",IF(MAX($C289:$J289)&gt;0,C289/MAX($C289:$J289),0)*WWar)</f>
        <v/>
      </c>
      <c r="D313" s="63" t="n"/>
      <c r="E313" s="104">
        <f>IF(E308="","",IF(MAX($C289:$J289)&gt;0,E289/MAX($C289:$J289),0)*WWar)</f>
        <v/>
      </c>
      <c r="F313" s="63" t="n"/>
      <c r="G313" s="104">
        <f>IF(G308="","",IF(MAX($C289:$J289)&gt;0,G289/MAX($C289:$J289),0)*WWar)</f>
        <v/>
      </c>
      <c r="H313" s="63" t="n"/>
      <c r="I313" s="104">
        <f>IF(I308="","",IF(MAX($C289:$J289)&gt;0,I289/MAX($C289:$J289),0)*WWar)</f>
        <v/>
      </c>
      <c r="J313" s="63" t="n"/>
    </row>
    <row r="314">
      <c r="B314" s="19" t="inlineStr">
        <is>
          <t>Completeness points</t>
        </is>
      </c>
      <c r="C314" s="104">
        <f>IF(C308="","",C309*WComp)</f>
        <v/>
      </c>
      <c r="D314" s="63" t="n"/>
      <c r="E314" s="104">
        <f>IF(E308="","",E309*WComp)</f>
        <v/>
      </c>
      <c r="F314" s="63" t="n"/>
      <c r="G314" s="104">
        <f>IF(G308="","",G309*WComp)</f>
        <v/>
      </c>
      <c r="H314" s="63" t="n"/>
      <c r="I314" s="104">
        <f>IF(I308="","",I309*WComp)</f>
        <v/>
      </c>
      <c r="J314" s="63" t="n"/>
    </row>
    <row r="315">
      <c r="B315" s="19" t="inlineStr">
        <is>
          <t>Gut &amp; references points</t>
        </is>
      </c>
      <c r="C315" s="104">
        <f>IF(C308="","",(IF(C291="",0,C291/5)*0.7+IF(C290="Yes",0.3,0))*WGut)</f>
        <v/>
      </c>
      <c r="D315" s="63" t="n"/>
      <c r="E315" s="104">
        <f>IF(E308="","",(IF(E291="",0,E291/5)*0.7+IF(E290="Yes",0.3,0))*WGut)</f>
        <v/>
      </c>
      <c r="F315" s="63" t="n"/>
      <c r="G315" s="104">
        <f>IF(G308="","",(IF(G291="",0,G291/5)*0.7+IF(G290="Yes",0.3,0))*WGut)</f>
        <v/>
      </c>
      <c r="H315" s="63" t="n"/>
      <c r="I315" s="104">
        <f>IF(I308="","",(IF(I291="",0,I291/5)*0.7+IF(I290="Yes",0.3,0))*WGut)</f>
        <v/>
      </c>
      <c r="J315" s="63" t="n"/>
    </row>
    <row r="316">
      <c r="B316" s="6" t="inlineStr">
        <is>
          <t>TOTAL SCORE</t>
        </is>
      </c>
      <c r="C316" s="105">
        <f>IF(C308="","",ROUND(SUM(C311:C315),1))</f>
        <v/>
      </c>
      <c r="D316" s="63" t="n"/>
      <c r="E316" s="105">
        <f>IF(E308="","",ROUND(SUM(E311:E315),1))</f>
        <v/>
      </c>
      <c r="F316" s="63" t="n"/>
      <c r="G316" s="105">
        <f>IF(G308="","",ROUND(SUM(G311:G315),1))</f>
        <v/>
      </c>
      <c r="H316" s="63" t="n"/>
      <c r="I316" s="105">
        <f>IF(I308="","",ROUND(SUM(I311:I315),1))</f>
        <v/>
      </c>
      <c r="J316" s="63" t="n"/>
    </row>
    <row r="317">
      <c r="B317" s="6" t="inlineStr">
        <is>
          <t>Ranking</t>
        </is>
      </c>
      <c r="C317" s="106">
        <f>IF(C316="","",IF(C316=MAX($C316:$J316),"🏆 WINNER","#"&amp;(1+COUNTIF($C316:$J316,"&gt;"&amp;C316))))</f>
        <v/>
      </c>
      <c r="D317" s="63" t="n"/>
      <c r="E317" s="106">
        <f>IF(E316="","",IF(E316=MAX($C316:$J316),"🏆 WINNER","#"&amp;(1+COUNTIF($C316:$J316,"&gt;"&amp;E316))))</f>
        <v/>
      </c>
      <c r="F317" s="63" t="n"/>
      <c r="G317" s="106">
        <f>IF(G316="","",IF(G316=MAX($C316:$J316),"🏆 WINNER","#"&amp;(1+COUNTIF($C316:$J316,"&gt;"&amp;G316))))</f>
        <v/>
      </c>
      <c r="H317" s="63" t="n"/>
      <c r="I317" s="106">
        <f>IF(I316="","",IF(I316=MAX($C316:$J316),"🏆 WINNER","#"&amp;(1+COUNTIF($C316:$J316,"&gt;"&amp;I316))))</f>
        <v/>
      </c>
      <c r="J317" s="63" t="n"/>
    </row>
    <row r="318" ht="26" customHeight="1">
      <c r="B318" s="107">
        <f>IF(COUNT($C308:$J308)&lt;2,"",IF(INDEX($C284:$J284,MATCH(MIN($C287:$J287),$C287:$J287,0))&lt;&gt;INDEX($C284:$J284,MATCH(MIN($C308:$J308),$C308:$J308,0)),"⚠️ Hidden costs change the ranking! Cheapest quoted price: "&amp;INDEX($C284:$J284,MATCH(MIN($C287:$J287),$C287:$J287,0))&amp;"  →  cheapest TRUE cost: "&amp;INDEX($C284:$J284,MATCH(MIN($C308:$J308),$C308:$J308,0)),"✓ The cheapest quote is also the cheapest true cost."))</f>
        <v/>
      </c>
      <c r="P318" s="46">
        <f>IF(B318="",0,IF(LEFT(B318,1)="✓",0,1))</f>
        <v/>
      </c>
    </row>
    <row r="319"/>
    <row r="320"/>
    <row r="321" ht="28" customHeight="1">
      <c r="B321" s="91" t="inlineStr">
        <is>
          <t>COMPARISON 9  ▸  trade:</t>
        </is>
      </c>
      <c r="C321" s="92" t="n"/>
      <c r="D321" s="91" t="n"/>
      <c r="E321" s="93">
        <f>IF(COUNT($C$355:$J$355)=0,"Enter up to 4 quotes below","🏆 Best overall: "&amp;INDEX($C$323:$J$323,MATCH(MAX($C$355:$J$355),$C$355:$J$355,0))&amp;"  —  true cost "&amp;CurSym&amp;" "&amp;FIXED(INDEX($C$347:$J$347,MATCH(MAX($C$355:$J$355),$C$355:$J$355,0)),0))</f>
        <v/>
      </c>
      <c r="F321" s="94" t="n"/>
      <c r="G321" s="94" t="n"/>
      <c r="H321" s="94" t="n"/>
      <c r="I321" s="94" t="n"/>
      <c r="J321" s="63" t="n"/>
    </row>
    <row r="322">
      <c r="C322" s="95" t="inlineStr">
        <is>
          <t>Contractor 1</t>
        </is>
      </c>
      <c r="D322" s="63" t="n"/>
      <c r="E322" s="95" t="inlineStr">
        <is>
          <t>Contractor 2</t>
        </is>
      </c>
      <c r="F322" s="63" t="n"/>
      <c r="G322" s="95" t="inlineStr">
        <is>
          <t>Contractor 3</t>
        </is>
      </c>
      <c r="H322" s="63" t="n"/>
      <c r="I322" s="95" t="inlineStr">
        <is>
          <t>Contractor 4</t>
        </is>
      </c>
      <c r="J322" s="63" t="n"/>
    </row>
    <row r="323">
      <c r="B323" s="6" t="inlineStr">
        <is>
          <t>Contractor / company</t>
        </is>
      </c>
      <c r="C323" s="74" t="n"/>
      <c r="D323" s="96" t="n"/>
      <c r="E323" s="74" t="n"/>
      <c r="F323" s="96" t="n"/>
      <c r="G323" s="74" t="n"/>
      <c r="H323" s="96" t="n"/>
      <c r="I323" s="74" t="n"/>
      <c r="J323" s="96" t="n"/>
    </row>
    <row r="324">
      <c r="B324" s="97">
        <f>"Quoted price ("&amp;CurSym&amp;")"</f>
        <v/>
      </c>
      <c r="C324" s="98" t="n"/>
      <c r="D324" s="96" t="n"/>
      <c r="E324" s="98" t="n"/>
      <c r="F324" s="96" t="n"/>
      <c r="G324" s="98" t="n"/>
      <c r="H324" s="96" t="n"/>
      <c r="I324" s="98" t="n"/>
      <c r="J324" s="96" t="n"/>
    </row>
    <row r="325">
      <c r="B325" s="97">
        <f>"Price includes "&amp;TaxWord&amp;"?"</f>
        <v/>
      </c>
      <c r="C325" s="74">
        <f>DefInclTax</f>
        <v/>
      </c>
      <c r="D325" s="96" t="n"/>
      <c r="E325" s="74">
        <f>DefInclTax</f>
        <v/>
      </c>
      <c r="F325" s="96" t="n"/>
      <c r="G325" s="74">
        <f>DefInclTax</f>
        <v/>
      </c>
      <c r="H325" s="96" t="n"/>
      <c r="I325" s="74">
        <f>DefInclTax</f>
        <v/>
      </c>
      <c r="J325" s="96" t="n"/>
    </row>
    <row r="326">
      <c r="B326" s="97">
        <f>"Price incl. "&amp;TaxWord&amp;" ("&amp;CurSym&amp;")"</f>
        <v/>
      </c>
      <c r="C326" s="99">
        <f>IF(C324="","",IF(C325="No",C324*(1+VatRate),C324))</f>
        <v/>
      </c>
      <c r="D326" s="63" t="n"/>
      <c r="E326" s="99">
        <f>IF(E324="","",IF(E325="No",E324*(1+VatRate),E324))</f>
        <v/>
      </c>
      <c r="F326" s="63" t="n"/>
      <c r="G326" s="99">
        <f>IF(G324="","",IF(G325="No",G324*(1+VatRate),G324))</f>
        <v/>
      </c>
      <c r="H326" s="63" t="n"/>
      <c r="I326" s="99">
        <f>IF(I324="","",IF(I325="No",I324*(1+VatRate),I324))</f>
        <v/>
      </c>
      <c r="J326" s="63" t="n"/>
    </row>
    <row r="327">
      <c r="B327" s="19" t="inlineStr">
        <is>
          <t>Timeline (weeks)</t>
        </is>
      </c>
      <c r="C327" s="100" t="n"/>
      <c r="D327" s="96" t="n"/>
      <c r="E327" s="100" t="n"/>
      <c r="F327" s="96" t="n"/>
      <c r="G327" s="100" t="n"/>
      <c r="H327" s="96" t="n"/>
      <c r="I327" s="100" t="n"/>
      <c r="J327" s="96" t="n"/>
    </row>
    <row r="328">
      <c r="B328" s="19" t="inlineStr">
        <is>
          <t>Warranty (years)</t>
        </is>
      </c>
      <c r="C328" s="100" t="n"/>
      <c r="D328" s="96" t="n"/>
      <c r="E328" s="100" t="n"/>
      <c r="F328" s="96" t="n"/>
      <c r="G328" s="100" t="n"/>
      <c r="H328" s="96" t="n"/>
      <c r="I328" s="100" t="n"/>
      <c r="J328" s="96" t="n"/>
    </row>
    <row r="329">
      <c r="B329" s="19" t="inlineStr">
        <is>
          <t>References checked?</t>
        </is>
      </c>
      <c r="C329" s="74" t="n"/>
      <c r="D329" s="96" t="n"/>
      <c r="E329" s="74" t="n"/>
      <c r="F329" s="96" t="n"/>
      <c r="G329" s="74" t="n"/>
      <c r="H329" s="96" t="n"/>
      <c r="I329" s="74" t="n"/>
      <c r="J329" s="96" t="n"/>
    </row>
    <row r="330">
      <c r="B330" s="19" t="inlineStr">
        <is>
          <t>Gut feeling (1–5)</t>
        </is>
      </c>
      <c r="C330" s="89" t="n"/>
      <c r="D330" s="96" t="n"/>
      <c r="E330" s="89" t="n"/>
      <c r="F330" s="96" t="n"/>
      <c r="G330" s="89" t="n"/>
      <c r="H330" s="96" t="n"/>
      <c r="I330" s="89" t="n"/>
      <c r="J330" s="96" t="n"/>
    </row>
    <row r="331">
      <c r="B331" s="19" t="inlineStr">
        <is>
          <t>Quote valid until</t>
        </is>
      </c>
      <c r="C331" s="101" t="n"/>
      <c r="D331" s="96" t="n"/>
      <c r="E331" s="101" t="n"/>
      <c r="F331" s="96" t="n"/>
      <c r="G331" s="101" t="n"/>
      <c r="H331" s="96" t="n"/>
      <c r="I331" s="101" t="n"/>
      <c r="J331" s="96" t="n"/>
    </row>
    <row r="332">
      <c r="B332" s="80" t="inlineStr">
        <is>
          <t>HIDDEN-COST CHECKLIST</t>
        </is>
      </c>
      <c r="C332" s="95" t="inlineStr">
        <is>
          <t>Included?</t>
        </is>
      </c>
      <c r="D332" s="82">
        <f>"Extra "&amp;CurSym</f>
        <v/>
      </c>
      <c r="E332" s="95" t="inlineStr">
        <is>
          <t>Included?</t>
        </is>
      </c>
      <c r="F332" s="82">
        <f>"Extra "&amp;CurSym</f>
        <v/>
      </c>
      <c r="G332" s="95" t="inlineStr">
        <is>
          <t>Included?</t>
        </is>
      </c>
      <c r="H332" s="82">
        <f>"Extra "&amp;CurSym</f>
        <v/>
      </c>
      <c r="I332" s="95" t="inlineStr">
        <is>
          <t>Included?</t>
        </is>
      </c>
      <c r="J332" s="82">
        <f>"Extra "&amp;CurSym</f>
        <v/>
      </c>
    </row>
    <row r="333">
      <c r="B333" s="19" t="inlineStr">
        <is>
          <t>Demolition</t>
        </is>
      </c>
      <c r="C333" s="74" t="n"/>
      <c r="D333" s="73" t="n"/>
      <c r="E333" s="74" t="n"/>
      <c r="F333" s="73" t="n"/>
      <c r="G333" s="74" t="n"/>
      <c r="H333" s="73" t="n"/>
      <c r="I333" s="74" t="n"/>
      <c r="J333" s="73" t="n"/>
    </row>
    <row r="334">
      <c r="B334" s="19" t="inlineStr">
        <is>
          <t>Waste disposal</t>
        </is>
      </c>
      <c r="C334" s="74" t="n"/>
      <c r="D334" s="73" t="n"/>
      <c r="E334" s="74" t="n"/>
      <c r="F334" s="73" t="n"/>
      <c r="G334" s="74" t="n"/>
      <c r="H334" s="73" t="n"/>
      <c r="I334" s="74" t="n"/>
      <c r="J334" s="73" t="n"/>
    </row>
    <row r="335">
      <c r="B335" s="19" t="inlineStr">
        <is>
          <t>Delivery</t>
        </is>
      </c>
      <c r="C335" s="74" t="n"/>
      <c r="D335" s="73" t="n"/>
      <c r="E335" s="74" t="n"/>
      <c r="F335" s="73" t="n"/>
      <c r="G335" s="74" t="n"/>
      <c r="H335" s="73" t="n"/>
      <c r="I335" s="74" t="n"/>
      <c r="J335" s="73" t="n"/>
    </row>
    <row r="336">
      <c r="B336" s="19" t="inlineStr">
        <is>
          <t>Permits</t>
        </is>
      </c>
      <c r="C336" s="74" t="n"/>
      <c r="D336" s="73" t="n"/>
      <c r="E336" s="74" t="n"/>
      <c r="F336" s="73" t="n"/>
      <c r="G336" s="74" t="n"/>
      <c r="H336" s="73" t="n"/>
      <c r="I336" s="74" t="n"/>
      <c r="J336" s="73" t="n"/>
    </row>
    <row r="337">
      <c r="B337" s="19" t="inlineStr">
        <is>
          <t>Materials specified</t>
        </is>
      </c>
      <c r="C337" s="74" t="n"/>
      <c r="D337" s="73" t="n"/>
      <c r="E337" s="74" t="n"/>
      <c r="F337" s="73" t="n"/>
      <c r="G337" s="74" t="n"/>
      <c r="H337" s="73" t="n"/>
      <c r="I337" s="74" t="n"/>
      <c r="J337" s="73" t="n"/>
    </row>
    <row r="338">
      <c r="B338" s="19" t="inlineStr">
        <is>
          <t>Labor specified</t>
        </is>
      </c>
      <c r="C338" s="74" t="n"/>
      <c r="D338" s="73" t="n"/>
      <c r="E338" s="74" t="n"/>
      <c r="F338" s="73" t="n"/>
      <c r="G338" s="74" t="n"/>
      <c r="H338" s="73" t="n"/>
      <c r="I338" s="74" t="n"/>
      <c r="J338" s="73" t="n"/>
    </row>
    <row r="339">
      <c r="B339" s="19" t="inlineStr">
        <is>
          <t>Finishing</t>
        </is>
      </c>
      <c r="C339" s="74" t="n"/>
      <c r="D339" s="73" t="n"/>
      <c r="E339" s="74" t="n"/>
      <c r="F339" s="73" t="n"/>
      <c r="G339" s="74" t="n"/>
      <c r="H339" s="73" t="n"/>
      <c r="I339" s="74" t="n"/>
      <c r="J339" s="73" t="n"/>
    </row>
    <row r="340">
      <c r="B340" s="19" t="inlineStr">
        <is>
          <t>Cleanup</t>
        </is>
      </c>
      <c r="C340" s="74" t="n"/>
      <c r="D340" s="73" t="n"/>
      <c r="E340" s="74" t="n"/>
      <c r="F340" s="73" t="n"/>
      <c r="G340" s="74" t="n"/>
      <c r="H340" s="73" t="n"/>
      <c r="I340" s="74" t="n"/>
      <c r="J340" s="73" t="n"/>
    </row>
    <row r="341">
      <c r="B341" s="97">
        <f>TaxWord&amp;" shown in price"</f>
        <v/>
      </c>
      <c r="C341" s="74" t="n"/>
      <c r="D341" s="73" t="n"/>
      <c r="E341" s="74" t="n"/>
      <c r="F341" s="73" t="n"/>
      <c r="G341" s="74" t="n"/>
      <c r="H341" s="73" t="n"/>
      <c r="I341" s="74" t="n"/>
      <c r="J341" s="73" t="n"/>
    </row>
    <row r="342">
      <c r="B342" s="19" t="inlineStr">
        <is>
          <t>Electrical upgrades</t>
        </is>
      </c>
      <c r="C342" s="74" t="n"/>
      <c r="D342" s="73" t="n"/>
      <c r="E342" s="74" t="n"/>
      <c r="F342" s="73" t="n"/>
      <c r="G342" s="74" t="n"/>
      <c r="H342" s="73" t="n"/>
      <c r="I342" s="74" t="n"/>
      <c r="J342" s="73" t="n"/>
    </row>
    <row r="343">
      <c r="B343" s="19" t="inlineStr">
        <is>
          <t>Plumbing modifications</t>
        </is>
      </c>
      <c r="C343" s="74" t="n"/>
      <c r="D343" s="73" t="n"/>
      <c r="E343" s="74" t="n"/>
      <c r="F343" s="73" t="n"/>
      <c r="G343" s="74" t="n"/>
      <c r="H343" s="73" t="n"/>
      <c r="I343" s="74" t="n"/>
      <c r="J343" s="73" t="n"/>
    </row>
    <row r="344">
      <c r="B344" s="19" t="inlineStr">
        <is>
          <t>Payment schedule defined</t>
        </is>
      </c>
      <c r="C344" s="74" t="n"/>
      <c r="D344" s="73" t="n"/>
      <c r="E344" s="74" t="n"/>
      <c r="F344" s="73" t="n"/>
      <c r="G344" s="74" t="n"/>
      <c r="H344" s="73" t="n"/>
      <c r="I344" s="74" t="n"/>
      <c r="J344" s="73" t="n"/>
    </row>
    <row r="345">
      <c r="B345" s="19" t="inlineStr">
        <is>
          <t>Warranty in writing</t>
        </is>
      </c>
      <c r="C345" s="74" t="n"/>
      <c r="D345" s="73" t="n"/>
      <c r="E345" s="74" t="n"/>
      <c r="F345" s="73" t="n"/>
      <c r="G345" s="74" t="n"/>
      <c r="H345" s="73" t="n"/>
      <c r="I345" s="74" t="n"/>
      <c r="J345" s="73" t="n"/>
    </row>
    <row r="346">
      <c r="B346" s="97">
        <f>"Hidden extras ("&amp;CurSym&amp;")"</f>
        <v/>
      </c>
      <c r="C346" s="99">
        <f>IF(C323="","",SUMPRODUCT((C333:C345&lt;&gt;"Included")*D333:D345))</f>
        <v/>
      </c>
      <c r="D346" s="63" t="n"/>
      <c r="E346" s="99">
        <f>IF(E323="","",SUMPRODUCT((E333:E345&lt;&gt;"Included")*F333:F345))</f>
        <v/>
      </c>
      <c r="F346" s="63" t="n"/>
      <c r="G346" s="99">
        <f>IF(G323="","",SUMPRODUCT((G333:G345&lt;&gt;"Included")*H333:H345))</f>
        <v/>
      </c>
      <c r="H346" s="63" t="n"/>
      <c r="I346" s="99">
        <f>IF(I323="","",SUMPRODUCT((I333:I345&lt;&gt;"Included")*J333:J345))</f>
        <v/>
      </c>
      <c r="J346" s="63" t="n"/>
    </row>
    <row r="347">
      <c r="B347" s="13">
        <f>"TRUE COST ("&amp;CurSym&amp;")"</f>
        <v/>
      </c>
      <c r="C347" s="102">
        <f>IF(OR(C323="",C326=""),"",C326+C346)</f>
        <v/>
      </c>
      <c r="D347" s="63" t="n"/>
      <c r="E347" s="102">
        <f>IF(OR(E323="",E326=""),"",E326+E346)</f>
        <v/>
      </c>
      <c r="F347" s="63" t="n"/>
      <c r="G347" s="102">
        <f>IF(OR(G323="",G326=""),"",G326+G346)</f>
        <v/>
      </c>
      <c r="H347" s="63" t="n"/>
      <c r="I347" s="102">
        <f>IF(OR(I323="",I326=""),"",I326+I346)</f>
        <v/>
      </c>
      <c r="J347" s="63" t="n"/>
    </row>
    <row r="348">
      <c r="B348" s="19" t="inlineStr">
        <is>
          <t>Completeness</t>
        </is>
      </c>
      <c r="C348" s="103">
        <f>IF(C323="","",COUNTIF(C333:C345,"Included")/13)</f>
        <v/>
      </c>
      <c r="D348" s="63" t="n"/>
      <c r="E348" s="103">
        <f>IF(E323="","",COUNTIF(E333:E345,"Included")/13)</f>
        <v/>
      </c>
      <c r="F348" s="63" t="n"/>
      <c r="G348" s="103">
        <f>IF(G323="","",COUNTIF(G333:G345,"Included")/13)</f>
        <v/>
      </c>
      <c r="H348" s="63" t="n"/>
      <c r="I348" s="103">
        <f>IF(I323="","",COUNTIF(I333:I345,"Included")/13)</f>
        <v/>
      </c>
      <c r="J348" s="63" t="n"/>
    </row>
    <row r="349">
      <c r="B349" s="80" t="inlineStr">
        <is>
          <t>SCORE</t>
        </is>
      </c>
    </row>
    <row r="350">
      <c r="B350" s="19" t="inlineStr">
        <is>
          <t>Price points</t>
        </is>
      </c>
      <c r="C350" s="104">
        <f>IF(C347="","",IF(C347&gt;0,MIN($C347:$J347)/C347,0)*WPrice)</f>
        <v/>
      </c>
      <c r="D350" s="63" t="n"/>
      <c r="E350" s="104">
        <f>IF(E347="","",IF(E347&gt;0,MIN($C347:$J347)/E347,0)*WPrice)</f>
        <v/>
      </c>
      <c r="F350" s="63" t="n"/>
      <c r="G350" s="104">
        <f>IF(G347="","",IF(G347&gt;0,MIN($C347:$J347)/G347,0)*WPrice)</f>
        <v/>
      </c>
      <c r="H350" s="63" t="n"/>
      <c r="I350" s="104">
        <f>IF(I347="","",IF(I347&gt;0,MIN($C347:$J347)/I347,0)*WPrice)</f>
        <v/>
      </c>
      <c r="J350" s="63" t="n"/>
    </row>
    <row r="351">
      <c r="B351" s="19" t="inlineStr">
        <is>
          <t>Timeline points</t>
        </is>
      </c>
      <c r="C351" s="104">
        <f>IF(C347="","",IF(C327&gt;0,MIN($C327:$J327)/C327,0)*WTime)</f>
        <v/>
      </c>
      <c r="D351" s="63" t="n"/>
      <c r="E351" s="104">
        <f>IF(E347="","",IF(E327&gt;0,MIN($C327:$J327)/E327,0)*WTime)</f>
        <v/>
      </c>
      <c r="F351" s="63" t="n"/>
      <c r="G351" s="104">
        <f>IF(G347="","",IF(G327&gt;0,MIN($C327:$J327)/G327,0)*WTime)</f>
        <v/>
      </c>
      <c r="H351" s="63" t="n"/>
      <c r="I351" s="104">
        <f>IF(I347="","",IF(I327&gt;0,MIN($C327:$J327)/I327,0)*WTime)</f>
        <v/>
      </c>
      <c r="J351" s="63" t="n"/>
    </row>
    <row r="352">
      <c r="B352" s="19" t="inlineStr">
        <is>
          <t>Warranty points</t>
        </is>
      </c>
      <c r="C352" s="104">
        <f>IF(C347="","",IF(MAX($C328:$J328)&gt;0,C328/MAX($C328:$J328),0)*WWar)</f>
        <v/>
      </c>
      <c r="D352" s="63" t="n"/>
      <c r="E352" s="104">
        <f>IF(E347="","",IF(MAX($C328:$J328)&gt;0,E328/MAX($C328:$J328),0)*WWar)</f>
        <v/>
      </c>
      <c r="F352" s="63" t="n"/>
      <c r="G352" s="104">
        <f>IF(G347="","",IF(MAX($C328:$J328)&gt;0,G328/MAX($C328:$J328),0)*WWar)</f>
        <v/>
      </c>
      <c r="H352" s="63" t="n"/>
      <c r="I352" s="104">
        <f>IF(I347="","",IF(MAX($C328:$J328)&gt;0,I328/MAX($C328:$J328),0)*WWar)</f>
        <v/>
      </c>
      <c r="J352" s="63" t="n"/>
    </row>
    <row r="353">
      <c r="B353" s="19" t="inlineStr">
        <is>
          <t>Completeness points</t>
        </is>
      </c>
      <c r="C353" s="104">
        <f>IF(C347="","",C348*WComp)</f>
        <v/>
      </c>
      <c r="D353" s="63" t="n"/>
      <c r="E353" s="104">
        <f>IF(E347="","",E348*WComp)</f>
        <v/>
      </c>
      <c r="F353" s="63" t="n"/>
      <c r="G353" s="104">
        <f>IF(G347="","",G348*WComp)</f>
        <v/>
      </c>
      <c r="H353" s="63" t="n"/>
      <c r="I353" s="104">
        <f>IF(I347="","",I348*WComp)</f>
        <v/>
      </c>
      <c r="J353" s="63" t="n"/>
    </row>
    <row r="354">
      <c r="B354" s="19" t="inlineStr">
        <is>
          <t>Gut &amp; references points</t>
        </is>
      </c>
      <c r="C354" s="104">
        <f>IF(C347="","",(IF(C330="",0,C330/5)*0.7+IF(C329="Yes",0.3,0))*WGut)</f>
        <v/>
      </c>
      <c r="D354" s="63" t="n"/>
      <c r="E354" s="104">
        <f>IF(E347="","",(IF(E330="",0,E330/5)*0.7+IF(E329="Yes",0.3,0))*WGut)</f>
        <v/>
      </c>
      <c r="F354" s="63" t="n"/>
      <c r="G354" s="104">
        <f>IF(G347="","",(IF(G330="",0,G330/5)*0.7+IF(G329="Yes",0.3,0))*WGut)</f>
        <v/>
      </c>
      <c r="H354" s="63" t="n"/>
      <c r="I354" s="104">
        <f>IF(I347="","",(IF(I330="",0,I330/5)*0.7+IF(I329="Yes",0.3,0))*WGut)</f>
        <v/>
      </c>
      <c r="J354" s="63" t="n"/>
    </row>
    <row r="355">
      <c r="B355" s="6" t="inlineStr">
        <is>
          <t>TOTAL SCORE</t>
        </is>
      </c>
      <c r="C355" s="105">
        <f>IF(C347="","",ROUND(SUM(C350:C354),1))</f>
        <v/>
      </c>
      <c r="D355" s="63" t="n"/>
      <c r="E355" s="105">
        <f>IF(E347="","",ROUND(SUM(E350:E354),1))</f>
        <v/>
      </c>
      <c r="F355" s="63" t="n"/>
      <c r="G355" s="105">
        <f>IF(G347="","",ROUND(SUM(G350:G354),1))</f>
        <v/>
      </c>
      <c r="H355" s="63" t="n"/>
      <c r="I355" s="105">
        <f>IF(I347="","",ROUND(SUM(I350:I354),1))</f>
        <v/>
      </c>
      <c r="J355" s="63" t="n"/>
    </row>
    <row r="356">
      <c r="B356" s="6" t="inlineStr">
        <is>
          <t>Ranking</t>
        </is>
      </c>
      <c r="C356" s="106">
        <f>IF(C355="","",IF(C355=MAX($C355:$J355),"🏆 WINNER","#"&amp;(1+COUNTIF($C355:$J355,"&gt;"&amp;C355))))</f>
        <v/>
      </c>
      <c r="D356" s="63" t="n"/>
      <c r="E356" s="106">
        <f>IF(E355="","",IF(E355=MAX($C355:$J355),"🏆 WINNER","#"&amp;(1+COUNTIF($C355:$J355,"&gt;"&amp;E355))))</f>
        <v/>
      </c>
      <c r="F356" s="63" t="n"/>
      <c r="G356" s="106">
        <f>IF(G355="","",IF(G355=MAX($C355:$J355),"🏆 WINNER","#"&amp;(1+COUNTIF($C355:$J355,"&gt;"&amp;G355))))</f>
        <v/>
      </c>
      <c r="H356" s="63" t="n"/>
      <c r="I356" s="106">
        <f>IF(I355="","",IF(I355=MAX($C355:$J355),"🏆 WINNER","#"&amp;(1+COUNTIF($C355:$J355,"&gt;"&amp;I355))))</f>
        <v/>
      </c>
      <c r="J356" s="63" t="n"/>
    </row>
    <row r="357" ht="26" customHeight="1">
      <c r="B357" s="107">
        <f>IF(COUNT($C347:$J347)&lt;2,"",IF(INDEX($C323:$J323,MATCH(MIN($C326:$J326),$C326:$J326,0))&lt;&gt;INDEX($C323:$J323,MATCH(MIN($C347:$J347),$C347:$J347,0)),"⚠️ Hidden costs change the ranking! Cheapest quoted price: "&amp;INDEX($C323:$J323,MATCH(MIN($C326:$J326),$C326:$J326,0))&amp;"  →  cheapest TRUE cost: "&amp;INDEX($C323:$J323,MATCH(MIN($C347:$J347),$C347:$J347,0)),"✓ The cheapest quote is also the cheapest true cost."))</f>
        <v/>
      </c>
      <c r="P357" s="46">
        <f>IF(B357="",0,IF(LEFT(B357,1)="✓",0,1))</f>
        <v/>
      </c>
    </row>
    <row r="358"/>
    <row r="359"/>
    <row r="360" ht="28" customHeight="1">
      <c r="B360" s="91" t="inlineStr">
        <is>
          <t>COMPARISON 10  ▸  trade:</t>
        </is>
      </c>
      <c r="C360" s="92" t="n"/>
      <c r="D360" s="91" t="n"/>
      <c r="E360" s="93">
        <f>IF(COUNT($C$394:$J$394)=0,"Enter up to 4 quotes below","🏆 Best overall: "&amp;INDEX($C$362:$J$362,MATCH(MAX($C$394:$J$394),$C$394:$J$394,0))&amp;"  —  true cost "&amp;CurSym&amp;" "&amp;FIXED(INDEX($C$386:$J$386,MATCH(MAX($C$394:$J$394),$C$394:$J$394,0)),0))</f>
        <v/>
      </c>
      <c r="F360" s="94" t="n"/>
      <c r="G360" s="94" t="n"/>
      <c r="H360" s="94" t="n"/>
      <c r="I360" s="94" t="n"/>
      <c r="J360" s="63" t="n"/>
    </row>
    <row r="361">
      <c r="C361" s="95" t="inlineStr">
        <is>
          <t>Contractor 1</t>
        </is>
      </c>
      <c r="D361" s="63" t="n"/>
      <c r="E361" s="95" t="inlineStr">
        <is>
          <t>Contractor 2</t>
        </is>
      </c>
      <c r="F361" s="63" t="n"/>
      <c r="G361" s="95" t="inlineStr">
        <is>
          <t>Contractor 3</t>
        </is>
      </c>
      <c r="H361" s="63" t="n"/>
      <c r="I361" s="95" t="inlineStr">
        <is>
          <t>Contractor 4</t>
        </is>
      </c>
      <c r="J361" s="63" t="n"/>
    </row>
    <row r="362">
      <c r="B362" s="6" t="inlineStr">
        <is>
          <t>Contractor / company</t>
        </is>
      </c>
      <c r="C362" s="74" t="n"/>
      <c r="D362" s="96" t="n"/>
      <c r="E362" s="74" t="n"/>
      <c r="F362" s="96" t="n"/>
      <c r="G362" s="74" t="n"/>
      <c r="H362" s="96" t="n"/>
      <c r="I362" s="74" t="n"/>
      <c r="J362" s="96" t="n"/>
    </row>
    <row r="363">
      <c r="B363" s="97">
        <f>"Quoted price ("&amp;CurSym&amp;")"</f>
        <v/>
      </c>
      <c r="C363" s="98" t="n"/>
      <c r="D363" s="96" t="n"/>
      <c r="E363" s="98" t="n"/>
      <c r="F363" s="96" t="n"/>
      <c r="G363" s="98" t="n"/>
      <c r="H363" s="96" t="n"/>
      <c r="I363" s="98" t="n"/>
      <c r="J363" s="96" t="n"/>
    </row>
    <row r="364">
      <c r="B364" s="97">
        <f>"Price includes "&amp;TaxWord&amp;"?"</f>
        <v/>
      </c>
      <c r="C364" s="74">
        <f>DefInclTax</f>
        <v/>
      </c>
      <c r="D364" s="96" t="n"/>
      <c r="E364" s="74">
        <f>DefInclTax</f>
        <v/>
      </c>
      <c r="F364" s="96" t="n"/>
      <c r="G364" s="74">
        <f>DefInclTax</f>
        <v/>
      </c>
      <c r="H364" s="96" t="n"/>
      <c r="I364" s="74">
        <f>DefInclTax</f>
        <v/>
      </c>
      <c r="J364" s="96" t="n"/>
    </row>
    <row r="365">
      <c r="B365" s="97">
        <f>"Price incl. "&amp;TaxWord&amp;" ("&amp;CurSym&amp;")"</f>
        <v/>
      </c>
      <c r="C365" s="99">
        <f>IF(C363="","",IF(C364="No",C363*(1+VatRate),C363))</f>
        <v/>
      </c>
      <c r="D365" s="63" t="n"/>
      <c r="E365" s="99">
        <f>IF(E363="","",IF(E364="No",E363*(1+VatRate),E363))</f>
        <v/>
      </c>
      <c r="F365" s="63" t="n"/>
      <c r="G365" s="99">
        <f>IF(G363="","",IF(G364="No",G363*(1+VatRate),G363))</f>
        <v/>
      </c>
      <c r="H365" s="63" t="n"/>
      <c r="I365" s="99">
        <f>IF(I363="","",IF(I364="No",I363*(1+VatRate),I363))</f>
        <v/>
      </c>
      <c r="J365" s="63" t="n"/>
    </row>
    <row r="366">
      <c r="B366" s="19" t="inlineStr">
        <is>
          <t>Timeline (weeks)</t>
        </is>
      </c>
      <c r="C366" s="100" t="n"/>
      <c r="D366" s="96" t="n"/>
      <c r="E366" s="100" t="n"/>
      <c r="F366" s="96" t="n"/>
      <c r="G366" s="100" t="n"/>
      <c r="H366" s="96" t="n"/>
      <c r="I366" s="100" t="n"/>
      <c r="J366" s="96" t="n"/>
    </row>
    <row r="367">
      <c r="B367" s="19" t="inlineStr">
        <is>
          <t>Warranty (years)</t>
        </is>
      </c>
      <c r="C367" s="100" t="n"/>
      <c r="D367" s="96" t="n"/>
      <c r="E367" s="100" t="n"/>
      <c r="F367" s="96" t="n"/>
      <c r="G367" s="100" t="n"/>
      <c r="H367" s="96" t="n"/>
      <c r="I367" s="100" t="n"/>
      <c r="J367" s="96" t="n"/>
    </row>
    <row r="368">
      <c r="B368" s="19" t="inlineStr">
        <is>
          <t>References checked?</t>
        </is>
      </c>
      <c r="C368" s="74" t="n"/>
      <c r="D368" s="96" t="n"/>
      <c r="E368" s="74" t="n"/>
      <c r="F368" s="96" t="n"/>
      <c r="G368" s="74" t="n"/>
      <c r="H368" s="96" t="n"/>
      <c r="I368" s="74" t="n"/>
      <c r="J368" s="96" t="n"/>
    </row>
    <row r="369">
      <c r="B369" s="19" t="inlineStr">
        <is>
          <t>Gut feeling (1–5)</t>
        </is>
      </c>
      <c r="C369" s="89" t="n"/>
      <c r="D369" s="96" t="n"/>
      <c r="E369" s="89" t="n"/>
      <c r="F369" s="96" t="n"/>
      <c r="G369" s="89" t="n"/>
      <c r="H369" s="96" t="n"/>
      <c r="I369" s="89" t="n"/>
      <c r="J369" s="96" t="n"/>
    </row>
    <row r="370">
      <c r="B370" s="19" t="inlineStr">
        <is>
          <t>Quote valid until</t>
        </is>
      </c>
      <c r="C370" s="101" t="n"/>
      <c r="D370" s="96" t="n"/>
      <c r="E370" s="101" t="n"/>
      <c r="F370" s="96" t="n"/>
      <c r="G370" s="101" t="n"/>
      <c r="H370" s="96" t="n"/>
      <c r="I370" s="101" t="n"/>
      <c r="J370" s="96" t="n"/>
    </row>
    <row r="371">
      <c r="B371" s="80" t="inlineStr">
        <is>
          <t>HIDDEN-COST CHECKLIST</t>
        </is>
      </c>
      <c r="C371" s="95" t="inlineStr">
        <is>
          <t>Included?</t>
        </is>
      </c>
      <c r="D371" s="82">
        <f>"Extra "&amp;CurSym</f>
        <v/>
      </c>
      <c r="E371" s="95" t="inlineStr">
        <is>
          <t>Included?</t>
        </is>
      </c>
      <c r="F371" s="82">
        <f>"Extra "&amp;CurSym</f>
        <v/>
      </c>
      <c r="G371" s="95" t="inlineStr">
        <is>
          <t>Included?</t>
        </is>
      </c>
      <c r="H371" s="82">
        <f>"Extra "&amp;CurSym</f>
        <v/>
      </c>
      <c r="I371" s="95" t="inlineStr">
        <is>
          <t>Included?</t>
        </is>
      </c>
      <c r="J371" s="82">
        <f>"Extra "&amp;CurSym</f>
        <v/>
      </c>
    </row>
    <row r="372">
      <c r="B372" s="19" t="inlineStr">
        <is>
          <t>Demolition</t>
        </is>
      </c>
      <c r="C372" s="74" t="n"/>
      <c r="D372" s="73" t="n"/>
      <c r="E372" s="74" t="n"/>
      <c r="F372" s="73" t="n"/>
      <c r="G372" s="74" t="n"/>
      <c r="H372" s="73" t="n"/>
      <c r="I372" s="74" t="n"/>
      <c r="J372" s="73" t="n"/>
    </row>
    <row r="373">
      <c r="B373" s="19" t="inlineStr">
        <is>
          <t>Waste disposal</t>
        </is>
      </c>
      <c r="C373" s="74" t="n"/>
      <c r="D373" s="73" t="n"/>
      <c r="E373" s="74" t="n"/>
      <c r="F373" s="73" t="n"/>
      <c r="G373" s="74" t="n"/>
      <c r="H373" s="73" t="n"/>
      <c r="I373" s="74" t="n"/>
      <c r="J373" s="73" t="n"/>
    </row>
    <row r="374">
      <c r="B374" s="19" t="inlineStr">
        <is>
          <t>Delivery</t>
        </is>
      </c>
      <c r="C374" s="74" t="n"/>
      <c r="D374" s="73" t="n"/>
      <c r="E374" s="74" t="n"/>
      <c r="F374" s="73" t="n"/>
      <c r="G374" s="74" t="n"/>
      <c r="H374" s="73" t="n"/>
      <c r="I374" s="74" t="n"/>
      <c r="J374" s="73" t="n"/>
    </row>
    <row r="375">
      <c r="B375" s="19" t="inlineStr">
        <is>
          <t>Permits</t>
        </is>
      </c>
      <c r="C375" s="74" t="n"/>
      <c r="D375" s="73" t="n"/>
      <c r="E375" s="74" t="n"/>
      <c r="F375" s="73" t="n"/>
      <c r="G375" s="74" t="n"/>
      <c r="H375" s="73" t="n"/>
      <c r="I375" s="74" t="n"/>
      <c r="J375" s="73" t="n"/>
    </row>
    <row r="376">
      <c r="B376" s="19" t="inlineStr">
        <is>
          <t>Materials specified</t>
        </is>
      </c>
      <c r="C376" s="74" t="n"/>
      <c r="D376" s="73" t="n"/>
      <c r="E376" s="74" t="n"/>
      <c r="F376" s="73" t="n"/>
      <c r="G376" s="74" t="n"/>
      <c r="H376" s="73" t="n"/>
      <c r="I376" s="74" t="n"/>
      <c r="J376" s="73" t="n"/>
    </row>
    <row r="377">
      <c r="B377" s="19" t="inlineStr">
        <is>
          <t>Labor specified</t>
        </is>
      </c>
      <c r="C377" s="74" t="n"/>
      <c r="D377" s="73" t="n"/>
      <c r="E377" s="74" t="n"/>
      <c r="F377" s="73" t="n"/>
      <c r="G377" s="74" t="n"/>
      <c r="H377" s="73" t="n"/>
      <c r="I377" s="74" t="n"/>
      <c r="J377" s="73" t="n"/>
    </row>
    <row r="378">
      <c r="B378" s="19" t="inlineStr">
        <is>
          <t>Finishing</t>
        </is>
      </c>
      <c r="C378" s="74" t="n"/>
      <c r="D378" s="73" t="n"/>
      <c r="E378" s="74" t="n"/>
      <c r="F378" s="73" t="n"/>
      <c r="G378" s="74" t="n"/>
      <c r="H378" s="73" t="n"/>
      <c r="I378" s="74" t="n"/>
      <c r="J378" s="73" t="n"/>
    </row>
    <row r="379">
      <c r="B379" s="19" t="inlineStr">
        <is>
          <t>Cleanup</t>
        </is>
      </c>
      <c r="C379" s="74" t="n"/>
      <c r="D379" s="73" t="n"/>
      <c r="E379" s="74" t="n"/>
      <c r="F379" s="73" t="n"/>
      <c r="G379" s="74" t="n"/>
      <c r="H379" s="73" t="n"/>
      <c r="I379" s="74" t="n"/>
      <c r="J379" s="73" t="n"/>
    </row>
    <row r="380">
      <c r="B380" s="97">
        <f>TaxWord&amp;" shown in price"</f>
        <v/>
      </c>
      <c r="C380" s="74" t="n"/>
      <c r="D380" s="73" t="n"/>
      <c r="E380" s="74" t="n"/>
      <c r="F380" s="73" t="n"/>
      <c r="G380" s="74" t="n"/>
      <c r="H380" s="73" t="n"/>
      <c r="I380" s="74" t="n"/>
      <c r="J380" s="73" t="n"/>
    </row>
    <row r="381">
      <c r="B381" s="19" t="inlineStr">
        <is>
          <t>Electrical upgrades</t>
        </is>
      </c>
      <c r="C381" s="74" t="n"/>
      <c r="D381" s="73" t="n"/>
      <c r="E381" s="74" t="n"/>
      <c r="F381" s="73" t="n"/>
      <c r="G381" s="74" t="n"/>
      <c r="H381" s="73" t="n"/>
      <c r="I381" s="74" t="n"/>
      <c r="J381" s="73" t="n"/>
    </row>
    <row r="382">
      <c r="B382" s="19" t="inlineStr">
        <is>
          <t>Plumbing modifications</t>
        </is>
      </c>
      <c r="C382" s="74" t="n"/>
      <c r="D382" s="73" t="n"/>
      <c r="E382" s="74" t="n"/>
      <c r="F382" s="73" t="n"/>
      <c r="G382" s="74" t="n"/>
      <c r="H382" s="73" t="n"/>
      <c r="I382" s="74" t="n"/>
      <c r="J382" s="73" t="n"/>
    </row>
    <row r="383">
      <c r="B383" s="19" t="inlineStr">
        <is>
          <t>Payment schedule defined</t>
        </is>
      </c>
      <c r="C383" s="74" t="n"/>
      <c r="D383" s="73" t="n"/>
      <c r="E383" s="74" t="n"/>
      <c r="F383" s="73" t="n"/>
      <c r="G383" s="74" t="n"/>
      <c r="H383" s="73" t="n"/>
      <c r="I383" s="74" t="n"/>
      <c r="J383" s="73" t="n"/>
    </row>
    <row r="384">
      <c r="B384" s="19" t="inlineStr">
        <is>
          <t>Warranty in writing</t>
        </is>
      </c>
      <c r="C384" s="74" t="n"/>
      <c r="D384" s="73" t="n"/>
      <c r="E384" s="74" t="n"/>
      <c r="F384" s="73" t="n"/>
      <c r="G384" s="74" t="n"/>
      <c r="H384" s="73" t="n"/>
      <c r="I384" s="74" t="n"/>
      <c r="J384" s="73" t="n"/>
    </row>
    <row r="385">
      <c r="B385" s="97">
        <f>"Hidden extras ("&amp;CurSym&amp;")"</f>
        <v/>
      </c>
      <c r="C385" s="99">
        <f>IF(C362="","",SUMPRODUCT((C372:C384&lt;&gt;"Included")*D372:D384))</f>
        <v/>
      </c>
      <c r="D385" s="63" t="n"/>
      <c r="E385" s="99">
        <f>IF(E362="","",SUMPRODUCT((E372:E384&lt;&gt;"Included")*F372:F384))</f>
        <v/>
      </c>
      <c r="F385" s="63" t="n"/>
      <c r="G385" s="99">
        <f>IF(G362="","",SUMPRODUCT((G372:G384&lt;&gt;"Included")*H372:H384))</f>
        <v/>
      </c>
      <c r="H385" s="63" t="n"/>
      <c r="I385" s="99">
        <f>IF(I362="","",SUMPRODUCT((I372:I384&lt;&gt;"Included")*J372:J384))</f>
        <v/>
      </c>
      <c r="J385" s="63" t="n"/>
    </row>
    <row r="386">
      <c r="B386" s="13">
        <f>"TRUE COST ("&amp;CurSym&amp;")"</f>
        <v/>
      </c>
      <c r="C386" s="102">
        <f>IF(OR(C362="",C365=""),"",C365+C385)</f>
        <v/>
      </c>
      <c r="D386" s="63" t="n"/>
      <c r="E386" s="102">
        <f>IF(OR(E362="",E365=""),"",E365+E385)</f>
        <v/>
      </c>
      <c r="F386" s="63" t="n"/>
      <c r="G386" s="102">
        <f>IF(OR(G362="",G365=""),"",G365+G385)</f>
        <v/>
      </c>
      <c r="H386" s="63" t="n"/>
      <c r="I386" s="102">
        <f>IF(OR(I362="",I365=""),"",I365+I385)</f>
        <v/>
      </c>
      <c r="J386" s="63" t="n"/>
    </row>
    <row r="387">
      <c r="B387" s="19" t="inlineStr">
        <is>
          <t>Completeness</t>
        </is>
      </c>
      <c r="C387" s="103">
        <f>IF(C362="","",COUNTIF(C372:C384,"Included")/13)</f>
        <v/>
      </c>
      <c r="D387" s="63" t="n"/>
      <c r="E387" s="103">
        <f>IF(E362="","",COUNTIF(E372:E384,"Included")/13)</f>
        <v/>
      </c>
      <c r="F387" s="63" t="n"/>
      <c r="G387" s="103">
        <f>IF(G362="","",COUNTIF(G372:G384,"Included")/13)</f>
        <v/>
      </c>
      <c r="H387" s="63" t="n"/>
      <c r="I387" s="103">
        <f>IF(I362="","",COUNTIF(I372:I384,"Included")/13)</f>
        <v/>
      </c>
      <c r="J387" s="63" t="n"/>
    </row>
    <row r="388">
      <c r="B388" s="80" t="inlineStr">
        <is>
          <t>SCORE</t>
        </is>
      </c>
    </row>
    <row r="389">
      <c r="B389" s="19" t="inlineStr">
        <is>
          <t>Price points</t>
        </is>
      </c>
      <c r="C389" s="104">
        <f>IF(C386="","",IF(C386&gt;0,MIN($C386:$J386)/C386,0)*WPrice)</f>
        <v/>
      </c>
      <c r="D389" s="63" t="n"/>
      <c r="E389" s="104">
        <f>IF(E386="","",IF(E386&gt;0,MIN($C386:$J386)/E386,0)*WPrice)</f>
        <v/>
      </c>
      <c r="F389" s="63" t="n"/>
      <c r="G389" s="104">
        <f>IF(G386="","",IF(G386&gt;0,MIN($C386:$J386)/G386,0)*WPrice)</f>
        <v/>
      </c>
      <c r="H389" s="63" t="n"/>
      <c r="I389" s="104">
        <f>IF(I386="","",IF(I386&gt;0,MIN($C386:$J386)/I386,0)*WPrice)</f>
        <v/>
      </c>
      <c r="J389" s="63" t="n"/>
    </row>
    <row r="390">
      <c r="B390" s="19" t="inlineStr">
        <is>
          <t>Timeline points</t>
        </is>
      </c>
      <c r="C390" s="104">
        <f>IF(C386="","",IF(C366&gt;0,MIN($C366:$J366)/C366,0)*WTime)</f>
        <v/>
      </c>
      <c r="D390" s="63" t="n"/>
      <c r="E390" s="104">
        <f>IF(E386="","",IF(E366&gt;0,MIN($C366:$J366)/E366,0)*WTime)</f>
        <v/>
      </c>
      <c r="F390" s="63" t="n"/>
      <c r="G390" s="104">
        <f>IF(G386="","",IF(G366&gt;0,MIN($C366:$J366)/G366,0)*WTime)</f>
        <v/>
      </c>
      <c r="H390" s="63" t="n"/>
      <c r="I390" s="104">
        <f>IF(I386="","",IF(I366&gt;0,MIN($C366:$J366)/I366,0)*WTime)</f>
        <v/>
      </c>
      <c r="J390" s="63" t="n"/>
    </row>
    <row r="391">
      <c r="B391" s="19" t="inlineStr">
        <is>
          <t>Warranty points</t>
        </is>
      </c>
      <c r="C391" s="104">
        <f>IF(C386="","",IF(MAX($C367:$J367)&gt;0,C367/MAX($C367:$J367),0)*WWar)</f>
        <v/>
      </c>
      <c r="D391" s="63" t="n"/>
      <c r="E391" s="104">
        <f>IF(E386="","",IF(MAX($C367:$J367)&gt;0,E367/MAX($C367:$J367),0)*WWar)</f>
        <v/>
      </c>
      <c r="F391" s="63" t="n"/>
      <c r="G391" s="104">
        <f>IF(G386="","",IF(MAX($C367:$J367)&gt;0,G367/MAX($C367:$J367),0)*WWar)</f>
        <v/>
      </c>
      <c r="H391" s="63" t="n"/>
      <c r="I391" s="104">
        <f>IF(I386="","",IF(MAX($C367:$J367)&gt;0,I367/MAX($C367:$J367),0)*WWar)</f>
        <v/>
      </c>
      <c r="J391" s="63" t="n"/>
    </row>
    <row r="392">
      <c r="B392" s="19" t="inlineStr">
        <is>
          <t>Completeness points</t>
        </is>
      </c>
      <c r="C392" s="104">
        <f>IF(C386="","",C387*WComp)</f>
        <v/>
      </c>
      <c r="D392" s="63" t="n"/>
      <c r="E392" s="104">
        <f>IF(E386="","",E387*WComp)</f>
        <v/>
      </c>
      <c r="F392" s="63" t="n"/>
      <c r="G392" s="104">
        <f>IF(G386="","",G387*WComp)</f>
        <v/>
      </c>
      <c r="H392" s="63" t="n"/>
      <c r="I392" s="104">
        <f>IF(I386="","",I387*WComp)</f>
        <v/>
      </c>
      <c r="J392" s="63" t="n"/>
    </row>
    <row r="393">
      <c r="B393" s="19" t="inlineStr">
        <is>
          <t>Gut &amp; references points</t>
        </is>
      </c>
      <c r="C393" s="104">
        <f>IF(C386="","",(IF(C369="",0,C369/5)*0.7+IF(C368="Yes",0.3,0))*WGut)</f>
        <v/>
      </c>
      <c r="D393" s="63" t="n"/>
      <c r="E393" s="104">
        <f>IF(E386="","",(IF(E369="",0,E369/5)*0.7+IF(E368="Yes",0.3,0))*WGut)</f>
        <v/>
      </c>
      <c r="F393" s="63" t="n"/>
      <c r="G393" s="104">
        <f>IF(G386="","",(IF(G369="",0,G369/5)*0.7+IF(G368="Yes",0.3,0))*WGut)</f>
        <v/>
      </c>
      <c r="H393" s="63" t="n"/>
      <c r="I393" s="104">
        <f>IF(I386="","",(IF(I369="",0,I369/5)*0.7+IF(I368="Yes",0.3,0))*WGut)</f>
        <v/>
      </c>
      <c r="J393" s="63" t="n"/>
    </row>
    <row r="394">
      <c r="B394" s="6" t="inlineStr">
        <is>
          <t>TOTAL SCORE</t>
        </is>
      </c>
      <c r="C394" s="105">
        <f>IF(C386="","",ROUND(SUM(C389:C393),1))</f>
        <v/>
      </c>
      <c r="D394" s="63" t="n"/>
      <c r="E394" s="105">
        <f>IF(E386="","",ROUND(SUM(E389:E393),1))</f>
        <v/>
      </c>
      <c r="F394" s="63" t="n"/>
      <c r="G394" s="105">
        <f>IF(G386="","",ROUND(SUM(G389:G393),1))</f>
        <v/>
      </c>
      <c r="H394" s="63" t="n"/>
      <c r="I394" s="105">
        <f>IF(I386="","",ROUND(SUM(I389:I393),1))</f>
        <v/>
      </c>
      <c r="J394" s="63" t="n"/>
    </row>
    <row r="395">
      <c r="B395" s="6" t="inlineStr">
        <is>
          <t>Ranking</t>
        </is>
      </c>
      <c r="C395" s="106">
        <f>IF(C394="","",IF(C394=MAX($C394:$J394),"🏆 WINNER","#"&amp;(1+COUNTIF($C394:$J394,"&gt;"&amp;C394))))</f>
        <v/>
      </c>
      <c r="D395" s="63" t="n"/>
      <c r="E395" s="106">
        <f>IF(E394="","",IF(E394=MAX($C394:$J394),"🏆 WINNER","#"&amp;(1+COUNTIF($C394:$J394,"&gt;"&amp;E394))))</f>
        <v/>
      </c>
      <c r="F395" s="63" t="n"/>
      <c r="G395" s="106">
        <f>IF(G394="","",IF(G394=MAX($C394:$J394),"🏆 WINNER","#"&amp;(1+COUNTIF($C394:$J394,"&gt;"&amp;G394))))</f>
        <v/>
      </c>
      <c r="H395" s="63" t="n"/>
      <c r="I395" s="106">
        <f>IF(I394="","",IF(I394=MAX($C394:$J394),"🏆 WINNER","#"&amp;(1+COUNTIF($C394:$J394,"&gt;"&amp;I394))))</f>
        <v/>
      </c>
      <c r="J395" s="63" t="n"/>
    </row>
    <row r="396" ht="26" customHeight="1">
      <c r="B396" s="107">
        <f>IF(COUNT($C386:$J386)&lt;2,"",IF(INDEX($C362:$J362,MATCH(MIN($C365:$J365),$C365:$J365,0))&lt;&gt;INDEX($C362:$J362,MATCH(MIN($C386:$J386),$C386:$J386,0)),"⚠️ Hidden costs change the ranking! Cheapest quoted price: "&amp;INDEX($C362:$J362,MATCH(MIN($C365:$J365),$C365:$J365,0))&amp;"  →  cheapest TRUE cost: "&amp;INDEX($C362:$J362,MATCH(MIN($C386:$J386),$C386:$J386,0)),"✓ The cheapest quote is also the cheapest true cost."))</f>
        <v/>
      </c>
      <c r="P396" s="46">
        <f>IF(B396="",0,IF(LEFT(B396,1)="✓",0,1))</f>
        <v/>
      </c>
    </row>
  </sheetData>
  <sheetProtection selectLockedCells="1" selectUnlockedCells="0" sheet="1" objects="0" insertRows="1" insertHyperlinks="1" autoFilter="1" scenarios="0" formatColumns="0" deleteColumns="1" insertColumns="1" pivotTables="1" deleteRows="1" formatCells="1" formatRows="0" sort="1" password="CD61"/>
  <mergeCells count="820">
    <mergeCell ref="C363:D363"/>
    <mergeCell ref="C15:D15"/>
    <mergeCell ref="C191:D191"/>
    <mergeCell ref="I275:J275"/>
    <mergeCell ref="C313:D313"/>
    <mergeCell ref="E313:F313"/>
    <mergeCell ref="C234:D234"/>
    <mergeCell ref="C172:D172"/>
    <mergeCell ref="E234:F234"/>
    <mergeCell ref="G307:H307"/>
    <mergeCell ref="C79:D79"/>
    <mergeCell ref="C73:D73"/>
    <mergeCell ref="E79:F79"/>
    <mergeCell ref="C315:D315"/>
    <mergeCell ref="E73:F73"/>
    <mergeCell ref="C171:D171"/>
    <mergeCell ref="E244:F244"/>
    <mergeCell ref="I277:J277"/>
    <mergeCell ref="E171:F171"/>
    <mergeCell ref="E360:J360"/>
    <mergeCell ref="E236:F236"/>
    <mergeCell ref="C121:D121"/>
    <mergeCell ref="E308:F308"/>
    <mergeCell ref="C173:D173"/>
    <mergeCell ref="E173:F173"/>
    <mergeCell ref="E229:F229"/>
    <mergeCell ref="G229:H229"/>
    <mergeCell ref="I155:J155"/>
    <mergeCell ref="E166:F166"/>
    <mergeCell ref="E282:J282"/>
    <mergeCell ref="G114:H114"/>
    <mergeCell ref="I170:J170"/>
    <mergeCell ref="G206:H206"/>
    <mergeCell ref="I157:J157"/>
    <mergeCell ref="E168:F168"/>
    <mergeCell ref="I328:J328"/>
    <mergeCell ref="G168:H168"/>
    <mergeCell ref="G213:H213"/>
    <mergeCell ref="I172:J172"/>
    <mergeCell ref="C237:D237"/>
    <mergeCell ref="G270:H270"/>
    <mergeCell ref="I270:J270"/>
    <mergeCell ref="E53:F53"/>
    <mergeCell ref="C326:D326"/>
    <mergeCell ref="I288:J288"/>
    <mergeCell ref="E326:F326"/>
    <mergeCell ref="E289:F289"/>
    <mergeCell ref="G351:H351"/>
    <mergeCell ref="C239:D239"/>
    <mergeCell ref="E361:F361"/>
    <mergeCell ref="I394:J394"/>
    <mergeCell ref="C92:D92"/>
    <mergeCell ref="E117:F117"/>
    <mergeCell ref="E55:F55"/>
    <mergeCell ref="G117:H117"/>
    <mergeCell ref="B240:J240"/>
    <mergeCell ref="E353:F353"/>
    <mergeCell ref="C97:D97"/>
    <mergeCell ref="C290:D290"/>
    <mergeCell ref="E290:F290"/>
    <mergeCell ref="G346:H346"/>
    <mergeCell ref="I175:J175"/>
    <mergeCell ref="I346:J346"/>
    <mergeCell ref="I54:J54"/>
    <mergeCell ref="E161:F161"/>
    <mergeCell ref="G112:H112"/>
    <mergeCell ref="I41:J41"/>
    <mergeCell ref="I212:J212"/>
    <mergeCell ref="I112:J112"/>
    <mergeCell ref="G283:H283"/>
    <mergeCell ref="I283:J283"/>
    <mergeCell ref="G348:H348"/>
    <mergeCell ref="I348:J348"/>
    <mergeCell ref="G127:H127"/>
    <mergeCell ref="I56:J56"/>
    <mergeCell ref="I127:J127"/>
    <mergeCell ref="C192:D192"/>
    <mergeCell ref="C252:D252"/>
    <mergeCell ref="I43:J43"/>
    <mergeCell ref="G285:H285"/>
    <mergeCell ref="I114:J114"/>
    <mergeCell ref="E252:F252"/>
    <mergeCell ref="I285:J285"/>
    <mergeCell ref="I347:J347"/>
    <mergeCell ref="C244:D244"/>
    <mergeCell ref="E366:F366"/>
    <mergeCell ref="C194:D194"/>
    <mergeCell ref="C316:D316"/>
    <mergeCell ref="E316:F316"/>
    <mergeCell ref="E250:F250"/>
    <mergeCell ref="G250:H250"/>
    <mergeCell ref="E237:F237"/>
    <mergeCell ref="E16:F16"/>
    <mergeCell ref="G16:H16"/>
    <mergeCell ref="C174:D174"/>
    <mergeCell ref="E174:F174"/>
    <mergeCell ref="E48:J48"/>
    <mergeCell ref="G230:H230"/>
    <mergeCell ref="E239:F239"/>
    <mergeCell ref="G361:H361"/>
    <mergeCell ref="C18:D18"/>
    <mergeCell ref="E251:F251"/>
    <mergeCell ref="E18:F18"/>
    <mergeCell ref="E238:F238"/>
    <mergeCell ref="C34:D34"/>
    <mergeCell ref="E87:J87"/>
    <mergeCell ref="I196:J196"/>
    <mergeCell ref="G238:H238"/>
    <mergeCell ref="G11:H11"/>
    <mergeCell ref="I207:J207"/>
    <mergeCell ref="I11:J11"/>
    <mergeCell ref="I198:J198"/>
    <mergeCell ref="E92:F92"/>
    <mergeCell ref="C128:D128"/>
    <mergeCell ref="C309:D309"/>
    <mergeCell ref="C113:D113"/>
    <mergeCell ref="C205:D205"/>
    <mergeCell ref="C94:D94"/>
    <mergeCell ref="E205:F205"/>
    <mergeCell ref="E94:F94"/>
    <mergeCell ref="C44:D44"/>
    <mergeCell ref="C311:D311"/>
    <mergeCell ref="I273:J273"/>
    <mergeCell ref="E311:F311"/>
    <mergeCell ref="C80:D80"/>
    <mergeCell ref="G367:H367"/>
    <mergeCell ref="C329:D329"/>
    <mergeCell ref="C129:D129"/>
    <mergeCell ref="E354:F354"/>
    <mergeCell ref="E158:F158"/>
    <mergeCell ref="E329:F329"/>
    <mergeCell ref="G354:H354"/>
    <mergeCell ref="G329:H329"/>
    <mergeCell ref="C365:D365"/>
    <mergeCell ref="E77:F77"/>
    <mergeCell ref="E133:F133"/>
    <mergeCell ref="G133:H133"/>
    <mergeCell ref="C95:D95"/>
    <mergeCell ref="E369:F369"/>
    <mergeCell ref="E95:F95"/>
    <mergeCell ref="G369:H369"/>
    <mergeCell ref="C331:D331"/>
    <mergeCell ref="E89:F89"/>
    <mergeCell ref="G95:H95"/>
    <mergeCell ref="E331:F331"/>
    <mergeCell ref="G89:H89"/>
    <mergeCell ref="E356:F356"/>
    <mergeCell ref="G356:H356"/>
    <mergeCell ref="E393:F393"/>
    <mergeCell ref="G393:H393"/>
    <mergeCell ref="G368:H368"/>
    <mergeCell ref="G135:H135"/>
    <mergeCell ref="G51:H51"/>
    <mergeCell ref="I191:J191"/>
    <mergeCell ref="I362:J362"/>
    <mergeCell ref="I51:J51"/>
    <mergeCell ref="G153:H153"/>
    <mergeCell ref="I153:J153"/>
    <mergeCell ref="I128:J128"/>
    <mergeCell ref="G364:H364"/>
    <mergeCell ref="C131:D131"/>
    <mergeCell ref="I364:J364"/>
    <mergeCell ref="I291:J291"/>
    <mergeCell ref="C245:D245"/>
    <mergeCell ref="C49:D49"/>
    <mergeCell ref="I192:J192"/>
    <mergeCell ref="I363:J363"/>
    <mergeCell ref="C195:D195"/>
    <mergeCell ref="E195:F195"/>
    <mergeCell ref="C322:D322"/>
    <mergeCell ref="E322:F322"/>
    <mergeCell ref="G251:H251"/>
    <mergeCell ref="C42:D42"/>
    <mergeCell ref="B396:J396"/>
    <mergeCell ref="E42:F42"/>
    <mergeCell ref="E309:F309"/>
    <mergeCell ref="C88:D88"/>
    <mergeCell ref="E17:F17"/>
    <mergeCell ref="C197:D197"/>
    <mergeCell ref="E88:F88"/>
    <mergeCell ref="G17:H17"/>
    <mergeCell ref="C324:D324"/>
    <mergeCell ref="E82:F82"/>
    <mergeCell ref="E253:F253"/>
    <mergeCell ref="I286:J286"/>
    <mergeCell ref="G82:H82"/>
    <mergeCell ref="C249:D249"/>
    <mergeCell ref="G253:H253"/>
    <mergeCell ref="E324:F324"/>
    <mergeCell ref="E19:F19"/>
    <mergeCell ref="C117:D117"/>
    <mergeCell ref="E190:F190"/>
    <mergeCell ref="G19:H19"/>
    <mergeCell ref="C55:D55"/>
    <mergeCell ref="G190:H190"/>
    <mergeCell ref="G317:H317"/>
    <mergeCell ref="I75:J75"/>
    <mergeCell ref="I317:J317"/>
    <mergeCell ref="I206:J206"/>
    <mergeCell ref="G83:H83"/>
    <mergeCell ref="I12:J12"/>
    <mergeCell ref="G248:H248"/>
    <mergeCell ref="I248:J248"/>
    <mergeCell ref="C213:D213"/>
    <mergeCell ref="G235:H235"/>
    <mergeCell ref="C273:D273"/>
    <mergeCell ref="I235:J235"/>
    <mergeCell ref="I368:J368"/>
    <mergeCell ref="G14:H14"/>
    <mergeCell ref="I39:J39"/>
    <mergeCell ref="I14:J14"/>
    <mergeCell ref="C52:D52"/>
    <mergeCell ref="I312:J312"/>
    <mergeCell ref="C39:D39"/>
    <mergeCell ref="I78:J78"/>
    <mergeCell ref="C81:D81"/>
    <mergeCell ref="C352:D352"/>
    <mergeCell ref="I314:J314"/>
    <mergeCell ref="C208:D208"/>
    <mergeCell ref="E126:J126"/>
    <mergeCell ref="E159:F159"/>
    <mergeCell ref="E208:F208"/>
    <mergeCell ref="E97:F97"/>
    <mergeCell ref="G159:H159"/>
    <mergeCell ref="C366:D366"/>
    <mergeCell ref="E395:F395"/>
    <mergeCell ref="G395:H395"/>
    <mergeCell ref="G370:H370"/>
    <mergeCell ref="C210:D210"/>
    <mergeCell ref="E272:F272"/>
    <mergeCell ref="E210:F210"/>
    <mergeCell ref="G161:H161"/>
    <mergeCell ref="G136:H136"/>
    <mergeCell ref="I136:J136"/>
    <mergeCell ref="I129:J129"/>
    <mergeCell ref="I200:J200"/>
    <mergeCell ref="I194:J194"/>
    <mergeCell ref="G292:H292"/>
    <mergeCell ref="I365:J365"/>
    <mergeCell ref="C134:D134"/>
    <mergeCell ref="I292:J292"/>
    <mergeCell ref="C50:D50"/>
    <mergeCell ref="C286:D286"/>
    <mergeCell ref="I131:J131"/>
    <mergeCell ref="I307:J307"/>
    <mergeCell ref="I58:J58"/>
    <mergeCell ref="C350:D350"/>
    <mergeCell ref="E350:F350"/>
    <mergeCell ref="G231:H231"/>
    <mergeCell ref="E325:F325"/>
    <mergeCell ref="C119:D119"/>
    <mergeCell ref="G325:H325"/>
    <mergeCell ref="I83:J83"/>
    <mergeCell ref="E119:F119"/>
    <mergeCell ref="C361:D361"/>
    <mergeCell ref="E116:F116"/>
    <mergeCell ref="E91:F91"/>
    <mergeCell ref="E196:F196"/>
    <mergeCell ref="C327:D327"/>
    <mergeCell ref="G91:H91"/>
    <mergeCell ref="E389:F389"/>
    <mergeCell ref="C158:D158"/>
    <mergeCell ref="E327:F327"/>
    <mergeCell ref="G389:H389"/>
    <mergeCell ref="I370:J370"/>
    <mergeCell ref="I13:J13"/>
    <mergeCell ref="E93:F93"/>
    <mergeCell ref="E198:F198"/>
    <mergeCell ref="E391:F391"/>
    <mergeCell ref="G198:H198"/>
    <mergeCell ref="G247:H247"/>
    <mergeCell ref="G385:H385"/>
    <mergeCell ref="I385:J385"/>
    <mergeCell ref="I15:J15"/>
    <mergeCell ref="E122:F122"/>
    <mergeCell ref="G151:H151"/>
    <mergeCell ref="I80:J80"/>
    <mergeCell ref="I213:J213"/>
    <mergeCell ref="I151:J151"/>
    <mergeCell ref="C387:D387"/>
    <mergeCell ref="G272:H272"/>
    <mergeCell ref="C353:D353"/>
    <mergeCell ref="E38:F38"/>
    <mergeCell ref="E209:F209"/>
    <mergeCell ref="C274:D274"/>
    <mergeCell ref="G38:H38"/>
    <mergeCell ref="G209:H209"/>
    <mergeCell ref="E274:F274"/>
    <mergeCell ref="C40:D40"/>
    <mergeCell ref="G175:H175"/>
    <mergeCell ref="C211:D211"/>
    <mergeCell ref="E40:F40"/>
    <mergeCell ref="E211:F211"/>
    <mergeCell ref="E275:F275"/>
    <mergeCell ref="G275:H275"/>
    <mergeCell ref="G269:H269"/>
    <mergeCell ref="I269:J269"/>
    <mergeCell ref="I244:J244"/>
    <mergeCell ref="G35:H35"/>
    <mergeCell ref="I231:J231"/>
    <mergeCell ref="I35:J35"/>
    <mergeCell ref="G252:H252"/>
    <mergeCell ref="I10:J10"/>
    <mergeCell ref="I308:J308"/>
    <mergeCell ref="G366:H366"/>
    <mergeCell ref="C308:D308"/>
    <mergeCell ref="C53:D53"/>
    <mergeCell ref="C229:D229"/>
    <mergeCell ref="C351:D351"/>
    <mergeCell ref="I74:J74"/>
    <mergeCell ref="E351:F351"/>
    <mergeCell ref="C77:D77"/>
    <mergeCell ref="E130:F130"/>
    <mergeCell ref="G155:H155"/>
    <mergeCell ref="G130:H130"/>
    <mergeCell ref="C166:D166"/>
    <mergeCell ref="C160:D160"/>
    <mergeCell ref="G391:H391"/>
    <mergeCell ref="E160:F160"/>
    <mergeCell ref="E135:F135"/>
    <mergeCell ref="E328:F328"/>
    <mergeCell ref="E132:F132"/>
    <mergeCell ref="I361:J361"/>
    <mergeCell ref="G157:H157"/>
    <mergeCell ref="G132:H132"/>
    <mergeCell ref="G328:H328"/>
    <mergeCell ref="G122:H122"/>
    <mergeCell ref="G172:H172"/>
    <mergeCell ref="G199:H199"/>
    <mergeCell ref="G392:H392"/>
    <mergeCell ref="G386:H386"/>
    <mergeCell ref="I392:J392"/>
    <mergeCell ref="E288:F288"/>
    <mergeCell ref="I386:J386"/>
    <mergeCell ref="G288:H288"/>
    <mergeCell ref="I313:J313"/>
    <mergeCell ref="G152:H152"/>
    <mergeCell ref="G323:H323"/>
    <mergeCell ref="G394:H394"/>
    <mergeCell ref="I152:J152"/>
    <mergeCell ref="I323:J323"/>
    <mergeCell ref="I229:J229"/>
    <mergeCell ref="I387:J387"/>
    <mergeCell ref="C346:D346"/>
    <mergeCell ref="E346:F346"/>
    <mergeCell ref="E54:F54"/>
    <mergeCell ref="G54:H54"/>
    <mergeCell ref="C161:D161"/>
    <mergeCell ref="E41:F41"/>
    <mergeCell ref="E212:F212"/>
    <mergeCell ref="E112:F112"/>
    <mergeCell ref="G41:H41"/>
    <mergeCell ref="G212:H212"/>
    <mergeCell ref="E277:F277"/>
    <mergeCell ref="I245:J245"/>
    <mergeCell ref="C283:D283"/>
    <mergeCell ref="G277:H277"/>
    <mergeCell ref="E283:F283"/>
    <mergeCell ref="C348:D348"/>
    <mergeCell ref="E348:F348"/>
    <mergeCell ref="E56:F56"/>
    <mergeCell ref="G56:H56"/>
    <mergeCell ref="C285:D285"/>
    <mergeCell ref="E43:F43"/>
    <mergeCell ref="E214:F214"/>
    <mergeCell ref="I34:J34"/>
    <mergeCell ref="G43:H43"/>
    <mergeCell ref="G214:H214"/>
    <mergeCell ref="G276:H276"/>
    <mergeCell ref="I276:J276"/>
    <mergeCell ref="E285:F285"/>
    <mergeCell ref="C390:D390"/>
    <mergeCell ref="G120:H120"/>
    <mergeCell ref="I49:J49"/>
    <mergeCell ref="C156:D156"/>
    <mergeCell ref="I120:J120"/>
    <mergeCell ref="G36:H36"/>
    <mergeCell ref="E278:F278"/>
    <mergeCell ref="C74:D74"/>
    <mergeCell ref="I36:J36"/>
    <mergeCell ref="G278:H278"/>
    <mergeCell ref="C250:D250"/>
    <mergeCell ref="I278:J278"/>
    <mergeCell ref="I234:J234"/>
    <mergeCell ref="I113:J113"/>
    <mergeCell ref="C16:D16"/>
    <mergeCell ref="C230:D230"/>
    <mergeCell ref="C168:D168"/>
    <mergeCell ref="E230:F230"/>
    <mergeCell ref="C118:D118"/>
    <mergeCell ref="C167:D167"/>
    <mergeCell ref="C238:D238"/>
    <mergeCell ref="E167:F167"/>
    <mergeCell ref="E367:F367"/>
    <mergeCell ref="G196:H196"/>
    <mergeCell ref="C207:D207"/>
    <mergeCell ref="C11:D11"/>
    <mergeCell ref="B123:J123"/>
    <mergeCell ref="E207:F207"/>
    <mergeCell ref="E11:F11"/>
    <mergeCell ref="G207:H207"/>
    <mergeCell ref="C169:D169"/>
    <mergeCell ref="E169:F169"/>
    <mergeCell ref="I247:J247"/>
    <mergeCell ref="G200:H200"/>
    <mergeCell ref="C233:D233"/>
    <mergeCell ref="I252:J252"/>
    <mergeCell ref="E273:F273"/>
    <mergeCell ref="G273:H273"/>
    <mergeCell ref="C96:D96"/>
    <mergeCell ref="I329:J329"/>
    <mergeCell ref="G291:H291"/>
    <mergeCell ref="C354:D354"/>
    <mergeCell ref="I168:J168"/>
    <mergeCell ref="I95:J95"/>
    <mergeCell ref="G331:H331"/>
    <mergeCell ref="I89:J89"/>
    <mergeCell ref="I393:J393"/>
    <mergeCell ref="I331:J331"/>
    <mergeCell ref="E9:J9"/>
    <mergeCell ref="C89:D89"/>
    <mergeCell ref="E347:F347"/>
    <mergeCell ref="C116:D116"/>
    <mergeCell ref="G347:H347"/>
    <mergeCell ref="G97:H97"/>
    <mergeCell ref="I197:J197"/>
    <mergeCell ref="G268:H268"/>
    <mergeCell ref="C368:D368"/>
    <mergeCell ref="E362:F362"/>
    <mergeCell ref="E51:F51"/>
    <mergeCell ref="E156:F156"/>
    <mergeCell ref="E153:F153"/>
    <mergeCell ref="E128:F128"/>
    <mergeCell ref="G57:H57"/>
    <mergeCell ref="C93:D93"/>
    <mergeCell ref="E155:F155"/>
    <mergeCell ref="G128:H128"/>
    <mergeCell ref="C364:D364"/>
    <mergeCell ref="E364:F364"/>
    <mergeCell ref="G171:H171"/>
    <mergeCell ref="I171:J171"/>
    <mergeCell ref="E363:F363"/>
    <mergeCell ref="G121:H121"/>
    <mergeCell ref="I121:J121"/>
    <mergeCell ref="E157:F157"/>
    <mergeCell ref="E284:F284"/>
    <mergeCell ref="C251:D251"/>
    <mergeCell ref="I42:J42"/>
    <mergeCell ref="G284:H284"/>
    <mergeCell ref="I284:J284"/>
    <mergeCell ref="I173:J173"/>
    <mergeCell ref="G58:H58"/>
    <mergeCell ref="I52:J52"/>
    <mergeCell ref="C17:D17"/>
    <mergeCell ref="I250:J250"/>
    <mergeCell ref="E286:F286"/>
    <mergeCell ref="C253:D253"/>
    <mergeCell ref="I44:J44"/>
    <mergeCell ref="I166:J166"/>
    <mergeCell ref="C19:D19"/>
    <mergeCell ref="C190:D190"/>
    <mergeCell ref="C317:D317"/>
    <mergeCell ref="E75:F75"/>
    <mergeCell ref="E246:F246"/>
    <mergeCell ref="E317:F317"/>
    <mergeCell ref="G75:H75"/>
    <mergeCell ref="E233:F233"/>
    <mergeCell ref="C83:D83"/>
    <mergeCell ref="E12:F12"/>
    <mergeCell ref="C248:D248"/>
    <mergeCell ref="G12:H12"/>
    <mergeCell ref="E248:F248"/>
    <mergeCell ref="C175:D175"/>
    <mergeCell ref="C235:D235"/>
    <mergeCell ref="E175:F175"/>
    <mergeCell ref="I199:J199"/>
    <mergeCell ref="E235:F235"/>
    <mergeCell ref="E368:F368"/>
    <mergeCell ref="C14:D14"/>
    <mergeCell ref="E247:F247"/>
    <mergeCell ref="G362:H362"/>
    <mergeCell ref="E14:F14"/>
    <mergeCell ref="E312:F312"/>
    <mergeCell ref="G312:H312"/>
    <mergeCell ref="I57:J57"/>
    <mergeCell ref="G355:H355"/>
    <mergeCell ref="C393:D393"/>
    <mergeCell ref="I355:J355"/>
    <mergeCell ref="E314:F314"/>
    <mergeCell ref="I330:J330"/>
    <mergeCell ref="B84:J84"/>
    <mergeCell ref="I134:J134"/>
    <mergeCell ref="E170:F170"/>
    <mergeCell ref="I268:J268"/>
    <mergeCell ref="C330:D330"/>
    <mergeCell ref="I96:J96"/>
    <mergeCell ref="E370:F370"/>
    <mergeCell ref="C90:D90"/>
    <mergeCell ref="E90:F90"/>
    <mergeCell ref="C132:D132"/>
    <mergeCell ref="G192:H192"/>
    <mergeCell ref="E390:F390"/>
    <mergeCell ref="G246:H246"/>
    <mergeCell ref="G129:H129"/>
    <mergeCell ref="E172:F172"/>
    <mergeCell ref="E365:F365"/>
    <mergeCell ref="G365:H365"/>
    <mergeCell ref="G131:H131"/>
    <mergeCell ref="E58:F58"/>
    <mergeCell ref="G236:H236"/>
    <mergeCell ref="E394:F394"/>
    <mergeCell ref="I174:J174"/>
    <mergeCell ref="B318:J318"/>
    <mergeCell ref="I251:J251"/>
    <mergeCell ref="G287:H287"/>
    <mergeCell ref="C325:D325"/>
    <mergeCell ref="E83:F83"/>
    <mergeCell ref="I116:J116"/>
    <mergeCell ref="I287:J287"/>
    <mergeCell ref="I352:J352"/>
    <mergeCell ref="G289:H289"/>
    <mergeCell ref="C389:D389"/>
    <mergeCell ref="C112:D112"/>
    <mergeCell ref="C133:D133"/>
    <mergeCell ref="E13:F13"/>
    <mergeCell ref="C127:D127"/>
    <mergeCell ref="G13:H13"/>
    <mergeCell ref="E78:F78"/>
    <mergeCell ref="E249:F249"/>
    <mergeCell ref="G78:H78"/>
    <mergeCell ref="C114:D114"/>
    <mergeCell ref="C247:D247"/>
    <mergeCell ref="E114:F114"/>
    <mergeCell ref="G205:H205"/>
    <mergeCell ref="G249:H249"/>
    <mergeCell ref="I205:J205"/>
    <mergeCell ref="G314:H314"/>
    <mergeCell ref="C356:D356"/>
    <mergeCell ref="E385:F385"/>
    <mergeCell ref="G363:H363"/>
    <mergeCell ref="E15:F15"/>
    <mergeCell ref="G15:H15"/>
    <mergeCell ref="C51:D51"/>
    <mergeCell ref="E80:F80"/>
    <mergeCell ref="E191:F191"/>
    <mergeCell ref="G313:H313"/>
    <mergeCell ref="G80:H80"/>
    <mergeCell ref="G234:H234"/>
    <mergeCell ref="C272:D272"/>
    <mergeCell ref="G79:H79"/>
    <mergeCell ref="E315:F315"/>
    <mergeCell ref="G73:H73"/>
    <mergeCell ref="I79:J79"/>
    <mergeCell ref="G315:H315"/>
    <mergeCell ref="I73:J73"/>
    <mergeCell ref="I315:J315"/>
    <mergeCell ref="C38:D38"/>
    <mergeCell ref="C209:D209"/>
    <mergeCell ref="E81:F81"/>
    <mergeCell ref="G173:H173"/>
    <mergeCell ref="C275:D275"/>
    <mergeCell ref="C269:D269"/>
    <mergeCell ref="E269:F269"/>
    <mergeCell ref="C231:D231"/>
    <mergeCell ref="C35:D35"/>
    <mergeCell ref="G170:H170"/>
    <mergeCell ref="I195:J195"/>
    <mergeCell ref="E35:F35"/>
    <mergeCell ref="C206:D206"/>
    <mergeCell ref="E206:F206"/>
    <mergeCell ref="E231:F231"/>
    <mergeCell ref="C10:D10"/>
    <mergeCell ref="E10:F10"/>
    <mergeCell ref="G10:H10"/>
    <mergeCell ref="G308:H308"/>
    <mergeCell ref="C270:D270"/>
    <mergeCell ref="G53:H53"/>
    <mergeCell ref="I53:J53"/>
    <mergeCell ref="G326:H326"/>
    <mergeCell ref="I351:J351"/>
    <mergeCell ref="I326:J326"/>
    <mergeCell ref="E74:F74"/>
    <mergeCell ref="E245:F245"/>
    <mergeCell ref="I289:J289"/>
    <mergeCell ref="G74:H74"/>
    <mergeCell ref="G239:H239"/>
    <mergeCell ref="I130:J130"/>
    <mergeCell ref="I190:J190"/>
    <mergeCell ref="G92:H92"/>
    <mergeCell ref="I117:J117"/>
    <mergeCell ref="I92:J92"/>
    <mergeCell ref="I55:J55"/>
    <mergeCell ref="C130:D130"/>
    <mergeCell ref="G353:H353"/>
    <mergeCell ref="I353:J353"/>
    <mergeCell ref="I132:J132"/>
    <mergeCell ref="C135:D135"/>
    <mergeCell ref="G290:H290"/>
    <mergeCell ref="C328:D328"/>
    <mergeCell ref="I290:J290"/>
    <mergeCell ref="C159:D159"/>
    <mergeCell ref="C122:D122"/>
    <mergeCell ref="C153:D153"/>
    <mergeCell ref="E204:J204"/>
    <mergeCell ref="C395:D395"/>
    <mergeCell ref="C199:D199"/>
    <mergeCell ref="E199:F199"/>
    <mergeCell ref="I354:J354"/>
    <mergeCell ref="E392:F392"/>
    <mergeCell ref="E386:F386"/>
    <mergeCell ref="C136:D136"/>
    <mergeCell ref="E192:F192"/>
    <mergeCell ref="C323:D323"/>
    <mergeCell ref="E323:F323"/>
    <mergeCell ref="G81:H81"/>
    <mergeCell ref="I81:J81"/>
    <mergeCell ref="G208:H208"/>
    <mergeCell ref="I208:J208"/>
    <mergeCell ref="G244:H244"/>
    <mergeCell ref="E129:F129"/>
    <mergeCell ref="I366:J366"/>
    <mergeCell ref="E194:F194"/>
    <mergeCell ref="E387:F387"/>
    <mergeCell ref="G194:H194"/>
    <mergeCell ref="G316:H316"/>
    <mergeCell ref="G387:H387"/>
    <mergeCell ref="I316:J316"/>
    <mergeCell ref="I272:J272"/>
    <mergeCell ref="G237:H237"/>
    <mergeCell ref="I210:J210"/>
    <mergeCell ref="I237:J237"/>
    <mergeCell ref="E131:F131"/>
    <mergeCell ref="G160:H160"/>
    <mergeCell ref="C54:D54"/>
    <mergeCell ref="I16:J16"/>
    <mergeCell ref="I209:J209"/>
    <mergeCell ref="G174:H174"/>
    <mergeCell ref="C41:D41"/>
    <mergeCell ref="C212:D212"/>
    <mergeCell ref="G245:H245"/>
    <mergeCell ref="C277:D277"/>
    <mergeCell ref="I239:J239"/>
    <mergeCell ref="I122:J122"/>
    <mergeCell ref="G18:H18"/>
    <mergeCell ref="C56:D56"/>
    <mergeCell ref="I18:J18"/>
    <mergeCell ref="I214:J214"/>
    <mergeCell ref="C276:D276"/>
    <mergeCell ref="E34:F34"/>
    <mergeCell ref="C43:D43"/>
    <mergeCell ref="C214:D214"/>
    <mergeCell ref="G34:H34"/>
    <mergeCell ref="I238:J238"/>
    <mergeCell ref="E270:F270"/>
    <mergeCell ref="E276:F276"/>
    <mergeCell ref="E321:J321"/>
    <mergeCell ref="C120:D120"/>
    <mergeCell ref="E49:F49"/>
    <mergeCell ref="C36:D36"/>
    <mergeCell ref="C278:D278"/>
    <mergeCell ref="E36:F36"/>
    <mergeCell ref="I236:J236"/>
    <mergeCell ref="C370:D370"/>
    <mergeCell ref="E113:F113"/>
    <mergeCell ref="G113:H113"/>
    <mergeCell ref="C385:D385"/>
    <mergeCell ref="G94:H94"/>
    <mergeCell ref="E136:F136"/>
    <mergeCell ref="I94:J94"/>
    <mergeCell ref="G44:H44"/>
    <mergeCell ref="G311:H311"/>
    <mergeCell ref="I367:J367"/>
    <mergeCell ref="G158:H158"/>
    <mergeCell ref="C367:D367"/>
    <mergeCell ref="I158:J158"/>
    <mergeCell ref="G77:H77"/>
    <mergeCell ref="C288:D288"/>
    <mergeCell ref="I77:J77"/>
    <mergeCell ref="I133:J133"/>
    <mergeCell ref="G169:H169"/>
    <mergeCell ref="I369:J369"/>
    <mergeCell ref="I356:J356"/>
    <mergeCell ref="E127:F127"/>
    <mergeCell ref="I160:J160"/>
    <mergeCell ref="C369:D369"/>
    <mergeCell ref="I135:J135"/>
    <mergeCell ref="C200:D200"/>
    <mergeCell ref="G233:H233"/>
    <mergeCell ref="E200:F200"/>
    <mergeCell ref="I233:J233"/>
    <mergeCell ref="B279:J279"/>
    <mergeCell ref="G191:H191"/>
    <mergeCell ref="C291:D291"/>
    <mergeCell ref="E291:F291"/>
    <mergeCell ref="G49:H49"/>
    <mergeCell ref="G195:H195"/>
    <mergeCell ref="G322:H322"/>
    <mergeCell ref="I322:J322"/>
    <mergeCell ref="I211:J211"/>
    <mergeCell ref="G309:H309"/>
    <mergeCell ref="C347:D347"/>
    <mergeCell ref="I309:J309"/>
    <mergeCell ref="C268:D268"/>
    <mergeCell ref="E197:F197"/>
    <mergeCell ref="G88:H88"/>
    <mergeCell ref="I17:J17"/>
    <mergeCell ref="G197:H197"/>
    <mergeCell ref="I88:J88"/>
    <mergeCell ref="G324:H324"/>
    <mergeCell ref="I82:J82"/>
    <mergeCell ref="C91:D91"/>
    <mergeCell ref="E120:F120"/>
    <mergeCell ref="I253:J253"/>
    <mergeCell ref="I324:J324"/>
    <mergeCell ref="C362:D362"/>
    <mergeCell ref="C82:D82"/>
    <mergeCell ref="I311:J311"/>
    <mergeCell ref="C57:D57"/>
    <mergeCell ref="I19:J19"/>
    <mergeCell ref="G90:H90"/>
    <mergeCell ref="C355:D355"/>
    <mergeCell ref="C155:D155"/>
    <mergeCell ref="B357:J357"/>
    <mergeCell ref="C391:D391"/>
    <mergeCell ref="E50:F50"/>
    <mergeCell ref="E121:F121"/>
    <mergeCell ref="C157:D157"/>
    <mergeCell ref="C151:D151"/>
    <mergeCell ref="E213:F213"/>
    <mergeCell ref="C284:D284"/>
    <mergeCell ref="E151:F151"/>
    <mergeCell ref="G42:H42"/>
    <mergeCell ref="C58:D58"/>
    <mergeCell ref="E52:F52"/>
    <mergeCell ref="B162:J162"/>
    <mergeCell ref="G211:H211"/>
    <mergeCell ref="E39:F39"/>
    <mergeCell ref="C386:D386"/>
    <mergeCell ref="E44:F44"/>
    <mergeCell ref="G39:H39"/>
    <mergeCell ref="G166:H166"/>
    <mergeCell ref="G116:H116"/>
    <mergeCell ref="C152:D152"/>
    <mergeCell ref="E352:F352"/>
    <mergeCell ref="E152:F152"/>
    <mergeCell ref="G352:H352"/>
    <mergeCell ref="C75:D75"/>
    <mergeCell ref="I159:J159"/>
    <mergeCell ref="I97:J97"/>
    <mergeCell ref="I230:J230"/>
    <mergeCell ref="I395:J395"/>
    <mergeCell ref="E118:F118"/>
    <mergeCell ref="G118:H118"/>
    <mergeCell ref="C12:D12"/>
    <mergeCell ref="G167:H167"/>
    <mergeCell ref="G210:H210"/>
    <mergeCell ref="I161:J161"/>
    <mergeCell ref="B45:J45"/>
    <mergeCell ref="C312:D312"/>
    <mergeCell ref="E57:F57"/>
    <mergeCell ref="I249:J249"/>
    <mergeCell ref="E355:F355"/>
    <mergeCell ref="E330:F330"/>
    <mergeCell ref="E134:F134"/>
    <mergeCell ref="E268:F268"/>
    <mergeCell ref="G330:H330"/>
    <mergeCell ref="G134:H134"/>
    <mergeCell ref="C170:D170"/>
    <mergeCell ref="C292:D292"/>
    <mergeCell ref="E292:F292"/>
    <mergeCell ref="G50:H50"/>
    <mergeCell ref="I50:J50"/>
    <mergeCell ref="G286:H286"/>
    <mergeCell ref="E96:F96"/>
    <mergeCell ref="G96:H96"/>
    <mergeCell ref="C307:D307"/>
    <mergeCell ref="E307:F307"/>
    <mergeCell ref="I90:J90"/>
    <mergeCell ref="G52:H52"/>
    <mergeCell ref="G350:H350"/>
    <mergeCell ref="I350:J350"/>
    <mergeCell ref="I325:J325"/>
    <mergeCell ref="G390:H390"/>
    <mergeCell ref="I390:J390"/>
    <mergeCell ref="C246:D246"/>
    <mergeCell ref="I91:J91"/>
    <mergeCell ref="G156:H156"/>
    <mergeCell ref="G327:H327"/>
    <mergeCell ref="I389:J389"/>
    <mergeCell ref="I156:J156"/>
    <mergeCell ref="I327:J327"/>
    <mergeCell ref="C196:D196"/>
    <mergeCell ref="C392:D392"/>
    <mergeCell ref="G93:H93"/>
    <mergeCell ref="I93:J93"/>
    <mergeCell ref="C236:D236"/>
    <mergeCell ref="I391:J391"/>
    <mergeCell ref="B201:J201"/>
    <mergeCell ref="C394:D394"/>
    <mergeCell ref="C198:D198"/>
    <mergeCell ref="E243:J243"/>
    <mergeCell ref="C287:D287"/>
    <mergeCell ref="I118:J118"/>
    <mergeCell ref="E287:F287"/>
    <mergeCell ref="I167:J167"/>
    <mergeCell ref="G55:H55"/>
    <mergeCell ref="C289:D289"/>
    <mergeCell ref="I38:J38"/>
    <mergeCell ref="G274:H274"/>
    <mergeCell ref="I169:J169"/>
    <mergeCell ref="E165:J165"/>
    <mergeCell ref="I274:J274"/>
    <mergeCell ref="G119:H119"/>
    <mergeCell ref="I119:J119"/>
    <mergeCell ref="C13:D13"/>
    <mergeCell ref="I246:J246"/>
    <mergeCell ref="G40:H40"/>
    <mergeCell ref="C78:D78"/>
    <mergeCell ref="I40:J40"/>
    <mergeCell ref="C314:D314"/>
  </mergeCells>
  <conditionalFormatting sqref="H6">
    <cfRule type="expression" priority="1" dxfId="0" stopIfTrue="0">
      <formula>H6&lt;&gt;100</formula>
    </cfRule>
  </conditionalFormatting>
  <conditionalFormatting sqref="C21:C33 E21:E33 G21:G33 I21:I33">
    <cfRule type="expression" priority="2" dxfId="5" stopIfTrue="0">
      <formula>C21="Not included"</formula>
    </cfRule>
    <cfRule type="expression" priority="3" dxfId="6" stopIfTrue="0">
      <formula>C21="Unclear"</formula>
    </cfRule>
    <cfRule type="expression" priority="4" dxfId="3" stopIfTrue="0">
      <formula>C21="Included"</formula>
    </cfRule>
  </conditionalFormatting>
  <conditionalFormatting sqref="D21:D33 F21:F33 H21:H33 J21:J33">
    <cfRule type="expression" priority="5" dxfId="7" stopIfTrue="0">
      <formula>C21="Included"</formula>
    </cfRule>
  </conditionalFormatting>
  <conditionalFormatting sqref="C44 E44 G44 I44">
    <cfRule type="expression" priority="6" dxfId="1" stopIfTrue="0">
      <formula>AND(C43&lt;&gt;"",C43=MAX($C43:$J43))</formula>
    </cfRule>
  </conditionalFormatting>
  <conditionalFormatting sqref="B45">
    <cfRule type="expression" priority="7" dxfId="0" stopIfTrue="0">
      <formula>$P45=1</formula>
    </cfRule>
    <cfRule type="expression" priority="8" dxfId="3" stopIfTrue="0">
      <formula>AND($P45=0,B45&lt;&gt;"")</formula>
    </cfRule>
  </conditionalFormatting>
  <conditionalFormatting sqref="C60:C72 E60:E72 G60:G72 I60:I72">
    <cfRule type="expression" priority="9" dxfId="5" stopIfTrue="0">
      <formula>C60="Not included"</formula>
    </cfRule>
    <cfRule type="expression" priority="10" dxfId="6" stopIfTrue="0">
      <formula>C60="Unclear"</formula>
    </cfRule>
    <cfRule type="expression" priority="11" dxfId="3" stopIfTrue="0">
      <formula>C60="Included"</formula>
    </cfRule>
  </conditionalFormatting>
  <conditionalFormatting sqref="D60:D72 F60:F72 H60:H72 J60:J72">
    <cfRule type="expression" priority="12" dxfId="7" stopIfTrue="0">
      <formula>C60="Included"</formula>
    </cfRule>
  </conditionalFormatting>
  <conditionalFormatting sqref="C83 E83 G83 I83">
    <cfRule type="expression" priority="13" dxfId="1" stopIfTrue="0">
      <formula>AND(C82&lt;&gt;"",C82=MAX($C82:$J82))</formula>
    </cfRule>
  </conditionalFormatting>
  <conditionalFormatting sqref="B84">
    <cfRule type="expression" priority="14" dxfId="0" stopIfTrue="0">
      <formula>$P84=1</formula>
    </cfRule>
    <cfRule type="expression" priority="15" dxfId="3" stopIfTrue="0">
      <formula>AND($P84=0,B84&lt;&gt;"")</formula>
    </cfRule>
  </conditionalFormatting>
  <conditionalFormatting sqref="C99:C111 E99:E111 G99:G111 I99:I111">
    <cfRule type="expression" priority="16" dxfId="5" stopIfTrue="0">
      <formula>C99="Not included"</formula>
    </cfRule>
    <cfRule type="expression" priority="17" dxfId="6" stopIfTrue="0">
      <formula>C99="Unclear"</formula>
    </cfRule>
    <cfRule type="expression" priority="18" dxfId="3" stopIfTrue="0">
      <formula>C99="Included"</formula>
    </cfRule>
  </conditionalFormatting>
  <conditionalFormatting sqref="D99:D111 F99:F111 H99:H111 J99:J111">
    <cfRule type="expression" priority="19" dxfId="7" stopIfTrue="0">
      <formula>C99="Included"</formula>
    </cfRule>
  </conditionalFormatting>
  <conditionalFormatting sqref="C122 E122 G122 I122">
    <cfRule type="expression" priority="20" dxfId="1" stopIfTrue="0">
      <formula>AND(C121&lt;&gt;"",C121=MAX($C121:$J121))</formula>
    </cfRule>
  </conditionalFormatting>
  <conditionalFormatting sqref="B123">
    <cfRule type="expression" priority="21" dxfId="0" stopIfTrue="0">
      <formula>$P123=1</formula>
    </cfRule>
    <cfRule type="expression" priority="22" dxfId="3" stopIfTrue="0">
      <formula>AND($P123=0,B123&lt;&gt;"")</formula>
    </cfRule>
  </conditionalFormatting>
  <conditionalFormatting sqref="C138:C150 E138:E150 G138:G150 I138:I150">
    <cfRule type="expression" priority="23" dxfId="5" stopIfTrue="0">
      <formula>C138="Not included"</formula>
    </cfRule>
    <cfRule type="expression" priority="24" dxfId="6" stopIfTrue="0">
      <formula>C138="Unclear"</formula>
    </cfRule>
    <cfRule type="expression" priority="25" dxfId="3" stopIfTrue="0">
      <formula>C138="Included"</formula>
    </cfRule>
  </conditionalFormatting>
  <conditionalFormatting sqref="D138:D150 F138:F150 H138:H150 J138:J150">
    <cfRule type="expression" priority="26" dxfId="7" stopIfTrue="0">
      <formula>C138="Included"</formula>
    </cfRule>
  </conditionalFormatting>
  <conditionalFormatting sqref="C161 E161 G161 I161">
    <cfRule type="expression" priority="27" dxfId="1" stopIfTrue="0">
      <formula>AND(C160&lt;&gt;"",C160=MAX($C160:$J160))</formula>
    </cfRule>
  </conditionalFormatting>
  <conditionalFormatting sqref="B162">
    <cfRule type="expression" priority="28" dxfId="0" stopIfTrue="0">
      <formula>$P162=1</formula>
    </cfRule>
    <cfRule type="expression" priority="29" dxfId="3" stopIfTrue="0">
      <formula>AND($P162=0,B162&lt;&gt;"")</formula>
    </cfRule>
  </conditionalFormatting>
  <conditionalFormatting sqref="C177:C189 E177:E189 G177:G189 I177:I189">
    <cfRule type="expression" priority="30" dxfId="5" stopIfTrue="0">
      <formula>C177="Not included"</formula>
    </cfRule>
    <cfRule type="expression" priority="31" dxfId="6" stopIfTrue="0">
      <formula>C177="Unclear"</formula>
    </cfRule>
    <cfRule type="expression" priority="32" dxfId="3" stopIfTrue="0">
      <formula>C177="Included"</formula>
    </cfRule>
  </conditionalFormatting>
  <conditionalFormatting sqref="D177:D189 F177:F189 H177:H189 J177:J189">
    <cfRule type="expression" priority="33" dxfId="7" stopIfTrue="0">
      <formula>C177="Included"</formula>
    </cfRule>
  </conditionalFormatting>
  <conditionalFormatting sqref="C200 E200 G200 I200">
    <cfRule type="expression" priority="34" dxfId="1" stopIfTrue="0">
      <formula>AND(C199&lt;&gt;"",C199=MAX($C199:$J199))</formula>
    </cfRule>
  </conditionalFormatting>
  <conditionalFormatting sqref="B201">
    <cfRule type="expression" priority="35" dxfId="0" stopIfTrue="0">
      <formula>$P201=1</formula>
    </cfRule>
    <cfRule type="expression" priority="36" dxfId="3" stopIfTrue="0">
      <formula>AND($P201=0,B201&lt;&gt;"")</formula>
    </cfRule>
  </conditionalFormatting>
  <conditionalFormatting sqref="C216:C228 E216:E228 G216:G228 I216:I228">
    <cfRule type="expression" priority="37" dxfId="5" stopIfTrue="0">
      <formula>C216="Not included"</formula>
    </cfRule>
    <cfRule type="expression" priority="38" dxfId="6" stopIfTrue="0">
      <formula>C216="Unclear"</formula>
    </cfRule>
    <cfRule type="expression" priority="39" dxfId="3" stopIfTrue="0">
      <formula>C216="Included"</formula>
    </cfRule>
  </conditionalFormatting>
  <conditionalFormatting sqref="D216:D228 F216:F228 H216:H228 J216:J228">
    <cfRule type="expression" priority="40" dxfId="7" stopIfTrue="0">
      <formula>C216="Included"</formula>
    </cfRule>
  </conditionalFormatting>
  <conditionalFormatting sqref="C239 E239 G239 I239">
    <cfRule type="expression" priority="41" dxfId="1" stopIfTrue="0">
      <formula>AND(C238&lt;&gt;"",C238=MAX($C238:$J238))</formula>
    </cfRule>
  </conditionalFormatting>
  <conditionalFormatting sqref="B240">
    <cfRule type="expression" priority="42" dxfId="0" stopIfTrue="0">
      <formula>$P240=1</formula>
    </cfRule>
    <cfRule type="expression" priority="43" dxfId="3" stopIfTrue="0">
      <formula>AND($P240=0,B240&lt;&gt;"")</formula>
    </cfRule>
  </conditionalFormatting>
  <conditionalFormatting sqref="C255:C267 E255:E267 G255:G267 I255:I267">
    <cfRule type="expression" priority="44" dxfId="5" stopIfTrue="0">
      <formula>C255="Not included"</formula>
    </cfRule>
    <cfRule type="expression" priority="45" dxfId="6" stopIfTrue="0">
      <formula>C255="Unclear"</formula>
    </cfRule>
    <cfRule type="expression" priority="46" dxfId="3" stopIfTrue="0">
      <formula>C255="Included"</formula>
    </cfRule>
  </conditionalFormatting>
  <conditionalFormatting sqref="D255:D267 F255:F267 H255:H267 J255:J267">
    <cfRule type="expression" priority="47" dxfId="7" stopIfTrue="0">
      <formula>C255="Included"</formula>
    </cfRule>
  </conditionalFormatting>
  <conditionalFormatting sqref="C278 E278 G278 I278">
    <cfRule type="expression" priority="48" dxfId="1" stopIfTrue="0">
      <formula>AND(C277&lt;&gt;"",C277=MAX($C277:$J277))</formula>
    </cfRule>
  </conditionalFormatting>
  <conditionalFormatting sqref="B279">
    <cfRule type="expression" priority="49" dxfId="0" stopIfTrue="0">
      <formula>$P279=1</formula>
    </cfRule>
    <cfRule type="expression" priority="50" dxfId="3" stopIfTrue="0">
      <formula>AND($P279=0,B279&lt;&gt;"")</formula>
    </cfRule>
  </conditionalFormatting>
  <conditionalFormatting sqref="C294:C306 E294:E306 G294:G306 I294:I306">
    <cfRule type="expression" priority="51" dxfId="5" stopIfTrue="0">
      <formula>C294="Not included"</formula>
    </cfRule>
    <cfRule type="expression" priority="52" dxfId="6" stopIfTrue="0">
      <formula>C294="Unclear"</formula>
    </cfRule>
    <cfRule type="expression" priority="53" dxfId="3" stopIfTrue="0">
      <formula>C294="Included"</formula>
    </cfRule>
  </conditionalFormatting>
  <conditionalFormatting sqref="D294:D306 F294:F306 H294:H306 J294:J306">
    <cfRule type="expression" priority="54" dxfId="7" stopIfTrue="0">
      <formula>C294="Included"</formula>
    </cfRule>
  </conditionalFormatting>
  <conditionalFormatting sqref="C317 E317 G317 I317">
    <cfRule type="expression" priority="55" dxfId="1" stopIfTrue="0">
      <formula>AND(C316&lt;&gt;"",C316=MAX($C316:$J316))</formula>
    </cfRule>
  </conditionalFormatting>
  <conditionalFormatting sqref="B318">
    <cfRule type="expression" priority="56" dxfId="0" stopIfTrue="0">
      <formula>$P318=1</formula>
    </cfRule>
    <cfRule type="expression" priority="57" dxfId="3" stopIfTrue="0">
      <formula>AND($P318=0,B318&lt;&gt;"")</formula>
    </cfRule>
  </conditionalFormatting>
  <conditionalFormatting sqref="C333:C345 E333:E345 G333:G345 I333:I345">
    <cfRule type="expression" priority="58" dxfId="5" stopIfTrue="0">
      <formula>C333="Not included"</formula>
    </cfRule>
    <cfRule type="expression" priority="59" dxfId="6" stopIfTrue="0">
      <formula>C333="Unclear"</formula>
    </cfRule>
    <cfRule type="expression" priority="60" dxfId="3" stopIfTrue="0">
      <formula>C333="Included"</formula>
    </cfRule>
  </conditionalFormatting>
  <conditionalFormatting sqref="D333:D345 F333:F345 H333:H345 J333:J345">
    <cfRule type="expression" priority="61" dxfId="7" stopIfTrue="0">
      <formula>C333="Included"</formula>
    </cfRule>
  </conditionalFormatting>
  <conditionalFormatting sqref="C356 E356 G356 I356">
    <cfRule type="expression" priority="62" dxfId="1" stopIfTrue="0">
      <formula>AND(C355&lt;&gt;"",C355=MAX($C355:$J355))</formula>
    </cfRule>
  </conditionalFormatting>
  <conditionalFormatting sqref="B357">
    <cfRule type="expression" priority="63" dxfId="0" stopIfTrue="0">
      <formula>$P357=1</formula>
    </cfRule>
    <cfRule type="expression" priority="64" dxfId="3" stopIfTrue="0">
      <formula>AND($P357=0,B357&lt;&gt;"")</formula>
    </cfRule>
  </conditionalFormatting>
  <conditionalFormatting sqref="C372:C384 E372:E384 G372:G384 I372:I384">
    <cfRule type="expression" priority="65" dxfId="5" stopIfTrue="0">
      <formula>C372="Not included"</formula>
    </cfRule>
    <cfRule type="expression" priority="66" dxfId="6" stopIfTrue="0">
      <formula>C372="Unclear"</formula>
    </cfRule>
    <cfRule type="expression" priority="67" dxfId="3" stopIfTrue="0">
      <formula>C372="Included"</formula>
    </cfRule>
  </conditionalFormatting>
  <conditionalFormatting sqref="D372:D384 F372:F384 H372:H384 J372:J384">
    <cfRule type="expression" priority="68" dxfId="7" stopIfTrue="0">
      <formula>C372="Included"</formula>
    </cfRule>
  </conditionalFormatting>
  <conditionalFormatting sqref="C395 E395 G395 I395">
    <cfRule type="expression" priority="69" dxfId="1" stopIfTrue="0">
      <formula>AND(C394&lt;&gt;"",C394=MAX($C394:$J394))</formula>
    </cfRule>
  </conditionalFormatting>
  <conditionalFormatting sqref="B396">
    <cfRule type="expression" priority="70" dxfId="0" stopIfTrue="0">
      <formula>$P396=1</formula>
    </cfRule>
    <cfRule type="expression" priority="71" dxfId="3" stopIfTrue="0">
      <formula>AND($P396=0,B396&lt;&gt;"")</formula>
    </cfRule>
  </conditionalFormatting>
  <dataValidations count="4">
    <dataValidation sqref="C9 C48 C87 C126 C165 C204 C243 C282 C321 C360" showDropDown="0" showInputMessage="0" showErrorMessage="1" allowBlank="1" errorTitle="Renovation OS" error="Please pick a value from the dropdown list." type="list">
      <formula1>='Lists'!$V$2:$V$31</formula1>
    </dataValidation>
    <dataValidation sqref="C13 C17 C52 C56 C91 C95 C130 C134 C169 C173 C208 C212 C247 C251 C286 C290 C325 C329 C364 C368 E13 E17 E52 E56 E91 E95 E130 E134 E169 E173 E208 E212 E247 E251 E286 E290 E325 E329 E364 E368 G13 G17 G52 G56 G91 G95 G130 G134 G169 G173 G208 G212 G247 G251 G286 G290 G325 G329 G364 G368 I13 I17 I52 I56 I91 I95 I130 I134 I169 I173 I208 I212 I247 I251 I286 I290 I325 I329 I364 I368" showDropDown="0" showInputMessage="0" showErrorMessage="1" allowBlank="1" errorTitle="Renovation OS" error="Please pick a value from the dropdown list." type="list">
      <formula1>='Lists'!$A$2:$A$3</formula1>
    </dataValidation>
    <dataValidation sqref="C18 C57 C96 C135 C174 C213 C252 C291 C330 C369 E18 E57 E96 E135 E174 E213 E252 E291 E330 E369 G18 G57 G96 G135 G174 G213 G252 G291 G330 G369 I18 I57 I96 I135 I174 I213 I252 I291 I330 I369" showDropDown="0" showInputMessage="0" showErrorMessage="1" allowBlank="1" errorTitle="Renovation OS" error="Please pick a value from the dropdown list." type="list">
      <formula1>='Lists'!$O$2:$O$6</formula1>
    </dataValidation>
    <dataValidation sqref="C21:C33 C60:C72 C99:C111 C138:C150 C177:C189 C216:C228 C255:C267 C294:C306 C333:C345 C372:C384 E21:E33 E60:E72 E99:E111 E138:E150 E177:E189 E216:E228 E255:E267 E294:E306 E333:E345 E372:E384 G21:G33 G60:G72 G99:G111 G138:G150 G177:G189 G216:G228 G255:G267 G294:G306 G333:G345 G372:G384 I21:I33 I60:I72 I99:I111 I138:I150 I177:I189 I216:I228 I255:I267 I294:I306 I333:I345 I372:I384" showDropDown="0" showInputMessage="0" showErrorMessage="1" allowBlank="1" errorTitle="Renovation OS" error="Please pick a value from the dropdown list." type="list">
      <formula1>='Lists'!$C$2:$C$4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2E7D32"/>
    <outlinePr summaryBelow="1" summaryRight="1"/>
    <pageSetUpPr/>
  </sheetPr>
  <dimension ref="A1:Y19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20" customWidth="1" min="3" max="3"/>
    <col width="17" customWidth="1" min="4" max="4"/>
    <col width="15" customWidth="1" min="5" max="5"/>
    <col width="16" customWidth="1" min="6" max="6"/>
    <col width="15" customWidth="1" min="7" max="7"/>
    <col width="24" customWidth="1" min="8" max="8"/>
    <col width="14" customWidth="1" min="9" max="9"/>
    <col width="14" customWidth="1" min="10" max="10"/>
    <col width="14" customWidth="1" min="11" max="11"/>
    <col width="11" customWidth="1" min="12" max="12"/>
    <col width="13" customWidth="1" min="13" max="13"/>
    <col width="13" customWidth="1" min="14" max="14"/>
    <col width="11" customWidth="1" min="15" max="15"/>
    <col width="11" customWidth="1" min="16" max="16"/>
    <col width="10" customWidth="1" min="17" max="17"/>
    <col width="11" customWidth="1" min="18" max="18"/>
    <col width="13" customWidth="1" min="19" max="19"/>
    <col width="9" customWidth="1" min="20" max="20"/>
    <col width="24" customWidth="1" min="21" max="21"/>
    <col hidden="1" width="13" customWidth="1" min="22" max="22"/>
    <col hidden="1" width="13" customWidth="1" min="23" max="23"/>
    <col hidden="1" width="13" customWidth="1" min="24" max="24"/>
    <col hidden="1" width="13" customWidth="1" min="25" max="25"/>
  </cols>
  <sheetData>
    <row r="1" ht="36" customHeight="1">
      <c r="B1" s="1" t="inlineStr">
        <is>
          <t>👷 Contractors</t>
        </is>
      </c>
    </row>
    <row r="2" ht="20" customHeight="1">
      <c r="B2" s="2" t="inlineStr">
        <is>
          <t>What this tab does: one row per contractor — contract, paperwork, progress and a warning when you pay ahead of the work. Communication log below.</t>
        </is>
      </c>
    </row>
    <row r="3">
      <c r="B3" s="3" t="inlineStr">
        <is>
          <t>© 2026 Hang Nguyen — Renovation OS. Licensed to the original purchaser for personal use only. Do not share, copy, resell or redistribute.</t>
        </is>
      </c>
    </row>
    <row r="4"/>
    <row r="5" ht="32" customHeight="1">
      <c r="B5" s="52" t="inlineStr">
        <is>
          <t>Company</t>
        </is>
      </c>
      <c r="C5" s="52" t="inlineStr">
        <is>
          <t>Trade</t>
        </is>
      </c>
      <c r="D5" s="52" t="inlineStr">
        <is>
          <t>Budget category</t>
        </is>
      </c>
      <c r="E5" s="52" t="inlineStr">
        <is>
          <t>Main room</t>
        </is>
      </c>
      <c r="F5" s="52" t="inlineStr">
        <is>
          <t>Contact person</t>
        </is>
      </c>
      <c r="G5" s="52" t="inlineStr">
        <is>
          <t>Phone</t>
        </is>
      </c>
      <c r="H5" s="52" t="inlineStr">
        <is>
          <t>Email</t>
        </is>
      </c>
      <c r="I5" s="70">
        <f>"Contract value ("&amp;CurSym&amp;")"</f>
        <v/>
      </c>
      <c r="J5" s="70">
        <f>"Approved changes ("&amp;CurSym&amp;")"</f>
        <v/>
      </c>
      <c r="K5" s="70">
        <f>"Total contract ("&amp;CurSym&amp;")"</f>
        <v/>
      </c>
      <c r="L5" s="52" t="inlineStr">
        <is>
          <t>Contract signed?</t>
        </is>
      </c>
      <c r="M5" s="52" t="inlineStr">
        <is>
          <t>Start</t>
        </is>
      </c>
      <c r="N5" s="52" t="inlineStr">
        <is>
          <t>Expected completion</t>
        </is>
      </c>
      <c r="O5" s="52" t="inlineStr">
        <is>
          <t>Insurance ✓</t>
        </is>
      </c>
      <c r="P5" s="52" t="inlineStr">
        <is>
          <t>License ✓</t>
        </is>
      </c>
      <c r="Q5" s="52" t="inlineStr">
        <is>
          <t>Warranty (years)</t>
        </is>
      </c>
      <c r="R5" s="52" t="inlineStr">
        <is>
          <t>% work complete</t>
        </is>
      </c>
      <c r="S5" s="70">
        <f>"Paid to date ("&amp;CurSym&amp;")"</f>
        <v/>
      </c>
      <c r="T5" s="52" t="inlineStr">
        <is>
          <t>Paid %</t>
        </is>
      </c>
      <c r="U5" s="52" t="inlineStr">
        <is>
          <t>Overpayment check</t>
        </is>
      </c>
      <c r="V5" s="71" t="inlineStr">
        <is>
          <t>lvl</t>
        </is>
      </c>
      <c r="W5" s="71" t="inlineStr">
        <is>
          <t>due</t>
        </is>
      </c>
      <c r="X5" s="71" t="inlineStr">
        <is>
          <t>pri</t>
        </is>
      </c>
      <c r="Y5" s="71" t="inlineStr">
        <is>
          <t>text</t>
        </is>
      </c>
    </row>
    <row r="6" ht="20" customHeight="1">
      <c r="B6" s="72" t="inlineStr">
        <is>
          <t>Hansen Demolition</t>
        </is>
      </c>
      <c r="C6" s="72" t="inlineStr">
        <is>
          <t>Demolition &amp; strip-out</t>
        </is>
      </c>
      <c r="D6" s="72" t="inlineStr">
        <is>
          <t>Demolition</t>
        </is>
      </c>
      <c r="E6" s="72" t="inlineStr">
        <is>
          <t>Whole house</t>
        </is>
      </c>
      <c r="F6" s="72" t="inlineStr">
        <is>
          <t>Lars Hansen</t>
        </is>
      </c>
      <c r="G6" s="72" t="inlineStr">
        <is>
          <t>+31 6 1234 5678</t>
        </is>
      </c>
      <c r="H6" s="72" t="inlineStr">
        <is>
          <t>lars@hansen-demo.example</t>
        </is>
      </c>
      <c r="I6" s="73" t="n">
        <v>3800</v>
      </c>
      <c r="J6" s="75">
        <f>IF(B6="","",SUMIFS('Change Orders'!$J$7:$J$106,'Change Orders'!$E$7:$E$106,B6,'Change Orders'!$L$7:$L$106,"Approved"))</f>
        <v/>
      </c>
      <c r="K6" s="76">
        <f>IF(B6="","",I6+J6)</f>
        <v/>
      </c>
      <c r="L6" s="74" t="inlineStr">
        <is>
          <t>Yes</t>
        </is>
      </c>
      <c r="M6" s="108" t="n">
        <v>46132</v>
      </c>
      <c r="N6" s="108" t="n">
        <v>46141</v>
      </c>
      <c r="O6" s="74" t="inlineStr">
        <is>
          <t>Yes</t>
        </is>
      </c>
      <c r="P6" s="74" t="inlineStr">
        <is>
          <t>Yes</t>
        </is>
      </c>
      <c r="Q6" s="100" t="n">
        <v>1</v>
      </c>
      <c r="R6" s="109" t="n">
        <v>1</v>
      </c>
      <c r="S6" s="75">
        <f>IF(B6="","",SUMIFS('Payments'!$N$6:$N$205,'Payments'!$B$6:$B$205,B6))</f>
        <v/>
      </c>
      <c r="T6" s="110">
        <f>IF(OR(B6="",K6=0),"",S6/K6)</f>
        <v/>
      </c>
      <c r="U6" s="78">
        <f>IF(V6="","",IF(V6=2,"⚠️ Paying ahead of work","✓ OK"))</f>
        <v/>
      </c>
      <c r="V6" s="79">
        <f>IF(T6="","",IF(T6-R6&gt;OverpayTol,2,0))</f>
        <v/>
      </c>
      <c r="W6" s="111">
        <f>IF(V6=2,AsOf,"")</f>
        <v/>
      </c>
      <c r="X6" s="79">
        <f>IF(W6="","",1)</f>
        <v/>
      </c>
      <c r="Y6" s="79">
        <f>IF(X6="","","Paying ahead of work: "&amp;B6&amp;" — paid "&amp;ROUND(T6*100,0)&amp;"%, work done "&amp;ROUND(R6*100,0)&amp;"%")</f>
        <v/>
      </c>
    </row>
    <row r="7" ht="20" customHeight="1">
      <c r="B7" s="72" t="inlineStr">
        <is>
          <t>Solid Structures Ltd</t>
        </is>
      </c>
      <c r="C7" s="72" t="inlineStr">
        <is>
          <t>Builder / structural</t>
        </is>
      </c>
      <c r="D7" s="72" t="inlineStr">
        <is>
          <t>Structural</t>
        </is>
      </c>
      <c r="E7" s="72" t="inlineStr">
        <is>
          <t>Living room</t>
        </is>
      </c>
      <c r="F7" s="72" t="inlineStr">
        <is>
          <t>Maria Costa</t>
        </is>
      </c>
      <c r="G7" s="72" t="inlineStr">
        <is>
          <t>+31 6 2345 6789</t>
        </is>
      </c>
      <c r="H7" s="72" t="inlineStr">
        <is>
          <t>maria@solidstructures.example</t>
        </is>
      </c>
      <c r="I7" s="73" t="n">
        <v>9400</v>
      </c>
      <c r="J7" s="75">
        <f>IF(B7="","",SUMIFS('Change Orders'!$J$7:$J$106,'Change Orders'!$E$7:$E$106,B7,'Change Orders'!$L$7:$L$106,"Approved"))</f>
        <v/>
      </c>
      <c r="K7" s="76">
        <f>IF(B7="","",I7+J7)</f>
        <v/>
      </c>
      <c r="L7" s="74" t="inlineStr">
        <is>
          <t>Yes</t>
        </is>
      </c>
      <c r="M7" s="108" t="n">
        <v>46142</v>
      </c>
      <c r="N7" s="108" t="n">
        <v>46153</v>
      </c>
      <c r="O7" s="74" t="inlineStr">
        <is>
          <t>Yes</t>
        </is>
      </c>
      <c r="P7" s="74" t="inlineStr">
        <is>
          <t>Yes</t>
        </is>
      </c>
      <c r="Q7" s="100" t="n">
        <v>10</v>
      </c>
      <c r="R7" s="109" t="n">
        <v>1</v>
      </c>
      <c r="S7" s="75">
        <f>IF(B7="","",SUMIFS('Payments'!$N$6:$N$205,'Payments'!$B$6:$B$205,B7))</f>
        <v/>
      </c>
      <c r="T7" s="110">
        <f>IF(OR(B7="",K7=0),"",S7/K7)</f>
        <v/>
      </c>
      <c r="U7" s="78">
        <f>IF(V7="","",IF(V7=2,"⚠️ Paying ahead of work","✓ OK"))</f>
        <v/>
      </c>
      <c r="V7" s="79">
        <f>IF(T7="","",IF(T7-R7&gt;OverpayTol,2,0))</f>
        <v/>
      </c>
      <c r="W7" s="111">
        <f>IF(V7=2,AsOf,"")</f>
        <v/>
      </c>
      <c r="X7" s="79">
        <f>IF(W7="","",1)</f>
        <v/>
      </c>
      <c r="Y7" s="79">
        <f>IF(X7="","","Paying ahead of work: "&amp;B7&amp;" — paid "&amp;ROUND(T7*100,0)&amp;"%, work done "&amp;ROUND(R7*100,0)&amp;"%")</f>
        <v/>
      </c>
    </row>
    <row r="8" ht="20" customHeight="1">
      <c r="B8" s="72" t="inlineStr">
        <is>
          <t>FlowRight Plumbing</t>
        </is>
      </c>
      <c r="C8" s="72" t="inlineStr">
        <is>
          <t>Plumbing</t>
        </is>
      </c>
      <c r="D8" s="72" t="inlineStr">
        <is>
          <t>Plumbing</t>
        </is>
      </c>
      <c r="E8" s="72" t="inlineStr">
        <is>
          <t>Whole house</t>
        </is>
      </c>
      <c r="F8" s="72" t="inlineStr">
        <is>
          <t>Tom de Vries</t>
        </is>
      </c>
      <c r="G8" s="72" t="inlineStr">
        <is>
          <t>+31 6 3456 7890</t>
        </is>
      </c>
      <c r="H8" s="72" t="inlineStr">
        <is>
          <t>tom@flowright.example</t>
        </is>
      </c>
      <c r="I8" s="73" t="n">
        <v>9200</v>
      </c>
      <c r="J8" s="75">
        <f>IF(B8="","",SUMIFS('Change Orders'!$J$7:$J$106,'Change Orders'!$E$7:$E$106,B8,'Change Orders'!$L$7:$L$106,"Approved"))</f>
        <v/>
      </c>
      <c r="K8" s="76">
        <f>IF(B8="","",I8+J8)</f>
        <v/>
      </c>
      <c r="L8" s="74" t="inlineStr">
        <is>
          <t>Yes</t>
        </is>
      </c>
      <c r="M8" s="108" t="n">
        <v>46154</v>
      </c>
      <c r="N8" s="108" t="n">
        <v>46178</v>
      </c>
      <c r="O8" s="74" t="inlineStr">
        <is>
          <t>Yes</t>
        </is>
      </c>
      <c r="P8" s="74" t="inlineStr">
        <is>
          <t>Yes</t>
        </is>
      </c>
      <c r="Q8" s="100" t="n">
        <v>2</v>
      </c>
      <c r="R8" s="109" t="n">
        <v>0.6</v>
      </c>
      <c r="S8" s="75">
        <f>IF(B8="","",SUMIFS('Payments'!$N$6:$N$205,'Payments'!$B$6:$B$205,B8))</f>
        <v/>
      </c>
      <c r="T8" s="110">
        <f>IF(OR(B8="",K8=0),"",S8/K8)</f>
        <v/>
      </c>
      <c r="U8" s="78">
        <f>IF(V8="","",IF(V8=2,"⚠️ Paying ahead of work","✓ OK"))</f>
        <v/>
      </c>
      <c r="V8" s="79">
        <f>IF(T8="","",IF(T8-R8&gt;OverpayTol,2,0))</f>
        <v/>
      </c>
      <c r="W8" s="111">
        <f>IF(V8=2,AsOf,"")</f>
        <v/>
      </c>
      <c r="X8" s="79">
        <f>IF(W8="","",1)</f>
        <v/>
      </c>
      <c r="Y8" s="79">
        <f>IF(X8="","","Paying ahead of work: "&amp;B8&amp;" — paid "&amp;ROUND(T8*100,0)&amp;"%, work done "&amp;ROUND(R8*100,0)&amp;"%")</f>
        <v/>
      </c>
    </row>
    <row r="9" ht="20" customHeight="1">
      <c r="B9" s="72" t="inlineStr">
        <is>
          <t>Bright Spark Electric</t>
        </is>
      </c>
      <c r="C9" s="72" t="inlineStr">
        <is>
          <t>Electrical</t>
        </is>
      </c>
      <c r="D9" s="72" t="inlineStr">
        <is>
          <t>Electrical</t>
        </is>
      </c>
      <c r="E9" s="72" t="inlineStr">
        <is>
          <t>Whole house</t>
        </is>
      </c>
      <c r="F9" s="72" t="inlineStr">
        <is>
          <t>Ahmed Karimi</t>
        </is>
      </c>
      <c r="G9" s="72" t="inlineStr">
        <is>
          <t>+31 6 4567 8901</t>
        </is>
      </c>
      <c r="H9" s="72" t="inlineStr">
        <is>
          <t>ahmed@brightspark.example</t>
        </is>
      </c>
      <c r="I9" s="73" t="n">
        <v>10500</v>
      </c>
      <c r="J9" s="75">
        <f>IF(B9="","",SUMIFS('Change Orders'!$J$7:$J$106,'Change Orders'!$E$7:$E$106,B9,'Change Orders'!$L$7:$L$106,"Approved"))</f>
        <v/>
      </c>
      <c r="K9" s="76">
        <f>IF(B9="","",I9+J9)</f>
        <v/>
      </c>
      <c r="L9" s="74" t="inlineStr">
        <is>
          <t>Yes</t>
        </is>
      </c>
      <c r="M9" s="108" t="n">
        <v>46154</v>
      </c>
      <c r="N9" s="108" t="n">
        <v>46188</v>
      </c>
      <c r="O9" s="74" t="inlineStr">
        <is>
          <t>Yes</t>
        </is>
      </c>
      <c r="P9" s="74" t="inlineStr">
        <is>
          <t>No</t>
        </is>
      </c>
      <c r="Q9" s="100" t="n">
        <v>2</v>
      </c>
      <c r="R9" s="109" t="n">
        <v>0.35</v>
      </c>
      <c r="S9" s="75">
        <f>IF(B9="","",SUMIFS('Payments'!$N$6:$N$205,'Payments'!$B$6:$B$205,B9))</f>
        <v/>
      </c>
      <c r="T9" s="110">
        <f>IF(OR(B9="",K9=0),"",S9/K9)</f>
        <v/>
      </c>
      <c r="U9" s="78">
        <f>IF(V9="","",IF(V9=2,"⚠️ Paying ahead of work","✓ OK"))</f>
        <v/>
      </c>
      <c r="V9" s="79">
        <f>IF(T9="","",IF(T9-R9&gt;OverpayTol,2,0))</f>
        <v/>
      </c>
      <c r="W9" s="111">
        <f>IF(V9=2,AsOf,"")</f>
        <v/>
      </c>
      <c r="X9" s="79">
        <f>IF(W9="","",1)</f>
        <v/>
      </c>
      <c r="Y9" s="79">
        <f>IF(X9="","","Paying ahead of work: "&amp;B9&amp;" — paid "&amp;ROUND(T9*100,0)&amp;"%, work done "&amp;ROUND(R9*100,0)&amp;"%")</f>
        <v/>
      </c>
    </row>
    <row r="10" ht="20" customHeight="1">
      <c r="B10" s="72" t="inlineStr">
        <is>
          <t>ClimaHeat HVAC</t>
        </is>
      </c>
      <c r="C10" s="72" t="inlineStr">
        <is>
          <t>Heat pump &amp; ventilation</t>
        </is>
      </c>
      <c r="D10" s="72" t="inlineStr">
        <is>
          <t>HVAC</t>
        </is>
      </c>
      <c r="E10" s="72" t="inlineStr">
        <is>
          <t>Whole house</t>
        </is>
      </c>
      <c r="F10" s="72" t="inlineStr">
        <is>
          <t>Eva Jansen</t>
        </is>
      </c>
      <c r="G10" s="72" t="inlineStr">
        <is>
          <t>+31 6 5678 9012</t>
        </is>
      </c>
      <c r="H10" s="72" t="inlineStr">
        <is>
          <t>eva@climaheat.example</t>
        </is>
      </c>
      <c r="I10" s="73" t="n">
        <v>9300</v>
      </c>
      <c r="J10" s="75">
        <f>IF(B10="","",SUMIFS('Change Orders'!$J$7:$J$106,'Change Orders'!$E$7:$E$106,B10,'Change Orders'!$L$7:$L$106,"Approved"))</f>
        <v/>
      </c>
      <c r="K10" s="76">
        <f>IF(B10="","",I10+J10)</f>
        <v/>
      </c>
      <c r="L10" s="74" t="inlineStr">
        <is>
          <t>Yes</t>
        </is>
      </c>
      <c r="M10" s="108" t="n">
        <v>46179</v>
      </c>
      <c r="N10" s="108" t="n">
        <v>46188</v>
      </c>
      <c r="O10" s="74" t="inlineStr">
        <is>
          <t>Yes</t>
        </is>
      </c>
      <c r="P10" s="74" t="inlineStr">
        <is>
          <t>Yes</t>
        </is>
      </c>
      <c r="Q10" s="100" t="n">
        <v>5</v>
      </c>
      <c r="R10" s="109" t="n">
        <v>0.25</v>
      </c>
      <c r="S10" s="75">
        <f>IF(B10="","",SUMIFS('Payments'!$N$6:$N$205,'Payments'!$B$6:$B$205,B10))</f>
        <v/>
      </c>
      <c r="T10" s="110">
        <f>IF(OR(B10="",K10=0),"",S10/K10)</f>
        <v/>
      </c>
      <c r="U10" s="78">
        <f>IF(V10="","",IF(V10=2,"⚠️ Paying ahead of work","✓ OK"))</f>
        <v/>
      </c>
      <c r="V10" s="79">
        <f>IF(T10="","",IF(T10-R10&gt;OverpayTol,2,0))</f>
        <v/>
      </c>
      <c r="W10" s="111">
        <f>IF(V10=2,AsOf,"")</f>
        <v/>
      </c>
      <c r="X10" s="79">
        <f>IF(W10="","",1)</f>
        <v/>
      </c>
      <c r="Y10" s="79">
        <f>IF(X10="","","Paying ahead of work: "&amp;B10&amp;" — paid "&amp;ROUND(T10*100,0)&amp;"%, work done "&amp;ROUND(R10*100,0)&amp;"%")</f>
        <v/>
      </c>
    </row>
    <row r="11" ht="20" customHeight="1">
      <c r="B11" s="72" t="inlineStr">
        <is>
          <t>ClearView Windows</t>
        </is>
      </c>
      <c r="C11" s="72" t="inlineStr">
        <is>
          <t>Windows &amp; doors</t>
        </is>
      </c>
      <c r="D11" s="72" t="inlineStr">
        <is>
          <t>Windows &amp; doors</t>
        </is>
      </c>
      <c r="E11" s="72" t="inlineStr">
        <is>
          <t>Whole house</t>
        </is>
      </c>
      <c r="F11" s="72" t="inlineStr">
        <is>
          <t>Pieter Smit</t>
        </is>
      </c>
      <c r="G11" s="72" t="inlineStr">
        <is>
          <t>+31 6 6789 0123</t>
        </is>
      </c>
      <c r="H11" s="72" t="inlineStr">
        <is>
          <t>pieter@clearview.example</t>
        </is>
      </c>
      <c r="I11" s="73" t="n">
        <v>12400</v>
      </c>
      <c r="J11" s="75">
        <f>IF(B11="","",SUMIFS('Change Orders'!$J$7:$J$106,'Change Orders'!$E$7:$E$106,B11,'Change Orders'!$L$7:$L$106,"Approved"))</f>
        <v/>
      </c>
      <c r="K11" s="76">
        <f>IF(B11="","",I11+J11)</f>
        <v/>
      </c>
      <c r="L11" s="74" t="inlineStr">
        <is>
          <t>Yes</t>
        </is>
      </c>
      <c r="M11" s="108" t="n">
        <v>46142</v>
      </c>
      <c r="N11" s="108" t="n">
        <v>46149</v>
      </c>
      <c r="O11" s="74" t="inlineStr">
        <is>
          <t>Yes</t>
        </is>
      </c>
      <c r="P11" s="74" t="inlineStr">
        <is>
          <t>Yes</t>
        </is>
      </c>
      <c r="Q11" s="100" t="n">
        <v>10</v>
      </c>
      <c r="R11" s="109" t="n">
        <v>0.9</v>
      </c>
      <c r="S11" s="75">
        <f>IF(B11="","",SUMIFS('Payments'!$N$6:$N$205,'Payments'!$B$6:$B$205,B11))</f>
        <v/>
      </c>
      <c r="T11" s="110">
        <f>IF(OR(B11="",K11=0),"",S11/K11)</f>
        <v/>
      </c>
      <c r="U11" s="78">
        <f>IF(V11="","",IF(V11=2,"⚠️ Paying ahead of work","✓ OK"))</f>
        <v/>
      </c>
      <c r="V11" s="79">
        <f>IF(T11="","",IF(T11-R11&gt;OverpayTol,2,0))</f>
        <v/>
      </c>
      <c r="W11" s="111">
        <f>IF(V11=2,AsOf,"")</f>
        <v/>
      </c>
      <c r="X11" s="79">
        <f>IF(W11="","",1)</f>
        <v/>
      </c>
      <c r="Y11" s="79">
        <f>IF(X11="","","Paying ahead of work: "&amp;B11&amp;" — paid "&amp;ROUND(T11*100,0)&amp;"%, work done "&amp;ROUND(R11*100,0)&amp;"%")</f>
        <v/>
      </c>
    </row>
    <row r="12" ht="20" customHeight="1">
      <c r="B12" s="72" t="inlineStr">
        <is>
          <t>Nordic Kitchens</t>
        </is>
      </c>
      <c r="C12" s="72" t="inlineStr">
        <is>
          <t>Kitchen supply &amp; install</t>
        </is>
      </c>
      <c r="D12" s="72" t="inlineStr">
        <is>
          <t>Kitchen</t>
        </is>
      </c>
      <c r="E12" s="72" t="inlineStr">
        <is>
          <t>Kitchen</t>
        </is>
      </c>
      <c r="F12" s="72" t="inlineStr">
        <is>
          <t>Sofie Berg</t>
        </is>
      </c>
      <c r="G12" s="72" t="inlineStr">
        <is>
          <t>+31 6 7890 1234</t>
        </is>
      </c>
      <c r="H12" s="72" t="inlineStr">
        <is>
          <t>sofie@nordickitchens.example</t>
        </is>
      </c>
      <c r="I12" s="73" t="n">
        <v>19400</v>
      </c>
      <c r="J12" s="75">
        <f>IF(B12="","",SUMIFS('Change Orders'!$J$7:$J$106,'Change Orders'!$E$7:$E$106,B12,'Change Orders'!$L$7:$L$106,"Approved"))</f>
        <v/>
      </c>
      <c r="K12" s="76">
        <f>IF(B12="","",I12+J12)</f>
        <v/>
      </c>
      <c r="L12" s="74" t="inlineStr">
        <is>
          <t>Yes</t>
        </is>
      </c>
      <c r="M12" s="108" t="n">
        <v>46205</v>
      </c>
      <c r="N12" s="108" t="n">
        <v>46216</v>
      </c>
      <c r="O12" s="74" t="inlineStr">
        <is>
          <t>Yes</t>
        </is>
      </c>
      <c r="P12" s="74" t="inlineStr">
        <is>
          <t>Yes</t>
        </is>
      </c>
      <c r="Q12" s="100" t="n">
        <v>5</v>
      </c>
      <c r="R12" s="109" t="n">
        <v>0</v>
      </c>
      <c r="S12" s="75">
        <f>IF(B12="","",SUMIFS('Payments'!$N$6:$N$205,'Payments'!$B$6:$B$205,B12))</f>
        <v/>
      </c>
      <c r="T12" s="110">
        <f>IF(OR(B12="",K12=0),"",S12/K12)</f>
        <v/>
      </c>
      <c r="U12" s="78">
        <f>IF(V12="","",IF(V12=2,"⚠️ Paying ahead of work","✓ OK"))</f>
        <v/>
      </c>
      <c r="V12" s="79">
        <f>IF(T12="","",IF(T12-R12&gt;OverpayTol,2,0))</f>
        <v/>
      </c>
      <c r="W12" s="111">
        <f>IF(V12=2,AsOf,"")</f>
        <v/>
      </c>
      <c r="X12" s="79">
        <f>IF(W12="","",1)</f>
        <v/>
      </c>
      <c r="Y12" s="79">
        <f>IF(X12="","","Paying ahead of work: "&amp;B12&amp;" — paid "&amp;ROUND(T12*100,0)&amp;"%, work done "&amp;ROUND(R12*100,0)&amp;"%")</f>
        <v/>
      </c>
    </row>
    <row r="13" ht="20" customHeight="1">
      <c r="B13" s="72" t="inlineStr">
        <is>
          <t>Aqua Bath Studio</t>
        </is>
      </c>
      <c r="C13" s="72" t="inlineStr">
        <is>
          <t>Bathroom fit-out</t>
        </is>
      </c>
      <c r="D13" s="72" t="inlineStr">
        <is>
          <t>Bathrooms</t>
        </is>
      </c>
      <c r="E13" s="72" t="inlineStr">
        <is>
          <t>Bathroom 1</t>
        </is>
      </c>
      <c r="F13" s="72" t="inlineStr">
        <is>
          <t>Luca Romano</t>
        </is>
      </c>
      <c r="G13" s="72" t="inlineStr">
        <is>
          <t>+31 6 8901 2345</t>
        </is>
      </c>
      <c r="H13" s="72" t="inlineStr">
        <is>
          <t>luca@aquabath.example</t>
        </is>
      </c>
      <c r="I13" s="73" t="n">
        <v>11200</v>
      </c>
      <c r="J13" s="75">
        <f>IF(B13="","",SUMIFS('Change Orders'!$J$7:$J$106,'Change Orders'!$E$7:$E$106,B13,'Change Orders'!$L$7:$L$106,"Approved"))</f>
        <v/>
      </c>
      <c r="K13" s="76">
        <f>IF(B13="","",I13+J13)</f>
        <v/>
      </c>
      <c r="L13" s="74" t="inlineStr">
        <is>
          <t>Yes</t>
        </is>
      </c>
      <c r="M13" s="108" t="n">
        <v>46205</v>
      </c>
      <c r="N13" s="108" t="n">
        <v>46229</v>
      </c>
      <c r="O13" s="74" t="inlineStr">
        <is>
          <t>Yes</t>
        </is>
      </c>
      <c r="P13" s="74" t="inlineStr">
        <is>
          <t>Yes</t>
        </is>
      </c>
      <c r="Q13" s="100" t="n">
        <v>5</v>
      </c>
      <c r="R13" s="109" t="n">
        <v>0</v>
      </c>
      <c r="S13" s="75">
        <f>IF(B13="","",SUMIFS('Payments'!$N$6:$N$205,'Payments'!$B$6:$B$205,B13))</f>
        <v/>
      </c>
      <c r="T13" s="110">
        <f>IF(OR(B13="",K13=0),"",S13/K13)</f>
        <v/>
      </c>
      <c r="U13" s="78">
        <f>IF(V13="","",IF(V13=2,"⚠️ Paying ahead of work","✓ OK"))</f>
        <v/>
      </c>
      <c r="V13" s="79">
        <f>IF(T13="","",IF(T13-R13&gt;OverpayTol,2,0))</f>
        <v/>
      </c>
      <c r="W13" s="111">
        <f>IF(V13=2,AsOf,"")</f>
        <v/>
      </c>
      <c r="X13" s="79">
        <f>IF(W13="","",1)</f>
        <v/>
      </c>
      <c r="Y13" s="79">
        <f>IF(X13="","","Paying ahead of work: "&amp;B13&amp;" — paid "&amp;ROUND(T13*100,0)&amp;"%, work done "&amp;ROUND(R13*100,0)&amp;"%")</f>
        <v/>
      </c>
    </row>
    <row r="14" ht="20" customHeight="1">
      <c r="B14" s="72" t="inlineStr">
        <is>
          <t>GreenPlan Architects</t>
        </is>
      </c>
      <c r="C14" s="72" t="inlineStr">
        <is>
          <t>Architect &amp; permits</t>
        </is>
      </c>
      <c r="D14" s="72" t="inlineStr">
        <is>
          <t>Professional fees</t>
        </is>
      </c>
      <c r="E14" s="72" t="inlineStr">
        <is>
          <t>Whole house</t>
        </is>
      </c>
      <c r="F14" s="72" t="inlineStr">
        <is>
          <t>Nina Visser</t>
        </is>
      </c>
      <c r="G14" s="72" t="inlineStr">
        <is>
          <t>+31 6 9012 3456</t>
        </is>
      </c>
      <c r="H14" s="72" t="inlineStr">
        <is>
          <t>nina@greenplan.example</t>
        </is>
      </c>
      <c r="I14" s="73" t="n">
        <v>4800</v>
      </c>
      <c r="J14" s="75">
        <f>IF(B14="","",SUMIFS('Change Orders'!$J$7:$J$106,'Change Orders'!$E$7:$E$106,B14,'Change Orders'!$L$7:$L$106,"Approved"))</f>
        <v/>
      </c>
      <c r="K14" s="76">
        <f>IF(B14="","",I14+J14)</f>
        <v/>
      </c>
      <c r="L14" s="74" t="inlineStr">
        <is>
          <t>Yes</t>
        </is>
      </c>
      <c r="M14" s="108" t="n">
        <v>46083</v>
      </c>
      <c r="N14" s="108" t="n">
        <v>46248</v>
      </c>
      <c r="O14" s="74" t="inlineStr">
        <is>
          <t>Yes</t>
        </is>
      </c>
      <c r="P14" s="74" t="inlineStr">
        <is>
          <t>Yes</t>
        </is>
      </c>
      <c r="Q14" s="100" t="n">
        <v>0</v>
      </c>
      <c r="R14" s="109" t="n">
        <v>0.75</v>
      </c>
      <c r="S14" s="75">
        <f>IF(B14="","",SUMIFS('Payments'!$N$6:$N$205,'Payments'!$B$6:$B$205,B14))</f>
        <v/>
      </c>
      <c r="T14" s="110">
        <f>IF(OR(B14="",K14=0),"",S14/K14)</f>
        <v/>
      </c>
      <c r="U14" s="78">
        <f>IF(V14="","",IF(V14=2,"⚠️ Paying ahead of work","✓ OK"))</f>
        <v/>
      </c>
      <c r="V14" s="79">
        <f>IF(T14="","",IF(T14-R14&gt;OverpayTol,2,0))</f>
        <v/>
      </c>
      <c r="W14" s="111">
        <f>IF(V14=2,AsOf,"")</f>
        <v/>
      </c>
      <c r="X14" s="79">
        <f>IF(W14="","",1)</f>
        <v/>
      </c>
      <c r="Y14" s="79">
        <f>IF(X14="","","Paying ahead of work: "&amp;B14&amp;" — paid "&amp;ROUND(T14*100,0)&amp;"%, work done "&amp;ROUND(R14*100,0)&amp;"%")</f>
        <v/>
      </c>
    </row>
    <row r="15" ht="20" customHeight="1">
      <c r="B15" s="72" t="inlineStr">
        <is>
          <t>Finish Line Painters</t>
        </is>
      </c>
      <c r="C15" s="72" t="inlineStr">
        <is>
          <t>Painting &amp; decorating</t>
        </is>
      </c>
      <c r="D15" s="72" t="inlineStr">
        <is>
          <t>Painting</t>
        </is>
      </c>
      <c r="E15" s="72" t="inlineStr">
        <is>
          <t>Whole house</t>
        </is>
      </c>
      <c r="F15" s="72" t="inlineStr">
        <is>
          <t>Johan Bakker</t>
        </is>
      </c>
      <c r="G15" s="72" t="inlineStr">
        <is>
          <t>+31 6 0123 4567</t>
        </is>
      </c>
      <c r="H15" s="72" t="inlineStr">
        <is>
          <t>johan@finishline.example</t>
        </is>
      </c>
      <c r="I15" s="73" t="n">
        <v>4700</v>
      </c>
      <c r="J15" s="75">
        <f>IF(B15="","",SUMIFS('Change Orders'!$J$7:$J$106,'Change Orders'!$E$7:$E$106,B15,'Change Orders'!$L$7:$L$106,"Approved"))</f>
        <v/>
      </c>
      <c r="K15" s="76">
        <f>IF(B15="","",I15+J15)</f>
        <v/>
      </c>
      <c r="L15" s="74" t="inlineStr">
        <is>
          <t>No</t>
        </is>
      </c>
      <c r="M15" s="108" t="n"/>
      <c r="N15" s="108" t="n"/>
      <c r="O15" s="74" t="inlineStr">
        <is>
          <t>Yes</t>
        </is>
      </c>
      <c r="P15" s="74" t="inlineStr">
        <is>
          <t>Yes</t>
        </is>
      </c>
      <c r="Q15" s="100" t="n">
        <v>2</v>
      </c>
      <c r="R15" s="109" t="n">
        <v>0</v>
      </c>
      <c r="S15" s="75">
        <f>IF(B15="","",SUMIFS('Payments'!$N$6:$N$205,'Payments'!$B$6:$B$205,B15))</f>
        <v/>
      </c>
      <c r="T15" s="110">
        <f>IF(OR(B15="",K15=0),"",S15/K15)</f>
        <v/>
      </c>
      <c r="U15" s="78">
        <f>IF(V15="","",IF(V15=2,"⚠️ Paying ahead of work","✓ OK"))</f>
        <v/>
      </c>
      <c r="V15" s="79">
        <f>IF(T15="","",IF(T15-R15&gt;OverpayTol,2,0))</f>
        <v/>
      </c>
      <c r="W15" s="111">
        <f>IF(V15=2,AsOf,"")</f>
        <v/>
      </c>
      <c r="X15" s="79">
        <f>IF(W15="","",1)</f>
        <v/>
      </c>
      <c r="Y15" s="79">
        <f>IF(X15="","","Paying ahead of work: "&amp;B15&amp;" — paid "&amp;ROUND(T15*100,0)&amp;"%, work done "&amp;ROUND(R15*100,0)&amp;"%")</f>
        <v/>
      </c>
    </row>
    <row r="16" ht="20" customHeight="1">
      <c r="B16" s="72" t="inlineStr">
        <is>
          <t>Oak &amp; Plank Flooring</t>
        </is>
      </c>
      <c r="C16" s="72" t="inlineStr">
        <is>
          <t>Flooring</t>
        </is>
      </c>
      <c r="D16" s="72" t="inlineStr">
        <is>
          <t>Flooring</t>
        </is>
      </c>
      <c r="E16" s="72" t="inlineStr">
        <is>
          <t>Whole house</t>
        </is>
      </c>
      <c r="F16" s="72" t="inlineStr">
        <is>
          <t>Mila Peters</t>
        </is>
      </c>
      <c r="G16" s="72" t="inlineStr">
        <is>
          <t>+31 6 1122 3344</t>
        </is>
      </c>
      <c r="H16" s="72" t="inlineStr">
        <is>
          <t>mila@oakplank.example</t>
        </is>
      </c>
      <c r="I16" s="73" t="n"/>
      <c r="J16" s="75">
        <f>IF(B16="","",SUMIFS('Change Orders'!$J$7:$J$106,'Change Orders'!$E$7:$E$106,B16,'Change Orders'!$L$7:$L$106,"Approved"))</f>
        <v/>
      </c>
      <c r="K16" s="76">
        <f>IF(B16="","",I16+J16)</f>
        <v/>
      </c>
      <c r="L16" s="74" t="inlineStr">
        <is>
          <t>No</t>
        </is>
      </c>
      <c r="M16" s="108" t="n"/>
      <c r="N16" s="108" t="n"/>
      <c r="O16" s="74" t="inlineStr">
        <is>
          <t>Yes</t>
        </is>
      </c>
      <c r="P16" s="74" t="inlineStr">
        <is>
          <t>Yes</t>
        </is>
      </c>
      <c r="Q16" s="100" t="n">
        <v>10</v>
      </c>
      <c r="R16" s="109" t="n"/>
      <c r="S16" s="75">
        <f>IF(B16="","",SUMIFS('Payments'!$N$6:$N$205,'Payments'!$B$6:$B$205,B16))</f>
        <v/>
      </c>
      <c r="T16" s="110">
        <f>IF(OR(B16="",K16=0),"",S16/K16)</f>
        <v/>
      </c>
      <c r="U16" s="78">
        <f>IF(V16="","",IF(V16=2,"⚠️ Paying ahead of work","✓ OK"))</f>
        <v/>
      </c>
      <c r="V16" s="79">
        <f>IF(T16="","",IF(T16-R16&gt;OverpayTol,2,0))</f>
        <v/>
      </c>
      <c r="W16" s="111">
        <f>IF(V16=2,AsOf,"")</f>
        <v/>
      </c>
      <c r="X16" s="79">
        <f>IF(W16="","",1)</f>
        <v/>
      </c>
      <c r="Y16" s="79">
        <f>IF(X16="","","Paying ahead of work: "&amp;B16&amp;" — paid "&amp;ROUND(T16*100,0)&amp;"%, work done "&amp;ROUND(R16*100,0)&amp;"%")</f>
        <v/>
      </c>
    </row>
    <row r="17" ht="20" customHeight="1">
      <c r="B17" s="72" t="n"/>
      <c r="C17" s="72" t="n"/>
      <c r="D17" s="72" t="n"/>
      <c r="E17" s="72" t="n"/>
      <c r="F17" s="72" t="n"/>
      <c r="G17" s="72" t="n"/>
      <c r="H17" s="72" t="n"/>
      <c r="I17" s="73" t="n"/>
      <c r="J17" s="75">
        <f>IF(B17="","",SUMIFS('Change Orders'!$J$7:$J$106,'Change Orders'!$E$7:$E$106,B17,'Change Orders'!$L$7:$L$106,"Approved"))</f>
        <v/>
      </c>
      <c r="K17" s="76">
        <f>IF(B17="","",I17+J17)</f>
        <v/>
      </c>
      <c r="L17" s="74" t="n"/>
      <c r="M17" s="108" t="n"/>
      <c r="N17" s="108" t="n"/>
      <c r="O17" s="74" t="n"/>
      <c r="P17" s="74" t="n"/>
      <c r="Q17" s="100" t="n"/>
      <c r="R17" s="109" t="n"/>
      <c r="S17" s="75">
        <f>IF(B17="","",SUMIFS('Payments'!$N$6:$N$205,'Payments'!$B$6:$B$205,B17))</f>
        <v/>
      </c>
      <c r="T17" s="110">
        <f>IF(OR(B17="",K17=0),"",S17/K17)</f>
        <v/>
      </c>
      <c r="U17" s="78">
        <f>IF(V17="","",IF(V17=2,"⚠️ Paying ahead of work","✓ OK"))</f>
        <v/>
      </c>
      <c r="V17" s="79">
        <f>IF(T17="","",IF(T17-R17&gt;OverpayTol,2,0))</f>
        <v/>
      </c>
      <c r="W17" s="111">
        <f>IF(V17=2,AsOf,"")</f>
        <v/>
      </c>
      <c r="X17" s="79">
        <f>IF(W17="","",1)</f>
        <v/>
      </c>
      <c r="Y17" s="79">
        <f>IF(X17="","","Paying ahead of work: "&amp;B17&amp;" — paid "&amp;ROUND(T17*100,0)&amp;"%, work done "&amp;ROUND(R17*100,0)&amp;"%")</f>
        <v/>
      </c>
    </row>
    <row r="18" ht="20" customHeight="1">
      <c r="B18" s="72" t="n"/>
      <c r="C18" s="72" t="n"/>
      <c r="D18" s="72" t="n"/>
      <c r="E18" s="72" t="n"/>
      <c r="F18" s="72" t="n"/>
      <c r="G18" s="72" t="n"/>
      <c r="H18" s="72" t="n"/>
      <c r="I18" s="73" t="n"/>
      <c r="J18" s="75">
        <f>IF(B18="","",SUMIFS('Change Orders'!$J$7:$J$106,'Change Orders'!$E$7:$E$106,B18,'Change Orders'!$L$7:$L$106,"Approved"))</f>
        <v/>
      </c>
      <c r="K18" s="76">
        <f>IF(B18="","",I18+J18)</f>
        <v/>
      </c>
      <c r="L18" s="74" t="n"/>
      <c r="M18" s="108" t="n"/>
      <c r="N18" s="108" t="n"/>
      <c r="O18" s="74" t="n"/>
      <c r="P18" s="74" t="n"/>
      <c r="Q18" s="100" t="n"/>
      <c r="R18" s="109" t="n"/>
      <c r="S18" s="75">
        <f>IF(B18="","",SUMIFS('Payments'!$N$6:$N$205,'Payments'!$B$6:$B$205,B18))</f>
        <v/>
      </c>
      <c r="T18" s="110">
        <f>IF(OR(B18="",K18=0),"",S18/K18)</f>
        <v/>
      </c>
      <c r="U18" s="78">
        <f>IF(V18="","",IF(V18=2,"⚠️ Paying ahead of work","✓ OK"))</f>
        <v/>
      </c>
      <c r="V18" s="79">
        <f>IF(T18="","",IF(T18-R18&gt;OverpayTol,2,0))</f>
        <v/>
      </c>
      <c r="W18" s="111">
        <f>IF(V18=2,AsOf,"")</f>
        <v/>
      </c>
      <c r="X18" s="79">
        <f>IF(W18="","",1)</f>
        <v/>
      </c>
      <c r="Y18" s="79">
        <f>IF(X18="","","Paying ahead of work: "&amp;B18&amp;" — paid "&amp;ROUND(T18*100,0)&amp;"%, work done "&amp;ROUND(R18*100,0)&amp;"%")</f>
        <v/>
      </c>
    </row>
    <row r="19" ht="20" customHeight="1">
      <c r="B19" s="72" t="n"/>
      <c r="C19" s="72" t="n"/>
      <c r="D19" s="72" t="n"/>
      <c r="E19" s="72" t="n"/>
      <c r="F19" s="72" t="n"/>
      <c r="G19" s="72" t="n"/>
      <c r="H19" s="72" t="n"/>
      <c r="I19" s="73" t="n"/>
      <c r="J19" s="75">
        <f>IF(B19="","",SUMIFS('Change Orders'!$J$7:$J$106,'Change Orders'!$E$7:$E$106,B19,'Change Orders'!$L$7:$L$106,"Approved"))</f>
        <v/>
      </c>
      <c r="K19" s="76">
        <f>IF(B19="","",I19+J19)</f>
        <v/>
      </c>
      <c r="L19" s="74" t="n"/>
      <c r="M19" s="108" t="n"/>
      <c r="N19" s="108" t="n"/>
      <c r="O19" s="74" t="n"/>
      <c r="P19" s="74" t="n"/>
      <c r="Q19" s="100" t="n"/>
      <c r="R19" s="109" t="n"/>
      <c r="S19" s="75">
        <f>IF(B19="","",SUMIFS('Payments'!$N$6:$N$205,'Payments'!$B$6:$B$205,B19))</f>
        <v/>
      </c>
      <c r="T19" s="110">
        <f>IF(OR(B19="",K19=0),"",S19/K19)</f>
        <v/>
      </c>
      <c r="U19" s="78">
        <f>IF(V19="","",IF(V19=2,"⚠️ Paying ahead of work","✓ OK"))</f>
        <v/>
      </c>
      <c r="V19" s="79">
        <f>IF(T19="","",IF(T19-R19&gt;OverpayTol,2,0))</f>
        <v/>
      </c>
      <c r="W19" s="111">
        <f>IF(V19=2,AsOf,"")</f>
        <v/>
      </c>
      <c r="X19" s="79">
        <f>IF(W19="","",1)</f>
        <v/>
      </c>
      <c r="Y19" s="79">
        <f>IF(X19="","","Paying ahead of work: "&amp;B19&amp;" — paid "&amp;ROUND(T19*100,0)&amp;"%, work done "&amp;ROUND(R19*100,0)&amp;"%")</f>
        <v/>
      </c>
    </row>
    <row r="20" ht="20" customHeight="1">
      <c r="B20" s="72" t="n"/>
      <c r="C20" s="72" t="n"/>
      <c r="D20" s="72" t="n"/>
      <c r="E20" s="72" t="n"/>
      <c r="F20" s="72" t="n"/>
      <c r="G20" s="72" t="n"/>
      <c r="H20" s="72" t="n"/>
      <c r="I20" s="73" t="n"/>
      <c r="J20" s="75">
        <f>IF(B20="","",SUMIFS('Change Orders'!$J$7:$J$106,'Change Orders'!$E$7:$E$106,B20,'Change Orders'!$L$7:$L$106,"Approved"))</f>
        <v/>
      </c>
      <c r="K20" s="76">
        <f>IF(B20="","",I20+J20)</f>
        <v/>
      </c>
      <c r="L20" s="74" t="n"/>
      <c r="M20" s="108" t="n"/>
      <c r="N20" s="108" t="n"/>
      <c r="O20" s="74" t="n"/>
      <c r="P20" s="74" t="n"/>
      <c r="Q20" s="100" t="n"/>
      <c r="R20" s="109" t="n"/>
      <c r="S20" s="75">
        <f>IF(B20="","",SUMIFS('Payments'!$N$6:$N$205,'Payments'!$B$6:$B$205,B20))</f>
        <v/>
      </c>
      <c r="T20" s="110">
        <f>IF(OR(B20="",K20=0),"",S20/K20)</f>
        <v/>
      </c>
      <c r="U20" s="78">
        <f>IF(V20="","",IF(V20=2,"⚠️ Paying ahead of work","✓ OK"))</f>
        <v/>
      </c>
      <c r="V20" s="79">
        <f>IF(T20="","",IF(T20-R20&gt;OverpayTol,2,0))</f>
        <v/>
      </c>
      <c r="W20" s="111">
        <f>IF(V20=2,AsOf,"")</f>
        <v/>
      </c>
      <c r="X20" s="79">
        <f>IF(W20="","",1)</f>
        <v/>
      </c>
      <c r="Y20" s="79">
        <f>IF(X20="","","Paying ahead of work: "&amp;B20&amp;" — paid "&amp;ROUND(T20*100,0)&amp;"%, work done "&amp;ROUND(R20*100,0)&amp;"%")</f>
        <v/>
      </c>
    </row>
    <row r="21" ht="20" customHeight="1">
      <c r="B21" s="72" t="n"/>
      <c r="C21" s="72" t="n"/>
      <c r="D21" s="72" t="n"/>
      <c r="E21" s="72" t="n"/>
      <c r="F21" s="72" t="n"/>
      <c r="G21" s="72" t="n"/>
      <c r="H21" s="72" t="n"/>
      <c r="I21" s="73" t="n"/>
      <c r="J21" s="75">
        <f>IF(B21="","",SUMIFS('Change Orders'!$J$7:$J$106,'Change Orders'!$E$7:$E$106,B21,'Change Orders'!$L$7:$L$106,"Approved"))</f>
        <v/>
      </c>
      <c r="K21" s="76">
        <f>IF(B21="","",I21+J21)</f>
        <v/>
      </c>
      <c r="L21" s="74" t="n"/>
      <c r="M21" s="108" t="n"/>
      <c r="N21" s="108" t="n"/>
      <c r="O21" s="74" t="n"/>
      <c r="P21" s="74" t="n"/>
      <c r="Q21" s="100" t="n"/>
      <c r="R21" s="109" t="n"/>
      <c r="S21" s="75">
        <f>IF(B21="","",SUMIFS('Payments'!$N$6:$N$205,'Payments'!$B$6:$B$205,B21))</f>
        <v/>
      </c>
      <c r="T21" s="110">
        <f>IF(OR(B21="",K21=0),"",S21/K21)</f>
        <v/>
      </c>
      <c r="U21" s="78">
        <f>IF(V21="","",IF(V21=2,"⚠️ Paying ahead of work","✓ OK"))</f>
        <v/>
      </c>
      <c r="V21" s="79">
        <f>IF(T21="","",IF(T21-R21&gt;OverpayTol,2,0))</f>
        <v/>
      </c>
      <c r="W21" s="111">
        <f>IF(V21=2,AsOf,"")</f>
        <v/>
      </c>
      <c r="X21" s="79">
        <f>IF(W21="","",1)</f>
        <v/>
      </c>
      <c r="Y21" s="79">
        <f>IF(X21="","","Paying ahead of work: "&amp;B21&amp;" — paid "&amp;ROUND(T21*100,0)&amp;"%, work done "&amp;ROUND(R21*100,0)&amp;"%")</f>
        <v/>
      </c>
    </row>
    <row r="22" ht="20" customHeight="1">
      <c r="B22" s="72" t="n"/>
      <c r="C22" s="72" t="n"/>
      <c r="D22" s="72" t="n"/>
      <c r="E22" s="72" t="n"/>
      <c r="F22" s="72" t="n"/>
      <c r="G22" s="72" t="n"/>
      <c r="H22" s="72" t="n"/>
      <c r="I22" s="73" t="n"/>
      <c r="J22" s="75">
        <f>IF(B22="","",SUMIFS('Change Orders'!$J$7:$J$106,'Change Orders'!$E$7:$E$106,B22,'Change Orders'!$L$7:$L$106,"Approved"))</f>
        <v/>
      </c>
      <c r="K22" s="76">
        <f>IF(B22="","",I22+J22)</f>
        <v/>
      </c>
      <c r="L22" s="74" t="n"/>
      <c r="M22" s="108" t="n"/>
      <c r="N22" s="108" t="n"/>
      <c r="O22" s="74" t="n"/>
      <c r="P22" s="74" t="n"/>
      <c r="Q22" s="100" t="n"/>
      <c r="R22" s="109" t="n"/>
      <c r="S22" s="75">
        <f>IF(B22="","",SUMIFS('Payments'!$N$6:$N$205,'Payments'!$B$6:$B$205,B22))</f>
        <v/>
      </c>
      <c r="T22" s="110">
        <f>IF(OR(B22="",K22=0),"",S22/K22)</f>
        <v/>
      </c>
      <c r="U22" s="78">
        <f>IF(V22="","",IF(V22=2,"⚠️ Paying ahead of work","✓ OK"))</f>
        <v/>
      </c>
      <c r="V22" s="79">
        <f>IF(T22="","",IF(T22-R22&gt;OverpayTol,2,0))</f>
        <v/>
      </c>
      <c r="W22" s="111">
        <f>IF(V22=2,AsOf,"")</f>
        <v/>
      </c>
      <c r="X22" s="79">
        <f>IF(W22="","",1)</f>
        <v/>
      </c>
      <c r="Y22" s="79">
        <f>IF(X22="","","Paying ahead of work: "&amp;B22&amp;" — paid "&amp;ROUND(T22*100,0)&amp;"%, work done "&amp;ROUND(R22*100,0)&amp;"%")</f>
        <v/>
      </c>
    </row>
    <row r="23" ht="20" customHeight="1">
      <c r="B23" s="72" t="n"/>
      <c r="C23" s="72" t="n"/>
      <c r="D23" s="72" t="n"/>
      <c r="E23" s="72" t="n"/>
      <c r="F23" s="72" t="n"/>
      <c r="G23" s="72" t="n"/>
      <c r="H23" s="72" t="n"/>
      <c r="I23" s="73" t="n"/>
      <c r="J23" s="75">
        <f>IF(B23="","",SUMIFS('Change Orders'!$J$7:$J$106,'Change Orders'!$E$7:$E$106,B23,'Change Orders'!$L$7:$L$106,"Approved"))</f>
        <v/>
      </c>
      <c r="K23" s="76">
        <f>IF(B23="","",I23+J23)</f>
        <v/>
      </c>
      <c r="L23" s="74" t="n"/>
      <c r="M23" s="108" t="n"/>
      <c r="N23" s="108" t="n"/>
      <c r="O23" s="74" t="n"/>
      <c r="P23" s="74" t="n"/>
      <c r="Q23" s="100" t="n"/>
      <c r="R23" s="109" t="n"/>
      <c r="S23" s="75">
        <f>IF(B23="","",SUMIFS('Payments'!$N$6:$N$205,'Payments'!$B$6:$B$205,B23))</f>
        <v/>
      </c>
      <c r="T23" s="110">
        <f>IF(OR(B23="",K23=0),"",S23/K23)</f>
        <v/>
      </c>
      <c r="U23" s="78">
        <f>IF(V23="","",IF(V23=2,"⚠️ Paying ahead of work","✓ OK"))</f>
        <v/>
      </c>
      <c r="V23" s="79">
        <f>IF(T23="","",IF(T23-R23&gt;OverpayTol,2,0))</f>
        <v/>
      </c>
      <c r="W23" s="111">
        <f>IF(V23=2,AsOf,"")</f>
        <v/>
      </c>
      <c r="X23" s="79">
        <f>IF(W23="","",1)</f>
        <v/>
      </c>
      <c r="Y23" s="79">
        <f>IF(X23="","","Paying ahead of work: "&amp;B23&amp;" — paid "&amp;ROUND(T23*100,0)&amp;"%, work done "&amp;ROUND(R23*100,0)&amp;"%")</f>
        <v/>
      </c>
    </row>
    <row r="24" ht="20" customHeight="1">
      <c r="B24" s="72" t="n"/>
      <c r="C24" s="72" t="n"/>
      <c r="D24" s="72" t="n"/>
      <c r="E24" s="72" t="n"/>
      <c r="F24" s="72" t="n"/>
      <c r="G24" s="72" t="n"/>
      <c r="H24" s="72" t="n"/>
      <c r="I24" s="73" t="n"/>
      <c r="J24" s="75">
        <f>IF(B24="","",SUMIFS('Change Orders'!$J$7:$J$106,'Change Orders'!$E$7:$E$106,B24,'Change Orders'!$L$7:$L$106,"Approved"))</f>
        <v/>
      </c>
      <c r="K24" s="76">
        <f>IF(B24="","",I24+J24)</f>
        <v/>
      </c>
      <c r="L24" s="74" t="n"/>
      <c r="M24" s="108" t="n"/>
      <c r="N24" s="108" t="n"/>
      <c r="O24" s="74" t="n"/>
      <c r="P24" s="74" t="n"/>
      <c r="Q24" s="100" t="n"/>
      <c r="R24" s="109" t="n"/>
      <c r="S24" s="75">
        <f>IF(B24="","",SUMIFS('Payments'!$N$6:$N$205,'Payments'!$B$6:$B$205,B24))</f>
        <v/>
      </c>
      <c r="T24" s="110">
        <f>IF(OR(B24="",K24=0),"",S24/K24)</f>
        <v/>
      </c>
      <c r="U24" s="78">
        <f>IF(V24="","",IF(V24=2,"⚠️ Paying ahead of work","✓ OK"))</f>
        <v/>
      </c>
      <c r="V24" s="79">
        <f>IF(T24="","",IF(T24-R24&gt;OverpayTol,2,0))</f>
        <v/>
      </c>
      <c r="W24" s="111">
        <f>IF(V24=2,AsOf,"")</f>
        <v/>
      </c>
      <c r="X24" s="79">
        <f>IF(W24="","",1)</f>
        <v/>
      </c>
      <c r="Y24" s="79">
        <f>IF(X24="","","Paying ahead of work: "&amp;B24&amp;" — paid "&amp;ROUND(T24*100,0)&amp;"%, work done "&amp;ROUND(R24*100,0)&amp;"%")</f>
        <v/>
      </c>
    </row>
    <row r="25" ht="20" customHeight="1">
      <c r="B25" s="72" t="n"/>
      <c r="C25" s="72" t="n"/>
      <c r="D25" s="72" t="n"/>
      <c r="E25" s="72" t="n"/>
      <c r="F25" s="72" t="n"/>
      <c r="G25" s="72" t="n"/>
      <c r="H25" s="72" t="n"/>
      <c r="I25" s="73" t="n"/>
      <c r="J25" s="75">
        <f>IF(B25="","",SUMIFS('Change Orders'!$J$7:$J$106,'Change Orders'!$E$7:$E$106,B25,'Change Orders'!$L$7:$L$106,"Approved"))</f>
        <v/>
      </c>
      <c r="K25" s="76">
        <f>IF(B25="","",I25+J25)</f>
        <v/>
      </c>
      <c r="L25" s="74" t="n"/>
      <c r="M25" s="108" t="n"/>
      <c r="N25" s="108" t="n"/>
      <c r="O25" s="74" t="n"/>
      <c r="P25" s="74" t="n"/>
      <c r="Q25" s="100" t="n"/>
      <c r="R25" s="109" t="n"/>
      <c r="S25" s="75">
        <f>IF(B25="","",SUMIFS('Payments'!$N$6:$N$205,'Payments'!$B$6:$B$205,B25))</f>
        <v/>
      </c>
      <c r="T25" s="110">
        <f>IF(OR(B25="",K25=0),"",S25/K25)</f>
        <v/>
      </c>
      <c r="U25" s="78">
        <f>IF(V25="","",IF(V25=2,"⚠️ Paying ahead of work","✓ OK"))</f>
        <v/>
      </c>
      <c r="V25" s="79">
        <f>IF(T25="","",IF(T25-R25&gt;OverpayTol,2,0))</f>
        <v/>
      </c>
      <c r="W25" s="111">
        <f>IF(V25=2,AsOf,"")</f>
        <v/>
      </c>
      <c r="X25" s="79">
        <f>IF(W25="","",1)</f>
        <v/>
      </c>
      <c r="Y25" s="79">
        <f>IF(X25="","","Paying ahead of work: "&amp;B25&amp;" — paid "&amp;ROUND(T25*100,0)&amp;"%, work done "&amp;ROUND(R25*100,0)&amp;"%")</f>
        <v/>
      </c>
    </row>
    <row r="26" ht="20" customHeight="1">
      <c r="B26" s="72" t="n"/>
      <c r="C26" s="72" t="n"/>
      <c r="D26" s="72" t="n"/>
      <c r="E26" s="72" t="n"/>
      <c r="F26" s="72" t="n"/>
      <c r="G26" s="72" t="n"/>
      <c r="H26" s="72" t="n"/>
      <c r="I26" s="73" t="n"/>
      <c r="J26" s="75">
        <f>IF(B26="","",SUMIFS('Change Orders'!$J$7:$J$106,'Change Orders'!$E$7:$E$106,B26,'Change Orders'!$L$7:$L$106,"Approved"))</f>
        <v/>
      </c>
      <c r="K26" s="76">
        <f>IF(B26="","",I26+J26)</f>
        <v/>
      </c>
      <c r="L26" s="74" t="n"/>
      <c r="M26" s="108" t="n"/>
      <c r="N26" s="108" t="n"/>
      <c r="O26" s="74" t="n"/>
      <c r="P26" s="74" t="n"/>
      <c r="Q26" s="100" t="n"/>
      <c r="R26" s="109" t="n"/>
      <c r="S26" s="75">
        <f>IF(B26="","",SUMIFS('Payments'!$N$6:$N$205,'Payments'!$B$6:$B$205,B26))</f>
        <v/>
      </c>
      <c r="T26" s="110">
        <f>IF(OR(B26="",K26=0),"",S26/K26)</f>
        <v/>
      </c>
      <c r="U26" s="78">
        <f>IF(V26="","",IF(V26=2,"⚠️ Paying ahead of work","✓ OK"))</f>
        <v/>
      </c>
      <c r="V26" s="79">
        <f>IF(T26="","",IF(T26-R26&gt;OverpayTol,2,0))</f>
        <v/>
      </c>
      <c r="W26" s="111">
        <f>IF(V26=2,AsOf,"")</f>
        <v/>
      </c>
      <c r="X26" s="79">
        <f>IF(W26="","",1)</f>
        <v/>
      </c>
      <c r="Y26" s="79">
        <f>IF(X26="","","Paying ahead of work: "&amp;B26&amp;" — paid "&amp;ROUND(T26*100,0)&amp;"%, work done "&amp;ROUND(R26*100,0)&amp;"%")</f>
        <v/>
      </c>
    </row>
    <row r="27" ht="20" customHeight="1">
      <c r="B27" s="72" t="n"/>
      <c r="C27" s="72" t="n"/>
      <c r="D27" s="72" t="n"/>
      <c r="E27" s="72" t="n"/>
      <c r="F27" s="72" t="n"/>
      <c r="G27" s="72" t="n"/>
      <c r="H27" s="72" t="n"/>
      <c r="I27" s="73" t="n"/>
      <c r="J27" s="75">
        <f>IF(B27="","",SUMIFS('Change Orders'!$J$7:$J$106,'Change Orders'!$E$7:$E$106,B27,'Change Orders'!$L$7:$L$106,"Approved"))</f>
        <v/>
      </c>
      <c r="K27" s="76">
        <f>IF(B27="","",I27+J27)</f>
        <v/>
      </c>
      <c r="L27" s="74" t="n"/>
      <c r="M27" s="108" t="n"/>
      <c r="N27" s="108" t="n"/>
      <c r="O27" s="74" t="n"/>
      <c r="P27" s="74" t="n"/>
      <c r="Q27" s="100" t="n"/>
      <c r="R27" s="109" t="n"/>
      <c r="S27" s="75">
        <f>IF(B27="","",SUMIFS('Payments'!$N$6:$N$205,'Payments'!$B$6:$B$205,B27))</f>
        <v/>
      </c>
      <c r="T27" s="110">
        <f>IF(OR(B27="",K27=0),"",S27/K27)</f>
        <v/>
      </c>
      <c r="U27" s="78">
        <f>IF(V27="","",IF(V27=2,"⚠️ Paying ahead of work","✓ OK"))</f>
        <v/>
      </c>
      <c r="V27" s="79">
        <f>IF(T27="","",IF(T27-R27&gt;OverpayTol,2,0))</f>
        <v/>
      </c>
      <c r="W27" s="111">
        <f>IF(V27=2,AsOf,"")</f>
        <v/>
      </c>
      <c r="X27" s="79">
        <f>IF(W27="","",1)</f>
        <v/>
      </c>
      <c r="Y27" s="79">
        <f>IF(X27="","","Paying ahead of work: "&amp;B27&amp;" — paid "&amp;ROUND(T27*100,0)&amp;"%, work done "&amp;ROUND(R27*100,0)&amp;"%")</f>
        <v/>
      </c>
    </row>
    <row r="28" ht="20" customHeight="1">
      <c r="B28" s="72" t="n"/>
      <c r="C28" s="72" t="n"/>
      <c r="D28" s="72" t="n"/>
      <c r="E28" s="72" t="n"/>
      <c r="F28" s="72" t="n"/>
      <c r="G28" s="72" t="n"/>
      <c r="H28" s="72" t="n"/>
      <c r="I28" s="73" t="n"/>
      <c r="J28" s="75">
        <f>IF(B28="","",SUMIFS('Change Orders'!$J$7:$J$106,'Change Orders'!$E$7:$E$106,B28,'Change Orders'!$L$7:$L$106,"Approved"))</f>
        <v/>
      </c>
      <c r="K28" s="76">
        <f>IF(B28="","",I28+J28)</f>
        <v/>
      </c>
      <c r="L28" s="74" t="n"/>
      <c r="M28" s="108" t="n"/>
      <c r="N28" s="108" t="n"/>
      <c r="O28" s="74" t="n"/>
      <c r="P28" s="74" t="n"/>
      <c r="Q28" s="100" t="n"/>
      <c r="R28" s="109" t="n"/>
      <c r="S28" s="75">
        <f>IF(B28="","",SUMIFS('Payments'!$N$6:$N$205,'Payments'!$B$6:$B$205,B28))</f>
        <v/>
      </c>
      <c r="T28" s="110">
        <f>IF(OR(B28="",K28=0),"",S28/K28)</f>
        <v/>
      </c>
      <c r="U28" s="78">
        <f>IF(V28="","",IF(V28=2,"⚠️ Paying ahead of work","✓ OK"))</f>
        <v/>
      </c>
      <c r="V28" s="79">
        <f>IF(T28="","",IF(T28-R28&gt;OverpayTol,2,0))</f>
        <v/>
      </c>
      <c r="W28" s="111">
        <f>IF(V28=2,AsOf,"")</f>
        <v/>
      </c>
      <c r="X28" s="79">
        <f>IF(W28="","",1)</f>
        <v/>
      </c>
      <c r="Y28" s="79">
        <f>IF(X28="","","Paying ahead of work: "&amp;B28&amp;" — paid "&amp;ROUND(T28*100,0)&amp;"%, work done "&amp;ROUND(R28*100,0)&amp;"%")</f>
        <v/>
      </c>
    </row>
    <row r="29" ht="20" customHeight="1">
      <c r="B29" s="72" t="n"/>
      <c r="C29" s="72" t="n"/>
      <c r="D29" s="72" t="n"/>
      <c r="E29" s="72" t="n"/>
      <c r="F29" s="72" t="n"/>
      <c r="G29" s="72" t="n"/>
      <c r="H29" s="72" t="n"/>
      <c r="I29" s="73" t="n"/>
      <c r="J29" s="75">
        <f>IF(B29="","",SUMIFS('Change Orders'!$J$7:$J$106,'Change Orders'!$E$7:$E$106,B29,'Change Orders'!$L$7:$L$106,"Approved"))</f>
        <v/>
      </c>
      <c r="K29" s="76">
        <f>IF(B29="","",I29+J29)</f>
        <v/>
      </c>
      <c r="L29" s="74" t="n"/>
      <c r="M29" s="108" t="n"/>
      <c r="N29" s="108" t="n"/>
      <c r="O29" s="74" t="n"/>
      <c r="P29" s="74" t="n"/>
      <c r="Q29" s="100" t="n"/>
      <c r="R29" s="109" t="n"/>
      <c r="S29" s="75">
        <f>IF(B29="","",SUMIFS('Payments'!$N$6:$N$205,'Payments'!$B$6:$B$205,B29))</f>
        <v/>
      </c>
      <c r="T29" s="110">
        <f>IF(OR(B29="",K29=0),"",S29/K29)</f>
        <v/>
      </c>
      <c r="U29" s="78">
        <f>IF(V29="","",IF(V29=2,"⚠️ Paying ahead of work","✓ OK"))</f>
        <v/>
      </c>
      <c r="V29" s="79">
        <f>IF(T29="","",IF(T29-R29&gt;OverpayTol,2,0))</f>
        <v/>
      </c>
      <c r="W29" s="111">
        <f>IF(V29=2,AsOf,"")</f>
        <v/>
      </c>
      <c r="X29" s="79">
        <f>IF(W29="","",1)</f>
        <v/>
      </c>
      <c r="Y29" s="79">
        <f>IF(X29="","","Paying ahead of work: "&amp;B29&amp;" — paid "&amp;ROUND(T29*100,0)&amp;"%, work done "&amp;ROUND(R29*100,0)&amp;"%")</f>
        <v/>
      </c>
    </row>
    <row r="30" ht="20" customHeight="1">
      <c r="B30" s="72" t="n"/>
      <c r="C30" s="72" t="n"/>
      <c r="D30" s="72" t="n"/>
      <c r="E30" s="72" t="n"/>
      <c r="F30" s="72" t="n"/>
      <c r="G30" s="72" t="n"/>
      <c r="H30" s="72" t="n"/>
      <c r="I30" s="73" t="n"/>
      <c r="J30" s="75">
        <f>IF(B30="","",SUMIFS('Change Orders'!$J$7:$J$106,'Change Orders'!$E$7:$E$106,B30,'Change Orders'!$L$7:$L$106,"Approved"))</f>
        <v/>
      </c>
      <c r="K30" s="76">
        <f>IF(B30="","",I30+J30)</f>
        <v/>
      </c>
      <c r="L30" s="74" t="n"/>
      <c r="M30" s="108" t="n"/>
      <c r="N30" s="108" t="n"/>
      <c r="O30" s="74" t="n"/>
      <c r="P30" s="74" t="n"/>
      <c r="Q30" s="100" t="n"/>
      <c r="R30" s="109" t="n"/>
      <c r="S30" s="75">
        <f>IF(B30="","",SUMIFS('Payments'!$N$6:$N$205,'Payments'!$B$6:$B$205,B30))</f>
        <v/>
      </c>
      <c r="T30" s="110">
        <f>IF(OR(B30="",K30=0),"",S30/K30)</f>
        <v/>
      </c>
      <c r="U30" s="78">
        <f>IF(V30="","",IF(V30=2,"⚠️ Paying ahead of work","✓ OK"))</f>
        <v/>
      </c>
      <c r="V30" s="79">
        <f>IF(T30="","",IF(T30-R30&gt;OverpayTol,2,0))</f>
        <v/>
      </c>
      <c r="W30" s="111">
        <f>IF(V30=2,AsOf,"")</f>
        <v/>
      </c>
      <c r="X30" s="79">
        <f>IF(W30="","",1)</f>
        <v/>
      </c>
      <c r="Y30" s="79">
        <f>IF(X30="","","Paying ahead of work: "&amp;B30&amp;" — paid "&amp;ROUND(T30*100,0)&amp;"%, work done "&amp;ROUND(R30*100,0)&amp;"%")</f>
        <v/>
      </c>
    </row>
    <row r="31" ht="20" customHeight="1">
      <c r="B31" s="72" t="n"/>
      <c r="C31" s="72" t="n"/>
      <c r="D31" s="72" t="n"/>
      <c r="E31" s="72" t="n"/>
      <c r="F31" s="72" t="n"/>
      <c r="G31" s="72" t="n"/>
      <c r="H31" s="72" t="n"/>
      <c r="I31" s="73" t="n"/>
      <c r="J31" s="75">
        <f>IF(B31="","",SUMIFS('Change Orders'!$J$7:$J$106,'Change Orders'!$E$7:$E$106,B31,'Change Orders'!$L$7:$L$106,"Approved"))</f>
        <v/>
      </c>
      <c r="K31" s="76">
        <f>IF(B31="","",I31+J31)</f>
        <v/>
      </c>
      <c r="L31" s="74" t="n"/>
      <c r="M31" s="108" t="n"/>
      <c r="N31" s="108" t="n"/>
      <c r="O31" s="74" t="n"/>
      <c r="P31" s="74" t="n"/>
      <c r="Q31" s="100" t="n"/>
      <c r="R31" s="109" t="n"/>
      <c r="S31" s="75">
        <f>IF(B31="","",SUMIFS('Payments'!$N$6:$N$205,'Payments'!$B$6:$B$205,B31))</f>
        <v/>
      </c>
      <c r="T31" s="110">
        <f>IF(OR(B31="",K31=0),"",S31/K31)</f>
        <v/>
      </c>
      <c r="U31" s="78">
        <f>IF(V31="","",IF(V31=2,"⚠️ Paying ahead of work","✓ OK"))</f>
        <v/>
      </c>
      <c r="V31" s="79">
        <f>IF(T31="","",IF(T31-R31&gt;OverpayTol,2,0))</f>
        <v/>
      </c>
      <c r="W31" s="111">
        <f>IF(V31=2,AsOf,"")</f>
        <v/>
      </c>
      <c r="X31" s="79">
        <f>IF(W31="","",1)</f>
        <v/>
      </c>
      <c r="Y31" s="79">
        <f>IF(X31="","","Paying ahead of work: "&amp;B31&amp;" — paid "&amp;ROUND(T31*100,0)&amp;"%, work done "&amp;ROUND(R31*100,0)&amp;"%")</f>
        <v/>
      </c>
    </row>
    <row r="32" ht="20" customHeight="1">
      <c r="B32" s="72" t="n"/>
      <c r="C32" s="72" t="n"/>
      <c r="D32" s="72" t="n"/>
      <c r="E32" s="72" t="n"/>
      <c r="F32" s="72" t="n"/>
      <c r="G32" s="72" t="n"/>
      <c r="H32" s="72" t="n"/>
      <c r="I32" s="73" t="n"/>
      <c r="J32" s="75">
        <f>IF(B32="","",SUMIFS('Change Orders'!$J$7:$J$106,'Change Orders'!$E$7:$E$106,B32,'Change Orders'!$L$7:$L$106,"Approved"))</f>
        <v/>
      </c>
      <c r="K32" s="76">
        <f>IF(B32="","",I32+J32)</f>
        <v/>
      </c>
      <c r="L32" s="74" t="n"/>
      <c r="M32" s="108" t="n"/>
      <c r="N32" s="108" t="n"/>
      <c r="O32" s="74" t="n"/>
      <c r="P32" s="74" t="n"/>
      <c r="Q32" s="100" t="n"/>
      <c r="R32" s="109" t="n"/>
      <c r="S32" s="75">
        <f>IF(B32="","",SUMIFS('Payments'!$N$6:$N$205,'Payments'!$B$6:$B$205,B32))</f>
        <v/>
      </c>
      <c r="T32" s="110">
        <f>IF(OR(B32="",K32=0),"",S32/K32)</f>
        <v/>
      </c>
      <c r="U32" s="78">
        <f>IF(V32="","",IF(V32=2,"⚠️ Paying ahead of work","✓ OK"))</f>
        <v/>
      </c>
      <c r="V32" s="79">
        <f>IF(T32="","",IF(T32-R32&gt;OverpayTol,2,0))</f>
        <v/>
      </c>
      <c r="W32" s="111">
        <f>IF(V32=2,AsOf,"")</f>
        <v/>
      </c>
      <c r="X32" s="79">
        <f>IF(W32="","",1)</f>
        <v/>
      </c>
      <c r="Y32" s="79">
        <f>IF(X32="","","Paying ahead of work: "&amp;B32&amp;" — paid "&amp;ROUND(T32*100,0)&amp;"%, work done "&amp;ROUND(R32*100,0)&amp;"%")</f>
        <v/>
      </c>
    </row>
    <row r="33" ht="20" customHeight="1">
      <c r="B33" s="72" t="n"/>
      <c r="C33" s="72" t="n"/>
      <c r="D33" s="72" t="n"/>
      <c r="E33" s="72" t="n"/>
      <c r="F33" s="72" t="n"/>
      <c r="G33" s="72" t="n"/>
      <c r="H33" s="72" t="n"/>
      <c r="I33" s="73" t="n"/>
      <c r="J33" s="75">
        <f>IF(B33="","",SUMIFS('Change Orders'!$J$7:$J$106,'Change Orders'!$E$7:$E$106,B33,'Change Orders'!$L$7:$L$106,"Approved"))</f>
        <v/>
      </c>
      <c r="K33" s="76">
        <f>IF(B33="","",I33+J33)</f>
        <v/>
      </c>
      <c r="L33" s="74" t="n"/>
      <c r="M33" s="108" t="n"/>
      <c r="N33" s="108" t="n"/>
      <c r="O33" s="74" t="n"/>
      <c r="P33" s="74" t="n"/>
      <c r="Q33" s="100" t="n"/>
      <c r="R33" s="109" t="n"/>
      <c r="S33" s="75">
        <f>IF(B33="","",SUMIFS('Payments'!$N$6:$N$205,'Payments'!$B$6:$B$205,B33))</f>
        <v/>
      </c>
      <c r="T33" s="110">
        <f>IF(OR(B33="",K33=0),"",S33/K33)</f>
        <v/>
      </c>
      <c r="U33" s="78">
        <f>IF(V33="","",IF(V33=2,"⚠️ Paying ahead of work","✓ OK"))</f>
        <v/>
      </c>
      <c r="V33" s="79">
        <f>IF(T33="","",IF(T33-R33&gt;OverpayTol,2,0))</f>
        <v/>
      </c>
      <c r="W33" s="111">
        <f>IF(V33=2,AsOf,"")</f>
        <v/>
      </c>
      <c r="X33" s="79">
        <f>IF(W33="","",1)</f>
        <v/>
      </c>
      <c r="Y33" s="79">
        <f>IF(X33="","","Paying ahead of work: "&amp;B33&amp;" — paid "&amp;ROUND(T33*100,0)&amp;"%, work done "&amp;ROUND(R33*100,0)&amp;"%")</f>
        <v/>
      </c>
    </row>
    <row r="34" ht="20" customHeight="1">
      <c r="B34" s="72" t="n"/>
      <c r="C34" s="72" t="n"/>
      <c r="D34" s="72" t="n"/>
      <c r="E34" s="72" t="n"/>
      <c r="F34" s="72" t="n"/>
      <c r="G34" s="72" t="n"/>
      <c r="H34" s="72" t="n"/>
      <c r="I34" s="73" t="n"/>
      <c r="J34" s="75">
        <f>IF(B34="","",SUMIFS('Change Orders'!$J$7:$J$106,'Change Orders'!$E$7:$E$106,B34,'Change Orders'!$L$7:$L$106,"Approved"))</f>
        <v/>
      </c>
      <c r="K34" s="76">
        <f>IF(B34="","",I34+J34)</f>
        <v/>
      </c>
      <c r="L34" s="74" t="n"/>
      <c r="M34" s="108" t="n"/>
      <c r="N34" s="108" t="n"/>
      <c r="O34" s="74" t="n"/>
      <c r="P34" s="74" t="n"/>
      <c r="Q34" s="100" t="n"/>
      <c r="R34" s="109" t="n"/>
      <c r="S34" s="75">
        <f>IF(B34="","",SUMIFS('Payments'!$N$6:$N$205,'Payments'!$B$6:$B$205,B34))</f>
        <v/>
      </c>
      <c r="T34" s="110">
        <f>IF(OR(B34="",K34=0),"",S34/K34)</f>
        <v/>
      </c>
      <c r="U34" s="78">
        <f>IF(V34="","",IF(V34=2,"⚠️ Paying ahead of work","✓ OK"))</f>
        <v/>
      </c>
      <c r="V34" s="79">
        <f>IF(T34="","",IF(T34-R34&gt;OverpayTol,2,0))</f>
        <v/>
      </c>
      <c r="W34" s="111">
        <f>IF(V34=2,AsOf,"")</f>
        <v/>
      </c>
      <c r="X34" s="79">
        <f>IF(W34="","",1)</f>
        <v/>
      </c>
      <c r="Y34" s="79">
        <f>IF(X34="","","Paying ahead of work: "&amp;B34&amp;" — paid "&amp;ROUND(T34*100,0)&amp;"%, work done "&amp;ROUND(R34*100,0)&amp;"%")</f>
        <v/>
      </c>
    </row>
    <row r="35" ht="20" customHeight="1">
      <c r="B35" s="72" t="n"/>
      <c r="C35" s="72" t="n"/>
      <c r="D35" s="72" t="n"/>
      <c r="E35" s="72" t="n"/>
      <c r="F35" s="72" t="n"/>
      <c r="G35" s="72" t="n"/>
      <c r="H35" s="72" t="n"/>
      <c r="I35" s="73" t="n"/>
      <c r="J35" s="75">
        <f>IF(B35="","",SUMIFS('Change Orders'!$J$7:$J$106,'Change Orders'!$E$7:$E$106,B35,'Change Orders'!$L$7:$L$106,"Approved"))</f>
        <v/>
      </c>
      <c r="K35" s="76">
        <f>IF(B35="","",I35+J35)</f>
        <v/>
      </c>
      <c r="L35" s="74" t="n"/>
      <c r="M35" s="108" t="n"/>
      <c r="N35" s="108" t="n"/>
      <c r="O35" s="74" t="n"/>
      <c r="P35" s="74" t="n"/>
      <c r="Q35" s="100" t="n"/>
      <c r="R35" s="109" t="n"/>
      <c r="S35" s="75">
        <f>IF(B35="","",SUMIFS('Payments'!$N$6:$N$205,'Payments'!$B$6:$B$205,B35))</f>
        <v/>
      </c>
      <c r="T35" s="110">
        <f>IF(OR(B35="",K35=0),"",S35/K35)</f>
        <v/>
      </c>
      <c r="U35" s="78">
        <f>IF(V35="","",IF(V35=2,"⚠️ Paying ahead of work","✓ OK"))</f>
        <v/>
      </c>
      <c r="V35" s="79">
        <f>IF(T35="","",IF(T35-R35&gt;OverpayTol,2,0))</f>
        <v/>
      </c>
      <c r="W35" s="111">
        <f>IF(V35=2,AsOf,"")</f>
        <v/>
      </c>
      <c r="X35" s="79">
        <f>IF(W35="","",1)</f>
        <v/>
      </c>
      <c r="Y35" s="79">
        <f>IF(X35="","","Paying ahead of work: "&amp;B35&amp;" — paid "&amp;ROUND(T35*100,0)&amp;"%, work done "&amp;ROUND(R35*100,0)&amp;"%")</f>
        <v/>
      </c>
    </row>
    <row r="36"/>
    <row r="37"/>
    <row r="38">
      <c r="B38" s="4" t="inlineStr">
        <is>
          <t>COMMUNICATION LOG — every call, email and site conversation. Follow-ups turn into alerts.</t>
        </is>
      </c>
      <c r="C38" s="5" t="n"/>
      <c r="D38" s="5" t="n"/>
      <c r="E38" s="5" t="n"/>
      <c r="F38" s="5" t="n"/>
      <c r="G38" s="5" t="n"/>
      <c r="H38" s="5" t="n"/>
      <c r="I38" s="5" t="n"/>
      <c r="J38" s="5" t="n"/>
      <c r="K38" s="5" t="n"/>
    </row>
    <row r="39"/>
    <row r="40" ht="32" customHeight="1">
      <c r="B40" s="52" t="inlineStr">
        <is>
          <t>Contractor</t>
        </is>
      </c>
      <c r="C40" s="52" t="inlineStr">
        <is>
          <t>Date</t>
        </is>
      </c>
      <c r="D40" s="52" t="inlineStr">
        <is>
          <t>What was said / agreed</t>
        </is>
      </c>
      <c r="E40" s="94" t="n"/>
      <c r="F40" s="94" t="n"/>
      <c r="G40" s="94" t="n"/>
      <c r="H40" s="63" t="n"/>
      <c r="I40" s="52" t="inlineStr">
        <is>
          <t>Follow-up needed?</t>
        </is>
      </c>
      <c r="J40" s="52" t="inlineStr">
        <is>
          <t>Follow-up date</t>
        </is>
      </c>
      <c r="K40" s="52" t="inlineStr">
        <is>
          <t>Follow-up done?</t>
        </is>
      </c>
      <c r="W40" s="71" t="inlineStr">
        <is>
          <t>due</t>
        </is>
      </c>
      <c r="X40" s="71" t="inlineStr">
        <is>
          <t>pri</t>
        </is>
      </c>
      <c r="Y40" s="71" t="inlineStr">
        <is>
          <t>text</t>
        </is>
      </c>
    </row>
    <row r="41" ht="20" customHeight="1">
      <c r="B41" s="72" t="inlineStr">
        <is>
          <t>Bright Spark Electric</t>
        </is>
      </c>
      <c r="C41" s="108" t="n">
        <v>46175</v>
      </c>
      <c r="D41" s="112" t="inlineStr">
        <is>
          <t>Asked for revised schedule after 1-week slip — no reply yet</t>
        </is>
      </c>
      <c r="E41" s="113" t="n"/>
      <c r="F41" s="113" t="n"/>
      <c r="G41" s="113" t="n"/>
      <c r="H41" s="96" t="n"/>
      <c r="I41" s="74" t="inlineStr">
        <is>
          <t>Yes</t>
        </is>
      </c>
      <c r="J41" s="108" t="n">
        <v>46183</v>
      </c>
      <c r="K41" s="74" t="inlineStr">
        <is>
          <t>No</t>
        </is>
      </c>
      <c r="W41" s="111">
        <f>IF(AND(B41&lt;&gt;"",I41="Yes",K41&lt;&gt;"Yes",J41&lt;&gt;""),J41,"")</f>
        <v/>
      </c>
      <c r="X41" s="79">
        <f>IF(W41="","",IF(W41&lt;AsOf,1,IF(W41&lt;=AsOf+AlertDays,2,IF(W41&lt;=AsOf+2*AlertDays,3,""))))</f>
        <v/>
      </c>
      <c r="Y41" s="79">
        <f>IF(X41="","","Follow up with "&amp;B41&amp;": "&amp;D41)</f>
        <v/>
      </c>
    </row>
    <row r="42" ht="20" customHeight="1">
      <c r="B42" s="72" t="inlineStr">
        <is>
          <t>Oak &amp; Plank Flooring</t>
        </is>
      </c>
      <c r="C42" s="108" t="n">
        <v>46185</v>
      </c>
      <c r="D42" s="112" t="inlineStr">
        <is>
          <t>Quote received; asked them to include skirting boards</t>
        </is>
      </c>
      <c r="E42" s="113" t="n"/>
      <c r="F42" s="113" t="n"/>
      <c r="G42" s="113" t="n"/>
      <c r="H42" s="96" t="n"/>
      <c r="I42" s="74" t="inlineStr">
        <is>
          <t>Yes</t>
        </is>
      </c>
      <c r="J42" s="108" t="n">
        <v>46191</v>
      </c>
      <c r="K42" s="74" t="inlineStr">
        <is>
          <t>No</t>
        </is>
      </c>
      <c r="W42" s="111">
        <f>IF(AND(B42&lt;&gt;"",I42="Yes",K42&lt;&gt;"Yes",J42&lt;&gt;""),J42,"")</f>
        <v/>
      </c>
      <c r="X42" s="79">
        <f>IF(W42="","",IF(W42&lt;AsOf,1,IF(W42&lt;=AsOf+AlertDays,2,IF(W42&lt;=AsOf+2*AlertDays,3,""))))</f>
        <v/>
      </c>
      <c r="Y42" s="79">
        <f>IF(X42="","","Follow up with "&amp;B42&amp;": "&amp;D42)</f>
        <v/>
      </c>
    </row>
    <row r="43" ht="20" customHeight="1">
      <c r="B43" s="72" t="inlineStr">
        <is>
          <t>Nordic Kitchens</t>
        </is>
      </c>
      <c r="C43" s="108" t="n">
        <v>46170</v>
      </c>
      <c r="D43" s="112" t="inlineStr">
        <is>
          <t>Confirmed install start 2 July, delivery 1 July</t>
        </is>
      </c>
      <c r="E43" s="113" t="n"/>
      <c r="F43" s="113" t="n"/>
      <c r="G43" s="113" t="n"/>
      <c r="H43" s="96" t="n"/>
      <c r="I43" s="74" t="inlineStr">
        <is>
          <t>No</t>
        </is>
      </c>
      <c r="J43" s="108" t="n"/>
      <c r="K43" s="74" t="n"/>
      <c r="W43" s="111">
        <f>IF(AND(B43&lt;&gt;"",I43="Yes",K43&lt;&gt;"Yes",J43&lt;&gt;""),J43,"")</f>
        <v/>
      </c>
      <c r="X43" s="79">
        <f>IF(W43="","",IF(W43&lt;AsOf,1,IF(W43&lt;=AsOf+AlertDays,2,IF(W43&lt;=AsOf+2*AlertDays,3,""))))</f>
        <v/>
      </c>
      <c r="Y43" s="79">
        <f>IF(X43="","","Follow up with "&amp;B43&amp;": "&amp;D43)</f>
        <v/>
      </c>
    </row>
    <row r="44" ht="20" customHeight="1">
      <c r="B44" s="72" t="inlineStr">
        <is>
          <t>FlowRight Plumbing</t>
        </is>
      </c>
      <c r="C44" s="108" t="n">
        <v>46182</v>
      </c>
      <c r="D44" s="112" t="inlineStr">
        <is>
          <t>Pipe re-routing caused delay; rough-in now late</t>
        </is>
      </c>
      <c r="E44" s="113" t="n"/>
      <c r="F44" s="113" t="n"/>
      <c r="G44" s="113" t="n"/>
      <c r="H44" s="96" t="n"/>
      <c r="I44" s="74" t="inlineStr">
        <is>
          <t>Yes</t>
        </is>
      </c>
      <c r="J44" s="108" t="n">
        <v>46174</v>
      </c>
      <c r="K44" s="74" t="inlineStr">
        <is>
          <t>Yes</t>
        </is>
      </c>
      <c r="W44" s="111">
        <f>IF(AND(B44&lt;&gt;"",I44="Yes",K44&lt;&gt;"Yes",J44&lt;&gt;""),J44,"")</f>
        <v/>
      </c>
      <c r="X44" s="79">
        <f>IF(W44="","",IF(W44&lt;AsOf,1,IF(W44&lt;=AsOf+AlertDays,2,IF(W44&lt;=AsOf+2*AlertDays,3,""))))</f>
        <v/>
      </c>
      <c r="Y44" s="79">
        <f>IF(X44="","","Follow up with "&amp;B44&amp;": "&amp;D44)</f>
        <v/>
      </c>
    </row>
    <row r="45" ht="20" customHeight="1">
      <c r="B45" s="72" t="n"/>
      <c r="C45" s="108" t="n"/>
      <c r="D45" s="112" t="n"/>
      <c r="E45" s="113" t="n"/>
      <c r="F45" s="113" t="n"/>
      <c r="G45" s="113" t="n"/>
      <c r="H45" s="96" t="n"/>
      <c r="I45" s="74" t="n"/>
      <c r="J45" s="108" t="n"/>
      <c r="K45" s="74" t="n"/>
      <c r="W45" s="111">
        <f>IF(AND(B45&lt;&gt;"",I45="Yes",K45&lt;&gt;"Yes",J45&lt;&gt;""),J45,"")</f>
        <v/>
      </c>
      <c r="X45" s="79">
        <f>IF(W45="","",IF(W45&lt;AsOf,1,IF(W45&lt;=AsOf+AlertDays,2,IF(W45&lt;=AsOf+2*AlertDays,3,""))))</f>
        <v/>
      </c>
      <c r="Y45" s="79">
        <f>IF(X45="","","Follow up with "&amp;B45&amp;": "&amp;D45)</f>
        <v/>
      </c>
    </row>
    <row r="46" ht="20" customHeight="1">
      <c r="B46" s="72" t="n"/>
      <c r="C46" s="108" t="n"/>
      <c r="D46" s="112" t="n"/>
      <c r="E46" s="113" t="n"/>
      <c r="F46" s="113" t="n"/>
      <c r="G46" s="113" t="n"/>
      <c r="H46" s="96" t="n"/>
      <c r="I46" s="74" t="n"/>
      <c r="J46" s="108" t="n"/>
      <c r="K46" s="74" t="n"/>
      <c r="W46" s="111">
        <f>IF(AND(B46&lt;&gt;"",I46="Yes",K46&lt;&gt;"Yes",J46&lt;&gt;""),J46,"")</f>
        <v/>
      </c>
      <c r="X46" s="79">
        <f>IF(W46="","",IF(W46&lt;AsOf,1,IF(W46&lt;=AsOf+AlertDays,2,IF(W46&lt;=AsOf+2*AlertDays,3,""))))</f>
        <v/>
      </c>
      <c r="Y46" s="79">
        <f>IF(X46="","","Follow up with "&amp;B46&amp;": "&amp;D46)</f>
        <v/>
      </c>
    </row>
    <row r="47" ht="20" customHeight="1">
      <c r="B47" s="72" t="n"/>
      <c r="C47" s="108" t="n"/>
      <c r="D47" s="112" t="n"/>
      <c r="E47" s="113" t="n"/>
      <c r="F47" s="113" t="n"/>
      <c r="G47" s="113" t="n"/>
      <c r="H47" s="96" t="n"/>
      <c r="I47" s="74" t="n"/>
      <c r="J47" s="108" t="n"/>
      <c r="K47" s="74" t="n"/>
      <c r="W47" s="111">
        <f>IF(AND(B47&lt;&gt;"",I47="Yes",K47&lt;&gt;"Yes",J47&lt;&gt;""),J47,"")</f>
        <v/>
      </c>
      <c r="X47" s="79">
        <f>IF(W47="","",IF(W47&lt;AsOf,1,IF(W47&lt;=AsOf+AlertDays,2,IF(W47&lt;=AsOf+2*AlertDays,3,""))))</f>
        <v/>
      </c>
      <c r="Y47" s="79">
        <f>IF(X47="","","Follow up with "&amp;B47&amp;": "&amp;D47)</f>
        <v/>
      </c>
    </row>
    <row r="48" ht="20" customHeight="1">
      <c r="B48" s="72" t="n"/>
      <c r="C48" s="108" t="n"/>
      <c r="D48" s="112" t="n"/>
      <c r="E48" s="113" t="n"/>
      <c r="F48" s="113" t="n"/>
      <c r="G48" s="113" t="n"/>
      <c r="H48" s="96" t="n"/>
      <c r="I48" s="74" t="n"/>
      <c r="J48" s="108" t="n"/>
      <c r="K48" s="74" t="n"/>
      <c r="W48" s="111">
        <f>IF(AND(B48&lt;&gt;"",I48="Yes",K48&lt;&gt;"Yes",J48&lt;&gt;""),J48,"")</f>
        <v/>
      </c>
      <c r="X48" s="79">
        <f>IF(W48="","",IF(W48&lt;AsOf,1,IF(W48&lt;=AsOf+AlertDays,2,IF(W48&lt;=AsOf+2*AlertDays,3,""))))</f>
        <v/>
      </c>
      <c r="Y48" s="79">
        <f>IF(X48="","","Follow up with "&amp;B48&amp;": "&amp;D48)</f>
        <v/>
      </c>
    </row>
    <row r="49" ht="20" customHeight="1">
      <c r="B49" s="72" t="n"/>
      <c r="C49" s="108" t="n"/>
      <c r="D49" s="112" t="n"/>
      <c r="E49" s="113" t="n"/>
      <c r="F49" s="113" t="n"/>
      <c r="G49" s="113" t="n"/>
      <c r="H49" s="96" t="n"/>
      <c r="I49" s="74" t="n"/>
      <c r="J49" s="108" t="n"/>
      <c r="K49" s="74" t="n"/>
      <c r="W49" s="111">
        <f>IF(AND(B49&lt;&gt;"",I49="Yes",K49&lt;&gt;"Yes",J49&lt;&gt;""),J49,"")</f>
        <v/>
      </c>
      <c r="X49" s="79">
        <f>IF(W49="","",IF(W49&lt;AsOf,1,IF(W49&lt;=AsOf+AlertDays,2,IF(W49&lt;=AsOf+2*AlertDays,3,""))))</f>
        <v/>
      </c>
      <c r="Y49" s="79">
        <f>IF(X49="","","Follow up with "&amp;B49&amp;": "&amp;D49)</f>
        <v/>
      </c>
    </row>
    <row r="50" ht="20" customHeight="1">
      <c r="B50" s="72" t="n"/>
      <c r="C50" s="108" t="n"/>
      <c r="D50" s="112" t="n"/>
      <c r="E50" s="113" t="n"/>
      <c r="F50" s="113" t="n"/>
      <c r="G50" s="113" t="n"/>
      <c r="H50" s="96" t="n"/>
      <c r="I50" s="74" t="n"/>
      <c r="J50" s="108" t="n"/>
      <c r="K50" s="74" t="n"/>
      <c r="W50" s="111">
        <f>IF(AND(B50&lt;&gt;"",I50="Yes",K50&lt;&gt;"Yes",J50&lt;&gt;""),J50,"")</f>
        <v/>
      </c>
      <c r="X50" s="79">
        <f>IF(W50="","",IF(W50&lt;AsOf,1,IF(W50&lt;=AsOf+AlertDays,2,IF(W50&lt;=AsOf+2*AlertDays,3,""))))</f>
        <v/>
      </c>
      <c r="Y50" s="79">
        <f>IF(X50="","","Follow up with "&amp;B50&amp;": "&amp;D50)</f>
        <v/>
      </c>
    </row>
    <row r="51" ht="20" customHeight="1">
      <c r="B51" s="72" t="n"/>
      <c r="C51" s="108" t="n"/>
      <c r="D51" s="112" t="n"/>
      <c r="E51" s="113" t="n"/>
      <c r="F51" s="113" t="n"/>
      <c r="G51" s="113" t="n"/>
      <c r="H51" s="96" t="n"/>
      <c r="I51" s="74" t="n"/>
      <c r="J51" s="108" t="n"/>
      <c r="K51" s="74" t="n"/>
      <c r="W51" s="111">
        <f>IF(AND(B51&lt;&gt;"",I51="Yes",K51&lt;&gt;"Yes",J51&lt;&gt;""),J51,"")</f>
        <v/>
      </c>
      <c r="X51" s="79">
        <f>IF(W51="","",IF(W51&lt;AsOf,1,IF(W51&lt;=AsOf+AlertDays,2,IF(W51&lt;=AsOf+2*AlertDays,3,""))))</f>
        <v/>
      </c>
      <c r="Y51" s="79">
        <f>IF(X51="","","Follow up with "&amp;B51&amp;": "&amp;D51)</f>
        <v/>
      </c>
    </row>
    <row r="52" ht="20" customHeight="1">
      <c r="B52" s="72" t="n"/>
      <c r="C52" s="108" t="n"/>
      <c r="D52" s="112" t="n"/>
      <c r="E52" s="113" t="n"/>
      <c r="F52" s="113" t="n"/>
      <c r="G52" s="113" t="n"/>
      <c r="H52" s="96" t="n"/>
      <c r="I52" s="74" t="n"/>
      <c r="J52" s="108" t="n"/>
      <c r="K52" s="74" t="n"/>
      <c r="W52" s="111">
        <f>IF(AND(B52&lt;&gt;"",I52="Yes",K52&lt;&gt;"Yes",J52&lt;&gt;""),J52,"")</f>
        <v/>
      </c>
      <c r="X52" s="79">
        <f>IF(W52="","",IF(W52&lt;AsOf,1,IF(W52&lt;=AsOf+AlertDays,2,IF(W52&lt;=AsOf+2*AlertDays,3,""))))</f>
        <v/>
      </c>
      <c r="Y52" s="79">
        <f>IF(X52="","","Follow up with "&amp;B52&amp;": "&amp;D52)</f>
        <v/>
      </c>
    </row>
    <row r="53" ht="20" customHeight="1">
      <c r="B53" s="72" t="n"/>
      <c r="C53" s="108" t="n"/>
      <c r="D53" s="112" t="n"/>
      <c r="E53" s="113" t="n"/>
      <c r="F53" s="113" t="n"/>
      <c r="G53" s="113" t="n"/>
      <c r="H53" s="96" t="n"/>
      <c r="I53" s="74" t="n"/>
      <c r="J53" s="108" t="n"/>
      <c r="K53" s="74" t="n"/>
      <c r="W53" s="111">
        <f>IF(AND(B53&lt;&gt;"",I53="Yes",K53&lt;&gt;"Yes",J53&lt;&gt;""),J53,"")</f>
        <v/>
      </c>
      <c r="X53" s="79">
        <f>IF(W53="","",IF(W53&lt;AsOf,1,IF(W53&lt;=AsOf+AlertDays,2,IF(W53&lt;=AsOf+2*AlertDays,3,""))))</f>
        <v/>
      </c>
      <c r="Y53" s="79">
        <f>IF(X53="","","Follow up with "&amp;B53&amp;": "&amp;D53)</f>
        <v/>
      </c>
    </row>
    <row r="54" ht="20" customHeight="1">
      <c r="B54" s="72" t="n"/>
      <c r="C54" s="108" t="n"/>
      <c r="D54" s="112" t="n"/>
      <c r="E54" s="113" t="n"/>
      <c r="F54" s="113" t="n"/>
      <c r="G54" s="113" t="n"/>
      <c r="H54" s="96" t="n"/>
      <c r="I54" s="74" t="n"/>
      <c r="J54" s="108" t="n"/>
      <c r="K54" s="74" t="n"/>
      <c r="W54" s="111">
        <f>IF(AND(B54&lt;&gt;"",I54="Yes",K54&lt;&gt;"Yes",J54&lt;&gt;""),J54,"")</f>
        <v/>
      </c>
      <c r="X54" s="79">
        <f>IF(W54="","",IF(W54&lt;AsOf,1,IF(W54&lt;=AsOf+AlertDays,2,IF(W54&lt;=AsOf+2*AlertDays,3,""))))</f>
        <v/>
      </c>
      <c r="Y54" s="79">
        <f>IF(X54="","","Follow up with "&amp;B54&amp;": "&amp;D54)</f>
        <v/>
      </c>
    </row>
    <row r="55" ht="20" customHeight="1">
      <c r="B55" s="72" t="n"/>
      <c r="C55" s="108" t="n"/>
      <c r="D55" s="112" t="n"/>
      <c r="E55" s="113" t="n"/>
      <c r="F55" s="113" t="n"/>
      <c r="G55" s="113" t="n"/>
      <c r="H55" s="96" t="n"/>
      <c r="I55" s="74" t="n"/>
      <c r="J55" s="108" t="n"/>
      <c r="K55" s="74" t="n"/>
      <c r="W55" s="111">
        <f>IF(AND(B55&lt;&gt;"",I55="Yes",K55&lt;&gt;"Yes",J55&lt;&gt;""),J55,"")</f>
        <v/>
      </c>
      <c r="X55" s="79">
        <f>IF(W55="","",IF(W55&lt;AsOf,1,IF(W55&lt;=AsOf+AlertDays,2,IF(W55&lt;=AsOf+2*AlertDays,3,""))))</f>
        <v/>
      </c>
      <c r="Y55" s="79">
        <f>IF(X55="","","Follow up with "&amp;B55&amp;": "&amp;D55)</f>
        <v/>
      </c>
    </row>
    <row r="56" ht="20" customHeight="1">
      <c r="B56" s="72" t="n"/>
      <c r="C56" s="108" t="n"/>
      <c r="D56" s="112" t="n"/>
      <c r="E56" s="113" t="n"/>
      <c r="F56" s="113" t="n"/>
      <c r="G56" s="113" t="n"/>
      <c r="H56" s="96" t="n"/>
      <c r="I56" s="74" t="n"/>
      <c r="J56" s="108" t="n"/>
      <c r="K56" s="74" t="n"/>
      <c r="W56" s="111">
        <f>IF(AND(B56&lt;&gt;"",I56="Yes",K56&lt;&gt;"Yes",J56&lt;&gt;""),J56,"")</f>
        <v/>
      </c>
      <c r="X56" s="79">
        <f>IF(W56="","",IF(W56&lt;AsOf,1,IF(W56&lt;=AsOf+AlertDays,2,IF(W56&lt;=AsOf+2*AlertDays,3,""))))</f>
        <v/>
      </c>
      <c r="Y56" s="79">
        <f>IF(X56="","","Follow up with "&amp;B56&amp;": "&amp;D56)</f>
        <v/>
      </c>
    </row>
    <row r="57" ht="20" customHeight="1">
      <c r="B57" s="72" t="n"/>
      <c r="C57" s="108" t="n"/>
      <c r="D57" s="112" t="n"/>
      <c r="E57" s="113" t="n"/>
      <c r="F57" s="113" t="n"/>
      <c r="G57" s="113" t="n"/>
      <c r="H57" s="96" t="n"/>
      <c r="I57" s="74" t="n"/>
      <c r="J57" s="108" t="n"/>
      <c r="K57" s="74" t="n"/>
      <c r="W57" s="111">
        <f>IF(AND(B57&lt;&gt;"",I57="Yes",K57&lt;&gt;"Yes",J57&lt;&gt;""),J57,"")</f>
        <v/>
      </c>
      <c r="X57" s="79">
        <f>IF(W57="","",IF(W57&lt;AsOf,1,IF(W57&lt;=AsOf+AlertDays,2,IF(W57&lt;=AsOf+2*AlertDays,3,""))))</f>
        <v/>
      </c>
      <c r="Y57" s="79">
        <f>IF(X57="","","Follow up with "&amp;B57&amp;": "&amp;D57)</f>
        <v/>
      </c>
    </row>
    <row r="58" ht="20" customHeight="1">
      <c r="B58" s="72" t="n"/>
      <c r="C58" s="108" t="n"/>
      <c r="D58" s="112" t="n"/>
      <c r="E58" s="113" t="n"/>
      <c r="F58" s="113" t="n"/>
      <c r="G58" s="113" t="n"/>
      <c r="H58" s="96" t="n"/>
      <c r="I58" s="74" t="n"/>
      <c r="J58" s="108" t="n"/>
      <c r="K58" s="74" t="n"/>
      <c r="W58" s="111">
        <f>IF(AND(B58&lt;&gt;"",I58="Yes",K58&lt;&gt;"Yes",J58&lt;&gt;""),J58,"")</f>
        <v/>
      </c>
      <c r="X58" s="79">
        <f>IF(W58="","",IF(W58&lt;AsOf,1,IF(W58&lt;=AsOf+AlertDays,2,IF(W58&lt;=AsOf+2*AlertDays,3,""))))</f>
        <v/>
      </c>
      <c r="Y58" s="79">
        <f>IF(X58="","","Follow up with "&amp;B58&amp;": "&amp;D58)</f>
        <v/>
      </c>
    </row>
    <row r="59" ht="20" customHeight="1">
      <c r="B59" s="72" t="n"/>
      <c r="C59" s="108" t="n"/>
      <c r="D59" s="112" t="n"/>
      <c r="E59" s="113" t="n"/>
      <c r="F59" s="113" t="n"/>
      <c r="G59" s="113" t="n"/>
      <c r="H59" s="96" t="n"/>
      <c r="I59" s="74" t="n"/>
      <c r="J59" s="108" t="n"/>
      <c r="K59" s="74" t="n"/>
      <c r="W59" s="111">
        <f>IF(AND(B59&lt;&gt;"",I59="Yes",K59&lt;&gt;"Yes",J59&lt;&gt;""),J59,"")</f>
        <v/>
      </c>
      <c r="X59" s="79">
        <f>IF(W59="","",IF(W59&lt;AsOf,1,IF(W59&lt;=AsOf+AlertDays,2,IF(W59&lt;=AsOf+2*AlertDays,3,""))))</f>
        <v/>
      </c>
      <c r="Y59" s="79">
        <f>IF(X59="","","Follow up with "&amp;B59&amp;": "&amp;D59)</f>
        <v/>
      </c>
    </row>
    <row r="60" ht="20" customHeight="1">
      <c r="B60" s="72" t="n"/>
      <c r="C60" s="108" t="n"/>
      <c r="D60" s="112" t="n"/>
      <c r="E60" s="113" t="n"/>
      <c r="F60" s="113" t="n"/>
      <c r="G60" s="113" t="n"/>
      <c r="H60" s="96" t="n"/>
      <c r="I60" s="74" t="n"/>
      <c r="J60" s="108" t="n"/>
      <c r="K60" s="74" t="n"/>
      <c r="W60" s="111">
        <f>IF(AND(B60&lt;&gt;"",I60="Yes",K60&lt;&gt;"Yes",J60&lt;&gt;""),J60,"")</f>
        <v/>
      </c>
      <c r="X60" s="79">
        <f>IF(W60="","",IF(W60&lt;AsOf,1,IF(W60&lt;=AsOf+AlertDays,2,IF(W60&lt;=AsOf+2*AlertDays,3,""))))</f>
        <v/>
      </c>
      <c r="Y60" s="79">
        <f>IF(X60="","","Follow up with "&amp;B60&amp;": "&amp;D60)</f>
        <v/>
      </c>
    </row>
    <row r="61" ht="20" customHeight="1">
      <c r="B61" s="72" t="n"/>
      <c r="C61" s="108" t="n"/>
      <c r="D61" s="112" t="n"/>
      <c r="E61" s="113" t="n"/>
      <c r="F61" s="113" t="n"/>
      <c r="G61" s="113" t="n"/>
      <c r="H61" s="96" t="n"/>
      <c r="I61" s="74" t="n"/>
      <c r="J61" s="108" t="n"/>
      <c r="K61" s="74" t="n"/>
      <c r="W61" s="111">
        <f>IF(AND(B61&lt;&gt;"",I61="Yes",K61&lt;&gt;"Yes",J61&lt;&gt;""),J61,"")</f>
        <v/>
      </c>
      <c r="X61" s="79">
        <f>IF(W61="","",IF(W61&lt;AsOf,1,IF(W61&lt;=AsOf+AlertDays,2,IF(W61&lt;=AsOf+2*AlertDays,3,""))))</f>
        <v/>
      </c>
      <c r="Y61" s="79">
        <f>IF(X61="","","Follow up with "&amp;B61&amp;": "&amp;D61)</f>
        <v/>
      </c>
    </row>
    <row r="62" ht="20" customHeight="1">
      <c r="B62" s="72" t="n"/>
      <c r="C62" s="108" t="n"/>
      <c r="D62" s="112" t="n"/>
      <c r="E62" s="113" t="n"/>
      <c r="F62" s="113" t="n"/>
      <c r="G62" s="113" t="n"/>
      <c r="H62" s="96" t="n"/>
      <c r="I62" s="74" t="n"/>
      <c r="J62" s="108" t="n"/>
      <c r="K62" s="74" t="n"/>
      <c r="W62" s="111">
        <f>IF(AND(B62&lt;&gt;"",I62="Yes",K62&lt;&gt;"Yes",J62&lt;&gt;""),J62,"")</f>
        <v/>
      </c>
      <c r="X62" s="79">
        <f>IF(W62="","",IF(W62&lt;AsOf,1,IF(W62&lt;=AsOf+AlertDays,2,IF(W62&lt;=AsOf+2*AlertDays,3,""))))</f>
        <v/>
      </c>
      <c r="Y62" s="79">
        <f>IF(X62="","","Follow up with "&amp;B62&amp;": "&amp;D62)</f>
        <v/>
      </c>
    </row>
    <row r="63" ht="20" customHeight="1">
      <c r="B63" s="72" t="n"/>
      <c r="C63" s="108" t="n"/>
      <c r="D63" s="112" t="n"/>
      <c r="E63" s="113" t="n"/>
      <c r="F63" s="113" t="n"/>
      <c r="G63" s="113" t="n"/>
      <c r="H63" s="96" t="n"/>
      <c r="I63" s="74" t="n"/>
      <c r="J63" s="108" t="n"/>
      <c r="K63" s="74" t="n"/>
      <c r="W63" s="111">
        <f>IF(AND(B63&lt;&gt;"",I63="Yes",K63&lt;&gt;"Yes",J63&lt;&gt;""),J63,"")</f>
        <v/>
      </c>
      <c r="X63" s="79">
        <f>IF(W63="","",IF(W63&lt;AsOf,1,IF(W63&lt;=AsOf+AlertDays,2,IF(W63&lt;=AsOf+2*AlertDays,3,""))))</f>
        <v/>
      </c>
      <c r="Y63" s="79">
        <f>IF(X63="","","Follow up with "&amp;B63&amp;": "&amp;D63)</f>
        <v/>
      </c>
    </row>
    <row r="64" ht="20" customHeight="1">
      <c r="B64" s="72" t="n"/>
      <c r="C64" s="108" t="n"/>
      <c r="D64" s="112" t="n"/>
      <c r="E64" s="113" t="n"/>
      <c r="F64" s="113" t="n"/>
      <c r="G64" s="113" t="n"/>
      <c r="H64" s="96" t="n"/>
      <c r="I64" s="74" t="n"/>
      <c r="J64" s="108" t="n"/>
      <c r="K64" s="74" t="n"/>
      <c r="W64" s="111">
        <f>IF(AND(B64&lt;&gt;"",I64="Yes",K64&lt;&gt;"Yes",J64&lt;&gt;""),J64,"")</f>
        <v/>
      </c>
      <c r="X64" s="79">
        <f>IF(W64="","",IF(W64&lt;AsOf,1,IF(W64&lt;=AsOf+AlertDays,2,IF(W64&lt;=AsOf+2*AlertDays,3,""))))</f>
        <v/>
      </c>
      <c r="Y64" s="79">
        <f>IF(X64="","","Follow up with "&amp;B64&amp;": "&amp;D64)</f>
        <v/>
      </c>
    </row>
    <row r="65" ht="20" customHeight="1">
      <c r="B65" s="72" t="n"/>
      <c r="C65" s="108" t="n"/>
      <c r="D65" s="112" t="n"/>
      <c r="E65" s="113" t="n"/>
      <c r="F65" s="113" t="n"/>
      <c r="G65" s="113" t="n"/>
      <c r="H65" s="96" t="n"/>
      <c r="I65" s="74" t="n"/>
      <c r="J65" s="108" t="n"/>
      <c r="K65" s="74" t="n"/>
      <c r="W65" s="111">
        <f>IF(AND(B65&lt;&gt;"",I65="Yes",K65&lt;&gt;"Yes",J65&lt;&gt;""),J65,"")</f>
        <v/>
      </c>
      <c r="X65" s="79">
        <f>IF(W65="","",IF(W65&lt;AsOf,1,IF(W65&lt;=AsOf+AlertDays,2,IF(W65&lt;=AsOf+2*AlertDays,3,""))))</f>
        <v/>
      </c>
      <c r="Y65" s="79">
        <f>IF(X65="","","Follow up with "&amp;B65&amp;": "&amp;D65)</f>
        <v/>
      </c>
    </row>
    <row r="66" ht="20" customHeight="1">
      <c r="B66" s="72" t="n"/>
      <c r="C66" s="108" t="n"/>
      <c r="D66" s="112" t="n"/>
      <c r="E66" s="113" t="n"/>
      <c r="F66" s="113" t="n"/>
      <c r="G66" s="113" t="n"/>
      <c r="H66" s="96" t="n"/>
      <c r="I66" s="74" t="n"/>
      <c r="J66" s="108" t="n"/>
      <c r="K66" s="74" t="n"/>
      <c r="W66" s="111">
        <f>IF(AND(B66&lt;&gt;"",I66="Yes",K66&lt;&gt;"Yes",J66&lt;&gt;""),J66,"")</f>
        <v/>
      </c>
      <c r="X66" s="79">
        <f>IF(W66="","",IF(W66&lt;AsOf,1,IF(W66&lt;=AsOf+AlertDays,2,IF(W66&lt;=AsOf+2*AlertDays,3,""))))</f>
        <v/>
      </c>
      <c r="Y66" s="79">
        <f>IF(X66="","","Follow up with "&amp;B66&amp;": "&amp;D66)</f>
        <v/>
      </c>
    </row>
    <row r="67" ht="20" customHeight="1">
      <c r="B67" s="72" t="n"/>
      <c r="C67" s="108" t="n"/>
      <c r="D67" s="112" t="n"/>
      <c r="E67" s="113" t="n"/>
      <c r="F67" s="113" t="n"/>
      <c r="G67" s="113" t="n"/>
      <c r="H67" s="96" t="n"/>
      <c r="I67" s="74" t="n"/>
      <c r="J67" s="108" t="n"/>
      <c r="K67" s="74" t="n"/>
      <c r="W67" s="111">
        <f>IF(AND(B67&lt;&gt;"",I67="Yes",K67&lt;&gt;"Yes",J67&lt;&gt;""),J67,"")</f>
        <v/>
      </c>
      <c r="X67" s="79">
        <f>IF(W67="","",IF(W67&lt;AsOf,1,IF(W67&lt;=AsOf+AlertDays,2,IF(W67&lt;=AsOf+2*AlertDays,3,""))))</f>
        <v/>
      </c>
      <c r="Y67" s="79">
        <f>IF(X67="","","Follow up with "&amp;B67&amp;": "&amp;D67)</f>
        <v/>
      </c>
    </row>
    <row r="68" ht="20" customHeight="1">
      <c r="B68" s="72" t="n"/>
      <c r="C68" s="108" t="n"/>
      <c r="D68" s="112" t="n"/>
      <c r="E68" s="113" t="n"/>
      <c r="F68" s="113" t="n"/>
      <c r="G68" s="113" t="n"/>
      <c r="H68" s="96" t="n"/>
      <c r="I68" s="74" t="n"/>
      <c r="J68" s="108" t="n"/>
      <c r="K68" s="74" t="n"/>
      <c r="W68" s="111">
        <f>IF(AND(B68&lt;&gt;"",I68="Yes",K68&lt;&gt;"Yes",J68&lt;&gt;""),J68,"")</f>
        <v/>
      </c>
      <c r="X68" s="79">
        <f>IF(W68="","",IF(W68&lt;AsOf,1,IF(W68&lt;=AsOf+AlertDays,2,IF(W68&lt;=AsOf+2*AlertDays,3,""))))</f>
        <v/>
      </c>
      <c r="Y68" s="79">
        <f>IF(X68="","","Follow up with "&amp;B68&amp;": "&amp;D68)</f>
        <v/>
      </c>
    </row>
    <row r="69" ht="20" customHeight="1">
      <c r="B69" s="72" t="n"/>
      <c r="C69" s="108" t="n"/>
      <c r="D69" s="112" t="n"/>
      <c r="E69" s="113" t="n"/>
      <c r="F69" s="113" t="n"/>
      <c r="G69" s="113" t="n"/>
      <c r="H69" s="96" t="n"/>
      <c r="I69" s="74" t="n"/>
      <c r="J69" s="108" t="n"/>
      <c r="K69" s="74" t="n"/>
      <c r="W69" s="111">
        <f>IF(AND(B69&lt;&gt;"",I69="Yes",K69&lt;&gt;"Yes",J69&lt;&gt;""),J69,"")</f>
        <v/>
      </c>
      <c r="X69" s="79">
        <f>IF(W69="","",IF(W69&lt;AsOf,1,IF(W69&lt;=AsOf+AlertDays,2,IF(W69&lt;=AsOf+2*AlertDays,3,""))))</f>
        <v/>
      </c>
      <c r="Y69" s="79">
        <f>IF(X69="","","Follow up with "&amp;B69&amp;": "&amp;D69)</f>
        <v/>
      </c>
    </row>
    <row r="70" ht="20" customHeight="1">
      <c r="B70" s="72" t="n"/>
      <c r="C70" s="108" t="n"/>
      <c r="D70" s="112" t="n"/>
      <c r="E70" s="113" t="n"/>
      <c r="F70" s="113" t="n"/>
      <c r="G70" s="113" t="n"/>
      <c r="H70" s="96" t="n"/>
      <c r="I70" s="74" t="n"/>
      <c r="J70" s="108" t="n"/>
      <c r="K70" s="74" t="n"/>
      <c r="W70" s="111">
        <f>IF(AND(B70&lt;&gt;"",I70="Yes",K70&lt;&gt;"Yes",J70&lt;&gt;""),J70,"")</f>
        <v/>
      </c>
      <c r="X70" s="79">
        <f>IF(W70="","",IF(W70&lt;AsOf,1,IF(W70&lt;=AsOf+AlertDays,2,IF(W70&lt;=AsOf+2*AlertDays,3,""))))</f>
        <v/>
      </c>
      <c r="Y70" s="79">
        <f>IF(X70="","","Follow up with "&amp;B70&amp;": "&amp;D70)</f>
        <v/>
      </c>
    </row>
    <row r="71" ht="20" customHeight="1">
      <c r="B71" s="72" t="n"/>
      <c r="C71" s="108" t="n"/>
      <c r="D71" s="112" t="n"/>
      <c r="E71" s="113" t="n"/>
      <c r="F71" s="113" t="n"/>
      <c r="G71" s="113" t="n"/>
      <c r="H71" s="96" t="n"/>
      <c r="I71" s="74" t="n"/>
      <c r="J71" s="108" t="n"/>
      <c r="K71" s="74" t="n"/>
      <c r="W71" s="111">
        <f>IF(AND(B71&lt;&gt;"",I71="Yes",K71&lt;&gt;"Yes",J71&lt;&gt;""),J71,"")</f>
        <v/>
      </c>
      <c r="X71" s="79">
        <f>IF(W71="","",IF(W71&lt;AsOf,1,IF(W71&lt;=AsOf+AlertDays,2,IF(W71&lt;=AsOf+2*AlertDays,3,""))))</f>
        <v/>
      </c>
      <c r="Y71" s="79">
        <f>IF(X71="","","Follow up with "&amp;B71&amp;": "&amp;D71)</f>
        <v/>
      </c>
    </row>
    <row r="72" ht="20" customHeight="1">
      <c r="B72" s="72" t="n"/>
      <c r="C72" s="108" t="n"/>
      <c r="D72" s="112" t="n"/>
      <c r="E72" s="113" t="n"/>
      <c r="F72" s="113" t="n"/>
      <c r="G72" s="113" t="n"/>
      <c r="H72" s="96" t="n"/>
      <c r="I72" s="74" t="n"/>
      <c r="J72" s="108" t="n"/>
      <c r="K72" s="74" t="n"/>
      <c r="W72" s="111">
        <f>IF(AND(B72&lt;&gt;"",I72="Yes",K72&lt;&gt;"Yes",J72&lt;&gt;""),J72,"")</f>
        <v/>
      </c>
      <c r="X72" s="79">
        <f>IF(W72="","",IF(W72&lt;AsOf,1,IF(W72&lt;=AsOf+AlertDays,2,IF(W72&lt;=AsOf+2*AlertDays,3,""))))</f>
        <v/>
      </c>
      <c r="Y72" s="79">
        <f>IF(X72="","","Follow up with "&amp;B72&amp;": "&amp;D72)</f>
        <v/>
      </c>
    </row>
    <row r="73" ht="20" customHeight="1">
      <c r="B73" s="72" t="n"/>
      <c r="C73" s="108" t="n"/>
      <c r="D73" s="112" t="n"/>
      <c r="E73" s="113" t="n"/>
      <c r="F73" s="113" t="n"/>
      <c r="G73" s="113" t="n"/>
      <c r="H73" s="96" t="n"/>
      <c r="I73" s="74" t="n"/>
      <c r="J73" s="108" t="n"/>
      <c r="K73" s="74" t="n"/>
      <c r="W73" s="111">
        <f>IF(AND(B73&lt;&gt;"",I73="Yes",K73&lt;&gt;"Yes",J73&lt;&gt;""),J73,"")</f>
        <v/>
      </c>
      <c r="X73" s="79">
        <f>IF(W73="","",IF(W73&lt;AsOf,1,IF(W73&lt;=AsOf+AlertDays,2,IF(W73&lt;=AsOf+2*AlertDays,3,""))))</f>
        <v/>
      </c>
      <c r="Y73" s="79">
        <f>IF(X73="","","Follow up with "&amp;B73&amp;": "&amp;D73)</f>
        <v/>
      </c>
    </row>
    <row r="74" ht="20" customHeight="1">
      <c r="B74" s="72" t="n"/>
      <c r="C74" s="108" t="n"/>
      <c r="D74" s="112" t="n"/>
      <c r="E74" s="113" t="n"/>
      <c r="F74" s="113" t="n"/>
      <c r="G74" s="113" t="n"/>
      <c r="H74" s="96" t="n"/>
      <c r="I74" s="74" t="n"/>
      <c r="J74" s="108" t="n"/>
      <c r="K74" s="74" t="n"/>
      <c r="W74" s="111">
        <f>IF(AND(B74&lt;&gt;"",I74="Yes",K74&lt;&gt;"Yes",J74&lt;&gt;""),J74,"")</f>
        <v/>
      </c>
      <c r="X74" s="79">
        <f>IF(W74="","",IF(W74&lt;AsOf,1,IF(W74&lt;=AsOf+AlertDays,2,IF(W74&lt;=AsOf+2*AlertDays,3,""))))</f>
        <v/>
      </c>
      <c r="Y74" s="79">
        <f>IF(X74="","","Follow up with "&amp;B74&amp;": "&amp;D74)</f>
        <v/>
      </c>
    </row>
    <row r="75" ht="20" customHeight="1">
      <c r="B75" s="72" t="n"/>
      <c r="C75" s="108" t="n"/>
      <c r="D75" s="112" t="n"/>
      <c r="E75" s="113" t="n"/>
      <c r="F75" s="113" t="n"/>
      <c r="G75" s="113" t="n"/>
      <c r="H75" s="96" t="n"/>
      <c r="I75" s="74" t="n"/>
      <c r="J75" s="108" t="n"/>
      <c r="K75" s="74" t="n"/>
      <c r="W75" s="111">
        <f>IF(AND(B75&lt;&gt;"",I75="Yes",K75&lt;&gt;"Yes",J75&lt;&gt;""),J75,"")</f>
        <v/>
      </c>
      <c r="X75" s="79">
        <f>IF(W75="","",IF(W75&lt;AsOf,1,IF(W75&lt;=AsOf+AlertDays,2,IF(W75&lt;=AsOf+2*AlertDays,3,""))))</f>
        <v/>
      </c>
      <c r="Y75" s="79">
        <f>IF(X75="","","Follow up with "&amp;B75&amp;": "&amp;D75)</f>
        <v/>
      </c>
    </row>
    <row r="76" ht="20" customHeight="1">
      <c r="B76" s="72" t="n"/>
      <c r="C76" s="108" t="n"/>
      <c r="D76" s="112" t="n"/>
      <c r="E76" s="113" t="n"/>
      <c r="F76" s="113" t="n"/>
      <c r="G76" s="113" t="n"/>
      <c r="H76" s="96" t="n"/>
      <c r="I76" s="74" t="n"/>
      <c r="J76" s="108" t="n"/>
      <c r="K76" s="74" t="n"/>
      <c r="W76" s="111">
        <f>IF(AND(B76&lt;&gt;"",I76="Yes",K76&lt;&gt;"Yes",J76&lt;&gt;""),J76,"")</f>
        <v/>
      </c>
      <c r="X76" s="79">
        <f>IF(W76="","",IF(W76&lt;AsOf,1,IF(W76&lt;=AsOf+AlertDays,2,IF(W76&lt;=AsOf+2*AlertDays,3,""))))</f>
        <v/>
      </c>
      <c r="Y76" s="79">
        <f>IF(X76="","","Follow up with "&amp;B76&amp;": "&amp;D76)</f>
        <v/>
      </c>
    </row>
    <row r="77" ht="20" customHeight="1">
      <c r="B77" s="72" t="n"/>
      <c r="C77" s="108" t="n"/>
      <c r="D77" s="112" t="n"/>
      <c r="E77" s="113" t="n"/>
      <c r="F77" s="113" t="n"/>
      <c r="G77" s="113" t="n"/>
      <c r="H77" s="96" t="n"/>
      <c r="I77" s="74" t="n"/>
      <c r="J77" s="108" t="n"/>
      <c r="K77" s="74" t="n"/>
      <c r="W77" s="111">
        <f>IF(AND(B77&lt;&gt;"",I77="Yes",K77&lt;&gt;"Yes",J77&lt;&gt;""),J77,"")</f>
        <v/>
      </c>
      <c r="X77" s="79">
        <f>IF(W77="","",IF(W77&lt;AsOf,1,IF(W77&lt;=AsOf+AlertDays,2,IF(W77&lt;=AsOf+2*AlertDays,3,""))))</f>
        <v/>
      </c>
      <c r="Y77" s="79">
        <f>IF(X77="","","Follow up with "&amp;B77&amp;": "&amp;D77)</f>
        <v/>
      </c>
    </row>
    <row r="78" ht="20" customHeight="1">
      <c r="B78" s="72" t="n"/>
      <c r="C78" s="108" t="n"/>
      <c r="D78" s="112" t="n"/>
      <c r="E78" s="113" t="n"/>
      <c r="F78" s="113" t="n"/>
      <c r="G78" s="113" t="n"/>
      <c r="H78" s="96" t="n"/>
      <c r="I78" s="74" t="n"/>
      <c r="J78" s="108" t="n"/>
      <c r="K78" s="74" t="n"/>
      <c r="W78" s="111">
        <f>IF(AND(B78&lt;&gt;"",I78="Yes",K78&lt;&gt;"Yes",J78&lt;&gt;""),J78,"")</f>
        <v/>
      </c>
      <c r="X78" s="79">
        <f>IF(W78="","",IF(W78&lt;AsOf,1,IF(W78&lt;=AsOf+AlertDays,2,IF(W78&lt;=AsOf+2*AlertDays,3,""))))</f>
        <v/>
      </c>
      <c r="Y78" s="79">
        <f>IF(X78="","","Follow up with "&amp;B78&amp;": "&amp;D78)</f>
        <v/>
      </c>
    </row>
    <row r="79" ht="20" customHeight="1">
      <c r="B79" s="72" t="n"/>
      <c r="C79" s="108" t="n"/>
      <c r="D79" s="112" t="n"/>
      <c r="E79" s="113" t="n"/>
      <c r="F79" s="113" t="n"/>
      <c r="G79" s="113" t="n"/>
      <c r="H79" s="96" t="n"/>
      <c r="I79" s="74" t="n"/>
      <c r="J79" s="108" t="n"/>
      <c r="K79" s="74" t="n"/>
      <c r="W79" s="111">
        <f>IF(AND(B79&lt;&gt;"",I79="Yes",K79&lt;&gt;"Yes",J79&lt;&gt;""),J79,"")</f>
        <v/>
      </c>
      <c r="X79" s="79">
        <f>IF(W79="","",IF(W79&lt;AsOf,1,IF(W79&lt;=AsOf+AlertDays,2,IF(W79&lt;=AsOf+2*AlertDays,3,""))))</f>
        <v/>
      </c>
      <c r="Y79" s="79">
        <f>IF(X79="","","Follow up with "&amp;B79&amp;": "&amp;D79)</f>
        <v/>
      </c>
    </row>
    <row r="80" ht="20" customHeight="1">
      <c r="B80" s="72" t="n"/>
      <c r="C80" s="108" t="n"/>
      <c r="D80" s="112" t="n"/>
      <c r="E80" s="113" t="n"/>
      <c r="F80" s="113" t="n"/>
      <c r="G80" s="113" t="n"/>
      <c r="H80" s="96" t="n"/>
      <c r="I80" s="74" t="n"/>
      <c r="J80" s="108" t="n"/>
      <c r="K80" s="74" t="n"/>
      <c r="W80" s="111">
        <f>IF(AND(B80&lt;&gt;"",I80="Yes",K80&lt;&gt;"Yes",J80&lt;&gt;""),J80,"")</f>
        <v/>
      </c>
      <c r="X80" s="79">
        <f>IF(W80="","",IF(W80&lt;AsOf,1,IF(W80&lt;=AsOf+AlertDays,2,IF(W80&lt;=AsOf+2*AlertDays,3,""))))</f>
        <v/>
      </c>
      <c r="Y80" s="79">
        <f>IF(X80="","","Follow up with "&amp;B80&amp;": "&amp;D80)</f>
        <v/>
      </c>
    </row>
    <row r="81" ht="20" customHeight="1">
      <c r="B81" s="72" t="n"/>
      <c r="C81" s="108" t="n"/>
      <c r="D81" s="112" t="n"/>
      <c r="E81" s="113" t="n"/>
      <c r="F81" s="113" t="n"/>
      <c r="G81" s="113" t="n"/>
      <c r="H81" s="96" t="n"/>
      <c r="I81" s="74" t="n"/>
      <c r="J81" s="108" t="n"/>
      <c r="K81" s="74" t="n"/>
      <c r="W81" s="111">
        <f>IF(AND(B81&lt;&gt;"",I81="Yes",K81&lt;&gt;"Yes",J81&lt;&gt;""),J81,"")</f>
        <v/>
      </c>
      <c r="X81" s="79">
        <f>IF(W81="","",IF(W81&lt;AsOf,1,IF(W81&lt;=AsOf+AlertDays,2,IF(W81&lt;=AsOf+2*AlertDays,3,""))))</f>
        <v/>
      </c>
      <c r="Y81" s="79">
        <f>IF(X81="","","Follow up with "&amp;B81&amp;": "&amp;D81)</f>
        <v/>
      </c>
    </row>
    <row r="82" ht="20" customHeight="1">
      <c r="B82" s="72" t="n"/>
      <c r="C82" s="108" t="n"/>
      <c r="D82" s="112" t="n"/>
      <c r="E82" s="113" t="n"/>
      <c r="F82" s="113" t="n"/>
      <c r="G82" s="113" t="n"/>
      <c r="H82" s="96" t="n"/>
      <c r="I82" s="74" t="n"/>
      <c r="J82" s="108" t="n"/>
      <c r="K82" s="74" t="n"/>
      <c r="W82" s="111">
        <f>IF(AND(B82&lt;&gt;"",I82="Yes",K82&lt;&gt;"Yes",J82&lt;&gt;""),J82,"")</f>
        <v/>
      </c>
      <c r="X82" s="79">
        <f>IF(W82="","",IF(W82&lt;AsOf,1,IF(W82&lt;=AsOf+AlertDays,2,IF(W82&lt;=AsOf+2*AlertDays,3,""))))</f>
        <v/>
      </c>
      <c r="Y82" s="79">
        <f>IF(X82="","","Follow up with "&amp;B82&amp;": "&amp;D82)</f>
        <v/>
      </c>
    </row>
    <row r="83" ht="20" customHeight="1">
      <c r="B83" s="72" t="n"/>
      <c r="C83" s="108" t="n"/>
      <c r="D83" s="112" t="n"/>
      <c r="E83" s="113" t="n"/>
      <c r="F83" s="113" t="n"/>
      <c r="G83" s="113" t="n"/>
      <c r="H83" s="96" t="n"/>
      <c r="I83" s="74" t="n"/>
      <c r="J83" s="108" t="n"/>
      <c r="K83" s="74" t="n"/>
      <c r="W83" s="111">
        <f>IF(AND(B83&lt;&gt;"",I83="Yes",K83&lt;&gt;"Yes",J83&lt;&gt;""),J83,"")</f>
        <v/>
      </c>
      <c r="X83" s="79">
        <f>IF(W83="","",IF(W83&lt;AsOf,1,IF(W83&lt;=AsOf+AlertDays,2,IF(W83&lt;=AsOf+2*AlertDays,3,""))))</f>
        <v/>
      </c>
      <c r="Y83" s="79">
        <f>IF(X83="","","Follow up with "&amp;B83&amp;": "&amp;D83)</f>
        <v/>
      </c>
    </row>
    <row r="84" ht="20" customHeight="1">
      <c r="B84" s="72" t="n"/>
      <c r="C84" s="108" t="n"/>
      <c r="D84" s="112" t="n"/>
      <c r="E84" s="113" t="n"/>
      <c r="F84" s="113" t="n"/>
      <c r="G84" s="113" t="n"/>
      <c r="H84" s="96" t="n"/>
      <c r="I84" s="74" t="n"/>
      <c r="J84" s="108" t="n"/>
      <c r="K84" s="74" t="n"/>
      <c r="W84" s="111">
        <f>IF(AND(B84&lt;&gt;"",I84="Yes",K84&lt;&gt;"Yes",J84&lt;&gt;""),J84,"")</f>
        <v/>
      </c>
      <c r="X84" s="79">
        <f>IF(W84="","",IF(W84&lt;AsOf,1,IF(W84&lt;=AsOf+AlertDays,2,IF(W84&lt;=AsOf+2*AlertDays,3,""))))</f>
        <v/>
      </c>
      <c r="Y84" s="79">
        <f>IF(X84="","","Follow up with "&amp;B84&amp;": "&amp;D84)</f>
        <v/>
      </c>
    </row>
    <row r="85" ht="20" customHeight="1">
      <c r="B85" s="72" t="n"/>
      <c r="C85" s="108" t="n"/>
      <c r="D85" s="112" t="n"/>
      <c r="E85" s="113" t="n"/>
      <c r="F85" s="113" t="n"/>
      <c r="G85" s="113" t="n"/>
      <c r="H85" s="96" t="n"/>
      <c r="I85" s="74" t="n"/>
      <c r="J85" s="108" t="n"/>
      <c r="K85" s="74" t="n"/>
      <c r="W85" s="111">
        <f>IF(AND(B85&lt;&gt;"",I85="Yes",K85&lt;&gt;"Yes",J85&lt;&gt;""),J85,"")</f>
        <v/>
      </c>
      <c r="X85" s="79">
        <f>IF(W85="","",IF(W85&lt;AsOf,1,IF(W85&lt;=AsOf+AlertDays,2,IF(W85&lt;=AsOf+2*AlertDays,3,""))))</f>
        <v/>
      </c>
      <c r="Y85" s="79">
        <f>IF(X85="","","Follow up with "&amp;B85&amp;": "&amp;D85)</f>
        <v/>
      </c>
    </row>
    <row r="86" ht="20" customHeight="1">
      <c r="B86" s="72" t="n"/>
      <c r="C86" s="108" t="n"/>
      <c r="D86" s="112" t="n"/>
      <c r="E86" s="113" t="n"/>
      <c r="F86" s="113" t="n"/>
      <c r="G86" s="113" t="n"/>
      <c r="H86" s="96" t="n"/>
      <c r="I86" s="74" t="n"/>
      <c r="J86" s="108" t="n"/>
      <c r="K86" s="74" t="n"/>
      <c r="W86" s="111">
        <f>IF(AND(B86&lt;&gt;"",I86="Yes",K86&lt;&gt;"Yes",J86&lt;&gt;""),J86,"")</f>
        <v/>
      </c>
      <c r="X86" s="79">
        <f>IF(W86="","",IF(W86&lt;AsOf,1,IF(W86&lt;=AsOf+AlertDays,2,IF(W86&lt;=AsOf+2*AlertDays,3,""))))</f>
        <v/>
      </c>
      <c r="Y86" s="79">
        <f>IF(X86="","","Follow up with "&amp;B86&amp;": "&amp;D86)</f>
        <v/>
      </c>
    </row>
    <row r="87" ht="20" customHeight="1">
      <c r="B87" s="72" t="n"/>
      <c r="C87" s="108" t="n"/>
      <c r="D87" s="112" t="n"/>
      <c r="E87" s="113" t="n"/>
      <c r="F87" s="113" t="n"/>
      <c r="G87" s="113" t="n"/>
      <c r="H87" s="96" t="n"/>
      <c r="I87" s="74" t="n"/>
      <c r="J87" s="108" t="n"/>
      <c r="K87" s="74" t="n"/>
      <c r="W87" s="111">
        <f>IF(AND(B87&lt;&gt;"",I87="Yes",K87&lt;&gt;"Yes",J87&lt;&gt;""),J87,"")</f>
        <v/>
      </c>
      <c r="X87" s="79">
        <f>IF(W87="","",IF(W87&lt;AsOf,1,IF(W87&lt;=AsOf+AlertDays,2,IF(W87&lt;=AsOf+2*AlertDays,3,""))))</f>
        <v/>
      </c>
      <c r="Y87" s="79">
        <f>IF(X87="","","Follow up with "&amp;B87&amp;": "&amp;D87)</f>
        <v/>
      </c>
    </row>
    <row r="88" ht="20" customHeight="1">
      <c r="B88" s="72" t="n"/>
      <c r="C88" s="108" t="n"/>
      <c r="D88" s="112" t="n"/>
      <c r="E88" s="113" t="n"/>
      <c r="F88" s="113" t="n"/>
      <c r="G88" s="113" t="n"/>
      <c r="H88" s="96" t="n"/>
      <c r="I88" s="74" t="n"/>
      <c r="J88" s="108" t="n"/>
      <c r="K88" s="74" t="n"/>
      <c r="W88" s="111">
        <f>IF(AND(B88&lt;&gt;"",I88="Yes",K88&lt;&gt;"Yes",J88&lt;&gt;""),J88,"")</f>
        <v/>
      </c>
      <c r="X88" s="79">
        <f>IF(W88="","",IF(W88&lt;AsOf,1,IF(W88&lt;=AsOf+AlertDays,2,IF(W88&lt;=AsOf+2*AlertDays,3,""))))</f>
        <v/>
      </c>
      <c r="Y88" s="79">
        <f>IF(X88="","","Follow up with "&amp;B88&amp;": "&amp;D88)</f>
        <v/>
      </c>
    </row>
    <row r="89" ht="20" customHeight="1">
      <c r="B89" s="72" t="n"/>
      <c r="C89" s="108" t="n"/>
      <c r="D89" s="112" t="n"/>
      <c r="E89" s="113" t="n"/>
      <c r="F89" s="113" t="n"/>
      <c r="G89" s="113" t="n"/>
      <c r="H89" s="96" t="n"/>
      <c r="I89" s="74" t="n"/>
      <c r="J89" s="108" t="n"/>
      <c r="K89" s="74" t="n"/>
      <c r="W89" s="111">
        <f>IF(AND(B89&lt;&gt;"",I89="Yes",K89&lt;&gt;"Yes",J89&lt;&gt;""),J89,"")</f>
        <v/>
      </c>
      <c r="X89" s="79">
        <f>IF(W89="","",IF(W89&lt;AsOf,1,IF(W89&lt;=AsOf+AlertDays,2,IF(W89&lt;=AsOf+2*AlertDays,3,""))))</f>
        <v/>
      </c>
      <c r="Y89" s="79">
        <f>IF(X89="","","Follow up with "&amp;B89&amp;": "&amp;D89)</f>
        <v/>
      </c>
    </row>
    <row r="90" ht="20" customHeight="1">
      <c r="B90" s="72" t="n"/>
      <c r="C90" s="108" t="n"/>
      <c r="D90" s="112" t="n"/>
      <c r="E90" s="113" t="n"/>
      <c r="F90" s="113" t="n"/>
      <c r="G90" s="113" t="n"/>
      <c r="H90" s="96" t="n"/>
      <c r="I90" s="74" t="n"/>
      <c r="J90" s="108" t="n"/>
      <c r="K90" s="74" t="n"/>
      <c r="W90" s="111">
        <f>IF(AND(B90&lt;&gt;"",I90="Yes",K90&lt;&gt;"Yes",J90&lt;&gt;""),J90,"")</f>
        <v/>
      </c>
      <c r="X90" s="79">
        <f>IF(W90="","",IF(W90&lt;AsOf,1,IF(W90&lt;=AsOf+AlertDays,2,IF(W90&lt;=AsOf+2*AlertDays,3,""))))</f>
        <v/>
      </c>
      <c r="Y90" s="79">
        <f>IF(X90="","","Follow up with "&amp;B90&amp;": "&amp;D90)</f>
        <v/>
      </c>
    </row>
    <row r="91" ht="20" customHeight="1">
      <c r="B91" s="72" t="n"/>
      <c r="C91" s="108" t="n"/>
      <c r="D91" s="112" t="n"/>
      <c r="E91" s="113" t="n"/>
      <c r="F91" s="113" t="n"/>
      <c r="G91" s="113" t="n"/>
      <c r="H91" s="96" t="n"/>
      <c r="I91" s="74" t="n"/>
      <c r="J91" s="108" t="n"/>
      <c r="K91" s="74" t="n"/>
      <c r="W91" s="111">
        <f>IF(AND(B91&lt;&gt;"",I91="Yes",K91&lt;&gt;"Yes",J91&lt;&gt;""),J91,"")</f>
        <v/>
      </c>
      <c r="X91" s="79">
        <f>IF(W91="","",IF(W91&lt;AsOf,1,IF(W91&lt;=AsOf+AlertDays,2,IF(W91&lt;=AsOf+2*AlertDays,3,""))))</f>
        <v/>
      </c>
      <c r="Y91" s="79">
        <f>IF(X91="","","Follow up with "&amp;B91&amp;": "&amp;D91)</f>
        <v/>
      </c>
    </row>
    <row r="92" ht="20" customHeight="1">
      <c r="B92" s="72" t="n"/>
      <c r="C92" s="108" t="n"/>
      <c r="D92" s="112" t="n"/>
      <c r="E92" s="113" t="n"/>
      <c r="F92" s="113" t="n"/>
      <c r="G92" s="113" t="n"/>
      <c r="H92" s="96" t="n"/>
      <c r="I92" s="74" t="n"/>
      <c r="J92" s="108" t="n"/>
      <c r="K92" s="74" t="n"/>
      <c r="W92" s="111">
        <f>IF(AND(B92&lt;&gt;"",I92="Yes",K92&lt;&gt;"Yes",J92&lt;&gt;""),J92,"")</f>
        <v/>
      </c>
      <c r="X92" s="79">
        <f>IF(W92="","",IF(W92&lt;AsOf,1,IF(W92&lt;=AsOf+AlertDays,2,IF(W92&lt;=AsOf+2*AlertDays,3,""))))</f>
        <v/>
      </c>
      <c r="Y92" s="79">
        <f>IF(X92="","","Follow up with "&amp;B92&amp;": "&amp;D92)</f>
        <v/>
      </c>
    </row>
    <row r="93" ht="20" customHeight="1">
      <c r="B93" s="72" t="n"/>
      <c r="C93" s="108" t="n"/>
      <c r="D93" s="112" t="n"/>
      <c r="E93" s="113" t="n"/>
      <c r="F93" s="113" t="n"/>
      <c r="G93" s="113" t="n"/>
      <c r="H93" s="96" t="n"/>
      <c r="I93" s="74" t="n"/>
      <c r="J93" s="108" t="n"/>
      <c r="K93" s="74" t="n"/>
      <c r="W93" s="111">
        <f>IF(AND(B93&lt;&gt;"",I93="Yes",K93&lt;&gt;"Yes",J93&lt;&gt;""),J93,"")</f>
        <v/>
      </c>
      <c r="X93" s="79">
        <f>IF(W93="","",IF(W93&lt;AsOf,1,IF(W93&lt;=AsOf+AlertDays,2,IF(W93&lt;=AsOf+2*AlertDays,3,""))))</f>
        <v/>
      </c>
      <c r="Y93" s="79">
        <f>IF(X93="","","Follow up with "&amp;B93&amp;": "&amp;D93)</f>
        <v/>
      </c>
    </row>
    <row r="94" ht="20" customHeight="1">
      <c r="B94" s="72" t="n"/>
      <c r="C94" s="108" t="n"/>
      <c r="D94" s="112" t="n"/>
      <c r="E94" s="113" t="n"/>
      <c r="F94" s="113" t="n"/>
      <c r="G94" s="113" t="n"/>
      <c r="H94" s="96" t="n"/>
      <c r="I94" s="74" t="n"/>
      <c r="J94" s="108" t="n"/>
      <c r="K94" s="74" t="n"/>
      <c r="W94" s="111">
        <f>IF(AND(B94&lt;&gt;"",I94="Yes",K94&lt;&gt;"Yes",J94&lt;&gt;""),J94,"")</f>
        <v/>
      </c>
      <c r="X94" s="79">
        <f>IF(W94="","",IF(W94&lt;AsOf,1,IF(W94&lt;=AsOf+AlertDays,2,IF(W94&lt;=AsOf+2*AlertDays,3,""))))</f>
        <v/>
      </c>
      <c r="Y94" s="79">
        <f>IF(X94="","","Follow up with "&amp;B94&amp;": "&amp;D94)</f>
        <v/>
      </c>
    </row>
    <row r="95" ht="20" customHeight="1">
      <c r="B95" s="72" t="n"/>
      <c r="C95" s="108" t="n"/>
      <c r="D95" s="112" t="n"/>
      <c r="E95" s="113" t="n"/>
      <c r="F95" s="113" t="n"/>
      <c r="G95" s="113" t="n"/>
      <c r="H95" s="96" t="n"/>
      <c r="I95" s="74" t="n"/>
      <c r="J95" s="108" t="n"/>
      <c r="K95" s="74" t="n"/>
      <c r="W95" s="111">
        <f>IF(AND(B95&lt;&gt;"",I95="Yes",K95&lt;&gt;"Yes",J95&lt;&gt;""),J95,"")</f>
        <v/>
      </c>
      <c r="X95" s="79">
        <f>IF(W95="","",IF(W95&lt;AsOf,1,IF(W95&lt;=AsOf+AlertDays,2,IF(W95&lt;=AsOf+2*AlertDays,3,""))))</f>
        <v/>
      </c>
      <c r="Y95" s="79">
        <f>IF(X95="","","Follow up with "&amp;B95&amp;": "&amp;D95)</f>
        <v/>
      </c>
    </row>
    <row r="96" ht="20" customHeight="1">
      <c r="B96" s="72" t="n"/>
      <c r="C96" s="108" t="n"/>
      <c r="D96" s="112" t="n"/>
      <c r="E96" s="113" t="n"/>
      <c r="F96" s="113" t="n"/>
      <c r="G96" s="113" t="n"/>
      <c r="H96" s="96" t="n"/>
      <c r="I96" s="74" t="n"/>
      <c r="J96" s="108" t="n"/>
      <c r="K96" s="74" t="n"/>
      <c r="W96" s="111">
        <f>IF(AND(B96&lt;&gt;"",I96="Yes",K96&lt;&gt;"Yes",J96&lt;&gt;""),J96,"")</f>
        <v/>
      </c>
      <c r="X96" s="79">
        <f>IF(W96="","",IF(W96&lt;AsOf,1,IF(W96&lt;=AsOf+AlertDays,2,IF(W96&lt;=AsOf+2*AlertDays,3,""))))</f>
        <v/>
      </c>
      <c r="Y96" s="79">
        <f>IF(X96="","","Follow up with "&amp;B96&amp;": "&amp;D96)</f>
        <v/>
      </c>
    </row>
    <row r="97" ht="20" customHeight="1">
      <c r="B97" s="72" t="n"/>
      <c r="C97" s="108" t="n"/>
      <c r="D97" s="112" t="n"/>
      <c r="E97" s="113" t="n"/>
      <c r="F97" s="113" t="n"/>
      <c r="G97" s="113" t="n"/>
      <c r="H97" s="96" t="n"/>
      <c r="I97" s="74" t="n"/>
      <c r="J97" s="108" t="n"/>
      <c r="K97" s="74" t="n"/>
      <c r="W97" s="111">
        <f>IF(AND(B97&lt;&gt;"",I97="Yes",K97&lt;&gt;"Yes",J97&lt;&gt;""),J97,"")</f>
        <v/>
      </c>
      <c r="X97" s="79">
        <f>IF(W97="","",IF(W97&lt;AsOf,1,IF(W97&lt;=AsOf+AlertDays,2,IF(W97&lt;=AsOf+2*AlertDays,3,""))))</f>
        <v/>
      </c>
      <c r="Y97" s="79">
        <f>IF(X97="","","Follow up with "&amp;B97&amp;": "&amp;D97)</f>
        <v/>
      </c>
    </row>
    <row r="98" ht="20" customHeight="1">
      <c r="B98" s="72" t="n"/>
      <c r="C98" s="108" t="n"/>
      <c r="D98" s="112" t="n"/>
      <c r="E98" s="113" t="n"/>
      <c r="F98" s="113" t="n"/>
      <c r="G98" s="113" t="n"/>
      <c r="H98" s="96" t="n"/>
      <c r="I98" s="74" t="n"/>
      <c r="J98" s="108" t="n"/>
      <c r="K98" s="74" t="n"/>
      <c r="W98" s="111">
        <f>IF(AND(B98&lt;&gt;"",I98="Yes",K98&lt;&gt;"Yes",J98&lt;&gt;""),J98,"")</f>
        <v/>
      </c>
      <c r="X98" s="79">
        <f>IF(W98="","",IF(W98&lt;AsOf,1,IF(W98&lt;=AsOf+AlertDays,2,IF(W98&lt;=AsOf+2*AlertDays,3,""))))</f>
        <v/>
      </c>
      <c r="Y98" s="79">
        <f>IF(X98="","","Follow up with "&amp;B98&amp;": "&amp;D98)</f>
        <v/>
      </c>
    </row>
    <row r="99" ht="20" customHeight="1">
      <c r="B99" s="72" t="n"/>
      <c r="C99" s="108" t="n"/>
      <c r="D99" s="112" t="n"/>
      <c r="E99" s="113" t="n"/>
      <c r="F99" s="113" t="n"/>
      <c r="G99" s="113" t="n"/>
      <c r="H99" s="96" t="n"/>
      <c r="I99" s="74" t="n"/>
      <c r="J99" s="108" t="n"/>
      <c r="K99" s="74" t="n"/>
      <c r="W99" s="111">
        <f>IF(AND(B99&lt;&gt;"",I99="Yes",K99&lt;&gt;"Yes",J99&lt;&gt;""),J99,"")</f>
        <v/>
      </c>
      <c r="X99" s="79">
        <f>IF(W99="","",IF(W99&lt;AsOf,1,IF(W99&lt;=AsOf+AlertDays,2,IF(W99&lt;=AsOf+2*AlertDays,3,""))))</f>
        <v/>
      </c>
      <c r="Y99" s="79">
        <f>IF(X99="","","Follow up with "&amp;B99&amp;": "&amp;D99)</f>
        <v/>
      </c>
    </row>
    <row r="100" ht="20" customHeight="1">
      <c r="B100" s="72" t="n"/>
      <c r="C100" s="108" t="n"/>
      <c r="D100" s="112" t="n"/>
      <c r="E100" s="113" t="n"/>
      <c r="F100" s="113" t="n"/>
      <c r="G100" s="113" t="n"/>
      <c r="H100" s="96" t="n"/>
      <c r="I100" s="74" t="n"/>
      <c r="J100" s="108" t="n"/>
      <c r="K100" s="74" t="n"/>
      <c r="W100" s="111">
        <f>IF(AND(B100&lt;&gt;"",I100="Yes",K100&lt;&gt;"Yes",J100&lt;&gt;""),J100,"")</f>
        <v/>
      </c>
      <c r="X100" s="79">
        <f>IF(W100="","",IF(W100&lt;AsOf,1,IF(W100&lt;=AsOf+AlertDays,2,IF(W100&lt;=AsOf+2*AlertDays,3,""))))</f>
        <v/>
      </c>
      <c r="Y100" s="79">
        <f>IF(X100="","","Follow up with "&amp;B100&amp;": "&amp;D100)</f>
        <v/>
      </c>
    </row>
    <row r="101" ht="20" customHeight="1">
      <c r="B101" s="72" t="n"/>
      <c r="C101" s="108" t="n"/>
      <c r="D101" s="112" t="n"/>
      <c r="E101" s="113" t="n"/>
      <c r="F101" s="113" t="n"/>
      <c r="G101" s="113" t="n"/>
      <c r="H101" s="96" t="n"/>
      <c r="I101" s="74" t="n"/>
      <c r="J101" s="108" t="n"/>
      <c r="K101" s="74" t="n"/>
      <c r="W101" s="111">
        <f>IF(AND(B101&lt;&gt;"",I101="Yes",K101&lt;&gt;"Yes",J101&lt;&gt;""),J101,"")</f>
        <v/>
      </c>
      <c r="X101" s="79">
        <f>IF(W101="","",IF(W101&lt;AsOf,1,IF(W101&lt;=AsOf+AlertDays,2,IF(W101&lt;=AsOf+2*AlertDays,3,""))))</f>
        <v/>
      </c>
      <c r="Y101" s="79">
        <f>IF(X101="","","Follow up with "&amp;B101&amp;": "&amp;D101)</f>
        <v/>
      </c>
    </row>
    <row r="102" ht="20" customHeight="1">
      <c r="B102" s="72" t="n"/>
      <c r="C102" s="108" t="n"/>
      <c r="D102" s="112" t="n"/>
      <c r="E102" s="113" t="n"/>
      <c r="F102" s="113" t="n"/>
      <c r="G102" s="113" t="n"/>
      <c r="H102" s="96" t="n"/>
      <c r="I102" s="74" t="n"/>
      <c r="J102" s="108" t="n"/>
      <c r="K102" s="74" t="n"/>
      <c r="W102" s="111">
        <f>IF(AND(B102&lt;&gt;"",I102="Yes",K102&lt;&gt;"Yes",J102&lt;&gt;""),J102,"")</f>
        <v/>
      </c>
      <c r="X102" s="79">
        <f>IF(W102="","",IF(W102&lt;AsOf,1,IF(W102&lt;=AsOf+AlertDays,2,IF(W102&lt;=AsOf+2*AlertDays,3,""))))</f>
        <v/>
      </c>
      <c r="Y102" s="79">
        <f>IF(X102="","","Follow up with "&amp;B102&amp;": "&amp;D102)</f>
        <v/>
      </c>
    </row>
    <row r="103" ht="20" customHeight="1">
      <c r="B103" s="72" t="n"/>
      <c r="C103" s="108" t="n"/>
      <c r="D103" s="112" t="n"/>
      <c r="E103" s="113" t="n"/>
      <c r="F103" s="113" t="n"/>
      <c r="G103" s="113" t="n"/>
      <c r="H103" s="96" t="n"/>
      <c r="I103" s="74" t="n"/>
      <c r="J103" s="108" t="n"/>
      <c r="K103" s="74" t="n"/>
      <c r="W103" s="111">
        <f>IF(AND(B103&lt;&gt;"",I103="Yes",K103&lt;&gt;"Yes",J103&lt;&gt;""),J103,"")</f>
        <v/>
      </c>
      <c r="X103" s="79">
        <f>IF(W103="","",IF(W103&lt;AsOf,1,IF(W103&lt;=AsOf+AlertDays,2,IF(W103&lt;=AsOf+2*AlertDays,3,""))))</f>
        <v/>
      </c>
      <c r="Y103" s="79">
        <f>IF(X103="","","Follow up with "&amp;B103&amp;": "&amp;D103)</f>
        <v/>
      </c>
    </row>
    <row r="104" ht="20" customHeight="1">
      <c r="B104" s="72" t="n"/>
      <c r="C104" s="108" t="n"/>
      <c r="D104" s="112" t="n"/>
      <c r="E104" s="113" t="n"/>
      <c r="F104" s="113" t="n"/>
      <c r="G104" s="113" t="n"/>
      <c r="H104" s="96" t="n"/>
      <c r="I104" s="74" t="n"/>
      <c r="J104" s="108" t="n"/>
      <c r="K104" s="74" t="n"/>
      <c r="W104" s="111">
        <f>IF(AND(B104&lt;&gt;"",I104="Yes",K104&lt;&gt;"Yes",J104&lt;&gt;""),J104,"")</f>
        <v/>
      </c>
      <c r="X104" s="79">
        <f>IF(W104="","",IF(W104&lt;AsOf,1,IF(W104&lt;=AsOf+AlertDays,2,IF(W104&lt;=AsOf+2*AlertDays,3,""))))</f>
        <v/>
      </c>
      <c r="Y104" s="79">
        <f>IF(X104="","","Follow up with "&amp;B104&amp;": "&amp;D104)</f>
        <v/>
      </c>
    </row>
    <row r="105" ht="20" customHeight="1">
      <c r="B105" s="72" t="n"/>
      <c r="C105" s="108" t="n"/>
      <c r="D105" s="112" t="n"/>
      <c r="E105" s="113" t="n"/>
      <c r="F105" s="113" t="n"/>
      <c r="G105" s="113" t="n"/>
      <c r="H105" s="96" t="n"/>
      <c r="I105" s="74" t="n"/>
      <c r="J105" s="108" t="n"/>
      <c r="K105" s="74" t="n"/>
      <c r="W105" s="111">
        <f>IF(AND(B105&lt;&gt;"",I105="Yes",K105&lt;&gt;"Yes",J105&lt;&gt;""),J105,"")</f>
        <v/>
      </c>
      <c r="X105" s="79">
        <f>IF(W105="","",IF(W105&lt;AsOf,1,IF(W105&lt;=AsOf+AlertDays,2,IF(W105&lt;=AsOf+2*AlertDays,3,""))))</f>
        <v/>
      </c>
      <c r="Y105" s="79">
        <f>IF(X105="","","Follow up with "&amp;B105&amp;": "&amp;D105)</f>
        <v/>
      </c>
    </row>
    <row r="106" ht="20" customHeight="1">
      <c r="B106" s="72" t="n"/>
      <c r="C106" s="108" t="n"/>
      <c r="D106" s="112" t="n"/>
      <c r="E106" s="113" t="n"/>
      <c r="F106" s="113" t="n"/>
      <c r="G106" s="113" t="n"/>
      <c r="H106" s="96" t="n"/>
      <c r="I106" s="74" t="n"/>
      <c r="J106" s="108" t="n"/>
      <c r="K106" s="74" t="n"/>
      <c r="W106" s="111">
        <f>IF(AND(B106&lt;&gt;"",I106="Yes",K106&lt;&gt;"Yes",J106&lt;&gt;""),J106,"")</f>
        <v/>
      </c>
      <c r="X106" s="79">
        <f>IF(W106="","",IF(W106&lt;AsOf,1,IF(W106&lt;=AsOf+AlertDays,2,IF(W106&lt;=AsOf+2*AlertDays,3,""))))</f>
        <v/>
      </c>
      <c r="Y106" s="79">
        <f>IF(X106="","","Follow up with "&amp;B106&amp;": "&amp;D106)</f>
        <v/>
      </c>
    </row>
    <row r="107" ht="20" customHeight="1">
      <c r="B107" s="72" t="n"/>
      <c r="C107" s="108" t="n"/>
      <c r="D107" s="112" t="n"/>
      <c r="E107" s="113" t="n"/>
      <c r="F107" s="113" t="n"/>
      <c r="G107" s="113" t="n"/>
      <c r="H107" s="96" t="n"/>
      <c r="I107" s="74" t="n"/>
      <c r="J107" s="108" t="n"/>
      <c r="K107" s="74" t="n"/>
      <c r="W107" s="111">
        <f>IF(AND(B107&lt;&gt;"",I107="Yes",K107&lt;&gt;"Yes",J107&lt;&gt;""),J107,"")</f>
        <v/>
      </c>
      <c r="X107" s="79">
        <f>IF(W107="","",IF(W107&lt;AsOf,1,IF(W107&lt;=AsOf+AlertDays,2,IF(W107&lt;=AsOf+2*AlertDays,3,""))))</f>
        <v/>
      </c>
      <c r="Y107" s="79">
        <f>IF(X107="","","Follow up with "&amp;B107&amp;": "&amp;D107)</f>
        <v/>
      </c>
    </row>
    <row r="108" ht="20" customHeight="1">
      <c r="B108" s="72" t="n"/>
      <c r="C108" s="108" t="n"/>
      <c r="D108" s="112" t="n"/>
      <c r="E108" s="113" t="n"/>
      <c r="F108" s="113" t="n"/>
      <c r="G108" s="113" t="n"/>
      <c r="H108" s="96" t="n"/>
      <c r="I108" s="74" t="n"/>
      <c r="J108" s="108" t="n"/>
      <c r="K108" s="74" t="n"/>
      <c r="W108" s="111">
        <f>IF(AND(B108&lt;&gt;"",I108="Yes",K108&lt;&gt;"Yes",J108&lt;&gt;""),J108,"")</f>
        <v/>
      </c>
      <c r="X108" s="79">
        <f>IF(W108="","",IF(W108&lt;AsOf,1,IF(W108&lt;=AsOf+AlertDays,2,IF(W108&lt;=AsOf+2*AlertDays,3,""))))</f>
        <v/>
      </c>
      <c r="Y108" s="79">
        <f>IF(X108="","","Follow up with "&amp;B108&amp;": "&amp;D108)</f>
        <v/>
      </c>
    </row>
    <row r="109" ht="20" customHeight="1">
      <c r="B109" s="72" t="n"/>
      <c r="C109" s="108" t="n"/>
      <c r="D109" s="112" t="n"/>
      <c r="E109" s="113" t="n"/>
      <c r="F109" s="113" t="n"/>
      <c r="G109" s="113" t="n"/>
      <c r="H109" s="96" t="n"/>
      <c r="I109" s="74" t="n"/>
      <c r="J109" s="108" t="n"/>
      <c r="K109" s="74" t="n"/>
      <c r="W109" s="111">
        <f>IF(AND(B109&lt;&gt;"",I109="Yes",K109&lt;&gt;"Yes",J109&lt;&gt;""),J109,"")</f>
        <v/>
      </c>
      <c r="X109" s="79">
        <f>IF(W109="","",IF(W109&lt;AsOf,1,IF(W109&lt;=AsOf+AlertDays,2,IF(W109&lt;=AsOf+2*AlertDays,3,""))))</f>
        <v/>
      </c>
      <c r="Y109" s="79">
        <f>IF(X109="","","Follow up with "&amp;B109&amp;": "&amp;D109)</f>
        <v/>
      </c>
    </row>
    <row r="110" ht="20" customHeight="1">
      <c r="B110" s="72" t="n"/>
      <c r="C110" s="108" t="n"/>
      <c r="D110" s="112" t="n"/>
      <c r="E110" s="113" t="n"/>
      <c r="F110" s="113" t="n"/>
      <c r="G110" s="113" t="n"/>
      <c r="H110" s="96" t="n"/>
      <c r="I110" s="74" t="n"/>
      <c r="J110" s="108" t="n"/>
      <c r="K110" s="74" t="n"/>
      <c r="W110" s="111">
        <f>IF(AND(B110&lt;&gt;"",I110="Yes",K110&lt;&gt;"Yes",J110&lt;&gt;""),J110,"")</f>
        <v/>
      </c>
      <c r="X110" s="79">
        <f>IF(W110="","",IF(W110&lt;AsOf,1,IF(W110&lt;=AsOf+AlertDays,2,IF(W110&lt;=AsOf+2*AlertDays,3,""))))</f>
        <v/>
      </c>
      <c r="Y110" s="79">
        <f>IF(X110="","","Follow up with "&amp;B110&amp;": "&amp;D110)</f>
        <v/>
      </c>
    </row>
    <row r="111" ht="20" customHeight="1">
      <c r="B111" s="72" t="n"/>
      <c r="C111" s="108" t="n"/>
      <c r="D111" s="112" t="n"/>
      <c r="E111" s="113" t="n"/>
      <c r="F111" s="113" t="n"/>
      <c r="G111" s="113" t="n"/>
      <c r="H111" s="96" t="n"/>
      <c r="I111" s="74" t="n"/>
      <c r="J111" s="108" t="n"/>
      <c r="K111" s="74" t="n"/>
      <c r="W111" s="111">
        <f>IF(AND(B111&lt;&gt;"",I111="Yes",K111&lt;&gt;"Yes",J111&lt;&gt;""),J111,"")</f>
        <v/>
      </c>
      <c r="X111" s="79">
        <f>IF(W111="","",IF(W111&lt;AsOf,1,IF(W111&lt;=AsOf+AlertDays,2,IF(W111&lt;=AsOf+2*AlertDays,3,""))))</f>
        <v/>
      </c>
      <c r="Y111" s="79">
        <f>IF(X111="","","Follow up with "&amp;B111&amp;": "&amp;D111)</f>
        <v/>
      </c>
    </row>
    <row r="112" ht="20" customHeight="1">
      <c r="B112" s="72" t="n"/>
      <c r="C112" s="108" t="n"/>
      <c r="D112" s="112" t="n"/>
      <c r="E112" s="113" t="n"/>
      <c r="F112" s="113" t="n"/>
      <c r="G112" s="113" t="n"/>
      <c r="H112" s="96" t="n"/>
      <c r="I112" s="74" t="n"/>
      <c r="J112" s="108" t="n"/>
      <c r="K112" s="74" t="n"/>
      <c r="W112" s="111">
        <f>IF(AND(B112&lt;&gt;"",I112="Yes",K112&lt;&gt;"Yes",J112&lt;&gt;""),J112,"")</f>
        <v/>
      </c>
      <c r="X112" s="79">
        <f>IF(W112="","",IF(W112&lt;AsOf,1,IF(W112&lt;=AsOf+AlertDays,2,IF(W112&lt;=AsOf+2*AlertDays,3,""))))</f>
        <v/>
      </c>
      <c r="Y112" s="79">
        <f>IF(X112="","","Follow up with "&amp;B112&amp;": "&amp;D112)</f>
        <v/>
      </c>
    </row>
    <row r="113" ht="20" customHeight="1">
      <c r="B113" s="72" t="n"/>
      <c r="C113" s="108" t="n"/>
      <c r="D113" s="112" t="n"/>
      <c r="E113" s="113" t="n"/>
      <c r="F113" s="113" t="n"/>
      <c r="G113" s="113" t="n"/>
      <c r="H113" s="96" t="n"/>
      <c r="I113" s="74" t="n"/>
      <c r="J113" s="108" t="n"/>
      <c r="K113" s="74" t="n"/>
      <c r="W113" s="111">
        <f>IF(AND(B113&lt;&gt;"",I113="Yes",K113&lt;&gt;"Yes",J113&lt;&gt;""),J113,"")</f>
        <v/>
      </c>
      <c r="X113" s="79">
        <f>IF(W113="","",IF(W113&lt;AsOf,1,IF(W113&lt;=AsOf+AlertDays,2,IF(W113&lt;=AsOf+2*AlertDays,3,""))))</f>
        <v/>
      </c>
      <c r="Y113" s="79">
        <f>IF(X113="","","Follow up with "&amp;B113&amp;": "&amp;D113)</f>
        <v/>
      </c>
    </row>
    <row r="114" ht="20" customHeight="1">
      <c r="B114" s="72" t="n"/>
      <c r="C114" s="108" t="n"/>
      <c r="D114" s="112" t="n"/>
      <c r="E114" s="113" t="n"/>
      <c r="F114" s="113" t="n"/>
      <c r="G114" s="113" t="n"/>
      <c r="H114" s="96" t="n"/>
      <c r="I114" s="74" t="n"/>
      <c r="J114" s="108" t="n"/>
      <c r="K114" s="74" t="n"/>
      <c r="W114" s="111">
        <f>IF(AND(B114&lt;&gt;"",I114="Yes",K114&lt;&gt;"Yes",J114&lt;&gt;""),J114,"")</f>
        <v/>
      </c>
      <c r="X114" s="79">
        <f>IF(W114="","",IF(W114&lt;AsOf,1,IF(W114&lt;=AsOf+AlertDays,2,IF(W114&lt;=AsOf+2*AlertDays,3,""))))</f>
        <v/>
      </c>
      <c r="Y114" s="79">
        <f>IF(X114="","","Follow up with "&amp;B114&amp;": "&amp;D114)</f>
        <v/>
      </c>
    </row>
    <row r="115" ht="20" customHeight="1">
      <c r="B115" s="72" t="n"/>
      <c r="C115" s="108" t="n"/>
      <c r="D115" s="112" t="n"/>
      <c r="E115" s="113" t="n"/>
      <c r="F115" s="113" t="n"/>
      <c r="G115" s="113" t="n"/>
      <c r="H115" s="96" t="n"/>
      <c r="I115" s="74" t="n"/>
      <c r="J115" s="108" t="n"/>
      <c r="K115" s="74" t="n"/>
      <c r="W115" s="111">
        <f>IF(AND(B115&lt;&gt;"",I115="Yes",K115&lt;&gt;"Yes",J115&lt;&gt;""),J115,"")</f>
        <v/>
      </c>
      <c r="X115" s="79">
        <f>IF(W115="","",IF(W115&lt;AsOf,1,IF(W115&lt;=AsOf+AlertDays,2,IF(W115&lt;=AsOf+2*AlertDays,3,""))))</f>
        <v/>
      </c>
      <c r="Y115" s="79">
        <f>IF(X115="","","Follow up with "&amp;B115&amp;": "&amp;D115)</f>
        <v/>
      </c>
    </row>
    <row r="116" ht="20" customHeight="1">
      <c r="B116" s="72" t="n"/>
      <c r="C116" s="108" t="n"/>
      <c r="D116" s="112" t="n"/>
      <c r="E116" s="113" t="n"/>
      <c r="F116" s="113" t="n"/>
      <c r="G116" s="113" t="n"/>
      <c r="H116" s="96" t="n"/>
      <c r="I116" s="74" t="n"/>
      <c r="J116" s="108" t="n"/>
      <c r="K116" s="74" t="n"/>
      <c r="W116" s="111">
        <f>IF(AND(B116&lt;&gt;"",I116="Yes",K116&lt;&gt;"Yes",J116&lt;&gt;""),J116,"")</f>
        <v/>
      </c>
      <c r="X116" s="79">
        <f>IF(W116="","",IF(W116&lt;AsOf,1,IF(W116&lt;=AsOf+AlertDays,2,IF(W116&lt;=AsOf+2*AlertDays,3,""))))</f>
        <v/>
      </c>
      <c r="Y116" s="79">
        <f>IF(X116="","","Follow up with "&amp;B116&amp;": "&amp;D116)</f>
        <v/>
      </c>
    </row>
    <row r="117" ht="20" customHeight="1">
      <c r="B117" s="72" t="n"/>
      <c r="C117" s="108" t="n"/>
      <c r="D117" s="112" t="n"/>
      <c r="E117" s="113" t="n"/>
      <c r="F117" s="113" t="n"/>
      <c r="G117" s="113" t="n"/>
      <c r="H117" s="96" t="n"/>
      <c r="I117" s="74" t="n"/>
      <c r="J117" s="108" t="n"/>
      <c r="K117" s="74" t="n"/>
      <c r="W117" s="111">
        <f>IF(AND(B117&lt;&gt;"",I117="Yes",K117&lt;&gt;"Yes",J117&lt;&gt;""),J117,"")</f>
        <v/>
      </c>
      <c r="X117" s="79">
        <f>IF(W117="","",IF(W117&lt;AsOf,1,IF(W117&lt;=AsOf+AlertDays,2,IF(W117&lt;=AsOf+2*AlertDays,3,""))))</f>
        <v/>
      </c>
      <c r="Y117" s="79">
        <f>IF(X117="","","Follow up with "&amp;B117&amp;": "&amp;D117)</f>
        <v/>
      </c>
    </row>
    <row r="118" ht="20" customHeight="1">
      <c r="B118" s="72" t="n"/>
      <c r="C118" s="108" t="n"/>
      <c r="D118" s="112" t="n"/>
      <c r="E118" s="113" t="n"/>
      <c r="F118" s="113" t="n"/>
      <c r="G118" s="113" t="n"/>
      <c r="H118" s="96" t="n"/>
      <c r="I118" s="74" t="n"/>
      <c r="J118" s="108" t="n"/>
      <c r="K118" s="74" t="n"/>
      <c r="W118" s="111">
        <f>IF(AND(B118&lt;&gt;"",I118="Yes",K118&lt;&gt;"Yes",J118&lt;&gt;""),J118,"")</f>
        <v/>
      </c>
      <c r="X118" s="79">
        <f>IF(W118="","",IF(W118&lt;AsOf,1,IF(W118&lt;=AsOf+AlertDays,2,IF(W118&lt;=AsOf+2*AlertDays,3,""))))</f>
        <v/>
      </c>
      <c r="Y118" s="79">
        <f>IF(X118="","","Follow up with "&amp;B118&amp;": "&amp;D118)</f>
        <v/>
      </c>
    </row>
    <row r="119" ht="20" customHeight="1">
      <c r="B119" s="72" t="n"/>
      <c r="C119" s="108" t="n"/>
      <c r="D119" s="112" t="n"/>
      <c r="E119" s="113" t="n"/>
      <c r="F119" s="113" t="n"/>
      <c r="G119" s="113" t="n"/>
      <c r="H119" s="96" t="n"/>
      <c r="I119" s="74" t="n"/>
      <c r="J119" s="108" t="n"/>
      <c r="K119" s="74" t="n"/>
      <c r="W119" s="111">
        <f>IF(AND(B119&lt;&gt;"",I119="Yes",K119&lt;&gt;"Yes",J119&lt;&gt;""),J119,"")</f>
        <v/>
      </c>
      <c r="X119" s="79">
        <f>IF(W119="","",IF(W119&lt;AsOf,1,IF(W119&lt;=AsOf+AlertDays,2,IF(W119&lt;=AsOf+2*AlertDays,3,""))))</f>
        <v/>
      </c>
      <c r="Y119" s="79">
        <f>IF(X119="","","Follow up with "&amp;B119&amp;": "&amp;D119)</f>
        <v/>
      </c>
    </row>
    <row r="120" ht="20" customHeight="1">
      <c r="B120" s="72" t="n"/>
      <c r="C120" s="108" t="n"/>
      <c r="D120" s="112" t="n"/>
      <c r="E120" s="113" t="n"/>
      <c r="F120" s="113" t="n"/>
      <c r="G120" s="113" t="n"/>
      <c r="H120" s="96" t="n"/>
      <c r="I120" s="74" t="n"/>
      <c r="J120" s="108" t="n"/>
      <c r="K120" s="74" t="n"/>
      <c r="W120" s="111">
        <f>IF(AND(B120&lt;&gt;"",I120="Yes",K120&lt;&gt;"Yes",J120&lt;&gt;""),J120,"")</f>
        <v/>
      </c>
      <c r="X120" s="79">
        <f>IF(W120="","",IF(W120&lt;AsOf,1,IF(W120&lt;=AsOf+AlertDays,2,IF(W120&lt;=AsOf+2*AlertDays,3,""))))</f>
        <v/>
      </c>
      <c r="Y120" s="79">
        <f>IF(X120="","","Follow up with "&amp;B120&amp;": "&amp;D120)</f>
        <v/>
      </c>
    </row>
    <row r="121" ht="20" customHeight="1">
      <c r="B121" s="72" t="n"/>
      <c r="C121" s="108" t="n"/>
      <c r="D121" s="112" t="n"/>
      <c r="E121" s="113" t="n"/>
      <c r="F121" s="113" t="n"/>
      <c r="G121" s="113" t="n"/>
      <c r="H121" s="96" t="n"/>
      <c r="I121" s="74" t="n"/>
      <c r="J121" s="108" t="n"/>
      <c r="K121" s="74" t="n"/>
      <c r="W121" s="111">
        <f>IF(AND(B121&lt;&gt;"",I121="Yes",K121&lt;&gt;"Yes",J121&lt;&gt;""),J121,"")</f>
        <v/>
      </c>
      <c r="X121" s="79">
        <f>IF(W121="","",IF(W121&lt;AsOf,1,IF(W121&lt;=AsOf+AlertDays,2,IF(W121&lt;=AsOf+2*AlertDays,3,""))))</f>
        <v/>
      </c>
      <c r="Y121" s="79">
        <f>IF(X121="","","Follow up with "&amp;B121&amp;": "&amp;D121)</f>
        <v/>
      </c>
    </row>
    <row r="122" ht="20" customHeight="1">
      <c r="B122" s="72" t="n"/>
      <c r="C122" s="108" t="n"/>
      <c r="D122" s="112" t="n"/>
      <c r="E122" s="113" t="n"/>
      <c r="F122" s="113" t="n"/>
      <c r="G122" s="113" t="n"/>
      <c r="H122" s="96" t="n"/>
      <c r="I122" s="74" t="n"/>
      <c r="J122" s="108" t="n"/>
      <c r="K122" s="74" t="n"/>
      <c r="W122" s="111">
        <f>IF(AND(B122&lt;&gt;"",I122="Yes",K122&lt;&gt;"Yes",J122&lt;&gt;""),J122,"")</f>
        <v/>
      </c>
      <c r="X122" s="79">
        <f>IF(W122="","",IF(W122&lt;AsOf,1,IF(W122&lt;=AsOf+AlertDays,2,IF(W122&lt;=AsOf+2*AlertDays,3,""))))</f>
        <v/>
      </c>
      <c r="Y122" s="79">
        <f>IF(X122="","","Follow up with "&amp;B122&amp;": "&amp;D122)</f>
        <v/>
      </c>
    </row>
    <row r="123" ht="20" customHeight="1">
      <c r="B123" s="72" t="n"/>
      <c r="C123" s="108" t="n"/>
      <c r="D123" s="112" t="n"/>
      <c r="E123" s="113" t="n"/>
      <c r="F123" s="113" t="n"/>
      <c r="G123" s="113" t="n"/>
      <c r="H123" s="96" t="n"/>
      <c r="I123" s="74" t="n"/>
      <c r="J123" s="108" t="n"/>
      <c r="K123" s="74" t="n"/>
      <c r="W123" s="111">
        <f>IF(AND(B123&lt;&gt;"",I123="Yes",K123&lt;&gt;"Yes",J123&lt;&gt;""),J123,"")</f>
        <v/>
      </c>
      <c r="X123" s="79">
        <f>IF(W123="","",IF(W123&lt;AsOf,1,IF(W123&lt;=AsOf+AlertDays,2,IF(W123&lt;=AsOf+2*AlertDays,3,""))))</f>
        <v/>
      </c>
      <c r="Y123" s="79">
        <f>IF(X123="","","Follow up with "&amp;B123&amp;": "&amp;D123)</f>
        <v/>
      </c>
    </row>
    <row r="124" ht="20" customHeight="1">
      <c r="B124" s="72" t="n"/>
      <c r="C124" s="108" t="n"/>
      <c r="D124" s="112" t="n"/>
      <c r="E124" s="113" t="n"/>
      <c r="F124" s="113" t="n"/>
      <c r="G124" s="113" t="n"/>
      <c r="H124" s="96" t="n"/>
      <c r="I124" s="74" t="n"/>
      <c r="J124" s="108" t="n"/>
      <c r="K124" s="74" t="n"/>
      <c r="W124" s="111">
        <f>IF(AND(B124&lt;&gt;"",I124="Yes",K124&lt;&gt;"Yes",J124&lt;&gt;""),J124,"")</f>
        <v/>
      </c>
      <c r="X124" s="79">
        <f>IF(W124="","",IF(W124&lt;AsOf,1,IF(W124&lt;=AsOf+AlertDays,2,IF(W124&lt;=AsOf+2*AlertDays,3,""))))</f>
        <v/>
      </c>
      <c r="Y124" s="79">
        <f>IF(X124="","","Follow up with "&amp;B124&amp;": "&amp;D124)</f>
        <v/>
      </c>
    </row>
    <row r="125" ht="20" customHeight="1">
      <c r="B125" s="72" t="n"/>
      <c r="C125" s="108" t="n"/>
      <c r="D125" s="112" t="n"/>
      <c r="E125" s="113" t="n"/>
      <c r="F125" s="113" t="n"/>
      <c r="G125" s="113" t="n"/>
      <c r="H125" s="96" t="n"/>
      <c r="I125" s="74" t="n"/>
      <c r="J125" s="108" t="n"/>
      <c r="K125" s="74" t="n"/>
      <c r="W125" s="111">
        <f>IF(AND(B125&lt;&gt;"",I125="Yes",K125&lt;&gt;"Yes",J125&lt;&gt;""),J125,"")</f>
        <v/>
      </c>
      <c r="X125" s="79">
        <f>IF(W125="","",IF(W125&lt;AsOf,1,IF(W125&lt;=AsOf+AlertDays,2,IF(W125&lt;=AsOf+2*AlertDays,3,""))))</f>
        <v/>
      </c>
      <c r="Y125" s="79">
        <f>IF(X125="","","Follow up with "&amp;B125&amp;": "&amp;D125)</f>
        <v/>
      </c>
    </row>
    <row r="126" ht="20" customHeight="1">
      <c r="B126" s="72" t="n"/>
      <c r="C126" s="108" t="n"/>
      <c r="D126" s="112" t="n"/>
      <c r="E126" s="113" t="n"/>
      <c r="F126" s="113" t="n"/>
      <c r="G126" s="113" t="n"/>
      <c r="H126" s="96" t="n"/>
      <c r="I126" s="74" t="n"/>
      <c r="J126" s="108" t="n"/>
      <c r="K126" s="74" t="n"/>
      <c r="W126" s="111">
        <f>IF(AND(B126&lt;&gt;"",I126="Yes",K126&lt;&gt;"Yes",J126&lt;&gt;""),J126,"")</f>
        <v/>
      </c>
      <c r="X126" s="79">
        <f>IF(W126="","",IF(W126&lt;AsOf,1,IF(W126&lt;=AsOf+AlertDays,2,IF(W126&lt;=AsOf+2*AlertDays,3,""))))</f>
        <v/>
      </c>
      <c r="Y126" s="79">
        <f>IF(X126="","","Follow up with "&amp;B126&amp;": "&amp;D126)</f>
        <v/>
      </c>
    </row>
    <row r="127" ht="20" customHeight="1">
      <c r="B127" s="72" t="n"/>
      <c r="C127" s="108" t="n"/>
      <c r="D127" s="112" t="n"/>
      <c r="E127" s="113" t="n"/>
      <c r="F127" s="113" t="n"/>
      <c r="G127" s="113" t="n"/>
      <c r="H127" s="96" t="n"/>
      <c r="I127" s="74" t="n"/>
      <c r="J127" s="108" t="n"/>
      <c r="K127" s="74" t="n"/>
      <c r="W127" s="111">
        <f>IF(AND(B127&lt;&gt;"",I127="Yes",K127&lt;&gt;"Yes",J127&lt;&gt;""),J127,"")</f>
        <v/>
      </c>
      <c r="X127" s="79">
        <f>IF(W127="","",IF(W127&lt;AsOf,1,IF(W127&lt;=AsOf+AlertDays,2,IF(W127&lt;=AsOf+2*AlertDays,3,""))))</f>
        <v/>
      </c>
      <c r="Y127" s="79">
        <f>IF(X127="","","Follow up with "&amp;B127&amp;": "&amp;D127)</f>
        <v/>
      </c>
    </row>
    <row r="128" ht="20" customHeight="1">
      <c r="B128" s="72" t="n"/>
      <c r="C128" s="108" t="n"/>
      <c r="D128" s="112" t="n"/>
      <c r="E128" s="113" t="n"/>
      <c r="F128" s="113" t="n"/>
      <c r="G128" s="113" t="n"/>
      <c r="H128" s="96" t="n"/>
      <c r="I128" s="74" t="n"/>
      <c r="J128" s="108" t="n"/>
      <c r="K128" s="74" t="n"/>
      <c r="W128" s="111">
        <f>IF(AND(B128&lt;&gt;"",I128="Yes",K128&lt;&gt;"Yes",J128&lt;&gt;""),J128,"")</f>
        <v/>
      </c>
      <c r="X128" s="79">
        <f>IF(W128="","",IF(W128&lt;AsOf,1,IF(W128&lt;=AsOf+AlertDays,2,IF(W128&lt;=AsOf+2*AlertDays,3,""))))</f>
        <v/>
      </c>
      <c r="Y128" s="79">
        <f>IF(X128="","","Follow up with "&amp;B128&amp;": "&amp;D128)</f>
        <v/>
      </c>
    </row>
    <row r="129" ht="20" customHeight="1">
      <c r="B129" s="72" t="n"/>
      <c r="C129" s="108" t="n"/>
      <c r="D129" s="112" t="n"/>
      <c r="E129" s="113" t="n"/>
      <c r="F129" s="113" t="n"/>
      <c r="G129" s="113" t="n"/>
      <c r="H129" s="96" t="n"/>
      <c r="I129" s="74" t="n"/>
      <c r="J129" s="108" t="n"/>
      <c r="K129" s="74" t="n"/>
      <c r="W129" s="111">
        <f>IF(AND(B129&lt;&gt;"",I129="Yes",K129&lt;&gt;"Yes",J129&lt;&gt;""),J129,"")</f>
        <v/>
      </c>
      <c r="X129" s="79">
        <f>IF(W129="","",IF(W129&lt;AsOf,1,IF(W129&lt;=AsOf+AlertDays,2,IF(W129&lt;=AsOf+2*AlertDays,3,""))))</f>
        <v/>
      </c>
      <c r="Y129" s="79">
        <f>IF(X129="","","Follow up with "&amp;B129&amp;": "&amp;D129)</f>
        <v/>
      </c>
    </row>
    <row r="130" ht="20" customHeight="1">
      <c r="B130" s="72" t="n"/>
      <c r="C130" s="108" t="n"/>
      <c r="D130" s="112" t="n"/>
      <c r="E130" s="113" t="n"/>
      <c r="F130" s="113" t="n"/>
      <c r="G130" s="113" t="n"/>
      <c r="H130" s="96" t="n"/>
      <c r="I130" s="74" t="n"/>
      <c r="J130" s="108" t="n"/>
      <c r="K130" s="74" t="n"/>
      <c r="W130" s="111">
        <f>IF(AND(B130&lt;&gt;"",I130="Yes",K130&lt;&gt;"Yes",J130&lt;&gt;""),J130,"")</f>
        <v/>
      </c>
      <c r="X130" s="79">
        <f>IF(W130="","",IF(W130&lt;AsOf,1,IF(W130&lt;=AsOf+AlertDays,2,IF(W130&lt;=AsOf+2*AlertDays,3,""))))</f>
        <v/>
      </c>
      <c r="Y130" s="79">
        <f>IF(X130="","","Follow up with "&amp;B130&amp;": "&amp;D130)</f>
        <v/>
      </c>
    </row>
    <row r="131" ht="20" customHeight="1">
      <c r="B131" s="72" t="n"/>
      <c r="C131" s="108" t="n"/>
      <c r="D131" s="112" t="n"/>
      <c r="E131" s="113" t="n"/>
      <c r="F131" s="113" t="n"/>
      <c r="G131" s="113" t="n"/>
      <c r="H131" s="96" t="n"/>
      <c r="I131" s="74" t="n"/>
      <c r="J131" s="108" t="n"/>
      <c r="K131" s="74" t="n"/>
      <c r="W131" s="111">
        <f>IF(AND(B131&lt;&gt;"",I131="Yes",K131&lt;&gt;"Yes",J131&lt;&gt;""),J131,"")</f>
        <v/>
      </c>
      <c r="X131" s="79">
        <f>IF(W131="","",IF(W131&lt;AsOf,1,IF(W131&lt;=AsOf+AlertDays,2,IF(W131&lt;=AsOf+2*AlertDays,3,""))))</f>
        <v/>
      </c>
      <c r="Y131" s="79">
        <f>IF(X131="","","Follow up with "&amp;B131&amp;": "&amp;D131)</f>
        <v/>
      </c>
    </row>
    <row r="132" ht="20" customHeight="1">
      <c r="B132" s="72" t="n"/>
      <c r="C132" s="108" t="n"/>
      <c r="D132" s="112" t="n"/>
      <c r="E132" s="113" t="n"/>
      <c r="F132" s="113" t="n"/>
      <c r="G132" s="113" t="n"/>
      <c r="H132" s="96" t="n"/>
      <c r="I132" s="74" t="n"/>
      <c r="J132" s="108" t="n"/>
      <c r="K132" s="74" t="n"/>
      <c r="W132" s="111">
        <f>IF(AND(B132&lt;&gt;"",I132="Yes",K132&lt;&gt;"Yes",J132&lt;&gt;""),J132,"")</f>
        <v/>
      </c>
      <c r="X132" s="79">
        <f>IF(W132="","",IF(W132&lt;AsOf,1,IF(W132&lt;=AsOf+AlertDays,2,IF(W132&lt;=AsOf+2*AlertDays,3,""))))</f>
        <v/>
      </c>
      <c r="Y132" s="79">
        <f>IF(X132="","","Follow up with "&amp;B132&amp;": "&amp;D132)</f>
        <v/>
      </c>
    </row>
    <row r="133" ht="20" customHeight="1">
      <c r="B133" s="72" t="n"/>
      <c r="C133" s="108" t="n"/>
      <c r="D133" s="112" t="n"/>
      <c r="E133" s="113" t="n"/>
      <c r="F133" s="113" t="n"/>
      <c r="G133" s="113" t="n"/>
      <c r="H133" s="96" t="n"/>
      <c r="I133" s="74" t="n"/>
      <c r="J133" s="108" t="n"/>
      <c r="K133" s="74" t="n"/>
      <c r="W133" s="111">
        <f>IF(AND(B133&lt;&gt;"",I133="Yes",K133&lt;&gt;"Yes",J133&lt;&gt;""),J133,"")</f>
        <v/>
      </c>
      <c r="X133" s="79">
        <f>IF(W133="","",IF(W133&lt;AsOf,1,IF(W133&lt;=AsOf+AlertDays,2,IF(W133&lt;=AsOf+2*AlertDays,3,""))))</f>
        <v/>
      </c>
      <c r="Y133" s="79">
        <f>IF(X133="","","Follow up with "&amp;B133&amp;": "&amp;D133)</f>
        <v/>
      </c>
    </row>
    <row r="134" ht="20" customHeight="1">
      <c r="B134" s="72" t="n"/>
      <c r="C134" s="108" t="n"/>
      <c r="D134" s="112" t="n"/>
      <c r="E134" s="113" t="n"/>
      <c r="F134" s="113" t="n"/>
      <c r="G134" s="113" t="n"/>
      <c r="H134" s="96" t="n"/>
      <c r="I134" s="74" t="n"/>
      <c r="J134" s="108" t="n"/>
      <c r="K134" s="74" t="n"/>
      <c r="W134" s="111">
        <f>IF(AND(B134&lt;&gt;"",I134="Yes",K134&lt;&gt;"Yes",J134&lt;&gt;""),J134,"")</f>
        <v/>
      </c>
      <c r="X134" s="79">
        <f>IF(W134="","",IF(W134&lt;AsOf,1,IF(W134&lt;=AsOf+AlertDays,2,IF(W134&lt;=AsOf+2*AlertDays,3,""))))</f>
        <v/>
      </c>
      <c r="Y134" s="79">
        <f>IF(X134="","","Follow up with "&amp;B134&amp;": "&amp;D134)</f>
        <v/>
      </c>
    </row>
    <row r="135" ht="20" customHeight="1">
      <c r="B135" s="72" t="n"/>
      <c r="C135" s="108" t="n"/>
      <c r="D135" s="112" t="n"/>
      <c r="E135" s="113" t="n"/>
      <c r="F135" s="113" t="n"/>
      <c r="G135" s="113" t="n"/>
      <c r="H135" s="96" t="n"/>
      <c r="I135" s="74" t="n"/>
      <c r="J135" s="108" t="n"/>
      <c r="K135" s="74" t="n"/>
      <c r="W135" s="111">
        <f>IF(AND(B135&lt;&gt;"",I135="Yes",K135&lt;&gt;"Yes",J135&lt;&gt;""),J135,"")</f>
        <v/>
      </c>
      <c r="X135" s="79">
        <f>IF(W135="","",IF(W135&lt;AsOf,1,IF(W135&lt;=AsOf+AlertDays,2,IF(W135&lt;=AsOf+2*AlertDays,3,""))))</f>
        <v/>
      </c>
      <c r="Y135" s="79">
        <f>IF(X135="","","Follow up with "&amp;B135&amp;": "&amp;D135)</f>
        <v/>
      </c>
    </row>
    <row r="136" ht="20" customHeight="1">
      <c r="B136" s="72" t="n"/>
      <c r="C136" s="108" t="n"/>
      <c r="D136" s="112" t="n"/>
      <c r="E136" s="113" t="n"/>
      <c r="F136" s="113" t="n"/>
      <c r="G136" s="113" t="n"/>
      <c r="H136" s="96" t="n"/>
      <c r="I136" s="74" t="n"/>
      <c r="J136" s="108" t="n"/>
      <c r="K136" s="74" t="n"/>
      <c r="W136" s="111">
        <f>IF(AND(B136&lt;&gt;"",I136="Yes",K136&lt;&gt;"Yes",J136&lt;&gt;""),J136,"")</f>
        <v/>
      </c>
      <c r="X136" s="79">
        <f>IF(W136="","",IF(W136&lt;AsOf,1,IF(W136&lt;=AsOf+AlertDays,2,IF(W136&lt;=AsOf+2*AlertDays,3,""))))</f>
        <v/>
      </c>
      <c r="Y136" s="79">
        <f>IF(X136="","","Follow up with "&amp;B136&amp;": "&amp;D136)</f>
        <v/>
      </c>
    </row>
    <row r="137" ht="20" customHeight="1">
      <c r="B137" s="72" t="n"/>
      <c r="C137" s="108" t="n"/>
      <c r="D137" s="112" t="n"/>
      <c r="E137" s="113" t="n"/>
      <c r="F137" s="113" t="n"/>
      <c r="G137" s="113" t="n"/>
      <c r="H137" s="96" t="n"/>
      <c r="I137" s="74" t="n"/>
      <c r="J137" s="108" t="n"/>
      <c r="K137" s="74" t="n"/>
      <c r="W137" s="111">
        <f>IF(AND(B137&lt;&gt;"",I137="Yes",K137&lt;&gt;"Yes",J137&lt;&gt;""),J137,"")</f>
        <v/>
      </c>
      <c r="X137" s="79">
        <f>IF(W137="","",IF(W137&lt;AsOf,1,IF(W137&lt;=AsOf+AlertDays,2,IF(W137&lt;=AsOf+2*AlertDays,3,""))))</f>
        <v/>
      </c>
      <c r="Y137" s="79">
        <f>IF(X137="","","Follow up with "&amp;B137&amp;": "&amp;D137)</f>
        <v/>
      </c>
    </row>
    <row r="138" ht="20" customHeight="1">
      <c r="B138" s="72" t="n"/>
      <c r="C138" s="108" t="n"/>
      <c r="D138" s="112" t="n"/>
      <c r="E138" s="113" t="n"/>
      <c r="F138" s="113" t="n"/>
      <c r="G138" s="113" t="n"/>
      <c r="H138" s="96" t="n"/>
      <c r="I138" s="74" t="n"/>
      <c r="J138" s="108" t="n"/>
      <c r="K138" s="74" t="n"/>
      <c r="W138" s="111">
        <f>IF(AND(B138&lt;&gt;"",I138="Yes",K138&lt;&gt;"Yes",J138&lt;&gt;""),J138,"")</f>
        <v/>
      </c>
      <c r="X138" s="79">
        <f>IF(W138="","",IF(W138&lt;AsOf,1,IF(W138&lt;=AsOf+AlertDays,2,IF(W138&lt;=AsOf+2*AlertDays,3,""))))</f>
        <v/>
      </c>
      <c r="Y138" s="79">
        <f>IF(X138="","","Follow up with "&amp;B138&amp;": "&amp;D138)</f>
        <v/>
      </c>
    </row>
    <row r="139" ht="20" customHeight="1">
      <c r="B139" s="72" t="n"/>
      <c r="C139" s="108" t="n"/>
      <c r="D139" s="112" t="n"/>
      <c r="E139" s="113" t="n"/>
      <c r="F139" s="113" t="n"/>
      <c r="G139" s="113" t="n"/>
      <c r="H139" s="96" t="n"/>
      <c r="I139" s="74" t="n"/>
      <c r="J139" s="108" t="n"/>
      <c r="K139" s="74" t="n"/>
      <c r="W139" s="111">
        <f>IF(AND(B139&lt;&gt;"",I139="Yes",K139&lt;&gt;"Yes",J139&lt;&gt;""),J139,"")</f>
        <v/>
      </c>
      <c r="X139" s="79">
        <f>IF(W139="","",IF(W139&lt;AsOf,1,IF(W139&lt;=AsOf+AlertDays,2,IF(W139&lt;=AsOf+2*AlertDays,3,""))))</f>
        <v/>
      </c>
      <c r="Y139" s="79">
        <f>IF(X139="","","Follow up with "&amp;B139&amp;": "&amp;D139)</f>
        <v/>
      </c>
    </row>
    <row r="140" ht="20" customHeight="1">
      <c r="B140" s="72" t="n"/>
      <c r="C140" s="108" t="n"/>
      <c r="D140" s="112" t="n"/>
      <c r="E140" s="113" t="n"/>
      <c r="F140" s="113" t="n"/>
      <c r="G140" s="113" t="n"/>
      <c r="H140" s="96" t="n"/>
      <c r="I140" s="74" t="n"/>
      <c r="J140" s="108" t="n"/>
      <c r="K140" s="74" t="n"/>
      <c r="W140" s="111">
        <f>IF(AND(B140&lt;&gt;"",I140="Yes",K140&lt;&gt;"Yes",J140&lt;&gt;""),J140,"")</f>
        <v/>
      </c>
      <c r="X140" s="79">
        <f>IF(W140="","",IF(W140&lt;AsOf,1,IF(W140&lt;=AsOf+AlertDays,2,IF(W140&lt;=AsOf+2*AlertDays,3,""))))</f>
        <v/>
      </c>
      <c r="Y140" s="79">
        <f>IF(X140="","","Follow up with "&amp;B140&amp;": "&amp;D140)</f>
        <v/>
      </c>
    </row>
    <row r="141" ht="20" customHeight="1">
      <c r="B141" s="72" t="n"/>
      <c r="C141" s="108" t="n"/>
      <c r="D141" s="112" t="n"/>
      <c r="E141" s="113" t="n"/>
      <c r="F141" s="113" t="n"/>
      <c r="G141" s="113" t="n"/>
      <c r="H141" s="96" t="n"/>
      <c r="I141" s="74" t="n"/>
      <c r="J141" s="108" t="n"/>
      <c r="K141" s="74" t="n"/>
      <c r="W141" s="111">
        <f>IF(AND(B141&lt;&gt;"",I141="Yes",K141&lt;&gt;"Yes",J141&lt;&gt;""),J141,"")</f>
        <v/>
      </c>
      <c r="X141" s="79">
        <f>IF(W141="","",IF(W141&lt;AsOf,1,IF(W141&lt;=AsOf+AlertDays,2,IF(W141&lt;=AsOf+2*AlertDays,3,""))))</f>
        <v/>
      </c>
      <c r="Y141" s="79">
        <f>IF(X141="","","Follow up with "&amp;B141&amp;": "&amp;D141)</f>
        <v/>
      </c>
    </row>
    <row r="142" ht="20" customHeight="1">
      <c r="B142" s="72" t="n"/>
      <c r="C142" s="108" t="n"/>
      <c r="D142" s="112" t="n"/>
      <c r="E142" s="113" t="n"/>
      <c r="F142" s="113" t="n"/>
      <c r="G142" s="113" t="n"/>
      <c r="H142" s="96" t="n"/>
      <c r="I142" s="74" t="n"/>
      <c r="J142" s="108" t="n"/>
      <c r="K142" s="74" t="n"/>
      <c r="W142" s="111">
        <f>IF(AND(B142&lt;&gt;"",I142="Yes",K142&lt;&gt;"Yes",J142&lt;&gt;""),J142,"")</f>
        <v/>
      </c>
      <c r="X142" s="79">
        <f>IF(W142="","",IF(W142&lt;AsOf,1,IF(W142&lt;=AsOf+AlertDays,2,IF(W142&lt;=AsOf+2*AlertDays,3,""))))</f>
        <v/>
      </c>
      <c r="Y142" s="79">
        <f>IF(X142="","","Follow up with "&amp;B142&amp;": "&amp;D142)</f>
        <v/>
      </c>
    </row>
    <row r="143" ht="20" customHeight="1">
      <c r="B143" s="72" t="n"/>
      <c r="C143" s="108" t="n"/>
      <c r="D143" s="112" t="n"/>
      <c r="E143" s="113" t="n"/>
      <c r="F143" s="113" t="n"/>
      <c r="G143" s="113" t="n"/>
      <c r="H143" s="96" t="n"/>
      <c r="I143" s="74" t="n"/>
      <c r="J143" s="108" t="n"/>
      <c r="K143" s="74" t="n"/>
      <c r="W143" s="111">
        <f>IF(AND(B143&lt;&gt;"",I143="Yes",K143&lt;&gt;"Yes",J143&lt;&gt;""),J143,"")</f>
        <v/>
      </c>
      <c r="X143" s="79">
        <f>IF(W143="","",IF(W143&lt;AsOf,1,IF(W143&lt;=AsOf+AlertDays,2,IF(W143&lt;=AsOf+2*AlertDays,3,""))))</f>
        <v/>
      </c>
      <c r="Y143" s="79">
        <f>IF(X143="","","Follow up with "&amp;B143&amp;": "&amp;D143)</f>
        <v/>
      </c>
    </row>
    <row r="144" ht="20" customHeight="1">
      <c r="B144" s="72" t="n"/>
      <c r="C144" s="108" t="n"/>
      <c r="D144" s="112" t="n"/>
      <c r="E144" s="113" t="n"/>
      <c r="F144" s="113" t="n"/>
      <c r="G144" s="113" t="n"/>
      <c r="H144" s="96" t="n"/>
      <c r="I144" s="74" t="n"/>
      <c r="J144" s="108" t="n"/>
      <c r="K144" s="74" t="n"/>
      <c r="W144" s="111">
        <f>IF(AND(B144&lt;&gt;"",I144="Yes",K144&lt;&gt;"Yes",J144&lt;&gt;""),J144,"")</f>
        <v/>
      </c>
      <c r="X144" s="79">
        <f>IF(W144="","",IF(W144&lt;AsOf,1,IF(W144&lt;=AsOf+AlertDays,2,IF(W144&lt;=AsOf+2*AlertDays,3,""))))</f>
        <v/>
      </c>
      <c r="Y144" s="79">
        <f>IF(X144="","","Follow up with "&amp;B144&amp;": "&amp;D144)</f>
        <v/>
      </c>
    </row>
    <row r="145" ht="20" customHeight="1">
      <c r="B145" s="72" t="n"/>
      <c r="C145" s="108" t="n"/>
      <c r="D145" s="112" t="n"/>
      <c r="E145" s="113" t="n"/>
      <c r="F145" s="113" t="n"/>
      <c r="G145" s="113" t="n"/>
      <c r="H145" s="96" t="n"/>
      <c r="I145" s="74" t="n"/>
      <c r="J145" s="108" t="n"/>
      <c r="K145" s="74" t="n"/>
      <c r="W145" s="111">
        <f>IF(AND(B145&lt;&gt;"",I145="Yes",K145&lt;&gt;"Yes",J145&lt;&gt;""),J145,"")</f>
        <v/>
      </c>
      <c r="X145" s="79">
        <f>IF(W145="","",IF(W145&lt;AsOf,1,IF(W145&lt;=AsOf+AlertDays,2,IF(W145&lt;=AsOf+2*AlertDays,3,""))))</f>
        <v/>
      </c>
      <c r="Y145" s="79">
        <f>IF(X145="","","Follow up with "&amp;B145&amp;": "&amp;D145)</f>
        <v/>
      </c>
    </row>
    <row r="146" ht="20" customHeight="1">
      <c r="B146" s="72" t="n"/>
      <c r="C146" s="108" t="n"/>
      <c r="D146" s="112" t="n"/>
      <c r="E146" s="113" t="n"/>
      <c r="F146" s="113" t="n"/>
      <c r="G146" s="113" t="n"/>
      <c r="H146" s="96" t="n"/>
      <c r="I146" s="74" t="n"/>
      <c r="J146" s="108" t="n"/>
      <c r="K146" s="74" t="n"/>
      <c r="W146" s="111">
        <f>IF(AND(B146&lt;&gt;"",I146="Yes",K146&lt;&gt;"Yes",J146&lt;&gt;""),J146,"")</f>
        <v/>
      </c>
      <c r="X146" s="79">
        <f>IF(W146="","",IF(W146&lt;AsOf,1,IF(W146&lt;=AsOf+AlertDays,2,IF(W146&lt;=AsOf+2*AlertDays,3,""))))</f>
        <v/>
      </c>
      <c r="Y146" s="79">
        <f>IF(X146="","","Follow up with "&amp;B146&amp;": "&amp;D146)</f>
        <v/>
      </c>
    </row>
    <row r="147" ht="20" customHeight="1">
      <c r="B147" s="72" t="n"/>
      <c r="C147" s="108" t="n"/>
      <c r="D147" s="112" t="n"/>
      <c r="E147" s="113" t="n"/>
      <c r="F147" s="113" t="n"/>
      <c r="G147" s="113" t="n"/>
      <c r="H147" s="96" t="n"/>
      <c r="I147" s="74" t="n"/>
      <c r="J147" s="108" t="n"/>
      <c r="K147" s="74" t="n"/>
      <c r="W147" s="111">
        <f>IF(AND(B147&lt;&gt;"",I147="Yes",K147&lt;&gt;"Yes",J147&lt;&gt;""),J147,"")</f>
        <v/>
      </c>
      <c r="X147" s="79">
        <f>IF(W147="","",IF(W147&lt;AsOf,1,IF(W147&lt;=AsOf+AlertDays,2,IF(W147&lt;=AsOf+2*AlertDays,3,""))))</f>
        <v/>
      </c>
      <c r="Y147" s="79">
        <f>IF(X147="","","Follow up with "&amp;B147&amp;": "&amp;D147)</f>
        <v/>
      </c>
    </row>
    <row r="148" ht="20" customHeight="1">
      <c r="B148" s="72" t="n"/>
      <c r="C148" s="108" t="n"/>
      <c r="D148" s="112" t="n"/>
      <c r="E148" s="113" t="n"/>
      <c r="F148" s="113" t="n"/>
      <c r="G148" s="113" t="n"/>
      <c r="H148" s="96" t="n"/>
      <c r="I148" s="74" t="n"/>
      <c r="J148" s="108" t="n"/>
      <c r="K148" s="74" t="n"/>
      <c r="W148" s="111">
        <f>IF(AND(B148&lt;&gt;"",I148="Yes",K148&lt;&gt;"Yes",J148&lt;&gt;""),J148,"")</f>
        <v/>
      </c>
      <c r="X148" s="79">
        <f>IF(W148="","",IF(W148&lt;AsOf,1,IF(W148&lt;=AsOf+AlertDays,2,IF(W148&lt;=AsOf+2*AlertDays,3,""))))</f>
        <v/>
      </c>
      <c r="Y148" s="79">
        <f>IF(X148="","","Follow up with "&amp;B148&amp;": "&amp;D148)</f>
        <v/>
      </c>
    </row>
    <row r="149" ht="20" customHeight="1">
      <c r="B149" s="72" t="n"/>
      <c r="C149" s="108" t="n"/>
      <c r="D149" s="112" t="n"/>
      <c r="E149" s="113" t="n"/>
      <c r="F149" s="113" t="n"/>
      <c r="G149" s="113" t="n"/>
      <c r="H149" s="96" t="n"/>
      <c r="I149" s="74" t="n"/>
      <c r="J149" s="108" t="n"/>
      <c r="K149" s="74" t="n"/>
      <c r="W149" s="111">
        <f>IF(AND(B149&lt;&gt;"",I149="Yes",K149&lt;&gt;"Yes",J149&lt;&gt;""),J149,"")</f>
        <v/>
      </c>
      <c r="X149" s="79">
        <f>IF(W149="","",IF(W149&lt;AsOf,1,IF(W149&lt;=AsOf+AlertDays,2,IF(W149&lt;=AsOf+2*AlertDays,3,""))))</f>
        <v/>
      </c>
      <c r="Y149" s="79">
        <f>IF(X149="","","Follow up with "&amp;B149&amp;": "&amp;D149)</f>
        <v/>
      </c>
    </row>
    <row r="150" ht="20" customHeight="1">
      <c r="B150" s="72" t="n"/>
      <c r="C150" s="108" t="n"/>
      <c r="D150" s="112" t="n"/>
      <c r="E150" s="113" t="n"/>
      <c r="F150" s="113" t="n"/>
      <c r="G150" s="113" t="n"/>
      <c r="H150" s="96" t="n"/>
      <c r="I150" s="74" t="n"/>
      <c r="J150" s="108" t="n"/>
      <c r="K150" s="74" t="n"/>
      <c r="W150" s="111">
        <f>IF(AND(B150&lt;&gt;"",I150="Yes",K150&lt;&gt;"Yes",J150&lt;&gt;""),J150,"")</f>
        <v/>
      </c>
      <c r="X150" s="79">
        <f>IF(W150="","",IF(W150&lt;AsOf,1,IF(W150&lt;=AsOf+AlertDays,2,IF(W150&lt;=AsOf+2*AlertDays,3,""))))</f>
        <v/>
      </c>
      <c r="Y150" s="79">
        <f>IF(X150="","","Follow up with "&amp;B150&amp;": "&amp;D150)</f>
        <v/>
      </c>
    </row>
    <row r="151" ht="20" customHeight="1">
      <c r="B151" s="72" t="n"/>
      <c r="C151" s="108" t="n"/>
      <c r="D151" s="112" t="n"/>
      <c r="E151" s="113" t="n"/>
      <c r="F151" s="113" t="n"/>
      <c r="G151" s="113" t="n"/>
      <c r="H151" s="96" t="n"/>
      <c r="I151" s="74" t="n"/>
      <c r="J151" s="108" t="n"/>
      <c r="K151" s="74" t="n"/>
      <c r="W151" s="111">
        <f>IF(AND(B151&lt;&gt;"",I151="Yes",K151&lt;&gt;"Yes",J151&lt;&gt;""),J151,"")</f>
        <v/>
      </c>
      <c r="X151" s="79">
        <f>IF(W151="","",IF(W151&lt;AsOf,1,IF(W151&lt;=AsOf+AlertDays,2,IF(W151&lt;=AsOf+2*AlertDays,3,""))))</f>
        <v/>
      </c>
      <c r="Y151" s="79">
        <f>IF(X151="","","Follow up with "&amp;B151&amp;": "&amp;D151)</f>
        <v/>
      </c>
    </row>
    <row r="152" ht="20" customHeight="1">
      <c r="B152" s="72" t="n"/>
      <c r="C152" s="108" t="n"/>
      <c r="D152" s="112" t="n"/>
      <c r="E152" s="113" t="n"/>
      <c r="F152" s="113" t="n"/>
      <c r="G152" s="113" t="n"/>
      <c r="H152" s="96" t="n"/>
      <c r="I152" s="74" t="n"/>
      <c r="J152" s="108" t="n"/>
      <c r="K152" s="74" t="n"/>
      <c r="W152" s="111">
        <f>IF(AND(B152&lt;&gt;"",I152="Yes",K152&lt;&gt;"Yes",J152&lt;&gt;""),J152,"")</f>
        <v/>
      </c>
      <c r="X152" s="79">
        <f>IF(W152="","",IF(W152&lt;AsOf,1,IF(W152&lt;=AsOf+AlertDays,2,IF(W152&lt;=AsOf+2*AlertDays,3,""))))</f>
        <v/>
      </c>
      <c r="Y152" s="79">
        <f>IF(X152="","","Follow up with "&amp;B152&amp;": "&amp;D152)</f>
        <v/>
      </c>
    </row>
    <row r="153" ht="20" customHeight="1">
      <c r="B153" s="72" t="n"/>
      <c r="C153" s="108" t="n"/>
      <c r="D153" s="112" t="n"/>
      <c r="E153" s="113" t="n"/>
      <c r="F153" s="113" t="n"/>
      <c r="G153" s="113" t="n"/>
      <c r="H153" s="96" t="n"/>
      <c r="I153" s="74" t="n"/>
      <c r="J153" s="108" t="n"/>
      <c r="K153" s="74" t="n"/>
      <c r="W153" s="111">
        <f>IF(AND(B153&lt;&gt;"",I153="Yes",K153&lt;&gt;"Yes",J153&lt;&gt;""),J153,"")</f>
        <v/>
      </c>
      <c r="X153" s="79">
        <f>IF(W153="","",IF(W153&lt;AsOf,1,IF(W153&lt;=AsOf+AlertDays,2,IF(W153&lt;=AsOf+2*AlertDays,3,""))))</f>
        <v/>
      </c>
      <c r="Y153" s="79">
        <f>IF(X153="","","Follow up with "&amp;B153&amp;": "&amp;D153)</f>
        <v/>
      </c>
    </row>
    <row r="154" ht="20" customHeight="1">
      <c r="B154" s="72" t="n"/>
      <c r="C154" s="108" t="n"/>
      <c r="D154" s="112" t="n"/>
      <c r="E154" s="113" t="n"/>
      <c r="F154" s="113" t="n"/>
      <c r="G154" s="113" t="n"/>
      <c r="H154" s="96" t="n"/>
      <c r="I154" s="74" t="n"/>
      <c r="J154" s="108" t="n"/>
      <c r="K154" s="74" t="n"/>
      <c r="W154" s="111">
        <f>IF(AND(B154&lt;&gt;"",I154="Yes",K154&lt;&gt;"Yes",J154&lt;&gt;""),J154,"")</f>
        <v/>
      </c>
      <c r="X154" s="79">
        <f>IF(W154="","",IF(W154&lt;AsOf,1,IF(W154&lt;=AsOf+AlertDays,2,IF(W154&lt;=AsOf+2*AlertDays,3,""))))</f>
        <v/>
      </c>
      <c r="Y154" s="79">
        <f>IF(X154="","","Follow up with "&amp;B154&amp;": "&amp;D154)</f>
        <v/>
      </c>
    </row>
    <row r="155" ht="20" customHeight="1">
      <c r="B155" s="72" t="n"/>
      <c r="C155" s="108" t="n"/>
      <c r="D155" s="112" t="n"/>
      <c r="E155" s="113" t="n"/>
      <c r="F155" s="113" t="n"/>
      <c r="G155" s="113" t="n"/>
      <c r="H155" s="96" t="n"/>
      <c r="I155" s="74" t="n"/>
      <c r="J155" s="108" t="n"/>
      <c r="K155" s="74" t="n"/>
      <c r="W155" s="111">
        <f>IF(AND(B155&lt;&gt;"",I155="Yes",K155&lt;&gt;"Yes",J155&lt;&gt;""),J155,"")</f>
        <v/>
      </c>
      <c r="X155" s="79">
        <f>IF(W155="","",IF(W155&lt;AsOf,1,IF(W155&lt;=AsOf+AlertDays,2,IF(W155&lt;=AsOf+2*AlertDays,3,""))))</f>
        <v/>
      </c>
      <c r="Y155" s="79">
        <f>IF(X155="","","Follow up with "&amp;B155&amp;": "&amp;D155)</f>
        <v/>
      </c>
    </row>
    <row r="156" ht="20" customHeight="1">
      <c r="B156" s="72" t="n"/>
      <c r="C156" s="108" t="n"/>
      <c r="D156" s="112" t="n"/>
      <c r="E156" s="113" t="n"/>
      <c r="F156" s="113" t="n"/>
      <c r="G156" s="113" t="n"/>
      <c r="H156" s="96" t="n"/>
      <c r="I156" s="74" t="n"/>
      <c r="J156" s="108" t="n"/>
      <c r="K156" s="74" t="n"/>
      <c r="W156" s="111">
        <f>IF(AND(B156&lt;&gt;"",I156="Yes",K156&lt;&gt;"Yes",J156&lt;&gt;""),J156,"")</f>
        <v/>
      </c>
      <c r="X156" s="79">
        <f>IF(W156="","",IF(W156&lt;AsOf,1,IF(W156&lt;=AsOf+AlertDays,2,IF(W156&lt;=AsOf+2*AlertDays,3,""))))</f>
        <v/>
      </c>
      <c r="Y156" s="79">
        <f>IF(X156="","","Follow up with "&amp;B156&amp;": "&amp;D156)</f>
        <v/>
      </c>
    </row>
    <row r="157" ht="20" customHeight="1">
      <c r="B157" s="72" t="n"/>
      <c r="C157" s="108" t="n"/>
      <c r="D157" s="112" t="n"/>
      <c r="E157" s="113" t="n"/>
      <c r="F157" s="113" t="n"/>
      <c r="G157" s="113" t="n"/>
      <c r="H157" s="96" t="n"/>
      <c r="I157" s="74" t="n"/>
      <c r="J157" s="108" t="n"/>
      <c r="K157" s="74" t="n"/>
      <c r="W157" s="111">
        <f>IF(AND(B157&lt;&gt;"",I157="Yes",K157&lt;&gt;"Yes",J157&lt;&gt;""),J157,"")</f>
        <v/>
      </c>
      <c r="X157" s="79">
        <f>IF(W157="","",IF(W157&lt;AsOf,1,IF(W157&lt;=AsOf+AlertDays,2,IF(W157&lt;=AsOf+2*AlertDays,3,""))))</f>
        <v/>
      </c>
      <c r="Y157" s="79">
        <f>IF(X157="","","Follow up with "&amp;B157&amp;": "&amp;D157)</f>
        <v/>
      </c>
    </row>
    <row r="158" ht="20" customHeight="1">
      <c r="B158" s="72" t="n"/>
      <c r="C158" s="108" t="n"/>
      <c r="D158" s="112" t="n"/>
      <c r="E158" s="113" t="n"/>
      <c r="F158" s="113" t="n"/>
      <c r="G158" s="113" t="n"/>
      <c r="H158" s="96" t="n"/>
      <c r="I158" s="74" t="n"/>
      <c r="J158" s="108" t="n"/>
      <c r="K158" s="74" t="n"/>
      <c r="W158" s="111">
        <f>IF(AND(B158&lt;&gt;"",I158="Yes",K158&lt;&gt;"Yes",J158&lt;&gt;""),J158,"")</f>
        <v/>
      </c>
      <c r="X158" s="79">
        <f>IF(W158="","",IF(W158&lt;AsOf,1,IF(W158&lt;=AsOf+AlertDays,2,IF(W158&lt;=AsOf+2*AlertDays,3,""))))</f>
        <v/>
      </c>
      <c r="Y158" s="79">
        <f>IF(X158="","","Follow up with "&amp;B158&amp;": "&amp;D158)</f>
        <v/>
      </c>
    </row>
    <row r="159" ht="20" customHeight="1">
      <c r="B159" s="72" t="n"/>
      <c r="C159" s="108" t="n"/>
      <c r="D159" s="112" t="n"/>
      <c r="E159" s="113" t="n"/>
      <c r="F159" s="113" t="n"/>
      <c r="G159" s="113" t="n"/>
      <c r="H159" s="96" t="n"/>
      <c r="I159" s="74" t="n"/>
      <c r="J159" s="108" t="n"/>
      <c r="K159" s="74" t="n"/>
      <c r="W159" s="111">
        <f>IF(AND(B159&lt;&gt;"",I159="Yes",K159&lt;&gt;"Yes",J159&lt;&gt;""),J159,"")</f>
        <v/>
      </c>
      <c r="X159" s="79">
        <f>IF(W159="","",IF(W159&lt;AsOf,1,IF(W159&lt;=AsOf+AlertDays,2,IF(W159&lt;=AsOf+2*AlertDays,3,""))))</f>
        <v/>
      </c>
      <c r="Y159" s="79">
        <f>IF(X159="","","Follow up with "&amp;B159&amp;": "&amp;D159)</f>
        <v/>
      </c>
    </row>
    <row r="160" ht="20" customHeight="1">
      <c r="B160" s="72" t="n"/>
      <c r="C160" s="108" t="n"/>
      <c r="D160" s="112" t="n"/>
      <c r="E160" s="113" t="n"/>
      <c r="F160" s="113" t="n"/>
      <c r="G160" s="113" t="n"/>
      <c r="H160" s="96" t="n"/>
      <c r="I160" s="74" t="n"/>
      <c r="J160" s="108" t="n"/>
      <c r="K160" s="74" t="n"/>
      <c r="W160" s="111">
        <f>IF(AND(B160&lt;&gt;"",I160="Yes",K160&lt;&gt;"Yes",J160&lt;&gt;""),J160,"")</f>
        <v/>
      </c>
      <c r="X160" s="79">
        <f>IF(W160="","",IF(W160&lt;AsOf,1,IF(W160&lt;=AsOf+AlertDays,2,IF(W160&lt;=AsOf+2*AlertDays,3,""))))</f>
        <v/>
      </c>
      <c r="Y160" s="79">
        <f>IF(X160="","","Follow up with "&amp;B160&amp;": "&amp;D160)</f>
        <v/>
      </c>
    </row>
    <row r="161" ht="20" customHeight="1">
      <c r="B161" s="72" t="n"/>
      <c r="C161" s="108" t="n"/>
      <c r="D161" s="112" t="n"/>
      <c r="E161" s="113" t="n"/>
      <c r="F161" s="113" t="n"/>
      <c r="G161" s="113" t="n"/>
      <c r="H161" s="96" t="n"/>
      <c r="I161" s="74" t="n"/>
      <c r="J161" s="108" t="n"/>
      <c r="K161" s="74" t="n"/>
      <c r="W161" s="111">
        <f>IF(AND(B161&lt;&gt;"",I161="Yes",K161&lt;&gt;"Yes",J161&lt;&gt;""),J161,"")</f>
        <v/>
      </c>
      <c r="X161" s="79">
        <f>IF(W161="","",IF(W161&lt;AsOf,1,IF(W161&lt;=AsOf+AlertDays,2,IF(W161&lt;=AsOf+2*AlertDays,3,""))))</f>
        <v/>
      </c>
      <c r="Y161" s="79">
        <f>IF(X161="","","Follow up with "&amp;B161&amp;": "&amp;D161)</f>
        <v/>
      </c>
    </row>
    <row r="162" ht="20" customHeight="1">
      <c r="B162" s="72" t="n"/>
      <c r="C162" s="108" t="n"/>
      <c r="D162" s="112" t="n"/>
      <c r="E162" s="113" t="n"/>
      <c r="F162" s="113" t="n"/>
      <c r="G162" s="113" t="n"/>
      <c r="H162" s="96" t="n"/>
      <c r="I162" s="74" t="n"/>
      <c r="J162" s="108" t="n"/>
      <c r="K162" s="74" t="n"/>
      <c r="W162" s="111">
        <f>IF(AND(B162&lt;&gt;"",I162="Yes",K162&lt;&gt;"Yes",J162&lt;&gt;""),J162,"")</f>
        <v/>
      </c>
      <c r="X162" s="79">
        <f>IF(W162="","",IF(W162&lt;AsOf,1,IF(W162&lt;=AsOf+AlertDays,2,IF(W162&lt;=AsOf+2*AlertDays,3,""))))</f>
        <v/>
      </c>
      <c r="Y162" s="79">
        <f>IF(X162="","","Follow up with "&amp;B162&amp;": "&amp;D162)</f>
        <v/>
      </c>
    </row>
    <row r="163" ht="20" customHeight="1">
      <c r="B163" s="72" t="n"/>
      <c r="C163" s="108" t="n"/>
      <c r="D163" s="112" t="n"/>
      <c r="E163" s="113" t="n"/>
      <c r="F163" s="113" t="n"/>
      <c r="G163" s="113" t="n"/>
      <c r="H163" s="96" t="n"/>
      <c r="I163" s="74" t="n"/>
      <c r="J163" s="108" t="n"/>
      <c r="K163" s="74" t="n"/>
      <c r="W163" s="111">
        <f>IF(AND(B163&lt;&gt;"",I163="Yes",K163&lt;&gt;"Yes",J163&lt;&gt;""),J163,"")</f>
        <v/>
      </c>
      <c r="X163" s="79">
        <f>IF(W163="","",IF(W163&lt;AsOf,1,IF(W163&lt;=AsOf+AlertDays,2,IF(W163&lt;=AsOf+2*AlertDays,3,""))))</f>
        <v/>
      </c>
      <c r="Y163" s="79">
        <f>IF(X163="","","Follow up with "&amp;B163&amp;": "&amp;D163)</f>
        <v/>
      </c>
    </row>
    <row r="164" ht="20" customHeight="1">
      <c r="B164" s="72" t="n"/>
      <c r="C164" s="108" t="n"/>
      <c r="D164" s="112" t="n"/>
      <c r="E164" s="113" t="n"/>
      <c r="F164" s="113" t="n"/>
      <c r="G164" s="113" t="n"/>
      <c r="H164" s="96" t="n"/>
      <c r="I164" s="74" t="n"/>
      <c r="J164" s="108" t="n"/>
      <c r="K164" s="74" t="n"/>
      <c r="W164" s="111">
        <f>IF(AND(B164&lt;&gt;"",I164="Yes",K164&lt;&gt;"Yes",J164&lt;&gt;""),J164,"")</f>
        <v/>
      </c>
      <c r="X164" s="79">
        <f>IF(W164="","",IF(W164&lt;AsOf,1,IF(W164&lt;=AsOf+AlertDays,2,IF(W164&lt;=AsOf+2*AlertDays,3,""))))</f>
        <v/>
      </c>
      <c r="Y164" s="79">
        <f>IF(X164="","","Follow up with "&amp;B164&amp;": "&amp;D164)</f>
        <v/>
      </c>
    </row>
    <row r="165" ht="20" customHeight="1">
      <c r="B165" s="72" t="n"/>
      <c r="C165" s="108" t="n"/>
      <c r="D165" s="112" t="n"/>
      <c r="E165" s="113" t="n"/>
      <c r="F165" s="113" t="n"/>
      <c r="G165" s="113" t="n"/>
      <c r="H165" s="96" t="n"/>
      <c r="I165" s="74" t="n"/>
      <c r="J165" s="108" t="n"/>
      <c r="K165" s="74" t="n"/>
      <c r="W165" s="111">
        <f>IF(AND(B165&lt;&gt;"",I165="Yes",K165&lt;&gt;"Yes",J165&lt;&gt;""),J165,"")</f>
        <v/>
      </c>
      <c r="X165" s="79">
        <f>IF(W165="","",IF(W165&lt;AsOf,1,IF(W165&lt;=AsOf+AlertDays,2,IF(W165&lt;=AsOf+2*AlertDays,3,""))))</f>
        <v/>
      </c>
      <c r="Y165" s="79">
        <f>IF(X165="","","Follow up with "&amp;B165&amp;": "&amp;D165)</f>
        <v/>
      </c>
    </row>
    <row r="166" ht="20" customHeight="1">
      <c r="B166" s="72" t="n"/>
      <c r="C166" s="108" t="n"/>
      <c r="D166" s="112" t="n"/>
      <c r="E166" s="113" t="n"/>
      <c r="F166" s="113" t="n"/>
      <c r="G166" s="113" t="n"/>
      <c r="H166" s="96" t="n"/>
      <c r="I166" s="74" t="n"/>
      <c r="J166" s="108" t="n"/>
      <c r="K166" s="74" t="n"/>
      <c r="W166" s="111">
        <f>IF(AND(B166&lt;&gt;"",I166="Yes",K166&lt;&gt;"Yes",J166&lt;&gt;""),J166,"")</f>
        <v/>
      </c>
      <c r="X166" s="79">
        <f>IF(W166="","",IF(W166&lt;AsOf,1,IF(W166&lt;=AsOf+AlertDays,2,IF(W166&lt;=AsOf+2*AlertDays,3,""))))</f>
        <v/>
      </c>
      <c r="Y166" s="79">
        <f>IF(X166="","","Follow up with "&amp;B166&amp;": "&amp;D166)</f>
        <v/>
      </c>
    </row>
    <row r="167" ht="20" customHeight="1">
      <c r="B167" s="72" t="n"/>
      <c r="C167" s="108" t="n"/>
      <c r="D167" s="112" t="n"/>
      <c r="E167" s="113" t="n"/>
      <c r="F167" s="113" t="n"/>
      <c r="G167" s="113" t="n"/>
      <c r="H167" s="96" t="n"/>
      <c r="I167" s="74" t="n"/>
      <c r="J167" s="108" t="n"/>
      <c r="K167" s="74" t="n"/>
      <c r="W167" s="111">
        <f>IF(AND(B167&lt;&gt;"",I167="Yes",K167&lt;&gt;"Yes",J167&lt;&gt;""),J167,"")</f>
        <v/>
      </c>
      <c r="X167" s="79">
        <f>IF(W167="","",IF(W167&lt;AsOf,1,IF(W167&lt;=AsOf+AlertDays,2,IF(W167&lt;=AsOf+2*AlertDays,3,""))))</f>
        <v/>
      </c>
      <c r="Y167" s="79">
        <f>IF(X167="","","Follow up with "&amp;B167&amp;": "&amp;D167)</f>
        <v/>
      </c>
    </row>
    <row r="168" ht="20" customHeight="1">
      <c r="B168" s="72" t="n"/>
      <c r="C168" s="108" t="n"/>
      <c r="D168" s="112" t="n"/>
      <c r="E168" s="113" t="n"/>
      <c r="F168" s="113" t="n"/>
      <c r="G168" s="113" t="n"/>
      <c r="H168" s="96" t="n"/>
      <c r="I168" s="74" t="n"/>
      <c r="J168" s="108" t="n"/>
      <c r="K168" s="74" t="n"/>
      <c r="W168" s="111">
        <f>IF(AND(B168&lt;&gt;"",I168="Yes",K168&lt;&gt;"Yes",J168&lt;&gt;""),J168,"")</f>
        <v/>
      </c>
      <c r="X168" s="79">
        <f>IF(W168="","",IF(W168&lt;AsOf,1,IF(W168&lt;=AsOf+AlertDays,2,IF(W168&lt;=AsOf+2*AlertDays,3,""))))</f>
        <v/>
      </c>
      <c r="Y168" s="79">
        <f>IF(X168="","","Follow up with "&amp;B168&amp;": "&amp;D168)</f>
        <v/>
      </c>
    </row>
    <row r="169" ht="20" customHeight="1">
      <c r="B169" s="72" t="n"/>
      <c r="C169" s="108" t="n"/>
      <c r="D169" s="112" t="n"/>
      <c r="E169" s="113" t="n"/>
      <c r="F169" s="113" t="n"/>
      <c r="G169" s="113" t="n"/>
      <c r="H169" s="96" t="n"/>
      <c r="I169" s="74" t="n"/>
      <c r="J169" s="108" t="n"/>
      <c r="K169" s="74" t="n"/>
      <c r="W169" s="111">
        <f>IF(AND(B169&lt;&gt;"",I169="Yes",K169&lt;&gt;"Yes",J169&lt;&gt;""),J169,"")</f>
        <v/>
      </c>
      <c r="X169" s="79">
        <f>IF(W169="","",IF(W169&lt;AsOf,1,IF(W169&lt;=AsOf+AlertDays,2,IF(W169&lt;=AsOf+2*AlertDays,3,""))))</f>
        <v/>
      </c>
      <c r="Y169" s="79">
        <f>IF(X169="","","Follow up with "&amp;B169&amp;": "&amp;D169)</f>
        <v/>
      </c>
    </row>
    <row r="170" ht="20" customHeight="1">
      <c r="B170" s="72" t="n"/>
      <c r="C170" s="108" t="n"/>
      <c r="D170" s="112" t="n"/>
      <c r="E170" s="113" t="n"/>
      <c r="F170" s="113" t="n"/>
      <c r="G170" s="113" t="n"/>
      <c r="H170" s="96" t="n"/>
      <c r="I170" s="74" t="n"/>
      <c r="J170" s="108" t="n"/>
      <c r="K170" s="74" t="n"/>
      <c r="W170" s="111">
        <f>IF(AND(B170&lt;&gt;"",I170="Yes",K170&lt;&gt;"Yes",J170&lt;&gt;""),J170,"")</f>
        <v/>
      </c>
      <c r="X170" s="79">
        <f>IF(W170="","",IF(W170&lt;AsOf,1,IF(W170&lt;=AsOf+AlertDays,2,IF(W170&lt;=AsOf+2*AlertDays,3,""))))</f>
        <v/>
      </c>
      <c r="Y170" s="79">
        <f>IF(X170="","","Follow up with "&amp;B170&amp;": "&amp;D170)</f>
        <v/>
      </c>
    </row>
    <row r="171" ht="20" customHeight="1">
      <c r="B171" s="72" t="n"/>
      <c r="C171" s="108" t="n"/>
      <c r="D171" s="112" t="n"/>
      <c r="E171" s="113" t="n"/>
      <c r="F171" s="113" t="n"/>
      <c r="G171" s="113" t="n"/>
      <c r="H171" s="96" t="n"/>
      <c r="I171" s="74" t="n"/>
      <c r="J171" s="108" t="n"/>
      <c r="K171" s="74" t="n"/>
      <c r="W171" s="111">
        <f>IF(AND(B171&lt;&gt;"",I171="Yes",K171&lt;&gt;"Yes",J171&lt;&gt;""),J171,"")</f>
        <v/>
      </c>
      <c r="X171" s="79">
        <f>IF(W171="","",IF(W171&lt;AsOf,1,IF(W171&lt;=AsOf+AlertDays,2,IF(W171&lt;=AsOf+2*AlertDays,3,""))))</f>
        <v/>
      </c>
      <c r="Y171" s="79">
        <f>IF(X171="","","Follow up with "&amp;B171&amp;": "&amp;D171)</f>
        <v/>
      </c>
    </row>
    <row r="172" ht="20" customHeight="1">
      <c r="B172" s="72" t="n"/>
      <c r="C172" s="108" t="n"/>
      <c r="D172" s="112" t="n"/>
      <c r="E172" s="113" t="n"/>
      <c r="F172" s="113" t="n"/>
      <c r="G172" s="113" t="n"/>
      <c r="H172" s="96" t="n"/>
      <c r="I172" s="74" t="n"/>
      <c r="J172" s="108" t="n"/>
      <c r="K172" s="74" t="n"/>
      <c r="W172" s="111">
        <f>IF(AND(B172&lt;&gt;"",I172="Yes",K172&lt;&gt;"Yes",J172&lt;&gt;""),J172,"")</f>
        <v/>
      </c>
      <c r="X172" s="79">
        <f>IF(W172="","",IF(W172&lt;AsOf,1,IF(W172&lt;=AsOf+AlertDays,2,IF(W172&lt;=AsOf+2*AlertDays,3,""))))</f>
        <v/>
      </c>
      <c r="Y172" s="79">
        <f>IF(X172="","","Follow up with "&amp;B172&amp;": "&amp;D172)</f>
        <v/>
      </c>
    </row>
    <row r="173" ht="20" customHeight="1">
      <c r="B173" s="72" t="n"/>
      <c r="C173" s="108" t="n"/>
      <c r="D173" s="112" t="n"/>
      <c r="E173" s="113" t="n"/>
      <c r="F173" s="113" t="n"/>
      <c r="G173" s="113" t="n"/>
      <c r="H173" s="96" t="n"/>
      <c r="I173" s="74" t="n"/>
      <c r="J173" s="108" t="n"/>
      <c r="K173" s="74" t="n"/>
      <c r="W173" s="111">
        <f>IF(AND(B173&lt;&gt;"",I173="Yes",K173&lt;&gt;"Yes",J173&lt;&gt;""),J173,"")</f>
        <v/>
      </c>
      <c r="X173" s="79">
        <f>IF(W173="","",IF(W173&lt;AsOf,1,IF(W173&lt;=AsOf+AlertDays,2,IF(W173&lt;=AsOf+2*AlertDays,3,""))))</f>
        <v/>
      </c>
      <c r="Y173" s="79">
        <f>IF(X173="","","Follow up with "&amp;B173&amp;": "&amp;D173)</f>
        <v/>
      </c>
    </row>
    <row r="174" ht="20" customHeight="1">
      <c r="B174" s="72" t="n"/>
      <c r="C174" s="108" t="n"/>
      <c r="D174" s="112" t="n"/>
      <c r="E174" s="113" t="n"/>
      <c r="F174" s="113" t="n"/>
      <c r="G174" s="113" t="n"/>
      <c r="H174" s="96" t="n"/>
      <c r="I174" s="74" t="n"/>
      <c r="J174" s="108" t="n"/>
      <c r="K174" s="74" t="n"/>
      <c r="W174" s="111">
        <f>IF(AND(B174&lt;&gt;"",I174="Yes",K174&lt;&gt;"Yes",J174&lt;&gt;""),J174,"")</f>
        <v/>
      </c>
      <c r="X174" s="79">
        <f>IF(W174="","",IF(W174&lt;AsOf,1,IF(W174&lt;=AsOf+AlertDays,2,IF(W174&lt;=AsOf+2*AlertDays,3,""))))</f>
        <v/>
      </c>
      <c r="Y174" s="79">
        <f>IF(X174="","","Follow up with "&amp;B174&amp;": "&amp;D174)</f>
        <v/>
      </c>
    </row>
    <row r="175" ht="20" customHeight="1">
      <c r="B175" s="72" t="n"/>
      <c r="C175" s="108" t="n"/>
      <c r="D175" s="112" t="n"/>
      <c r="E175" s="113" t="n"/>
      <c r="F175" s="113" t="n"/>
      <c r="G175" s="113" t="n"/>
      <c r="H175" s="96" t="n"/>
      <c r="I175" s="74" t="n"/>
      <c r="J175" s="108" t="n"/>
      <c r="K175" s="74" t="n"/>
      <c r="W175" s="111">
        <f>IF(AND(B175&lt;&gt;"",I175="Yes",K175&lt;&gt;"Yes",J175&lt;&gt;""),J175,"")</f>
        <v/>
      </c>
      <c r="X175" s="79">
        <f>IF(W175="","",IF(W175&lt;AsOf,1,IF(W175&lt;=AsOf+AlertDays,2,IF(W175&lt;=AsOf+2*AlertDays,3,""))))</f>
        <v/>
      </c>
      <c r="Y175" s="79">
        <f>IF(X175="","","Follow up with "&amp;B175&amp;": "&amp;D175)</f>
        <v/>
      </c>
    </row>
    <row r="176" ht="20" customHeight="1">
      <c r="B176" s="72" t="n"/>
      <c r="C176" s="108" t="n"/>
      <c r="D176" s="112" t="n"/>
      <c r="E176" s="113" t="n"/>
      <c r="F176" s="113" t="n"/>
      <c r="G176" s="113" t="n"/>
      <c r="H176" s="96" t="n"/>
      <c r="I176" s="74" t="n"/>
      <c r="J176" s="108" t="n"/>
      <c r="K176" s="74" t="n"/>
      <c r="W176" s="111">
        <f>IF(AND(B176&lt;&gt;"",I176="Yes",K176&lt;&gt;"Yes",J176&lt;&gt;""),J176,"")</f>
        <v/>
      </c>
      <c r="X176" s="79">
        <f>IF(W176="","",IF(W176&lt;AsOf,1,IF(W176&lt;=AsOf+AlertDays,2,IF(W176&lt;=AsOf+2*AlertDays,3,""))))</f>
        <v/>
      </c>
      <c r="Y176" s="79">
        <f>IF(X176="","","Follow up with "&amp;B176&amp;": "&amp;D176)</f>
        <v/>
      </c>
    </row>
    <row r="177" ht="20" customHeight="1">
      <c r="B177" s="72" t="n"/>
      <c r="C177" s="108" t="n"/>
      <c r="D177" s="112" t="n"/>
      <c r="E177" s="113" t="n"/>
      <c r="F177" s="113" t="n"/>
      <c r="G177" s="113" t="n"/>
      <c r="H177" s="96" t="n"/>
      <c r="I177" s="74" t="n"/>
      <c r="J177" s="108" t="n"/>
      <c r="K177" s="74" t="n"/>
      <c r="W177" s="111">
        <f>IF(AND(B177&lt;&gt;"",I177="Yes",K177&lt;&gt;"Yes",J177&lt;&gt;""),J177,"")</f>
        <v/>
      </c>
      <c r="X177" s="79">
        <f>IF(W177="","",IF(W177&lt;AsOf,1,IF(W177&lt;=AsOf+AlertDays,2,IF(W177&lt;=AsOf+2*AlertDays,3,""))))</f>
        <v/>
      </c>
      <c r="Y177" s="79">
        <f>IF(X177="","","Follow up with "&amp;B177&amp;": "&amp;D177)</f>
        <v/>
      </c>
    </row>
    <row r="178" ht="20" customHeight="1">
      <c r="B178" s="72" t="n"/>
      <c r="C178" s="108" t="n"/>
      <c r="D178" s="112" t="n"/>
      <c r="E178" s="113" t="n"/>
      <c r="F178" s="113" t="n"/>
      <c r="G178" s="113" t="n"/>
      <c r="H178" s="96" t="n"/>
      <c r="I178" s="74" t="n"/>
      <c r="J178" s="108" t="n"/>
      <c r="K178" s="74" t="n"/>
      <c r="W178" s="111">
        <f>IF(AND(B178&lt;&gt;"",I178="Yes",K178&lt;&gt;"Yes",J178&lt;&gt;""),J178,"")</f>
        <v/>
      </c>
      <c r="X178" s="79">
        <f>IF(W178="","",IF(W178&lt;AsOf,1,IF(W178&lt;=AsOf+AlertDays,2,IF(W178&lt;=AsOf+2*AlertDays,3,""))))</f>
        <v/>
      </c>
      <c r="Y178" s="79">
        <f>IF(X178="","","Follow up with "&amp;B178&amp;": "&amp;D178)</f>
        <v/>
      </c>
    </row>
    <row r="179" ht="20" customHeight="1">
      <c r="B179" s="72" t="n"/>
      <c r="C179" s="108" t="n"/>
      <c r="D179" s="112" t="n"/>
      <c r="E179" s="113" t="n"/>
      <c r="F179" s="113" t="n"/>
      <c r="G179" s="113" t="n"/>
      <c r="H179" s="96" t="n"/>
      <c r="I179" s="74" t="n"/>
      <c r="J179" s="108" t="n"/>
      <c r="K179" s="74" t="n"/>
      <c r="W179" s="111">
        <f>IF(AND(B179&lt;&gt;"",I179="Yes",K179&lt;&gt;"Yes",J179&lt;&gt;""),J179,"")</f>
        <v/>
      </c>
      <c r="X179" s="79">
        <f>IF(W179="","",IF(W179&lt;AsOf,1,IF(W179&lt;=AsOf+AlertDays,2,IF(W179&lt;=AsOf+2*AlertDays,3,""))))</f>
        <v/>
      </c>
      <c r="Y179" s="79">
        <f>IF(X179="","","Follow up with "&amp;B179&amp;": "&amp;D179)</f>
        <v/>
      </c>
    </row>
    <row r="180" ht="20" customHeight="1">
      <c r="B180" s="72" t="n"/>
      <c r="C180" s="108" t="n"/>
      <c r="D180" s="112" t="n"/>
      <c r="E180" s="113" t="n"/>
      <c r="F180" s="113" t="n"/>
      <c r="G180" s="113" t="n"/>
      <c r="H180" s="96" t="n"/>
      <c r="I180" s="74" t="n"/>
      <c r="J180" s="108" t="n"/>
      <c r="K180" s="74" t="n"/>
      <c r="W180" s="111">
        <f>IF(AND(B180&lt;&gt;"",I180="Yes",K180&lt;&gt;"Yes",J180&lt;&gt;""),J180,"")</f>
        <v/>
      </c>
      <c r="X180" s="79">
        <f>IF(W180="","",IF(W180&lt;AsOf,1,IF(W180&lt;=AsOf+AlertDays,2,IF(W180&lt;=AsOf+2*AlertDays,3,""))))</f>
        <v/>
      </c>
      <c r="Y180" s="79">
        <f>IF(X180="","","Follow up with "&amp;B180&amp;": "&amp;D180)</f>
        <v/>
      </c>
    </row>
    <row r="181" ht="20" customHeight="1">
      <c r="B181" s="72" t="n"/>
      <c r="C181" s="108" t="n"/>
      <c r="D181" s="112" t="n"/>
      <c r="E181" s="113" t="n"/>
      <c r="F181" s="113" t="n"/>
      <c r="G181" s="113" t="n"/>
      <c r="H181" s="96" t="n"/>
      <c r="I181" s="74" t="n"/>
      <c r="J181" s="108" t="n"/>
      <c r="K181" s="74" t="n"/>
      <c r="W181" s="111">
        <f>IF(AND(B181&lt;&gt;"",I181="Yes",K181&lt;&gt;"Yes",J181&lt;&gt;""),J181,"")</f>
        <v/>
      </c>
      <c r="X181" s="79">
        <f>IF(W181="","",IF(W181&lt;AsOf,1,IF(W181&lt;=AsOf+AlertDays,2,IF(W181&lt;=AsOf+2*AlertDays,3,""))))</f>
        <v/>
      </c>
      <c r="Y181" s="79">
        <f>IF(X181="","","Follow up with "&amp;B181&amp;": "&amp;D181)</f>
        <v/>
      </c>
    </row>
    <row r="182" ht="20" customHeight="1">
      <c r="B182" s="72" t="n"/>
      <c r="C182" s="108" t="n"/>
      <c r="D182" s="112" t="n"/>
      <c r="E182" s="113" t="n"/>
      <c r="F182" s="113" t="n"/>
      <c r="G182" s="113" t="n"/>
      <c r="H182" s="96" t="n"/>
      <c r="I182" s="74" t="n"/>
      <c r="J182" s="108" t="n"/>
      <c r="K182" s="74" t="n"/>
      <c r="W182" s="111">
        <f>IF(AND(B182&lt;&gt;"",I182="Yes",K182&lt;&gt;"Yes",J182&lt;&gt;""),J182,"")</f>
        <v/>
      </c>
      <c r="X182" s="79">
        <f>IF(W182="","",IF(W182&lt;AsOf,1,IF(W182&lt;=AsOf+AlertDays,2,IF(W182&lt;=AsOf+2*AlertDays,3,""))))</f>
        <v/>
      </c>
      <c r="Y182" s="79">
        <f>IF(X182="","","Follow up with "&amp;B182&amp;": "&amp;D182)</f>
        <v/>
      </c>
    </row>
    <row r="183" ht="20" customHeight="1">
      <c r="B183" s="72" t="n"/>
      <c r="C183" s="108" t="n"/>
      <c r="D183" s="112" t="n"/>
      <c r="E183" s="113" t="n"/>
      <c r="F183" s="113" t="n"/>
      <c r="G183" s="113" t="n"/>
      <c r="H183" s="96" t="n"/>
      <c r="I183" s="74" t="n"/>
      <c r="J183" s="108" t="n"/>
      <c r="K183" s="74" t="n"/>
      <c r="W183" s="111">
        <f>IF(AND(B183&lt;&gt;"",I183="Yes",K183&lt;&gt;"Yes",J183&lt;&gt;""),J183,"")</f>
        <v/>
      </c>
      <c r="X183" s="79">
        <f>IF(W183="","",IF(W183&lt;AsOf,1,IF(W183&lt;=AsOf+AlertDays,2,IF(W183&lt;=AsOf+2*AlertDays,3,""))))</f>
        <v/>
      </c>
      <c r="Y183" s="79">
        <f>IF(X183="","","Follow up with "&amp;B183&amp;": "&amp;D183)</f>
        <v/>
      </c>
    </row>
    <row r="184" ht="20" customHeight="1">
      <c r="B184" s="72" t="n"/>
      <c r="C184" s="108" t="n"/>
      <c r="D184" s="112" t="n"/>
      <c r="E184" s="113" t="n"/>
      <c r="F184" s="113" t="n"/>
      <c r="G184" s="113" t="n"/>
      <c r="H184" s="96" t="n"/>
      <c r="I184" s="74" t="n"/>
      <c r="J184" s="108" t="n"/>
      <c r="K184" s="74" t="n"/>
      <c r="W184" s="111">
        <f>IF(AND(B184&lt;&gt;"",I184="Yes",K184&lt;&gt;"Yes",J184&lt;&gt;""),J184,"")</f>
        <v/>
      </c>
      <c r="X184" s="79">
        <f>IF(W184="","",IF(W184&lt;AsOf,1,IF(W184&lt;=AsOf+AlertDays,2,IF(W184&lt;=AsOf+2*AlertDays,3,""))))</f>
        <v/>
      </c>
      <c r="Y184" s="79">
        <f>IF(X184="","","Follow up with "&amp;B184&amp;": "&amp;D184)</f>
        <v/>
      </c>
    </row>
    <row r="185" ht="20" customHeight="1">
      <c r="B185" s="72" t="n"/>
      <c r="C185" s="108" t="n"/>
      <c r="D185" s="112" t="n"/>
      <c r="E185" s="113" t="n"/>
      <c r="F185" s="113" t="n"/>
      <c r="G185" s="113" t="n"/>
      <c r="H185" s="96" t="n"/>
      <c r="I185" s="74" t="n"/>
      <c r="J185" s="108" t="n"/>
      <c r="K185" s="74" t="n"/>
      <c r="W185" s="111">
        <f>IF(AND(B185&lt;&gt;"",I185="Yes",K185&lt;&gt;"Yes",J185&lt;&gt;""),J185,"")</f>
        <v/>
      </c>
      <c r="X185" s="79">
        <f>IF(W185="","",IF(W185&lt;AsOf,1,IF(W185&lt;=AsOf+AlertDays,2,IF(W185&lt;=AsOf+2*AlertDays,3,""))))</f>
        <v/>
      </c>
      <c r="Y185" s="79">
        <f>IF(X185="","","Follow up with "&amp;B185&amp;": "&amp;D185)</f>
        <v/>
      </c>
    </row>
    <row r="186" ht="20" customHeight="1">
      <c r="B186" s="72" t="n"/>
      <c r="C186" s="108" t="n"/>
      <c r="D186" s="112" t="n"/>
      <c r="E186" s="113" t="n"/>
      <c r="F186" s="113" t="n"/>
      <c r="G186" s="113" t="n"/>
      <c r="H186" s="96" t="n"/>
      <c r="I186" s="74" t="n"/>
      <c r="J186" s="108" t="n"/>
      <c r="K186" s="74" t="n"/>
      <c r="W186" s="111">
        <f>IF(AND(B186&lt;&gt;"",I186="Yes",K186&lt;&gt;"Yes",J186&lt;&gt;""),J186,"")</f>
        <v/>
      </c>
      <c r="X186" s="79">
        <f>IF(W186="","",IF(W186&lt;AsOf,1,IF(W186&lt;=AsOf+AlertDays,2,IF(W186&lt;=AsOf+2*AlertDays,3,""))))</f>
        <v/>
      </c>
      <c r="Y186" s="79">
        <f>IF(X186="","","Follow up with "&amp;B186&amp;": "&amp;D186)</f>
        <v/>
      </c>
    </row>
    <row r="187" ht="20" customHeight="1">
      <c r="B187" s="72" t="n"/>
      <c r="C187" s="108" t="n"/>
      <c r="D187" s="112" t="n"/>
      <c r="E187" s="113" t="n"/>
      <c r="F187" s="113" t="n"/>
      <c r="G187" s="113" t="n"/>
      <c r="H187" s="96" t="n"/>
      <c r="I187" s="74" t="n"/>
      <c r="J187" s="108" t="n"/>
      <c r="K187" s="74" t="n"/>
      <c r="W187" s="111">
        <f>IF(AND(B187&lt;&gt;"",I187="Yes",K187&lt;&gt;"Yes",J187&lt;&gt;""),J187,"")</f>
        <v/>
      </c>
      <c r="X187" s="79">
        <f>IF(W187="","",IF(W187&lt;AsOf,1,IF(W187&lt;=AsOf+AlertDays,2,IF(W187&lt;=AsOf+2*AlertDays,3,""))))</f>
        <v/>
      </c>
      <c r="Y187" s="79">
        <f>IF(X187="","","Follow up with "&amp;B187&amp;": "&amp;D187)</f>
        <v/>
      </c>
    </row>
    <row r="188" ht="20" customHeight="1">
      <c r="B188" s="72" t="n"/>
      <c r="C188" s="108" t="n"/>
      <c r="D188" s="112" t="n"/>
      <c r="E188" s="113" t="n"/>
      <c r="F188" s="113" t="n"/>
      <c r="G188" s="113" t="n"/>
      <c r="H188" s="96" t="n"/>
      <c r="I188" s="74" t="n"/>
      <c r="J188" s="108" t="n"/>
      <c r="K188" s="74" t="n"/>
      <c r="W188" s="111">
        <f>IF(AND(B188&lt;&gt;"",I188="Yes",K188&lt;&gt;"Yes",J188&lt;&gt;""),J188,"")</f>
        <v/>
      </c>
      <c r="X188" s="79">
        <f>IF(W188="","",IF(W188&lt;AsOf,1,IF(W188&lt;=AsOf+AlertDays,2,IF(W188&lt;=AsOf+2*AlertDays,3,""))))</f>
        <v/>
      </c>
      <c r="Y188" s="79">
        <f>IF(X188="","","Follow up with "&amp;B188&amp;": "&amp;D188)</f>
        <v/>
      </c>
    </row>
    <row r="189" ht="20" customHeight="1">
      <c r="B189" s="72" t="n"/>
      <c r="C189" s="108" t="n"/>
      <c r="D189" s="112" t="n"/>
      <c r="E189" s="113" t="n"/>
      <c r="F189" s="113" t="n"/>
      <c r="G189" s="113" t="n"/>
      <c r="H189" s="96" t="n"/>
      <c r="I189" s="74" t="n"/>
      <c r="J189" s="108" t="n"/>
      <c r="K189" s="74" t="n"/>
      <c r="W189" s="111">
        <f>IF(AND(B189&lt;&gt;"",I189="Yes",K189&lt;&gt;"Yes",J189&lt;&gt;""),J189,"")</f>
        <v/>
      </c>
      <c r="X189" s="79">
        <f>IF(W189="","",IF(W189&lt;AsOf,1,IF(W189&lt;=AsOf+AlertDays,2,IF(W189&lt;=AsOf+2*AlertDays,3,""))))</f>
        <v/>
      </c>
      <c r="Y189" s="79">
        <f>IF(X189="","","Follow up with "&amp;B189&amp;": "&amp;D189)</f>
        <v/>
      </c>
    </row>
    <row r="190" ht="20" customHeight="1">
      <c r="B190" s="72" t="n"/>
      <c r="C190" s="108" t="n"/>
      <c r="D190" s="112" t="n"/>
      <c r="E190" s="113" t="n"/>
      <c r="F190" s="113" t="n"/>
      <c r="G190" s="113" t="n"/>
      <c r="H190" s="96" t="n"/>
      <c r="I190" s="74" t="n"/>
      <c r="J190" s="108" t="n"/>
      <c r="K190" s="74" t="n"/>
      <c r="W190" s="111">
        <f>IF(AND(B190&lt;&gt;"",I190="Yes",K190&lt;&gt;"Yes",J190&lt;&gt;""),J190,"")</f>
        <v/>
      </c>
      <c r="X190" s="79">
        <f>IF(W190="","",IF(W190&lt;AsOf,1,IF(W190&lt;=AsOf+AlertDays,2,IF(W190&lt;=AsOf+2*AlertDays,3,""))))</f>
        <v/>
      </c>
      <c r="Y190" s="79">
        <f>IF(X190="","","Follow up with "&amp;B190&amp;": "&amp;D190)</f>
        <v/>
      </c>
    </row>
  </sheetData>
  <sheetProtection selectLockedCells="1" selectUnlockedCells="0" sheet="1" objects="0" insertRows="1" insertHyperlinks="1" autoFilter="1" scenarios="0" formatColumns="0" deleteColumns="1" insertColumns="1" pivotTables="1" deleteRows="1" formatCells="1" formatRows="0" sort="1" password="CD61"/>
  <mergeCells count="151">
    <mergeCell ref="D153:H153"/>
    <mergeCell ref="D81:H81"/>
    <mergeCell ref="D90:H90"/>
    <mergeCell ref="D99:H99"/>
    <mergeCell ref="D131:H131"/>
    <mergeCell ref="D139:H139"/>
    <mergeCell ref="D52:H52"/>
    <mergeCell ref="D101:H101"/>
    <mergeCell ref="D124:H124"/>
    <mergeCell ref="D76:H76"/>
    <mergeCell ref="D189:H189"/>
    <mergeCell ref="D116:H116"/>
    <mergeCell ref="D66:H66"/>
    <mergeCell ref="D179:H179"/>
    <mergeCell ref="D126:H126"/>
    <mergeCell ref="D75:H75"/>
    <mergeCell ref="D53:H53"/>
    <mergeCell ref="D166:H166"/>
    <mergeCell ref="D47:H47"/>
    <mergeCell ref="D181:H181"/>
    <mergeCell ref="D102:H102"/>
    <mergeCell ref="D168:H168"/>
    <mergeCell ref="D165:H165"/>
    <mergeCell ref="D180:H180"/>
    <mergeCell ref="D143:H143"/>
    <mergeCell ref="D92:H92"/>
    <mergeCell ref="D152:H152"/>
    <mergeCell ref="D133:H133"/>
    <mergeCell ref="D142:H142"/>
    <mergeCell ref="D94:H94"/>
    <mergeCell ref="D129:H129"/>
    <mergeCell ref="D144:H144"/>
    <mergeCell ref="D119:H119"/>
    <mergeCell ref="D63:H63"/>
    <mergeCell ref="D128:H128"/>
    <mergeCell ref="D80:H80"/>
    <mergeCell ref="D186:H186"/>
    <mergeCell ref="D183:H183"/>
    <mergeCell ref="D65:H65"/>
    <mergeCell ref="D96:H96"/>
    <mergeCell ref="D105:H105"/>
    <mergeCell ref="D57:H57"/>
    <mergeCell ref="D170:H170"/>
    <mergeCell ref="D49:H49"/>
    <mergeCell ref="D120:H120"/>
    <mergeCell ref="D185:H185"/>
    <mergeCell ref="D41:H41"/>
    <mergeCell ref="D154:H154"/>
    <mergeCell ref="D107:H107"/>
    <mergeCell ref="D163:H163"/>
    <mergeCell ref="D91:H91"/>
    <mergeCell ref="D162:H162"/>
    <mergeCell ref="D43:H43"/>
    <mergeCell ref="D156:H156"/>
    <mergeCell ref="D171:H171"/>
    <mergeCell ref="D106:H106"/>
    <mergeCell ref="D146:H146"/>
    <mergeCell ref="D93:H93"/>
    <mergeCell ref="D74:H74"/>
    <mergeCell ref="D130:H130"/>
    <mergeCell ref="D68:H68"/>
    <mergeCell ref="D83:H83"/>
    <mergeCell ref="D117:H117"/>
    <mergeCell ref="D55:H55"/>
    <mergeCell ref="D157:H157"/>
    <mergeCell ref="D188:H188"/>
    <mergeCell ref="D67:H67"/>
    <mergeCell ref="D132:H132"/>
    <mergeCell ref="D85:H85"/>
    <mergeCell ref="D54:H54"/>
    <mergeCell ref="D60:H60"/>
    <mergeCell ref="D69:H69"/>
    <mergeCell ref="D182:H182"/>
    <mergeCell ref="D109:H109"/>
    <mergeCell ref="D190:H190"/>
    <mergeCell ref="D46:H46"/>
    <mergeCell ref="D159:H159"/>
    <mergeCell ref="D40:H40"/>
    <mergeCell ref="D111:H111"/>
    <mergeCell ref="D108:H108"/>
    <mergeCell ref="D95:H95"/>
    <mergeCell ref="D104:H104"/>
    <mergeCell ref="D136:H136"/>
    <mergeCell ref="D145:H145"/>
    <mergeCell ref="D97:H97"/>
    <mergeCell ref="D87:H87"/>
    <mergeCell ref="D147:H147"/>
    <mergeCell ref="D122:H122"/>
    <mergeCell ref="D71:H71"/>
    <mergeCell ref="D184:H184"/>
    <mergeCell ref="D137:H137"/>
    <mergeCell ref="D58:H58"/>
    <mergeCell ref="D121:H121"/>
    <mergeCell ref="D73:H73"/>
    <mergeCell ref="D42:H42"/>
    <mergeCell ref="D164:H164"/>
    <mergeCell ref="D82:H82"/>
    <mergeCell ref="D113:H113"/>
    <mergeCell ref="D173:H173"/>
    <mergeCell ref="D148:H148"/>
    <mergeCell ref="D123:H123"/>
    <mergeCell ref="D50:H50"/>
    <mergeCell ref="D110:H110"/>
    <mergeCell ref="D44:H44"/>
    <mergeCell ref="D59:H59"/>
    <mergeCell ref="D115:H115"/>
    <mergeCell ref="D138:H138"/>
    <mergeCell ref="D178:H178"/>
    <mergeCell ref="D172:H172"/>
    <mergeCell ref="D187:H187"/>
    <mergeCell ref="D100:H100"/>
    <mergeCell ref="D174:H174"/>
    <mergeCell ref="D84:H84"/>
    <mergeCell ref="D140:H140"/>
    <mergeCell ref="D155:H155"/>
    <mergeCell ref="D149:H149"/>
    <mergeCell ref="D45:H45"/>
    <mergeCell ref="D158:H158"/>
    <mergeCell ref="D77:H77"/>
    <mergeCell ref="D86:H86"/>
    <mergeCell ref="D151:H151"/>
    <mergeCell ref="D160:H160"/>
    <mergeCell ref="D61:H61"/>
    <mergeCell ref="D141:H141"/>
    <mergeCell ref="D70:H70"/>
    <mergeCell ref="D135:H135"/>
    <mergeCell ref="D48:H48"/>
    <mergeCell ref="D150:H150"/>
    <mergeCell ref="D175:H175"/>
    <mergeCell ref="D125:H125"/>
    <mergeCell ref="D72:H72"/>
    <mergeCell ref="D78:H78"/>
    <mergeCell ref="D103:H103"/>
    <mergeCell ref="D134:H134"/>
    <mergeCell ref="D112:H112"/>
    <mergeCell ref="D62:H62"/>
    <mergeCell ref="D118:H118"/>
    <mergeCell ref="D56:H56"/>
    <mergeCell ref="D127:H127"/>
    <mergeCell ref="D167:H167"/>
    <mergeCell ref="D161:H161"/>
    <mergeCell ref="D176:H176"/>
    <mergeCell ref="D114:H114"/>
    <mergeCell ref="D64:H64"/>
    <mergeCell ref="D177:H177"/>
    <mergeCell ref="D89:H89"/>
    <mergeCell ref="D98:H98"/>
    <mergeCell ref="D169:H169"/>
    <mergeCell ref="D51:H51"/>
    <mergeCell ref="D79:H79"/>
    <mergeCell ref="D88:H88"/>
  </mergeCells>
  <conditionalFormatting sqref="U6:U35">
    <cfRule type="expression" priority="1" dxfId="0" stopIfTrue="0">
      <formula>$V6=2</formula>
    </cfRule>
    <cfRule type="expression" priority="2" dxfId="2" stopIfTrue="0">
      <formula>$V6=1</formula>
    </cfRule>
    <cfRule type="expression" priority="3" dxfId="3" stopIfTrue="0">
      <formula>$V6=0</formula>
    </cfRule>
  </conditionalFormatting>
  <conditionalFormatting sqref="O6:O35">
    <cfRule type="expression" priority="4" dxfId="0" stopIfTrue="0">
      <formula>O6="No"</formula>
    </cfRule>
    <cfRule type="expression" priority="5" dxfId="3" stopIfTrue="0">
      <formula>O6="Yes"</formula>
    </cfRule>
  </conditionalFormatting>
  <conditionalFormatting sqref="P6:P35">
    <cfRule type="expression" priority="6" dxfId="0" stopIfTrue="0">
      <formula>P6="No"</formula>
    </cfRule>
    <cfRule type="expression" priority="7" dxfId="3" stopIfTrue="0">
      <formula>P6="Yes"</formula>
    </cfRule>
  </conditionalFormatting>
  <dataValidations count="4">
    <dataValidation sqref="D6:D35" showDropDown="0" showInputMessage="0" showErrorMessage="1" allowBlank="1" errorTitle="Renovation OS" error="Please pick a value from the dropdown list." type="list">
      <formula1>='Lists'!$V$2:$V$31</formula1>
    </dataValidation>
    <dataValidation sqref="E6:E35" showDropDown="0" showInputMessage="0" showErrorMessage="1" allowBlank="1" errorTitle="Renovation OS" error="Please pick a value from the dropdown list." type="list">
      <formula1>='Lists'!$W$2:$W$12</formula1>
    </dataValidation>
    <dataValidation sqref="I41:I190 K41:K190 L6:L35 O6:O35 P6:P35" showDropDown="0" showInputMessage="0" showErrorMessage="1" allowBlank="1" errorTitle="Renovation OS" error="Please pick a value from the dropdown list." type="list">
      <formula1>='Lists'!$A$2:$A$3</formula1>
    </dataValidation>
    <dataValidation sqref="B41:B190" showDropDown="0" showInputMessage="0" showErrorMessage="1" allowBlank="1" errorTitle="Renovation OS" error="This name is not in the list. Keep it anyway?" type="list" errorStyle="warning">
      <formula1>='Lists'!$X$2:$X$31</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2E7D32"/>
    <outlinePr summaryBelow="1" summaryRight="1"/>
    <pageSetUpPr/>
  </sheetPr>
  <dimension ref="A1:AF2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4" customWidth="1" min="2" max="2"/>
    <col width="26" customWidth="1" min="3" max="3"/>
    <col width="14" customWidth="1" min="4" max="4"/>
    <col width="16" customWidth="1" min="5" max="5"/>
    <col width="9" customWidth="1" min="6" max="6"/>
    <col width="12" customWidth="1" min="7" max="7"/>
    <col width="12" customWidth="1" min="8" max="8"/>
    <col width="13" customWidth="1" min="9" max="9"/>
    <col width="13" customWidth="1" min="10" max="10"/>
    <col width="13" customWidth="1" min="11" max="11"/>
    <col width="12" customWidth="1" min="12" max="12"/>
    <col width="13" customWidth="1" min="13" max="13"/>
    <col width="12" customWidth="1" min="14" max="14"/>
    <col width="12"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width="3" customWidth="1" min="25" max="25"/>
    <col width="24" customWidth="1" min="26" max="26"/>
    <col width="13" customWidth="1" min="27" max="27"/>
    <col width="12" customWidth="1" min="28" max="28"/>
    <col width="12" customWidth="1" min="29" max="29"/>
    <col width="12" customWidth="1" min="30" max="30"/>
    <col width="13" customWidth="1" min="31" max="31"/>
    <col width="12" customWidth="1" min="32" max="32"/>
  </cols>
  <sheetData>
    <row r="1" ht="36" customHeight="1">
      <c r="B1" s="1" t="inlineStr">
        <is>
          <t>💳 Payments</t>
        </is>
      </c>
    </row>
    <row r="2" ht="20" customHeight="1">
      <c r="B2" s="2" t="inlineStr">
        <is>
          <t>What this tab does: your payment schedule, invoices and payments per contractor — plus a 12-month cash-flow forecast (right side →).</t>
        </is>
      </c>
    </row>
    <row r="3">
      <c r="B3" s="3" t="inlineStr">
        <is>
          <t>© 2026 Hang Nguyen — Renovation OS. Licensed to the original purchaser for personal use only. Do not share, copy, resell or redistribute.</t>
        </is>
      </c>
    </row>
    <row r="4">
      <c r="Z4" s="4" t="inlineStr">
        <is>
          <t>PER-CONTRACTOR SUMMARY</t>
        </is>
      </c>
      <c r="AA4" s="5" t="n"/>
      <c r="AB4" s="5" t="n"/>
      <c r="AC4" s="5" t="n"/>
      <c r="AD4" s="5" t="n"/>
      <c r="AE4" s="5" t="n"/>
      <c r="AF4" s="5" t="n"/>
    </row>
    <row r="5" ht="32" customHeight="1">
      <c r="B5" s="52" t="inlineStr">
        <is>
          <t>Paid to (contractor / supplier)</t>
        </is>
      </c>
      <c r="C5" s="52" t="inlineStr">
        <is>
          <t>Milestone / what for</t>
        </is>
      </c>
      <c r="D5" s="52" t="inlineStr">
        <is>
          <t>Room (optional)</t>
        </is>
      </c>
      <c r="E5" s="52" t="inlineStr">
        <is>
          <t>Category (if not a contractor)</t>
        </is>
      </c>
      <c r="F5" s="52" t="inlineStr">
        <is>
          <t>% of contract</t>
        </is>
      </c>
      <c r="G5" s="70">
        <f>"…or fixed amount ("&amp;CurSym&amp;")"</f>
        <v/>
      </c>
      <c r="H5" s="70">
        <f>"Scheduled ("&amp;CurSym&amp;")"</f>
        <v/>
      </c>
      <c r="I5" s="52" t="inlineStr">
        <is>
          <t>Due date</t>
        </is>
      </c>
      <c r="J5" s="52" t="inlineStr">
        <is>
          <t>Invoice #</t>
        </is>
      </c>
      <c r="K5" s="52" t="inlineStr">
        <is>
          <t>Invoice date</t>
        </is>
      </c>
      <c r="L5" s="70">
        <f>"Invoiced ("&amp;CurSym&amp;")"</f>
        <v/>
      </c>
      <c r="M5" s="52" t="inlineStr">
        <is>
          <t>Paid date</t>
        </is>
      </c>
      <c r="N5" s="70">
        <f>"Paid ("&amp;CurSym&amp;")"</f>
        <v/>
      </c>
      <c r="O5" s="52" t="inlineStr">
        <is>
          <t>Status</t>
        </is>
      </c>
      <c r="P5" s="52" t="inlineStr">
        <is>
          <t>Category (auto)</t>
        </is>
      </c>
      <c r="Q5" s="71" t="inlineStr">
        <is>
          <t>room</t>
        </is>
      </c>
      <c r="R5" s="71" t="inlineStr">
        <is>
          <t>lvl</t>
        </is>
      </c>
      <c r="S5" s="71" t="inlineStr">
        <is>
          <t>unpaid</t>
        </is>
      </c>
      <c r="T5" s="71" t="inlineStr">
        <is>
          <t>1/due</t>
        </is>
      </c>
      <c r="U5" s="71" t="inlineStr">
        <is>
          <t>due</t>
        </is>
      </c>
      <c r="V5" s="71" t="inlineStr">
        <is>
          <t>pri</t>
        </is>
      </c>
      <c r="W5" s="71" t="inlineStr">
        <is>
          <t>text</t>
        </is>
      </c>
      <c r="Z5" s="52" t="inlineStr">
        <is>
          <t>Contractor</t>
        </is>
      </c>
      <c r="AA5" s="70">
        <f>"Total contract ("&amp;CurSym&amp;")"</f>
        <v/>
      </c>
      <c r="AB5" s="70">
        <f>"Invoiced ("&amp;CurSym&amp;")"</f>
        <v/>
      </c>
      <c r="AC5" s="70">
        <f>"Paid ("&amp;CurSym&amp;")"</f>
        <v/>
      </c>
      <c r="AD5" s="70">
        <f>"Still to pay ("&amp;CurSym&amp;")"</f>
        <v/>
      </c>
      <c r="AE5" s="52" t="inlineStr">
        <is>
          <t>Next payment</t>
        </is>
      </c>
      <c r="AF5" s="70">
        <f>"Next amount ("&amp;CurSym&amp;")"</f>
        <v/>
      </c>
    </row>
    <row r="6" ht="20" customHeight="1">
      <c r="B6" s="72" t="inlineStr">
        <is>
          <t>GreenPlan Architects</t>
        </is>
      </c>
      <c r="C6" s="72" t="inlineStr">
        <is>
          <t>Design package 50%</t>
        </is>
      </c>
      <c r="D6" s="72" t="n"/>
      <c r="E6" s="72" t="n"/>
      <c r="F6" s="109" t="n">
        <v>0.5</v>
      </c>
      <c r="G6" s="73" t="n"/>
      <c r="H6" s="75">
        <f>IF(B6="","",IF(G6&lt;&gt;"",G6,IF(F6&lt;&gt;"",F6*IFERROR(INDEX('Contractors'!$I$6:$I$35,MATCH(B6,'Contractors'!$B$6:$B$35,0)),0),"")))</f>
        <v/>
      </c>
      <c r="I6" s="108" t="n">
        <v>46106</v>
      </c>
      <c r="J6" s="72" t="inlineStr">
        <is>
          <t>GP-01</t>
        </is>
      </c>
      <c r="K6" s="108" t="n">
        <v>46101</v>
      </c>
      <c r="L6" s="73" t="n">
        <v>2400</v>
      </c>
      <c r="M6" s="108" t="n">
        <v>46105</v>
      </c>
      <c r="N6" s="73" t="n">
        <v>2400</v>
      </c>
      <c r="O6" s="107">
        <f>IF(B6="","",IF(M6&lt;&gt;"","Paid",IF(AND(I6&lt;&gt;"",I6&lt;AsOf),"OVERDUE",IF(OR(K6&lt;&gt;"",L6&lt;&gt;""),"Invoiced","Scheduled"))))</f>
        <v/>
      </c>
      <c r="P6" s="114">
        <f>IF(B6="","",IF(E6&lt;&gt;"",E6,IFERROR(INDEX('Contractors'!$D$6:$D$35,MATCH(B6,'Contractors'!$B$6:$B$35,0)),"")))</f>
        <v/>
      </c>
      <c r="Q6" s="79">
        <f>IF(B6="","",IF(D6&lt;&gt;"",D6,IFERROR(INDEX('Contractors'!$E$6:$E$35,MATCH(B6,'Contractors'!$B$6:$B$35,0)),"")))</f>
        <v/>
      </c>
      <c r="R6" s="79">
        <f>IF(O6="","",IF(O6="OVERDUE",2,IF(O6="Paid",0,IF(AND(I6&lt;&gt;"",I6&lt;=AsOf+AlertDays),1,0))))</f>
        <v/>
      </c>
      <c r="S6" s="79">
        <f>IF(AND(B6&lt;&gt;"",M6="",I6&lt;&gt;""),IF(L6&lt;&gt;"",L6,IF(H6="",0,H6)),0)</f>
        <v/>
      </c>
      <c r="T6" s="79">
        <f>IF(AND(B6&lt;&gt;"",M6="",I6&lt;&gt;""),1/I6,0)</f>
        <v/>
      </c>
      <c r="U6" s="111">
        <f>IF(AND(B6&lt;&gt;"",M6="",I6&lt;&gt;""),I6,"")</f>
        <v/>
      </c>
      <c r="V6" s="79">
        <f>IF(U6="","",IF(U6&lt;AsOf,1,IF(U6&lt;=AsOf+AlertDays,2,IF(U6&lt;=AsOf+2*AlertDays,3,""))))</f>
        <v/>
      </c>
      <c r="W6" s="79">
        <f>IF(V6="","",IF(O6="OVERDUE","Overdue payment: ","Payment due: ")&amp;B6&amp;" — "&amp;C6&amp;" ("&amp;CurSym&amp;" "&amp;FIXED(S6,0)&amp;")")</f>
        <v/>
      </c>
      <c r="Z6" s="115">
        <f>IF('Contractors'!B6="","",'Contractors'!B6)</f>
        <v/>
      </c>
      <c r="AA6" s="77">
        <f>IF(Z6="","",'Contractors'!K6)</f>
        <v/>
      </c>
      <c r="AB6" s="77">
        <f>IF(Z6="","",SUMIFS($L$6:$L$205,$B$6:$B$205,Z6))</f>
        <v/>
      </c>
      <c r="AC6" s="77">
        <f>IF(Z6="","",SUMIFS($N$6:$N$205,$B$6:$B$205,Z6))</f>
        <v/>
      </c>
      <c r="AD6" s="76">
        <f>IF(Z6="","",AA6-AC6)</f>
        <v/>
      </c>
      <c r="AE6" s="116">
        <f>IF(Z6="","",IFERROR(1/SUMPRODUCT(MAX(($B$6:$B$205=Z6)*$T$6:$T$205)),""))</f>
        <v/>
      </c>
      <c r="AF6" s="77">
        <f>IF(AE6="","",SUMIFS($S$6:$S$205,$B$6:$B$205,Z6,$I$6:$I$205,AE6))</f>
        <v/>
      </c>
    </row>
    <row r="7" ht="20" customHeight="1">
      <c r="B7" s="72" t="inlineStr">
        <is>
          <t>City Building Dept</t>
        </is>
      </c>
      <c r="C7" s="72" t="inlineStr">
        <is>
          <t>Building permit fee</t>
        </is>
      </c>
      <c r="D7" s="72" t="n"/>
      <c r="E7" s="72" t="inlineStr">
        <is>
          <t>Permits</t>
        </is>
      </c>
      <c r="F7" s="109" t="n"/>
      <c r="G7" s="73" t="n">
        <v>1350</v>
      </c>
      <c r="H7" s="75">
        <f>IF(B7="","",IF(G7&lt;&gt;"",G7,IF(F7&lt;&gt;"",F7*IFERROR(INDEX('Contractors'!$I$6:$I$35,MATCH(B7,'Contractors'!$B$6:$B$35,0)),0),"")))</f>
        <v/>
      </c>
      <c r="I7" s="108" t="n">
        <v>46111</v>
      </c>
      <c r="J7" s="72" t="inlineStr">
        <is>
          <t>PERMIT-2026-114</t>
        </is>
      </c>
      <c r="K7" s="108" t="n">
        <v>46106</v>
      </c>
      <c r="L7" s="73" t="n">
        <v>1350</v>
      </c>
      <c r="M7" s="108" t="n">
        <v>46109</v>
      </c>
      <c r="N7" s="73" t="n">
        <v>1350</v>
      </c>
      <c r="O7" s="107">
        <f>IF(B7="","",IF(M7&lt;&gt;"","Paid",IF(AND(I7&lt;&gt;"",I7&lt;AsOf),"OVERDUE",IF(OR(K7&lt;&gt;"",L7&lt;&gt;""),"Invoiced","Scheduled"))))</f>
        <v/>
      </c>
      <c r="P7" s="114">
        <f>IF(B7="","",IF(E7&lt;&gt;"",E7,IFERROR(INDEX('Contractors'!$D$6:$D$35,MATCH(B7,'Contractors'!$B$6:$B$35,0)),"")))</f>
        <v/>
      </c>
      <c r="Q7" s="79">
        <f>IF(B7="","",IF(D7&lt;&gt;"",D7,IFERROR(INDEX('Contractors'!$E$6:$E$35,MATCH(B7,'Contractors'!$B$6:$B$35,0)),"")))</f>
        <v/>
      </c>
      <c r="R7" s="79">
        <f>IF(O7="","",IF(O7="OVERDUE",2,IF(O7="Paid",0,IF(AND(I7&lt;&gt;"",I7&lt;=AsOf+AlertDays),1,0))))</f>
        <v/>
      </c>
      <c r="S7" s="79">
        <f>IF(AND(B7&lt;&gt;"",M7="",I7&lt;&gt;""),IF(L7&lt;&gt;"",L7,IF(H7="",0,H7)),0)</f>
        <v/>
      </c>
      <c r="T7" s="79">
        <f>IF(AND(B7&lt;&gt;"",M7="",I7&lt;&gt;""),1/I7,0)</f>
        <v/>
      </c>
      <c r="U7" s="111">
        <f>IF(AND(B7&lt;&gt;"",M7="",I7&lt;&gt;""),I7,"")</f>
        <v/>
      </c>
      <c r="V7" s="79">
        <f>IF(U7="","",IF(U7&lt;AsOf,1,IF(U7&lt;=AsOf+AlertDays,2,IF(U7&lt;=AsOf+2*AlertDays,3,""))))</f>
        <v/>
      </c>
      <c r="W7" s="79">
        <f>IF(V7="","",IF(O7="OVERDUE","Overdue payment: ","Payment due: ")&amp;B7&amp;" — "&amp;C7&amp;" ("&amp;CurSym&amp;" "&amp;FIXED(S7,0)&amp;")")</f>
        <v/>
      </c>
      <c r="Z7" s="115">
        <f>IF('Contractors'!B7="","",'Contractors'!B7)</f>
        <v/>
      </c>
      <c r="AA7" s="77">
        <f>IF(Z7="","",'Contractors'!K7)</f>
        <v/>
      </c>
      <c r="AB7" s="77">
        <f>IF(Z7="","",SUMIFS($L$6:$L$205,$B$6:$B$205,Z7))</f>
        <v/>
      </c>
      <c r="AC7" s="77">
        <f>IF(Z7="","",SUMIFS($N$6:$N$205,$B$6:$B$205,Z7))</f>
        <v/>
      </c>
      <c r="AD7" s="76">
        <f>IF(Z7="","",AA7-AC7)</f>
        <v/>
      </c>
      <c r="AE7" s="116">
        <f>IF(Z7="","",IFERROR(1/SUMPRODUCT(MAX(($B$6:$B$205=Z7)*$T$6:$T$205)),""))</f>
        <v/>
      </c>
      <c r="AF7" s="77">
        <f>IF(AE7="","",SUMIFS($S$6:$S$205,$B$6:$B$205,Z7,$I$6:$I$205,AE7))</f>
        <v/>
      </c>
    </row>
    <row r="8" ht="20" customHeight="1">
      <c r="B8" s="72" t="inlineStr">
        <is>
          <t>GreenPlan Architects</t>
        </is>
      </c>
      <c r="C8" s="72" t="inlineStr">
        <is>
          <t>Permit approved 25%</t>
        </is>
      </c>
      <c r="D8" s="72" t="n"/>
      <c r="E8" s="72" t="n"/>
      <c r="F8" s="109" t="n">
        <v>0.25</v>
      </c>
      <c r="G8" s="73" t="n"/>
      <c r="H8" s="75">
        <f>IF(B8="","",IF(G8&lt;&gt;"",G8,IF(F8&lt;&gt;"",F8*IFERROR(INDEX('Contractors'!$I$6:$I$35,MATCH(B8,'Contractors'!$B$6:$B$35,0)),0),"")))</f>
        <v/>
      </c>
      <c r="I8" s="108" t="n">
        <v>46134</v>
      </c>
      <c r="J8" s="72" t="inlineStr">
        <is>
          <t>GP-02</t>
        </is>
      </c>
      <c r="K8" s="108" t="n">
        <v>46132</v>
      </c>
      <c r="L8" s="73" t="n">
        <v>1200</v>
      </c>
      <c r="M8" s="108" t="n">
        <v>46133</v>
      </c>
      <c r="N8" s="73" t="n">
        <v>1200</v>
      </c>
      <c r="O8" s="107">
        <f>IF(B8="","",IF(M8&lt;&gt;"","Paid",IF(AND(I8&lt;&gt;"",I8&lt;AsOf),"OVERDUE",IF(OR(K8&lt;&gt;"",L8&lt;&gt;""),"Invoiced","Scheduled"))))</f>
        <v/>
      </c>
      <c r="P8" s="114">
        <f>IF(B8="","",IF(E8&lt;&gt;"",E8,IFERROR(INDEX('Contractors'!$D$6:$D$35,MATCH(B8,'Contractors'!$B$6:$B$35,0)),"")))</f>
        <v/>
      </c>
      <c r="Q8" s="79">
        <f>IF(B8="","",IF(D8&lt;&gt;"",D8,IFERROR(INDEX('Contractors'!$E$6:$E$35,MATCH(B8,'Contractors'!$B$6:$B$35,0)),"")))</f>
        <v/>
      </c>
      <c r="R8" s="79">
        <f>IF(O8="","",IF(O8="OVERDUE",2,IF(O8="Paid",0,IF(AND(I8&lt;&gt;"",I8&lt;=AsOf+AlertDays),1,0))))</f>
        <v/>
      </c>
      <c r="S8" s="79">
        <f>IF(AND(B8&lt;&gt;"",M8="",I8&lt;&gt;""),IF(L8&lt;&gt;"",L8,IF(H8="",0,H8)),0)</f>
        <v/>
      </c>
      <c r="T8" s="79">
        <f>IF(AND(B8&lt;&gt;"",M8="",I8&lt;&gt;""),1/I8,0)</f>
        <v/>
      </c>
      <c r="U8" s="111">
        <f>IF(AND(B8&lt;&gt;"",M8="",I8&lt;&gt;""),I8,"")</f>
        <v/>
      </c>
      <c r="V8" s="79">
        <f>IF(U8="","",IF(U8&lt;AsOf,1,IF(U8&lt;=AsOf+AlertDays,2,IF(U8&lt;=AsOf+2*AlertDays,3,""))))</f>
        <v/>
      </c>
      <c r="W8" s="79">
        <f>IF(V8="","",IF(O8="OVERDUE","Overdue payment: ","Payment due: ")&amp;B8&amp;" — "&amp;C8&amp;" ("&amp;CurSym&amp;" "&amp;FIXED(S8,0)&amp;")")</f>
        <v/>
      </c>
      <c r="Z8" s="115">
        <f>IF('Contractors'!B8="","",'Contractors'!B8)</f>
        <v/>
      </c>
      <c r="AA8" s="77">
        <f>IF(Z8="","",'Contractors'!K8)</f>
        <v/>
      </c>
      <c r="AB8" s="77">
        <f>IF(Z8="","",SUMIFS($L$6:$L$205,$B$6:$B$205,Z8))</f>
        <v/>
      </c>
      <c r="AC8" s="77">
        <f>IF(Z8="","",SUMIFS($N$6:$N$205,$B$6:$B$205,Z8))</f>
        <v/>
      </c>
      <c r="AD8" s="76">
        <f>IF(Z8="","",AA8-AC8)</f>
        <v/>
      </c>
      <c r="AE8" s="116">
        <f>IF(Z8="","",IFERROR(1/SUMPRODUCT(MAX(($B$6:$B$205=Z8)*$T$6:$T$205)),""))</f>
        <v/>
      </c>
      <c r="AF8" s="77">
        <f>IF(AE8="","",SUMIFS($S$6:$S$205,$B$6:$B$205,Z8,$I$6:$I$205,AE8))</f>
        <v/>
      </c>
    </row>
    <row r="9" ht="20" customHeight="1">
      <c r="B9" s="72" t="inlineStr">
        <is>
          <t>ClearView Windows</t>
        </is>
      </c>
      <c r="C9" s="72" t="inlineStr">
        <is>
          <t>Order 40%</t>
        </is>
      </c>
      <c r="D9" s="72" t="n"/>
      <c r="E9" s="72" t="n"/>
      <c r="F9" s="109" t="n">
        <v>0.4</v>
      </c>
      <c r="G9" s="73" t="n"/>
      <c r="H9" s="75">
        <f>IF(B9="","",IF(G9&lt;&gt;"",G9,IF(F9&lt;&gt;"",F9*IFERROR(INDEX('Contractors'!$I$6:$I$35,MATCH(B9,'Contractors'!$B$6:$B$35,0)),0),"")))</f>
        <v/>
      </c>
      <c r="I9" s="108" t="n">
        <v>46122</v>
      </c>
      <c r="J9" s="72" t="inlineStr">
        <is>
          <t>CV-311</t>
        </is>
      </c>
      <c r="K9" s="108" t="n">
        <v>46118</v>
      </c>
      <c r="L9" s="73" t="n">
        <v>4960</v>
      </c>
      <c r="M9" s="108" t="n">
        <v>46121</v>
      </c>
      <c r="N9" s="73" t="n">
        <v>4960</v>
      </c>
      <c r="O9" s="107">
        <f>IF(B9="","",IF(M9&lt;&gt;"","Paid",IF(AND(I9&lt;&gt;"",I9&lt;AsOf),"OVERDUE",IF(OR(K9&lt;&gt;"",L9&lt;&gt;""),"Invoiced","Scheduled"))))</f>
        <v/>
      </c>
      <c r="P9" s="114">
        <f>IF(B9="","",IF(E9&lt;&gt;"",E9,IFERROR(INDEX('Contractors'!$D$6:$D$35,MATCH(B9,'Contractors'!$B$6:$B$35,0)),"")))</f>
        <v/>
      </c>
      <c r="Q9" s="79">
        <f>IF(B9="","",IF(D9&lt;&gt;"",D9,IFERROR(INDEX('Contractors'!$E$6:$E$35,MATCH(B9,'Contractors'!$B$6:$B$35,0)),"")))</f>
        <v/>
      </c>
      <c r="R9" s="79">
        <f>IF(O9="","",IF(O9="OVERDUE",2,IF(O9="Paid",0,IF(AND(I9&lt;&gt;"",I9&lt;=AsOf+AlertDays),1,0))))</f>
        <v/>
      </c>
      <c r="S9" s="79">
        <f>IF(AND(B9&lt;&gt;"",M9="",I9&lt;&gt;""),IF(L9&lt;&gt;"",L9,IF(H9="",0,H9)),0)</f>
        <v/>
      </c>
      <c r="T9" s="79">
        <f>IF(AND(B9&lt;&gt;"",M9="",I9&lt;&gt;""),1/I9,0)</f>
        <v/>
      </c>
      <c r="U9" s="111">
        <f>IF(AND(B9&lt;&gt;"",M9="",I9&lt;&gt;""),I9,"")</f>
        <v/>
      </c>
      <c r="V9" s="79">
        <f>IF(U9="","",IF(U9&lt;AsOf,1,IF(U9&lt;=AsOf+AlertDays,2,IF(U9&lt;=AsOf+2*AlertDays,3,""))))</f>
        <v/>
      </c>
      <c r="W9" s="79">
        <f>IF(V9="","",IF(O9="OVERDUE","Overdue payment: ","Payment due: ")&amp;B9&amp;" — "&amp;C9&amp;" ("&amp;CurSym&amp;" "&amp;FIXED(S9,0)&amp;")")</f>
        <v/>
      </c>
      <c r="Z9" s="115">
        <f>IF('Contractors'!B9="","",'Contractors'!B9)</f>
        <v/>
      </c>
      <c r="AA9" s="77">
        <f>IF(Z9="","",'Contractors'!K9)</f>
        <v/>
      </c>
      <c r="AB9" s="77">
        <f>IF(Z9="","",SUMIFS($L$6:$L$205,$B$6:$B$205,Z9))</f>
        <v/>
      </c>
      <c r="AC9" s="77">
        <f>IF(Z9="","",SUMIFS($N$6:$N$205,$B$6:$B$205,Z9))</f>
        <v/>
      </c>
      <c r="AD9" s="76">
        <f>IF(Z9="","",AA9-AC9)</f>
        <v/>
      </c>
      <c r="AE9" s="116">
        <f>IF(Z9="","",IFERROR(1/SUMPRODUCT(MAX(($B$6:$B$205=Z9)*$T$6:$T$205)),""))</f>
        <v/>
      </c>
      <c r="AF9" s="77">
        <f>IF(AE9="","",SUMIFS($S$6:$S$205,$B$6:$B$205,Z9,$I$6:$I$205,AE9))</f>
        <v/>
      </c>
    </row>
    <row r="10" ht="20" customHeight="1">
      <c r="B10" s="72" t="inlineStr">
        <is>
          <t>Hansen Demolition</t>
        </is>
      </c>
      <c r="C10" s="72" t="inlineStr">
        <is>
          <t>Deposit 30%</t>
        </is>
      </c>
      <c r="D10" s="72" t="n"/>
      <c r="E10" s="72" t="n"/>
      <c r="F10" s="109" t="n">
        <v>0.3</v>
      </c>
      <c r="G10" s="73" t="n"/>
      <c r="H10" s="75">
        <f>IF(B10="","",IF(G10&lt;&gt;"",G10,IF(F10&lt;&gt;"",F10*IFERROR(INDEX('Contractors'!$I$6:$I$35,MATCH(B10,'Contractors'!$B$6:$B$35,0)),0),"")))</f>
        <v/>
      </c>
      <c r="I10" s="108" t="n">
        <v>46127</v>
      </c>
      <c r="J10" s="72" t="inlineStr">
        <is>
          <t>H-101</t>
        </is>
      </c>
      <c r="K10" s="108" t="n">
        <v>46122</v>
      </c>
      <c r="L10" s="73" t="n">
        <v>1140</v>
      </c>
      <c r="M10" s="108" t="n">
        <v>46126</v>
      </c>
      <c r="N10" s="73" t="n">
        <v>1140</v>
      </c>
      <c r="O10" s="107">
        <f>IF(B10="","",IF(M10&lt;&gt;"","Paid",IF(AND(I10&lt;&gt;"",I10&lt;AsOf),"OVERDUE",IF(OR(K10&lt;&gt;"",L10&lt;&gt;""),"Invoiced","Scheduled"))))</f>
        <v/>
      </c>
      <c r="P10" s="114">
        <f>IF(B10="","",IF(E10&lt;&gt;"",E10,IFERROR(INDEX('Contractors'!$D$6:$D$35,MATCH(B10,'Contractors'!$B$6:$B$35,0)),"")))</f>
        <v/>
      </c>
      <c r="Q10" s="79">
        <f>IF(B10="","",IF(D10&lt;&gt;"",D10,IFERROR(INDEX('Contractors'!$E$6:$E$35,MATCH(B10,'Contractors'!$B$6:$B$35,0)),"")))</f>
        <v/>
      </c>
      <c r="R10" s="79">
        <f>IF(O10="","",IF(O10="OVERDUE",2,IF(O10="Paid",0,IF(AND(I10&lt;&gt;"",I10&lt;=AsOf+AlertDays),1,0))))</f>
        <v/>
      </c>
      <c r="S10" s="79">
        <f>IF(AND(B10&lt;&gt;"",M10="",I10&lt;&gt;""),IF(L10&lt;&gt;"",L10,IF(H10="",0,H10)),0)</f>
        <v/>
      </c>
      <c r="T10" s="79">
        <f>IF(AND(B10&lt;&gt;"",M10="",I10&lt;&gt;""),1/I10,0)</f>
        <v/>
      </c>
      <c r="U10" s="111">
        <f>IF(AND(B10&lt;&gt;"",M10="",I10&lt;&gt;""),I10,"")</f>
        <v/>
      </c>
      <c r="V10" s="79">
        <f>IF(U10="","",IF(U10&lt;AsOf,1,IF(U10&lt;=AsOf+AlertDays,2,IF(U10&lt;=AsOf+2*AlertDays,3,""))))</f>
        <v/>
      </c>
      <c r="W10" s="79">
        <f>IF(V10="","",IF(O10="OVERDUE","Overdue payment: ","Payment due: ")&amp;B10&amp;" — "&amp;C10&amp;" ("&amp;CurSym&amp;" "&amp;FIXED(S10,0)&amp;")")</f>
        <v/>
      </c>
      <c r="Z10" s="115">
        <f>IF('Contractors'!B10="","",'Contractors'!B10)</f>
        <v/>
      </c>
      <c r="AA10" s="77">
        <f>IF(Z10="","",'Contractors'!K10)</f>
        <v/>
      </c>
      <c r="AB10" s="77">
        <f>IF(Z10="","",SUMIFS($L$6:$L$205,$B$6:$B$205,Z10))</f>
        <v/>
      </c>
      <c r="AC10" s="77">
        <f>IF(Z10="","",SUMIFS($N$6:$N$205,$B$6:$B$205,Z10))</f>
        <v/>
      </c>
      <c r="AD10" s="76">
        <f>IF(Z10="","",AA10-AC10)</f>
        <v/>
      </c>
      <c r="AE10" s="116">
        <f>IF(Z10="","",IFERROR(1/SUMPRODUCT(MAX(($B$6:$B$205=Z10)*$T$6:$T$205)),""))</f>
        <v/>
      </c>
      <c r="AF10" s="77">
        <f>IF(AE10="","",SUMIFS($S$6:$S$205,$B$6:$B$205,Z10,$I$6:$I$205,AE10))</f>
        <v/>
      </c>
    </row>
    <row r="11" ht="20" customHeight="1">
      <c r="B11" s="72" t="inlineStr">
        <is>
          <t>City Skips</t>
        </is>
      </c>
      <c r="C11" s="72" t="inlineStr">
        <is>
          <t>Skip hire (2 skips)</t>
        </is>
      </c>
      <c r="D11" s="72" t="n"/>
      <c r="E11" s="72" t="inlineStr">
        <is>
          <t>Waste removal</t>
        </is>
      </c>
      <c r="F11" s="109" t="n"/>
      <c r="G11" s="73" t="n">
        <v>640</v>
      </c>
      <c r="H11" s="75">
        <f>IF(B11="","",IF(G11&lt;&gt;"",G11,IF(F11&lt;&gt;"",F11*IFERROR(INDEX('Contractors'!$I$6:$I$35,MATCH(B11,'Contractors'!$B$6:$B$35,0)),0),"")))</f>
        <v/>
      </c>
      <c r="I11" s="108" t="n">
        <v>46134</v>
      </c>
      <c r="J11" s="72" t="inlineStr">
        <is>
          <t>CS-88</t>
        </is>
      </c>
      <c r="K11" s="108" t="n">
        <v>46132</v>
      </c>
      <c r="L11" s="73" t="n">
        <v>640</v>
      </c>
      <c r="M11" s="108" t="n">
        <v>46134</v>
      </c>
      <c r="N11" s="73" t="n">
        <v>640</v>
      </c>
      <c r="O11" s="107">
        <f>IF(B11="","",IF(M11&lt;&gt;"","Paid",IF(AND(I11&lt;&gt;"",I11&lt;AsOf),"OVERDUE",IF(OR(K11&lt;&gt;"",L11&lt;&gt;""),"Invoiced","Scheduled"))))</f>
        <v/>
      </c>
      <c r="P11" s="114">
        <f>IF(B11="","",IF(E11&lt;&gt;"",E11,IFERROR(INDEX('Contractors'!$D$6:$D$35,MATCH(B11,'Contractors'!$B$6:$B$35,0)),"")))</f>
        <v/>
      </c>
      <c r="Q11" s="79">
        <f>IF(B11="","",IF(D11&lt;&gt;"",D11,IFERROR(INDEX('Contractors'!$E$6:$E$35,MATCH(B11,'Contractors'!$B$6:$B$35,0)),"")))</f>
        <v/>
      </c>
      <c r="R11" s="79">
        <f>IF(O11="","",IF(O11="OVERDUE",2,IF(O11="Paid",0,IF(AND(I11&lt;&gt;"",I11&lt;=AsOf+AlertDays),1,0))))</f>
        <v/>
      </c>
      <c r="S11" s="79">
        <f>IF(AND(B11&lt;&gt;"",M11="",I11&lt;&gt;""),IF(L11&lt;&gt;"",L11,IF(H11="",0,H11)),0)</f>
        <v/>
      </c>
      <c r="T11" s="79">
        <f>IF(AND(B11&lt;&gt;"",M11="",I11&lt;&gt;""),1/I11,0)</f>
        <v/>
      </c>
      <c r="U11" s="111">
        <f>IF(AND(B11&lt;&gt;"",M11="",I11&lt;&gt;""),I11,"")</f>
        <v/>
      </c>
      <c r="V11" s="79">
        <f>IF(U11="","",IF(U11&lt;AsOf,1,IF(U11&lt;=AsOf+AlertDays,2,IF(U11&lt;=AsOf+2*AlertDays,3,""))))</f>
        <v/>
      </c>
      <c r="W11" s="79">
        <f>IF(V11="","",IF(O11="OVERDUE","Overdue payment: ","Payment due: ")&amp;B11&amp;" — "&amp;C11&amp;" ("&amp;CurSym&amp;" "&amp;FIXED(S11,0)&amp;")")</f>
        <v/>
      </c>
      <c r="Z11" s="115">
        <f>IF('Contractors'!B11="","",'Contractors'!B11)</f>
        <v/>
      </c>
      <c r="AA11" s="77">
        <f>IF(Z11="","",'Contractors'!K11)</f>
        <v/>
      </c>
      <c r="AB11" s="77">
        <f>IF(Z11="","",SUMIFS($L$6:$L$205,$B$6:$B$205,Z11))</f>
        <v/>
      </c>
      <c r="AC11" s="77">
        <f>IF(Z11="","",SUMIFS($N$6:$N$205,$B$6:$B$205,Z11))</f>
        <v/>
      </c>
      <c r="AD11" s="76">
        <f>IF(Z11="","",AA11-AC11)</f>
        <v/>
      </c>
      <c r="AE11" s="116">
        <f>IF(Z11="","",IFERROR(1/SUMPRODUCT(MAX(($B$6:$B$205=Z11)*$T$6:$T$205)),""))</f>
        <v/>
      </c>
      <c r="AF11" s="77">
        <f>IF(AE11="","",SUMIFS($S$6:$S$205,$B$6:$B$205,Z11,$I$6:$I$205,AE11))</f>
        <v/>
      </c>
    </row>
    <row r="12" ht="20" customHeight="1">
      <c r="B12" s="72" t="inlineStr">
        <is>
          <t>Solid Structures Ltd</t>
        </is>
      </c>
      <c r="C12" s="72" t="inlineStr">
        <is>
          <t>Deposit 30%</t>
        </is>
      </c>
      <c r="D12" s="72" t="n"/>
      <c r="E12" s="72" t="n"/>
      <c r="F12" s="109" t="n">
        <v>0.3</v>
      </c>
      <c r="G12" s="73" t="n"/>
      <c r="H12" s="75">
        <f>IF(B12="","",IF(G12&lt;&gt;"",G12,IF(F12&lt;&gt;"",F12*IFERROR(INDEX('Contractors'!$I$6:$I$35,MATCH(B12,'Contractors'!$B$6:$B$35,0)),0),"")))</f>
        <v/>
      </c>
      <c r="I12" s="108" t="n">
        <v>46137</v>
      </c>
      <c r="J12" s="72" t="inlineStr">
        <is>
          <t>SS-12</t>
        </is>
      </c>
      <c r="K12" s="108" t="n">
        <v>46133</v>
      </c>
      <c r="L12" s="73" t="n">
        <v>2820</v>
      </c>
      <c r="M12" s="108" t="n">
        <v>46136</v>
      </c>
      <c r="N12" s="73" t="n">
        <v>2820</v>
      </c>
      <c r="O12" s="107">
        <f>IF(B12="","",IF(M12&lt;&gt;"","Paid",IF(AND(I12&lt;&gt;"",I12&lt;AsOf),"OVERDUE",IF(OR(K12&lt;&gt;"",L12&lt;&gt;""),"Invoiced","Scheduled"))))</f>
        <v/>
      </c>
      <c r="P12" s="114">
        <f>IF(B12="","",IF(E12&lt;&gt;"",E12,IFERROR(INDEX('Contractors'!$D$6:$D$35,MATCH(B12,'Contractors'!$B$6:$B$35,0)),"")))</f>
        <v/>
      </c>
      <c r="Q12" s="79">
        <f>IF(B12="","",IF(D12&lt;&gt;"",D12,IFERROR(INDEX('Contractors'!$E$6:$E$35,MATCH(B12,'Contractors'!$B$6:$B$35,0)),"")))</f>
        <v/>
      </c>
      <c r="R12" s="79">
        <f>IF(O12="","",IF(O12="OVERDUE",2,IF(O12="Paid",0,IF(AND(I12&lt;&gt;"",I12&lt;=AsOf+AlertDays),1,0))))</f>
        <v/>
      </c>
      <c r="S12" s="79">
        <f>IF(AND(B12&lt;&gt;"",M12="",I12&lt;&gt;""),IF(L12&lt;&gt;"",L12,IF(H12="",0,H12)),0)</f>
        <v/>
      </c>
      <c r="T12" s="79">
        <f>IF(AND(B12&lt;&gt;"",M12="",I12&lt;&gt;""),1/I12,0)</f>
        <v/>
      </c>
      <c r="U12" s="111">
        <f>IF(AND(B12&lt;&gt;"",M12="",I12&lt;&gt;""),I12,"")</f>
        <v/>
      </c>
      <c r="V12" s="79">
        <f>IF(U12="","",IF(U12&lt;AsOf,1,IF(U12&lt;=AsOf+AlertDays,2,IF(U12&lt;=AsOf+2*AlertDays,3,""))))</f>
        <v/>
      </c>
      <c r="W12" s="79">
        <f>IF(V12="","",IF(O12="OVERDUE","Overdue payment: ","Payment due: ")&amp;B12&amp;" — "&amp;C12&amp;" ("&amp;CurSym&amp;" "&amp;FIXED(S12,0)&amp;")")</f>
        <v/>
      </c>
      <c r="Z12" s="115">
        <f>IF('Contractors'!B12="","",'Contractors'!B12)</f>
        <v/>
      </c>
      <c r="AA12" s="77">
        <f>IF(Z12="","",'Contractors'!K12)</f>
        <v/>
      </c>
      <c r="AB12" s="77">
        <f>IF(Z12="","",SUMIFS($L$6:$L$205,$B$6:$B$205,Z12))</f>
        <v/>
      </c>
      <c r="AC12" s="77">
        <f>IF(Z12="","",SUMIFS($N$6:$N$205,$B$6:$B$205,Z12))</f>
        <v/>
      </c>
      <c r="AD12" s="76">
        <f>IF(Z12="","",AA12-AC12)</f>
        <v/>
      </c>
      <c r="AE12" s="116">
        <f>IF(Z12="","",IFERROR(1/SUMPRODUCT(MAX(($B$6:$B$205=Z12)*$T$6:$T$205)),""))</f>
        <v/>
      </c>
      <c r="AF12" s="77">
        <f>IF(AE12="","",SUMIFS($S$6:$S$205,$B$6:$B$205,Z12,$I$6:$I$205,AE12))</f>
        <v/>
      </c>
    </row>
    <row r="13" ht="20" customHeight="1">
      <c r="B13" s="72" t="inlineStr">
        <is>
          <t>Hansen Demolition</t>
        </is>
      </c>
      <c r="C13" s="72" t="inlineStr">
        <is>
          <t>Completion 70%</t>
        </is>
      </c>
      <c r="D13" s="72" t="n"/>
      <c r="E13" s="72" t="n"/>
      <c r="F13" s="109" t="n">
        <v>0.7</v>
      </c>
      <c r="G13" s="73" t="n"/>
      <c r="H13" s="75">
        <f>IF(B13="","",IF(G13&lt;&gt;"",G13,IF(F13&lt;&gt;"",F13*IFERROR(INDEX('Contractors'!$I$6:$I$35,MATCH(B13,'Contractors'!$B$6:$B$35,0)),0),"")))</f>
        <v/>
      </c>
      <c r="I13" s="108" t="n">
        <v>46147</v>
      </c>
      <c r="J13" s="72" t="inlineStr">
        <is>
          <t>H-107</t>
        </is>
      </c>
      <c r="K13" s="108" t="n">
        <v>46142</v>
      </c>
      <c r="L13" s="73" t="n">
        <v>2660</v>
      </c>
      <c r="M13" s="108" t="n">
        <v>46146</v>
      </c>
      <c r="N13" s="73" t="n">
        <v>2660</v>
      </c>
      <c r="O13" s="107">
        <f>IF(B13="","",IF(M13&lt;&gt;"","Paid",IF(AND(I13&lt;&gt;"",I13&lt;AsOf),"OVERDUE",IF(OR(K13&lt;&gt;"",L13&lt;&gt;""),"Invoiced","Scheduled"))))</f>
        <v/>
      </c>
      <c r="P13" s="114">
        <f>IF(B13="","",IF(E13&lt;&gt;"",E13,IFERROR(INDEX('Contractors'!$D$6:$D$35,MATCH(B13,'Contractors'!$B$6:$B$35,0)),"")))</f>
        <v/>
      </c>
      <c r="Q13" s="79">
        <f>IF(B13="","",IF(D13&lt;&gt;"",D13,IFERROR(INDEX('Contractors'!$E$6:$E$35,MATCH(B13,'Contractors'!$B$6:$B$35,0)),"")))</f>
        <v/>
      </c>
      <c r="R13" s="79">
        <f>IF(O13="","",IF(O13="OVERDUE",2,IF(O13="Paid",0,IF(AND(I13&lt;&gt;"",I13&lt;=AsOf+AlertDays),1,0))))</f>
        <v/>
      </c>
      <c r="S13" s="79">
        <f>IF(AND(B13&lt;&gt;"",M13="",I13&lt;&gt;""),IF(L13&lt;&gt;"",L13,IF(H13="",0,H13)),0)</f>
        <v/>
      </c>
      <c r="T13" s="79">
        <f>IF(AND(B13&lt;&gt;"",M13="",I13&lt;&gt;""),1/I13,0)</f>
        <v/>
      </c>
      <c r="U13" s="111">
        <f>IF(AND(B13&lt;&gt;"",M13="",I13&lt;&gt;""),I13,"")</f>
        <v/>
      </c>
      <c r="V13" s="79">
        <f>IF(U13="","",IF(U13&lt;AsOf,1,IF(U13&lt;=AsOf+AlertDays,2,IF(U13&lt;=AsOf+2*AlertDays,3,""))))</f>
        <v/>
      </c>
      <c r="W13" s="79">
        <f>IF(V13="","",IF(O13="OVERDUE","Overdue payment: ","Payment due: ")&amp;B13&amp;" — "&amp;C13&amp;" ("&amp;CurSym&amp;" "&amp;FIXED(S13,0)&amp;")")</f>
        <v/>
      </c>
      <c r="Z13" s="115">
        <f>IF('Contractors'!B13="","",'Contractors'!B13)</f>
        <v/>
      </c>
      <c r="AA13" s="77">
        <f>IF(Z13="","",'Contractors'!K13)</f>
        <v/>
      </c>
      <c r="AB13" s="77">
        <f>IF(Z13="","",SUMIFS($L$6:$L$205,$B$6:$B$205,Z13))</f>
        <v/>
      </c>
      <c r="AC13" s="77">
        <f>IF(Z13="","",SUMIFS($N$6:$N$205,$B$6:$B$205,Z13))</f>
        <v/>
      </c>
      <c r="AD13" s="76">
        <f>IF(Z13="","",AA13-AC13)</f>
        <v/>
      </c>
      <c r="AE13" s="116">
        <f>IF(Z13="","",IFERROR(1/SUMPRODUCT(MAX(($B$6:$B$205=Z13)*$T$6:$T$205)),""))</f>
        <v/>
      </c>
      <c r="AF13" s="77">
        <f>IF(AE13="","",SUMIFS($S$6:$S$205,$B$6:$B$205,Z13,$I$6:$I$205,AE13))</f>
        <v/>
      </c>
    </row>
    <row r="14" ht="20" customHeight="1">
      <c r="B14" s="72" t="inlineStr">
        <is>
          <t>Bright Spark Electric</t>
        </is>
      </c>
      <c r="C14" s="72" t="inlineStr">
        <is>
          <t>Deposit 30%</t>
        </is>
      </c>
      <c r="D14" s="72" t="n"/>
      <c r="E14" s="72" t="n"/>
      <c r="F14" s="109" t="n">
        <v>0.3</v>
      </c>
      <c r="G14" s="73" t="n"/>
      <c r="H14" s="75">
        <f>IF(B14="","",IF(G14&lt;&gt;"",G14,IF(F14&lt;&gt;"",F14*IFERROR(INDEX('Contractors'!$I$6:$I$35,MATCH(B14,'Contractors'!$B$6:$B$35,0)),0),"")))</f>
        <v/>
      </c>
      <c r="I14" s="108" t="n">
        <v>46150</v>
      </c>
      <c r="J14" s="72" t="inlineStr">
        <is>
          <t>BS-2026-04</t>
        </is>
      </c>
      <c r="K14" s="108" t="n">
        <v>46146</v>
      </c>
      <c r="L14" s="73" t="n">
        <v>3150</v>
      </c>
      <c r="M14" s="108" t="n">
        <v>46149</v>
      </c>
      <c r="N14" s="73" t="n">
        <v>3150</v>
      </c>
      <c r="O14" s="107">
        <f>IF(B14="","",IF(M14&lt;&gt;"","Paid",IF(AND(I14&lt;&gt;"",I14&lt;AsOf),"OVERDUE",IF(OR(K14&lt;&gt;"",L14&lt;&gt;""),"Invoiced","Scheduled"))))</f>
        <v/>
      </c>
      <c r="P14" s="114">
        <f>IF(B14="","",IF(E14&lt;&gt;"",E14,IFERROR(INDEX('Contractors'!$D$6:$D$35,MATCH(B14,'Contractors'!$B$6:$B$35,0)),"")))</f>
        <v/>
      </c>
      <c r="Q14" s="79">
        <f>IF(B14="","",IF(D14&lt;&gt;"",D14,IFERROR(INDEX('Contractors'!$E$6:$E$35,MATCH(B14,'Contractors'!$B$6:$B$35,0)),"")))</f>
        <v/>
      </c>
      <c r="R14" s="79">
        <f>IF(O14="","",IF(O14="OVERDUE",2,IF(O14="Paid",0,IF(AND(I14&lt;&gt;"",I14&lt;=AsOf+AlertDays),1,0))))</f>
        <v/>
      </c>
      <c r="S14" s="79">
        <f>IF(AND(B14&lt;&gt;"",M14="",I14&lt;&gt;""),IF(L14&lt;&gt;"",L14,IF(H14="",0,H14)),0)</f>
        <v/>
      </c>
      <c r="T14" s="79">
        <f>IF(AND(B14&lt;&gt;"",M14="",I14&lt;&gt;""),1/I14,0)</f>
        <v/>
      </c>
      <c r="U14" s="111">
        <f>IF(AND(B14&lt;&gt;"",M14="",I14&lt;&gt;""),I14,"")</f>
        <v/>
      </c>
      <c r="V14" s="79">
        <f>IF(U14="","",IF(U14&lt;AsOf,1,IF(U14&lt;=AsOf+AlertDays,2,IF(U14&lt;=AsOf+2*AlertDays,3,""))))</f>
        <v/>
      </c>
      <c r="W14" s="79">
        <f>IF(V14="","",IF(O14="OVERDUE","Overdue payment: ","Payment due: ")&amp;B14&amp;" — "&amp;C14&amp;" ("&amp;CurSym&amp;" "&amp;FIXED(S14,0)&amp;")")</f>
        <v/>
      </c>
      <c r="Z14" s="115">
        <f>IF('Contractors'!B14="","",'Contractors'!B14)</f>
        <v/>
      </c>
      <c r="AA14" s="77">
        <f>IF(Z14="","",'Contractors'!K14)</f>
        <v/>
      </c>
      <c r="AB14" s="77">
        <f>IF(Z14="","",SUMIFS($L$6:$L$205,$B$6:$B$205,Z14))</f>
        <v/>
      </c>
      <c r="AC14" s="77">
        <f>IF(Z14="","",SUMIFS($N$6:$N$205,$B$6:$B$205,Z14))</f>
        <v/>
      </c>
      <c r="AD14" s="76">
        <f>IF(Z14="","",AA14-AC14)</f>
        <v/>
      </c>
      <c r="AE14" s="116">
        <f>IF(Z14="","",IFERROR(1/SUMPRODUCT(MAX(($B$6:$B$205=Z14)*$T$6:$T$205)),""))</f>
        <v/>
      </c>
      <c r="AF14" s="77">
        <f>IF(AE14="","",SUMIFS($S$6:$S$205,$B$6:$B$205,Z14,$I$6:$I$205,AE14))</f>
        <v/>
      </c>
    </row>
    <row r="15" ht="20" customHeight="1">
      <c r="B15" s="72" t="inlineStr">
        <is>
          <t>FlowRight Plumbing</t>
        </is>
      </c>
      <c r="C15" s="72" t="inlineStr">
        <is>
          <t>Start of works 30%</t>
        </is>
      </c>
      <c r="D15" s="72" t="n"/>
      <c r="E15" s="72" t="n"/>
      <c r="F15" s="109" t="n">
        <v>0.3</v>
      </c>
      <c r="G15" s="73" t="n"/>
      <c r="H15" s="75">
        <f>IF(B15="","",IF(G15&lt;&gt;"",G15,IF(F15&lt;&gt;"",F15*IFERROR(INDEX('Contractors'!$I$6:$I$35,MATCH(B15,'Contractors'!$B$6:$B$35,0)),0),"")))</f>
        <v/>
      </c>
      <c r="I15" s="108" t="n">
        <v>46154</v>
      </c>
      <c r="J15" s="72" t="inlineStr">
        <is>
          <t>FR-5501</t>
        </is>
      </c>
      <c r="K15" s="108" t="n">
        <v>46150</v>
      </c>
      <c r="L15" s="73" t="n">
        <v>2760</v>
      </c>
      <c r="M15" s="108" t="n">
        <v>46153</v>
      </c>
      <c r="N15" s="73" t="n">
        <v>2760</v>
      </c>
      <c r="O15" s="107">
        <f>IF(B15="","",IF(M15&lt;&gt;"","Paid",IF(AND(I15&lt;&gt;"",I15&lt;AsOf),"OVERDUE",IF(OR(K15&lt;&gt;"",L15&lt;&gt;""),"Invoiced","Scheduled"))))</f>
        <v/>
      </c>
      <c r="P15" s="114">
        <f>IF(B15="","",IF(E15&lt;&gt;"",E15,IFERROR(INDEX('Contractors'!$D$6:$D$35,MATCH(B15,'Contractors'!$B$6:$B$35,0)),"")))</f>
        <v/>
      </c>
      <c r="Q15" s="79">
        <f>IF(B15="","",IF(D15&lt;&gt;"",D15,IFERROR(INDEX('Contractors'!$E$6:$E$35,MATCH(B15,'Contractors'!$B$6:$B$35,0)),"")))</f>
        <v/>
      </c>
      <c r="R15" s="79">
        <f>IF(O15="","",IF(O15="OVERDUE",2,IF(O15="Paid",0,IF(AND(I15&lt;&gt;"",I15&lt;=AsOf+AlertDays),1,0))))</f>
        <v/>
      </c>
      <c r="S15" s="79">
        <f>IF(AND(B15&lt;&gt;"",M15="",I15&lt;&gt;""),IF(L15&lt;&gt;"",L15,IF(H15="",0,H15)),0)</f>
        <v/>
      </c>
      <c r="T15" s="79">
        <f>IF(AND(B15&lt;&gt;"",M15="",I15&lt;&gt;""),1/I15,0)</f>
        <v/>
      </c>
      <c r="U15" s="111">
        <f>IF(AND(B15&lt;&gt;"",M15="",I15&lt;&gt;""),I15,"")</f>
        <v/>
      </c>
      <c r="V15" s="79">
        <f>IF(U15="","",IF(U15&lt;AsOf,1,IF(U15&lt;=AsOf+AlertDays,2,IF(U15&lt;=AsOf+2*AlertDays,3,""))))</f>
        <v/>
      </c>
      <c r="W15" s="79">
        <f>IF(V15="","",IF(O15="OVERDUE","Overdue payment: ","Payment due: ")&amp;B15&amp;" — "&amp;C15&amp;" ("&amp;CurSym&amp;" "&amp;FIXED(S15,0)&amp;")")</f>
        <v/>
      </c>
      <c r="Z15" s="115">
        <f>IF('Contractors'!B15="","",'Contractors'!B15)</f>
        <v/>
      </c>
      <c r="AA15" s="77">
        <f>IF(Z15="","",'Contractors'!K15)</f>
        <v/>
      </c>
      <c r="AB15" s="77">
        <f>IF(Z15="","",SUMIFS($L$6:$L$205,$B$6:$B$205,Z15))</f>
        <v/>
      </c>
      <c r="AC15" s="77">
        <f>IF(Z15="","",SUMIFS($N$6:$N$205,$B$6:$B$205,Z15))</f>
        <v/>
      </c>
      <c r="AD15" s="76">
        <f>IF(Z15="","",AA15-AC15)</f>
        <v/>
      </c>
      <c r="AE15" s="116">
        <f>IF(Z15="","",IFERROR(1/SUMPRODUCT(MAX(($B$6:$B$205=Z15)*$T$6:$T$205)),""))</f>
        <v/>
      </c>
      <c r="AF15" s="77">
        <f>IF(AE15="","",SUMIFS($S$6:$S$205,$B$6:$B$205,Z15,$I$6:$I$205,AE15))</f>
        <v/>
      </c>
    </row>
    <row r="16" ht="20" customHeight="1">
      <c r="B16" s="72" t="inlineStr">
        <is>
          <t>Nordic Kitchens</t>
        </is>
      </c>
      <c r="C16" s="72" t="inlineStr">
        <is>
          <t>Deposit 10%</t>
        </is>
      </c>
      <c r="D16" s="72" t="inlineStr">
        <is>
          <t>Kitchen</t>
        </is>
      </c>
      <c r="E16" s="72" t="n"/>
      <c r="F16" s="109" t="n">
        <v>0.1</v>
      </c>
      <c r="G16" s="73" t="n"/>
      <c r="H16" s="75">
        <f>IF(B16="","",IF(G16&lt;&gt;"",G16,IF(F16&lt;&gt;"",F16*IFERROR(INDEX('Contractors'!$I$6:$I$35,MATCH(B16,'Contractors'!$B$6:$B$35,0)),0),"")))</f>
        <v/>
      </c>
      <c r="I16" s="108" t="n">
        <v>46157</v>
      </c>
      <c r="J16" s="72" t="inlineStr">
        <is>
          <t>NK-778</t>
        </is>
      </c>
      <c r="K16" s="108" t="n">
        <v>46153</v>
      </c>
      <c r="L16" s="73" t="n">
        <v>1940</v>
      </c>
      <c r="M16" s="108" t="n">
        <v>46156</v>
      </c>
      <c r="N16" s="73" t="n">
        <v>1940</v>
      </c>
      <c r="O16" s="107">
        <f>IF(B16="","",IF(M16&lt;&gt;"","Paid",IF(AND(I16&lt;&gt;"",I16&lt;AsOf),"OVERDUE",IF(OR(K16&lt;&gt;"",L16&lt;&gt;""),"Invoiced","Scheduled"))))</f>
        <v/>
      </c>
      <c r="P16" s="114">
        <f>IF(B16="","",IF(E16&lt;&gt;"",E16,IFERROR(INDEX('Contractors'!$D$6:$D$35,MATCH(B16,'Contractors'!$B$6:$B$35,0)),"")))</f>
        <v/>
      </c>
      <c r="Q16" s="79">
        <f>IF(B16="","",IF(D16&lt;&gt;"",D16,IFERROR(INDEX('Contractors'!$E$6:$E$35,MATCH(B16,'Contractors'!$B$6:$B$35,0)),"")))</f>
        <v/>
      </c>
      <c r="R16" s="79">
        <f>IF(O16="","",IF(O16="OVERDUE",2,IF(O16="Paid",0,IF(AND(I16&lt;&gt;"",I16&lt;=AsOf+AlertDays),1,0))))</f>
        <v/>
      </c>
      <c r="S16" s="79">
        <f>IF(AND(B16&lt;&gt;"",M16="",I16&lt;&gt;""),IF(L16&lt;&gt;"",L16,IF(H16="",0,H16)),0)</f>
        <v/>
      </c>
      <c r="T16" s="79">
        <f>IF(AND(B16&lt;&gt;"",M16="",I16&lt;&gt;""),1/I16,0)</f>
        <v/>
      </c>
      <c r="U16" s="111">
        <f>IF(AND(B16&lt;&gt;"",M16="",I16&lt;&gt;""),I16,"")</f>
        <v/>
      </c>
      <c r="V16" s="79">
        <f>IF(U16="","",IF(U16&lt;AsOf,1,IF(U16&lt;=AsOf+AlertDays,2,IF(U16&lt;=AsOf+2*AlertDays,3,""))))</f>
        <v/>
      </c>
      <c r="W16" s="79">
        <f>IF(V16="","",IF(O16="OVERDUE","Overdue payment: ","Payment due: ")&amp;B16&amp;" — "&amp;C16&amp;" ("&amp;CurSym&amp;" "&amp;FIXED(S16,0)&amp;")")</f>
        <v/>
      </c>
      <c r="Z16" s="115">
        <f>IF('Contractors'!B16="","",'Contractors'!B16)</f>
        <v/>
      </c>
      <c r="AA16" s="77">
        <f>IF(Z16="","",'Contractors'!K16)</f>
        <v/>
      </c>
      <c r="AB16" s="77">
        <f>IF(Z16="","",SUMIFS($L$6:$L$205,$B$6:$B$205,Z16))</f>
        <v/>
      </c>
      <c r="AC16" s="77">
        <f>IF(Z16="","",SUMIFS($N$6:$N$205,$B$6:$B$205,Z16))</f>
        <v/>
      </c>
      <c r="AD16" s="76">
        <f>IF(Z16="","",AA16-AC16)</f>
        <v/>
      </c>
      <c r="AE16" s="116">
        <f>IF(Z16="","",IFERROR(1/SUMPRODUCT(MAX(($B$6:$B$205=Z16)*$T$6:$T$205)),""))</f>
        <v/>
      </c>
      <c r="AF16" s="77">
        <f>IF(AE16="","",SUMIFS($S$6:$S$205,$B$6:$B$205,Z16,$I$6:$I$205,AE16))</f>
        <v/>
      </c>
    </row>
    <row r="17" ht="20" customHeight="1">
      <c r="B17" s="72" t="inlineStr">
        <is>
          <t>ClearView Windows</t>
        </is>
      </c>
      <c r="C17" s="72" t="inlineStr">
        <is>
          <t>Installation 50%</t>
        </is>
      </c>
      <c r="D17" s="72" t="n"/>
      <c r="E17" s="72" t="n"/>
      <c r="F17" s="109" t="n">
        <v>0.5</v>
      </c>
      <c r="G17" s="73" t="n"/>
      <c r="H17" s="75">
        <f>IF(B17="","",IF(G17&lt;&gt;"",G17,IF(F17&lt;&gt;"",F17*IFERROR(INDEX('Contractors'!$I$6:$I$35,MATCH(B17,'Contractors'!$B$6:$B$35,0)),0),"")))</f>
        <v/>
      </c>
      <c r="I17" s="108" t="n">
        <v>46157</v>
      </c>
      <c r="J17" s="72" t="inlineStr">
        <is>
          <t>CV-340</t>
        </is>
      </c>
      <c r="K17" s="108" t="n">
        <v>46150</v>
      </c>
      <c r="L17" s="73" t="n">
        <v>6200</v>
      </c>
      <c r="M17" s="108" t="n">
        <v>46156</v>
      </c>
      <c r="N17" s="73" t="n">
        <v>6200</v>
      </c>
      <c r="O17" s="107">
        <f>IF(B17="","",IF(M17&lt;&gt;"","Paid",IF(AND(I17&lt;&gt;"",I17&lt;AsOf),"OVERDUE",IF(OR(K17&lt;&gt;"",L17&lt;&gt;""),"Invoiced","Scheduled"))))</f>
        <v/>
      </c>
      <c r="P17" s="114">
        <f>IF(B17="","",IF(E17&lt;&gt;"",E17,IFERROR(INDEX('Contractors'!$D$6:$D$35,MATCH(B17,'Contractors'!$B$6:$B$35,0)),"")))</f>
        <v/>
      </c>
      <c r="Q17" s="79">
        <f>IF(B17="","",IF(D17&lt;&gt;"",D17,IFERROR(INDEX('Contractors'!$E$6:$E$35,MATCH(B17,'Contractors'!$B$6:$B$35,0)),"")))</f>
        <v/>
      </c>
      <c r="R17" s="79">
        <f>IF(O17="","",IF(O17="OVERDUE",2,IF(O17="Paid",0,IF(AND(I17&lt;&gt;"",I17&lt;=AsOf+AlertDays),1,0))))</f>
        <v/>
      </c>
      <c r="S17" s="79">
        <f>IF(AND(B17&lt;&gt;"",M17="",I17&lt;&gt;""),IF(L17&lt;&gt;"",L17,IF(H17="",0,H17)),0)</f>
        <v/>
      </c>
      <c r="T17" s="79">
        <f>IF(AND(B17&lt;&gt;"",M17="",I17&lt;&gt;""),1/I17,0)</f>
        <v/>
      </c>
      <c r="U17" s="111">
        <f>IF(AND(B17&lt;&gt;"",M17="",I17&lt;&gt;""),I17,"")</f>
        <v/>
      </c>
      <c r="V17" s="79">
        <f>IF(U17="","",IF(U17&lt;AsOf,1,IF(U17&lt;=AsOf+AlertDays,2,IF(U17&lt;=AsOf+2*AlertDays,3,""))))</f>
        <v/>
      </c>
      <c r="W17" s="79">
        <f>IF(V17="","",IF(O17="OVERDUE","Overdue payment: ","Payment due: ")&amp;B17&amp;" — "&amp;C17&amp;" ("&amp;CurSym&amp;" "&amp;FIXED(S17,0)&amp;")")</f>
        <v/>
      </c>
      <c r="Z17" s="115">
        <f>IF('Contractors'!B17="","",'Contractors'!B17)</f>
        <v/>
      </c>
      <c r="AA17" s="77">
        <f>IF(Z17="","",'Contractors'!K17)</f>
        <v/>
      </c>
      <c r="AB17" s="77">
        <f>IF(Z17="","",SUMIFS($L$6:$L$205,$B$6:$B$205,Z17))</f>
        <v/>
      </c>
      <c r="AC17" s="77">
        <f>IF(Z17="","",SUMIFS($N$6:$N$205,$B$6:$B$205,Z17))</f>
        <v/>
      </c>
      <c r="AD17" s="76">
        <f>IF(Z17="","",AA17-AC17)</f>
        <v/>
      </c>
      <c r="AE17" s="116">
        <f>IF(Z17="","",IFERROR(1/SUMPRODUCT(MAX(($B$6:$B$205=Z17)*$T$6:$T$205)),""))</f>
        <v/>
      </c>
      <c r="AF17" s="77">
        <f>IF(AE17="","",SUMIFS($S$6:$S$205,$B$6:$B$205,Z17,$I$6:$I$205,AE17))</f>
        <v/>
      </c>
    </row>
    <row r="18" ht="20" customHeight="1">
      <c r="B18" s="72" t="inlineStr">
        <is>
          <t>Solid Structures Ltd</t>
        </is>
      </c>
      <c r="C18" s="72" t="inlineStr">
        <is>
          <t>Completion 70%</t>
        </is>
      </c>
      <c r="D18" s="72" t="n"/>
      <c r="E18" s="72" t="n"/>
      <c r="F18" s="109" t="n">
        <v>0.7</v>
      </c>
      <c r="G18" s="73" t="n"/>
      <c r="H18" s="75">
        <f>IF(B18="","",IF(G18&lt;&gt;"",G18,IF(F18&lt;&gt;"",F18*IFERROR(INDEX('Contractors'!$I$6:$I$35,MATCH(B18,'Contractors'!$B$6:$B$35,0)),0),"")))</f>
        <v/>
      </c>
      <c r="I18" s="108" t="n">
        <v>46162</v>
      </c>
      <c r="J18" s="72" t="inlineStr">
        <is>
          <t>SS-19</t>
        </is>
      </c>
      <c r="K18" s="108" t="n">
        <v>46154</v>
      </c>
      <c r="L18" s="73" t="n">
        <v>6580</v>
      </c>
      <c r="M18" s="108" t="n">
        <v>46161</v>
      </c>
      <c r="N18" s="73" t="n">
        <v>6580</v>
      </c>
      <c r="O18" s="107">
        <f>IF(B18="","",IF(M18&lt;&gt;"","Paid",IF(AND(I18&lt;&gt;"",I18&lt;AsOf),"OVERDUE",IF(OR(K18&lt;&gt;"",L18&lt;&gt;""),"Invoiced","Scheduled"))))</f>
        <v/>
      </c>
      <c r="P18" s="114">
        <f>IF(B18="","",IF(E18&lt;&gt;"",E18,IFERROR(INDEX('Contractors'!$D$6:$D$35,MATCH(B18,'Contractors'!$B$6:$B$35,0)),"")))</f>
        <v/>
      </c>
      <c r="Q18" s="79">
        <f>IF(B18="","",IF(D18&lt;&gt;"",D18,IFERROR(INDEX('Contractors'!$E$6:$E$35,MATCH(B18,'Contractors'!$B$6:$B$35,0)),"")))</f>
        <v/>
      </c>
      <c r="R18" s="79">
        <f>IF(O18="","",IF(O18="OVERDUE",2,IF(O18="Paid",0,IF(AND(I18&lt;&gt;"",I18&lt;=AsOf+AlertDays),1,0))))</f>
        <v/>
      </c>
      <c r="S18" s="79">
        <f>IF(AND(B18&lt;&gt;"",M18="",I18&lt;&gt;""),IF(L18&lt;&gt;"",L18,IF(H18="",0,H18)),0)</f>
        <v/>
      </c>
      <c r="T18" s="79">
        <f>IF(AND(B18&lt;&gt;"",M18="",I18&lt;&gt;""),1/I18,0)</f>
        <v/>
      </c>
      <c r="U18" s="111">
        <f>IF(AND(B18&lt;&gt;"",M18="",I18&lt;&gt;""),I18,"")</f>
        <v/>
      </c>
      <c r="V18" s="79">
        <f>IF(U18="","",IF(U18&lt;AsOf,1,IF(U18&lt;=AsOf+AlertDays,2,IF(U18&lt;=AsOf+2*AlertDays,3,""))))</f>
        <v/>
      </c>
      <c r="W18" s="79">
        <f>IF(V18="","",IF(O18="OVERDUE","Overdue payment: ","Payment due: ")&amp;B18&amp;" — "&amp;C18&amp;" ("&amp;CurSym&amp;" "&amp;FIXED(S18,0)&amp;")")</f>
        <v/>
      </c>
      <c r="Z18" s="115">
        <f>IF('Contractors'!B18="","",'Contractors'!B18)</f>
        <v/>
      </c>
      <c r="AA18" s="77">
        <f>IF(Z18="","",'Contractors'!K18)</f>
        <v/>
      </c>
      <c r="AB18" s="77">
        <f>IF(Z18="","",SUMIFS($L$6:$L$205,$B$6:$B$205,Z18))</f>
        <v/>
      </c>
      <c r="AC18" s="77">
        <f>IF(Z18="","",SUMIFS($N$6:$N$205,$B$6:$B$205,Z18))</f>
        <v/>
      </c>
      <c r="AD18" s="76">
        <f>IF(Z18="","",AA18-AC18)</f>
        <v/>
      </c>
      <c r="AE18" s="116">
        <f>IF(Z18="","",IFERROR(1/SUMPRODUCT(MAX(($B$6:$B$205=Z18)*$T$6:$T$205)),""))</f>
        <v/>
      </c>
      <c r="AF18" s="77">
        <f>IF(AE18="","",SUMIFS($S$6:$S$205,$B$6:$B$205,Z18,$I$6:$I$205,AE18))</f>
        <v/>
      </c>
    </row>
    <row r="19" ht="20" customHeight="1">
      <c r="B19" s="72" t="inlineStr">
        <is>
          <t>Solid Structures Ltd</t>
        </is>
      </c>
      <c r="C19" s="72" t="inlineStr">
        <is>
          <t>Change order CO-1 (steel beam)</t>
        </is>
      </c>
      <c r="D19" s="72" t="n"/>
      <c r="E19" s="72" t="n"/>
      <c r="F19" s="109" t="n"/>
      <c r="G19" s="73" t="n">
        <v>1200</v>
      </c>
      <c r="H19" s="75">
        <f>IF(B19="","",IF(G19&lt;&gt;"",G19,IF(F19&lt;&gt;"",F19*IFERROR(INDEX('Contractors'!$I$6:$I$35,MATCH(B19,'Contractors'!$B$6:$B$35,0)),0),"")))</f>
        <v/>
      </c>
      <c r="I19" s="108" t="n">
        <v>46167</v>
      </c>
      <c r="J19" s="72" t="inlineStr">
        <is>
          <t>SS-20</t>
        </is>
      </c>
      <c r="K19" s="108" t="n">
        <v>46160</v>
      </c>
      <c r="L19" s="73" t="n">
        <v>1200</v>
      </c>
      <c r="M19" s="108" t="n">
        <v>46167</v>
      </c>
      <c r="N19" s="73" t="n">
        <v>1200</v>
      </c>
      <c r="O19" s="107">
        <f>IF(B19="","",IF(M19&lt;&gt;"","Paid",IF(AND(I19&lt;&gt;"",I19&lt;AsOf),"OVERDUE",IF(OR(K19&lt;&gt;"",L19&lt;&gt;""),"Invoiced","Scheduled"))))</f>
        <v/>
      </c>
      <c r="P19" s="114">
        <f>IF(B19="","",IF(E19&lt;&gt;"",E19,IFERROR(INDEX('Contractors'!$D$6:$D$35,MATCH(B19,'Contractors'!$B$6:$B$35,0)),"")))</f>
        <v/>
      </c>
      <c r="Q19" s="79">
        <f>IF(B19="","",IF(D19&lt;&gt;"",D19,IFERROR(INDEX('Contractors'!$E$6:$E$35,MATCH(B19,'Contractors'!$B$6:$B$35,0)),"")))</f>
        <v/>
      </c>
      <c r="R19" s="79">
        <f>IF(O19="","",IF(O19="OVERDUE",2,IF(O19="Paid",0,IF(AND(I19&lt;&gt;"",I19&lt;=AsOf+AlertDays),1,0))))</f>
        <v/>
      </c>
      <c r="S19" s="79">
        <f>IF(AND(B19&lt;&gt;"",M19="",I19&lt;&gt;""),IF(L19&lt;&gt;"",L19,IF(H19="",0,H19)),0)</f>
        <v/>
      </c>
      <c r="T19" s="79">
        <f>IF(AND(B19&lt;&gt;"",M19="",I19&lt;&gt;""),1/I19,0)</f>
        <v/>
      </c>
      <c r="U19" s="111">
        <f>IF(AND(B19&lt;&gt;"",M19="",I19&lt;&gt;""),I19,"")</f>
        <v/>
      </c>
      <c r="V19" s="79">
        <f>IF(U19="","",IF(U19&lt;AsOf,1,IF(U19&lt;=AsOf+AlertDays,2,IF(U19&lt;=AsOf+2*AlertDays,3,""))))</f>
        <v/>
      </c>
      <c r="W19" s="79">
        <f>IF(V19="","",IF(O19="OVERDUE","Overdue payment: ","Payment due: ")&amp;B19&amp;" — "&amp;C19&amp;" ("&amp;CurSym&amp;" "&amp;FIXED(S19,0)&amp;")")</f>
        <v/>
      </c>
      <c r="Z19" s="115">
        <f>IF('Contractors'!B19="","",'Contractors'!B19)</f>
        <v/>
      </c>
      <c r="AA19" s="77">
        <f>IF(Z19="","",'Contractors'!K19)</f>
        <v/>
      </c>
      <c r="AB19" s="77">
        <f>IF(Z19="","",SUMIFS($L$6:$L$205,$B$6:$B$205,Z19))</f>
        <v/>
      </c>
      <c r="AC19" s="77">
        <f>IF(Z19="","",SUMIFS($N$6:$N$205,$B$6:$B$205,Z19))</f>
        <v/>
      </c>
      <c r="AD19" s="76">
        <f>IF(Z19="","",AA19-AC19)</f>
        <v/>
      </c>
      <c r="AE19" s="116">
        <f>IF(Z19="","",IFERROR(1/SUMPRODUCT(MAX(($B$6:$B$205=Z19)*$T$6:$T$205)),""))</f>
        <v/>
      </c>
      <c r="AF19" s="77">
        <f>IF(AE19="","",SUMIFS($S$6:$S$205,$B$6:$B$205,Z19,$I$6:$I$205,AE19))</f>
        <v/>
      </c>
    </row>
    <row r="20" ht="20" customHeight="1">
      <c r="B20" s="72" t="inlineStr">
        <is>
          <t>Bright Spark Electric</t>
        </is>
      </c>
      <c r="C20" s="72" t="inlineStr">
        <is>
          <t>First fix 30%</t>
        </is>
      </c>
      <c r="D20" s="72" t="n"/>
      <c r="E20" s="72" t="n"/>
      <c r="F20" s="109" t="n">
        <v>0.3</v>
      </c>
      <c r="G20" s="73" t="n"/>
      <c r="H20" s="75">
        <f>IF(B20="","",IF(G20&lt;&gt;"",G20,IF(F20&lt;&gt;"",F20*IFERROR(INDEX('Contractors'!$I$6:$I$35,MATCH(B20,'Contractors'!$B$6:$B$35,0)),0),"")))</f>
        <v/>
      </c>
      <c r="I20" s="108" t="n">
        <v>46174</v>
      </c>
      <c r="J20" s="72" t="inlineStr">
        <is>
          <t>BS-2026-07</t>
        </is>
      </c>
      <c r="K20" s="108" t="n">
        <v>46168</v>
      </c>
      <c r="L20" s="73" t="n">
        <v>3150</v>
      </c>
      <c r="M20" s="108" t="n">
        <v>46172</v>
      </c>
      <c r="N20" s="73" t="n">
        <v>3150</v>
      </c>
      <c r="O20" s="107">
        <f>IF(B20="","",IF(M20&lt;&gt;"","Paid",IF(AND(I20&lt;&gt;"",I20&lt;AsOf),"OVERDUE",IF(OR(K20&lt;&gt;"",L20&lt;&gt;""),"Invoiced","Scheduled"))))</f>
        <v/>
      </c>
      <c r="P20" s="114">
        <f>IF(B20="","",IF(E20&lt;&gt;"",E20,IFERROR(INDEX('Contractors'!$D$6:$D$35,MATCH(B20,'Contractors'!$B$6:$B$35,0)),"")))</f>
        <v/>
      </c>
      <c r="Q20" s="79">
        <f>IF(B20="","",IF(D20&lt;&gt;"",D20,IFERROR(INDEX('Contractors'!$E$6:$E$35,MATCH(B20,'Contractors'!$B$6:$B$35,0)),"")))</f>
        <v/>
      </c>
      <c r="R20" s="79">
        <f>IF(O20="","",IF(O20="OVERDUE",2,IF(O20="Paid",0,IF(AND(I20&lt;&gt;"",I20&lt;=AsOf+AlertDays),1,0))))</f>
        <v/>
      </c>
      <c r="S20" s="79">
        <f>IF(AND(B20&lt;&gt;"",M20="",I20&lt;&gt;""),IF(L20&lt;&gt;"",L20,IF(H20="",0,H20)),0)</f>
        <v/>
      </c>
      <c r="T20" s="79">
        <f>IF(AND(B20&lt;&gt;"",M20="",I20&lt;&gt;""),1/I20,0)</f>
        <v/>
      </c>
      <c r="U20" s="111">
        <f>IF(AND(B20&lt;&gt;"",M20="",I20&lt;&gt;""),I20,"")</f>
        <v/>
      </c>
      <c r="V20" s="79">
        <f>IF(U20="","",IF(U20&lt;AsOf,1,IF(U20&lt;=AsOf+AlertDays,2,IF(U20&lt;=AsOf+2*AlertDays,3,""))))</f>
        <v/>
      </c>
      <c r="W20" s="79">
        <f>IF(V20="","",IF(O20="OVERDUE","Overdue payment: ","Payment due: ")&amp;B20&amp;" — "&amp;C20&amp;" ("&amp;CurSym&amp;" "&amp;FIXED(S20,0)&amp;")")</f>
        <v/>
      </c>
      <c r="Z20" s="115">
        <f>IF('Contractors'!B20="","",'Contractors'!B20)</f>
        <v/>
      </c>
      <c r="AA20" s="77">
        <f>IF(Z20="","",'Contractors'!K20)</f>
        <v/>
      </c>
      <c r="AB20" s="77">
        <f>IF(Z20="","",SUMIFS($L$6:$L$205,$B$6:$B$205,Z20))</f>
        <v/>
      </c>
      <c r="AC20" s="77">
        <f>IF(Z20="","",SUMIFS($N$6:$N$205,$B$6:$B$205,Z20))</f>
        <v/>
      </c>
      <c r="AD20" s="76">
        <f>IF(Z20="","",AA20-AC20)</f>
        <v/>
      </c>
      <c r="AE20" s="116">
        <f>IF(Z20="","",IFERROR(1/SUMPRODUCT(MAX(($B$6:$B$205=Z20)*$T$6:$T$205)),""))</f>
        <v/>
      </c>
      <c r="AF20" s="77">
        <f>IF(AE20="","",SUMIFS($S$6:$S$205,$B$6:$B$205,Z20,$I$6:$I$205,AE20))</f>
        <v/>
      </c>
    </row>
    <row r="21" ht="20" customHeight="1">
      <c r="B21" s="72" t="inlineStr">
        <is>
          <t>ClimaHeat HVAC</t>
        </is>
      </c>
      <c r="C21" s="72" t="inlineStr">
        <is>
          <t>Equipment 30%</t>
        </is>
      </c>
      <c r="D21" s="72" t="n"/>
      <c r="E21" s="72" t="n"/>
      <c r="F21" s="109" t="n">
        <v>0.3</v>
      </c>
      <c r="G21" s="73" t="n"/>
      <c r="H21" s="75">
        <f>IF(B21="","",IF(G21&lt;&gt;"",G21,IF(F21&lt;&gt;"",F21*IFERROR(INDEX('Contractors'!$I$6:$I$35,MATCH(B21,'Contractors'!$B$6:$B$35,0)),0),"")))</f>
        <v/>
      </c>
      <c r="I21" s="108" t="n">
        <v>46178</v>
      </c>
      <c r="J21" s="72" t="inlineStr">
        <is>
          <t>CH-90</t>
        </is>
      </c>
      <c r="K21" s="108" t="n">
        <v>46174</v>
      </c>
      <c r="L21" s="73" t="n">
        <v>2790</v>
      </c>
      <c r="M21" s="108" t="n">
        <v>46177</v>
      </c>
      <c r="N21" s="73" t="n">
        <v>2790</v>
      </c>
      <c r="O21" s="107">
        <f>IF(B21="","",IF(M21&lt;&gt;"","Paid",IF(AND(I21&lt;&gt;"",I21&lt;AsOf),"OVERDUE",IF(OR(K21&lt;&gt;"",L21&lt;&gt;""),"Invoiced","Scheduled"))))</f>
        <v/>
      </c>
      <c r="P21" s="114">
        <f>IF(B21="","",IF(E21&lt;&gt;"",E21,IFERROR(INDEX('Contractors'!$D$6:$D$35,MATCH(B21,'Contractors'!$B$6:$B$35,0)),"")))</f>
        <v/>
      </c>
      <c r="Q21" s="79">
        <f>IF(B21="","",IF(D21&lt;&gt;"",D21,IFERROR(INDEX('Contractors'!$E$6:$E$35,MATCH(B21,'Contractors'!$B$6:$B$35,0)),"")))</f>
        <v/>
      </c>
      <c r="R21" s="79">
        <f>IF(O21="","",IF(O21="OVERDUE",2,IF(O21="Paid",0,IF(AND(I21&lt;&gt;"",I21&lt;=AsOf+AlertDays),1,0))))</f>
        <v/>
      </c>
      <c r="S21" s="79">
        <f>IF(AND(B21&lt;&gt;"",M21="",I21&lt;&gt;""),IF(L21&lt;&gt;"",L21,IF(H21="",0,H21)),0)</f>
        <v/>
      </c>
      <c r="T21" s="79">
        <f>IF(AND(B21&lt;&gt;"",M21="",I21&lt;&gt;""),1/I21,0)</f>
        <v/>
      </c>
      <c r="U21" s="111">
        <f>IF(AND(B21&lt;&gt;"",M21="",I21&lt;&gt;""),I21,"")</f>
        <v/>
      </c>
      <c r="V21" s="79">
        <f>IF(U21="","",IF(U21&lt;AsOf,1,IF(U21&lt;=AsOf+AlertDays,2,IF(U21&lt;=AsOf+2*AlertDays,3,""))))</f>
        <v/>
      </c>
      <c r="W21" s="79">
        <f>IF(V21="","",IF(O21="OVERDUE","Overdue payment: ","Payment due: ")&amp;B21&amp;" — "&amp;C21&amp;" ("&amp;CurSym&amp;" "&amp;FIXED(S21,0)&amp;")")</f>
        <v/>
      </c>
      <c r="Z21" s="115">
        <f>IF('Contractors'!B21="","",'Contractors'!B21)</f>
        <v/>
      </c>
      <c r="AA21" s="77">
        <f>IF(Z21="","",'Contractors'!K21)</f>
        <v/>
      </c>
      <c r="AB21" s="77">
        <f>IF(Z21="","",SUMIFS($L$6:$L$205,$B$6:$B$205,Z21))</f>
        <v/>
      </c>
      <c r="AC21" s="77">
        <f>IF(Z21="","",SUMIFS($N$6:$N$205,$B$6:$B$205,Z21))</f>
        <v/>
      </c>
      <c r="AD21" s="76">
        <f>IF(Z21="","",AA21-AC21)</f>
        <v/>
      </c>
      <c r="AE21" s="116">
        <f>IF(Z21="","",IFERROR(1/SUMPRODUCT(MAX(($B$6:$B$205=Z21)*$T$6:$T$205)),""))</f>
        <v/>
      </c>
      <c r="AF21" s="77">
        <f>IF(AE21="","",SUMIFS($S$6:$S$205,$B$6:$B$205,Z21,$I$6:$I$205,AE21))</f>
        <v/>
      </c>
    </row>
    <row r="22" ht="20" customHeight="1">
      <c r="B22" s="72" t="inlineStr">
        <is>
          <t>FlowRight Plumbing</t>
        </is>
      </c>
      <c r="C22" s="72" t="inlineStr">
        <is>
          <t>Rough-in complete 40%</t>
        </is>
      </c>
      <c r="D22" s="72" t="n"/>
      <c r="E22" s="72" t="n"/>
      <c r="F22" s="109" t="n">
        <v>0.4</v>
      </c>
      <c r="G22" s="73" t="n"/>
      <c r="H22" s="75">
        <f>IF(B22="","",IF(G22&lt;&gt;"",G22,IF(F22&lt;&gt;"",F22*IFERROR(INDEX('Contractors'!$I$6:$I$35,MATCH(B22,'Contractors'!$B$6:$B$35,0)),0),"")))</f>
        <v/>
      </c>
      <c r="I22" s="108" t="n">
        <v>46183</v>
      </c>
      <c r="J22" s="72" t="inlineStr">
        <is>
          <t>FR-5534</t>
        </is>
      </c>
      <c r="K22" s="108" t="n">
        <v>46174</v>
      </c>
      <c r="L22" s="73" t="n">
        <v>3680</v>
      </c>
      <c r="M22" s="108" t="n"/>
      <c r="N22" s="73" t="n"/>
      <c r="O22" s="107">
        <f>IF(B22="","",IF(M22&lt;&gt;"","Paid",IF(AND(I22&lt;&gt;"",I22&lt;AsOf),"OVERDUE",IF(OR(K22&lt;&gt;"",L22&lt;&gt;""),"Invoiced","Scheduled"))))</f>
        <v/>
      </c>
      <c r="P22" s="114">
        <f>IF(B22="","",IF(E22&lt;&gt;"",E22,IFERROR(INDEX('Contractors'!$D$6:$D$35,MATCH(B22,'Contractors'!$B$6:$B$35,0)),"")))</f>
        <v/>
      </c>
      <c r="Q22" s="79">
        <f>IF(B22="","",IF(D22&lt;&gt;"",D22,IFERROR(INDEX('Contractors'!$E$6:$E$35,MATCH(B22,'Contractors'!$B$6:$B$35,0)),"")))</f>
        <v/>
      </c>
      <c r="R22" s="79">
        <f>IF(O22="","",IF(O22="OVERDUE",2,IF(O22="Paid",0,IF(AND(I22&lt;&gt;"",I22&lt;=AsOf+AlertDays),1,0))))</f>
        <v/>
      </c>
      <c r="S22" s="79">
        <f>IF(AND(B22&lt;&gt;"",M22="",I22&lt;&gt;""),IF(L22&lt;&gt;"",L22,IF(H22="",0,H22)),0)</f>
        <v/>
      </c>
      <c r="T22" s="79">
        <f>IF(AND(B22&lt;&gt;"",M22="",I22&lt;&gt;""),1/I22,0)</f>
        <v/>
      </c>
      <c r="U22" s="111">
        <f>IF(AND(B22&lt;&gt;"",M22="",I22&lt;&gt;""),I22,"")</f>
        <v/>
      </c>
      <c r="V22" s="79">
        <f>IF(U22="","",IF(U22&lt;AsOf,1,IF(U22&lt;=AsOf+AlertDays,2,IF(U22&lt;=AsOf+2*AlertDays,3,""))))</f>
        <v/>
      </c>
      <c r="W22" s="79">
        <f>IF(V22="","",IF(O22="OVERDUE","Overdue payment: ","Payment due: ")&amp;B22&amp;" — "&amp;C22&amp;" ("&amp;CurSym&amp;" "&amp;FIXED(S22,0)&amp;")")</f>
        <v/>
      </c>
      <c r="Z22" s="115">
        <f>IF('Contractors'!B22="","",'Contractors'!B22)</f>
        <v/>
      </c>
      <c r="AA22" s="77">
        <f>IF(Z22="","",'Contractors'!K22)</f>
        <v/>
      </c>
      <c r="AB22" s="77">
        <f>IF(Z22="","",SUMIFS($L$6:$L$205,$B$6:$B$205,Z22))</f>
        <v/>
      </c>
      <c r="AC22" s="77">
        <f>IF(Z22="","",SUMIFS($N$6:$N$205,$B$6:$B$205,Z22))</f>
        <v/>
      </c>
      <c r="AD22" s="76">
        <f>IF(Z22="","",AA22-AC22)</f>
        <v/>
      </c>
      <c r="AE22" s="116">
        <f>IF(Z22="","",IFERROR(1/SUMPRODUCT(MAX(($B$6:$B$205=Z22)*$T$6:$T$205)),""))</f>
        <v/>
      </c>
      <c r="AF22" s="77">
        <f>IF(AE22="","",SUMIFS($S$6:$S$205,$B$6:$B$205,Z22,$I$6:$I$205,AE22))</f>
        <v/>
      </c>
    </row>
    <row r="23" ht="20" customHeight="1">
      <c r="B23" s="72" t="inlineStr">
        <is>
          <t>Aqua Bath Studio</t>
        </is>
      </c>
      <c r="C23" s="72" t="inlineStr">
        <is>
          <t>Deposit 20%</t>
        </is>
      </c>
      <c r="D23" s="72" t="n"/>
      <c r="E23" s="72" t="n"/>
      <c r="F23" s="109" t="n">
        <v>0.2</v>
      </c>
      <c r="G23" s="73" t="n"/>
      <c r="H23" s="75">
        <f>IF(B23="","",IF(G23&lt;&gt;"",G23,IF(F23&lt;&gt;"",F23*IFERROR(INDEX('Contractors'!$I$6:$I$35,MATCH(B23,'Contractors'!$B$6:$B$35,0)),0),"")))</f>
        <v/>
      </c>
      <c r="I23" s="108" t="n">
        <v>46192</v>
      </c>
      <c r="J23" s="72" t="inlineStr">
        <is>
          <t>ABS-301</t>
        </is>
      </c>
      <c r="K23" s="108" t="n">
        <v>46185</v>
      </c>
      <c r="L23" s="73" t="n">
        <v>2240</v>
      </c>
      <c r="M23" s="108" t="n"/>
      <c r="N23" s="73" t="n"/>
      <c r="O23" s="107">
        <f>IF(B23="","",IF(M23&lt;&gt;"","Paid",IF(AND(I23&lt;&gt;"",I23&lt;AsOf),"OVERDUE",IF(OR(K23&lt;&gt;"",L23&lt;&gt;""),"Invoiced","Scheduled"))))</f>
        <v/>
      </c>
      <c r="P23" s="114">
        <f>IF(B23="","",IF(E23&lt;&gt;"",E23,IFERROR(INDEX('Contractors'!$D$6:$D$35,MATCH(B23,'Contractors'!$B$6:$B$35,0)),"")))</f>
        <v/>
      </c>
      <c r="Q23" s="79">
        <f>IF(B23="","",IF(D23&lt;&gt;"",D23,IFERROR(INDEX('Contractors'!$E$6:$E$35,MATCH(B23,'Contractors'!$B$6:$B$35,0)),"")))</f>
        <v/>
      </c>
      <c r="R23" s="79">
        <f>IF(O23="","",IF(O23="OVERDUE",2,IF(O23="Paid",0,IF(AND(I23&lt;&gt;"",I23&lt;=AsOf+AlertDays),1,0))))</f>
        <v/>
      </c>
      <c r="S23" s="79">
        <f>IF(AND(B23&lt;&gt;"",M23="",I23&lt;&gt;""),IF(L23&lt;&gt;"",L23,IF(H23="",0,H23)),0)</f>
        <v/>
      </c>
      <c r="T23" s="79">
        <f>IF(AND(B23&lt;&gt;"",M23="",I23&lt;&gt;""),1/I23,0)</f>
        <v/>
      </c>
      <c r="U23" s="111">
        <f>IF(AND(B23&lt;&gt;"",M23="",I23&lt;&gt;""),I23,"")</f>
        <v/>
      </c>
      <c r="V23" s="79">
        <f>IF(U23="","",IF(U23&lt;AsOf,1,IF(U23&lt;=AsOf+AlertDays,2,IF(U23&lt;=AsOf+2*AlertDays,3,""))))</f>
        <v/>
      </c>
      <c r="W23" s="79">
        <f>IF(V23="","",IF(O23="OVERDUE","Overdue payment: ","Payment due: ")&amp;B23&amp;" — "&amp;C23&amp;" ("&amp;CurSym&amp;" "&amp;FIXED(S23,0)&amp;")")</f>
        <v/>
      </c>
      <c r="Z23" s="115">
        <f>IF('Contractors'!B23="","",'Contractors'!B23)</f>
        <v/>
      </c>
      <c r="AA23" s="77">
        <f>IF(Z23="","",'Contractors'!K23)</f>
        <v/>
      </c>
      <c r="AB23" s="77">
        <f>IF(Z23="","",SUMIFS($L$6:$L$205,$B$6:$B$205,Z23))</f>
        <v/>
      </c>
      <c r="AC23" s="77">
        <f>IF(Z23="","",SUMIFS($N$6:$N$205,$B$6:$B$205,Z23))</f>
        <v/>
      </c>
      <c r="AD23" s="76">
        <f>IF(Z23="","",AA23-AC23)</f>
        <v/>
      </c>
      <c r="AE23" s="116">
        <f>IF(Z23="","",IFERROR(1/SUMPRODUCT(MAX(($B$6:$B$205=Z23)*$T$6:$T$205)),""))</f>
        <v/>
      </c>
      <c r="AF23" s="77">
        <f>IF(AE23="","",SUMIFS($S$6:$S$205,$B$6:$B$205,Z23,$I$6:$I$205,AE23))</f>
        <v/>
      </c>
    </row>
    <row r="24" ht="20" customHeight="1">
      <c r="B24" s="72" t="inlineStr">
        <is>
          <t>ClearView Windows</t>
        </is>
      </c>
      <c r="C24" s="72" t="inlineStr">
        <is>
          <t>Final 10% (after snagging)</t>
        </is>
      </c>
      <c r="D24" s="72" t="n"/>
      <c r="E24" s="72" t="n"/>
      <c r="F24" s="109" t="n">
        <v>0.1</v>
      </c>
      <c r="G24" s="73" t="n"/>
      <c r="H24" s="75">
        <f>IF(B24="","",IF(G24&lt;&gt;"",G24,IF(F24&lt;&gt;"",F24*IFERROR(INDEX('Contractors'!$I$6:$I$35,MATCH(B24,'Contractors'!$B$6:$B$35,0)),0),"")))</f>
        <v/>
      </c>
      <c r="I24" s="108" t="n">
        <v>46193</v>
      </c>
      <c r="J24" s="72" t="inlineStr">
        <is>
          <t>CV-362</t>
        </is>
      </c>
      <c r="K24" s="108" t="n">
        <v>46185</v>
      </c>
      <c r="L24" s="73" t="n">
        <v>1240</v>
      </c>
      <c r="M24" s="108" t="n"/>
      <c r="N24" s="73" t="n"/>
      <c r="O24" s="107">
        <f>IF(B24="","",IF(M24&lt;&gt;"","Paid",IF(AND(I24&lt;&gt;"",I24&lt;AsOf),"OVERDUE",IF(OR(K24&lt;&gt;"",L24&lt;&gt;""),"Invoiced","Scheduled"))))</f>
        <v/>
      </c>
      <c r="P24" s="114">
        <f>IF(B24="","",IF(E24&lt;&gt;"",E24,IFERROR(INDEX('Contractors'!$D$6:$D$35,MATCH(B24,'Contractors'!$B$6:$B$35,0)),"")))</f>
        <v/>
      </c>
      <c r="Q24" s="79">
        <f>IF(B24="","",IF(D24&lt;&gt;"",D24,IFERROR(INDEX('Contractors'!$E$6:$E$35,MATCH(B24,'Contractors'!$B$6:$B$35,0)),"")))</f>
        <v/>
      </c>
      <c r="R24" s="79">
        <f>IF(O24="","",IF(O24="OVERDUE",2,IF(O24="Paid",0,IF(AND(I24&lt;&gt;"",I24&lt;=AsOf+AlertDays),1,0))))</f>
        <v/>
      </c>
      <c r="S24" s="79">
        <f>IF(AND(B24&lt;&gt;"",M24="",I24&lt;&gt;""),IF(L24&lt;&gt;"",L24,IF(H24="",0,H24)),0)</f>
        <v/>
      </c>
      <c r="T24" s="79">
        <f>IF(AND(B24&lt;&gt;"",M24="",I24&lt;&gt;""),1/I24,0)</f>
        <v/>
      </c>
      <c r="U24" s="111">
        <f>IF(AND(B24&lt;&gt;"",M24="",I24&lt;&gt;""),I24,"")</f>
        <v/>
      </c>
      <c r="V24" s="79">
        <f>IF(U24="","",IF(U24&lt;AsOf,1,IF(U24&lt;=AsOf+AlertDays,2,IF(U24&lt;=AsOf+2*AlertDays,3,""))))</f>
        <v/>
      </c>
      <c r="W24" s="79">
        <f>IF(V24="","",IF(O24="OVERDUE","Overdue payment: ","Payment due: ")&amp;B24&amp;" — "&amp;C24&amp;" ("&amp;CurSym&amp;" "&amp;FIXED(S24,0)&amp;")")</f>
        <v/>
      </c>
      <c r="Z24" s="115">
        <f>IF('Contractors'!B24="","",'Contractors'!B24)</f>
        <v/>
      </c>
      <c r="AA24" s="77">
        <f>IF(Z24="","",'Contractors'!K24)</f>
        <v/>
      </c>
      <c r="AB24" s="77">
        <f>IF(Z24="","",SUMIFS($L$6:$L$205,$B$6:$B$205,Z24))</f>
        <v/>
      </c>
      <c r="AC24" s="77">
        <f>IF(Z24="","",SUMIFS($N$6:$N$205,$B$6:$B$205,Z24))</f>
        <v/>
      </c>
      <c r="AD24" s="76">
        <f>IF(Z24="","",AA24-AC24)</f>
        <v/>
      </c>
      <c r="AE24" s="116">
        <f>IF(Z24="","",IFERROR(1/SUMPRODUCT(MAX(($B$6:$B$205=Z24)*$T$6:$T$205)),""))</f>
        <v/>
      </c>
      <c r="AF24" s="77">
        <f>IF(AE24="","",SUMIFS($S$6:$S$205,$B$6:$B$205,Z24,$I$6:$I$205,AE24))</f>
        <v/>
      </c>
    </row>
    <row r="25" ht="20" customHeight="1">
      <c r="B25" s="72" t="inlineStr">
        <is>
          <t>TileDepot</t>
        </is>
      </c>
      <c r="C25" s="72" t="inlineStr">
        <is>
          <t>Bathroom 1 tiles</t>
        </is>
      </c>
      <c r="D25" s="72" t="inlineStr">
        <is>
          <t>Bathroom 1</t>
        </is>
      </c>
      <c r="E25" s="72" t="inlineStr">
        <is>
          <t>Bathrooms</t>
        </is>
      </c>
      <c r="F25" s="109" t="n"/>
      <c r="G25" s="73" t="n">
        <v>1450</v>
      </c>
      <c r="H25" s="75">
        <f>IF(B25="","",IF(G25&lt;&gt;"",G25,IF(F25&lt;&gt;"",F25*IFERROR(INDEX('Contractors'!$I$6:$I$35,MATCH(B25,'Contractors'!$B$6:$B$35,0)),0),"")))</f>
        <v/>
      </c>
      <c r="I25" s="108" t="n">
        <v>46188</v>
      </c>
      <c r="J25" s="72" t="inlineStr">
        <is>
          <t>TD-4471</t>
        </is>
      </c>
      <c r="K25" s="108" t="n">
        <v>46185</v>
      </c>
      <c r="L25" s="73" t="n">
        <v>1450</v>
      </c>
      <c r="M25" s="108" t="n">
        <v>46188</v>
      </c>
      <c r="N25" s="73" t="n">
        <v>1450</v>
      </c>
      <c r="O25" s="107">
        <f>IF(B25="","",IF(M25&lt;&gt;"","Paid",IF(AND(I25&lt;&gt;"",I25&lt;AsOf),"OVERDUE",IF(OR(K25&lt;&gt;"",L25&lt;&gt;""),"Invoiced","Scheduled"))))</f>
        <v/>
      </c>
      <c r="P25" s="114">
        <f>IF(B25="","",IF(E25&lt;&gt;"",E25,IFERROR(INDEX('Contractors'!$D$6:$D$35,MATCH(B25,'Contractors'!$B$6:$B$35,0)),"")))</f>
        <v/>
      </c>
      <c r="Q25" s="79">
        <f>IF(B25="","",IF(D25&lt;&gt;"",D25,IFERROR(INDEX('Contractors'!$E$6:$E$35,MATCH(B25,'Contractors'!$B$6:$B$35,0)),"")))</f>
        <v/>
      </c>
      <c r="R25" s="79">
        <f>IF(O25="","",IF(O25="OVERDUE",2,IF(O25="Paid",0,IF(AND(I25&lt;&gt;"",I25&lt;=AsOf+AlertDays),1,0))))</f>
        <v/>
      </c>
      <c r="S25" s="79">
        <f>IF(AND(B25&lt;&gt;"",M25="",I25&lt;&gt;""),IF(L25&lt;&gt;"",L25,IF(H25="",0,H25)),0)</f>
        <v/>
      </c>
      <c r="T25" s="79">
        <f>IF(AND(B25&lt;&gt;"",M25="",I25&lt;&gt;""),1/I25,0)</f>
        <v/>
      </c>
      <c r="U25" s="111">
        <f>IF(AND(B25&lt;&gt;"",M25="",I25&lt;&gt;""),I25,"")</f>
        <v/>
      </c>
      <c r="V25" s="79">
        <f>IF(U25="","",IF(U25&lt;AsOf,1,IF(U25&lt;=AsOf+AlertDays,2,IF(U25&lt;=AsOf+2*AlertDays,3,""))))</f>
        <v/>
      </c>
      <c r="W25" s="79">
        <f>IF(V25="","",IF(O25="OVERDUE","Overdue payment: ","Payment due: ")&amp;B25&amp;" — "&amp;C25&amp;" ("&amp;CurSym&amp;" "&amp;FIXED(S25,0)&amp;")")</f>
        <v/>
      </c>
      <c r="Z25" s="115">
        <f>IF('Contractors'!B25="","",'Contractors'!B25)</f>
        <v/>
      </c>
      <c r="AA25" s="77">
        <f>IF(Z25="","",'Contractors'!K25)</f>
        <v/>
      </c>
      <c r="AB25" s="77">
        <f>IF(Z25="","",SUMIFS($L$6:$L$205,$B$6:$B$205,Z25))</f>
        <v/>
      </c>
      <c r="AC25" s="77">
        <f>IF(Z25="","",SUMIFS($N$6:$N$205,$B$6:$B$205,Z25))</f>
        <v/>
      </c>
      <c r="AD25" s="76">
        <f>IF(Z25="","",AA25-AC25)</f>
        <v/>
      </c>
      <c r="AE25" s="116">
        <f>IF(Z25="","",IFERROR(1/SUMPRODUCT(MAX(($B$6:$B$205=Z25)*$T$6:$T$205)),""))</f>
        <v/>
      </c>
      <c r="AF25" s="77">
        <f>IF(AE25="","",SUMIFS($S$6:$S$205,$B$6:$B$205,Z25,$I$6:$I$205,AE25))</f>
        <v/>
      </c>
    </row>
    <row r="26" ht="20" customHeight="1">
      <c r="B26" s="72" t="inlineStr">
        <is>
          <t>StoneWorks</t>
        </is>
      </c>
      <c r="C26" s="72" t="inlineStr">
        <is>
          <t>Quartz worktop</t>
        </is>
      </c>
      <c r="D26" s="72" t="inlineStr">
        <is>
          <t>Kitchen</t>
        </is>
      </c>
      <c r="E26" s="72" t="inlineStr">
        <is>
          <t>Kitchen</t>
        </is>
      </c>
      <c r="F26" s="109" t="n"/>
      <c r="G26" s="73" t="n">
        <v>2450</v>
      </c>
      <c r="H26" s="75">
        <f>IF(B26="","",IF(G26&lt;&gt;"",G26,IF(F26&lt;&gt;"",F26*IFERROR(INDEX('Contractors'!$I$6:$I$35,MATCH(B26,'Contractors'!$B$6:$B$35,0)),0),"")))</f>
        <v/>
      </c>
      <c r="I26" s="108" t="n">
        <v>46198</v>
      </c>
      <c r="J26" s="72" t="n"/>
      <c r="K26" s="108" t="n"/>
      <c r="L26" s="73" t="n"/>
      <c r="M26" s="108" t="n"/>
      <c r="N26" s="73" t="n"/>
      <c r="O26" s="107">
        <f>IF(B26="","",IF(M26&lt;&gt;"","Paid",IF(AND(I26&lt;&gt;"",I26&lt;AsOf),"OVERDUE",IF(OR(K26&lt;&gt;"",L26&lt;&gt;""),"Invoiced","Scheduled"))))</f>
        <v/>
      </c>
      <c r="P26" s="114">
        <f>IF(B26="","",IF(E26&lt;&gt;"",E26,IFERROR(INDEX('Contractors'!$D$6:$D$35,MATCH(B26,'Contractors'!$B$6:$B$35,0)),"")))</f>
        <v/>
      </c>
      <c r="Q26" s="79">
        <f>IF(B26="","",IF(D26&lt;&gt;"",D26,IFERROR(INDEX('Contractors'!$E$6:$E$35,MATCH(B26,'Contractors'!$B$6:$B$35,0)),"")))</f>
        <v/>
      </c>
      <c r="R26" s="79">
        <f>IF(O26="","",IF(O26="OVERDUE",2,IF(O26="Paid",0,IF(AND(I26&lt;&gt;"",I26&lt;=AsOf+AlertDays),1,0))))</f>
        <v/>
      </c>
      <c r="S26" s="79">
        <f>IF(AND(B26&lt;&gt;"",M26="",I26&lt;&gt;""),IF(L26&lt;&gt;"",L26,IF(H26="",0,H26)),0)</f>
        <v/>
      </c>
      <c r="T26" s="79">
        <f>IF(AND(B26&lt;&gt;"",M26="",I26&lt;&gt;""),1/I26,0)</f>
        <v/>
      </c>
      <c r="U26" s="111">
        <f>IF(AND(B26&lt;&gt;"",M26="",I26&lt;&gt;""),I26,"")</f>
        <v/>
      </c>
      <c r="V26" s="79">
        <f>IF(U26="","",IF(U26&lt;AsOf,1,IF(U26&lt;=AsOf+AlertDays,2,IF(U26&lt;=AsOf+2*AlertDays,3,""))))</f>
        <v/>
      </c>
      <c r="W26" s="79">
        <f>IF(V26="","",IF(O26="OVERDUE","Overdue payment: ","Payment due: ")&amp;B26&amp;" — "&amp;C26&amp;" ("&amp;CurSym&amp;" "&amp;FIXED(S26,0)&amp;")")</f>
        <v/>
      </c>
      <c r="Z26" s="115">
        <f>IF('Contractors'!B26="","",'Contractors'!B26)</f>
        <v/>
      </c>
      <c r="AA26" s="77">
        <f>IF(Z26="","",'Contractors'!K26)</f>
        <v/>
      </c>
      <c r="AB26" s="77">
        <f>IF(Z26="","",SUMIFS($L$6:$L$205,$B$6:$B$205,Z26))</f>
        <v/>
      </c>
      <c r="AC26" s="77">
        <f>IF(Z26="","",SUMIFS($N$6:$N$205,$B$6:$B$205,Z26))</f>
        <v/>
      </c>
      <c r="AD26" s="76">
        <f>IF(Z26="","",AA26-AC26)</f>
        <v/>
      </c>
      <c r="AE26" s="116">
        <f>IF(Z26="","",IFERROR(1/SUMPRODUCT(MAX(($B$6:$B$205=Z26)*$T$6:$T$205)),""))</f>
        <v/>
      </c>
      <c r="AF26" s="77">
        <f>IF(AE26="","",SUMIFS($S$6:$S$205,$B$6:$B$205,Z26,$I$6:$I$205,AE26))</f>
        <v/>
      </c>
    </row>
    <row r="27" ht="20" customHeight="1">
      <c r="B27" s="72" t="inlineStr">
        <is>
          <t>Nordic Kitchens</t>
        </is>
      </c>
      <c r="C27" s="72" t="inlineStr">
        <is>
          <t>Delivery 50%</t>
        </is>
      </c>
      <c r="D27" s="72" t="inlineStr">
        <is>
          <t>Kitchen</t>
        </is>
      </c>
      <c r="E27" s="72" t="n"/>
      <c r="F27" s="109" t="n">
        <v>0.5</v>
      </c>
      <c r="G27" s="73" t="n"/>
      <c r="H27" s="75">
        <f>IF(B27="","",IF(G27&lt;&gt;"",G27,IF(F27&lt;&gt;"",F27*IFERROR(INDEX('Contractors'!$I$6:$I$35,MATCH(B27,'Contractors'!$B$6:$B$35,0)),0),"")))</f>
        <v/>
      </c>
      <c r="I27" s="108" t="n">
        <v>46202</v>
      </c>
      <c r="J27" s="72" t="n"/>
      <c r="K27" s="108" t="n"/>
      <c r="L27" s="73" t="n"/>
      <c r="M27" s="108" t="n"/>
      <c r="N27" s="73" t="n"/>
      <c r="O27" s="107">
        <f>IF(B27="","",IF(M27&lt;&gt;"","Paid",IF(AND(I27&lt;&gt;"",I27&lt;AsOf),"OVERDUE",IF(OR(K27&lt;&gt;"",L27&lt;&gt;""),"Invoiced","Scheduled"))))</f>
        <v/>
      </c>
      <c r="P27" s="114">
        <f>IF(B27="","",IF(E27&lt;&gt;"",E27,IFERROR(INDEX('Contractors'!$D$6:$D$35,MATCH(B27,'Contractors'!$B$6:$B$35,0)),"")))</f>
        <v/>
      </c>
      <c r="Q27" s="79">
        <f>IF(B27="","",IF(D27&lt;&gt;"",D27,IFERROR(INDEX('Contractors'!$E$6:$E$35,MATCH(B27,'Contractors'!$B$6:$B$35,0)),"")))</f>
        <v/>
      </c>
      <c r="R27" s="79">
        <f>IF(O27="","",IF(O27="OVERDUE",2,IF(O27="Paid",0,IF(AND(I27&lt;&gt;"",I27&lt;=AsOf+AlertDays),1,0))))</f>
        <v/>
      </c>
      <c r="S27" s="79">
        <f>IF(AND(B27&lt;&gt;"",M27="",I27&lt;&gt;""),IF(L27&lt;&gt;"",L27,IF(H27="",0,H27)),0)</f>
        <v/>
      </c>
      <c r="T27" s="79">
        <f>IF(AND(B27&lt;&gt;"",M27="",I27&lt;&gt;""),1/I27,0)</f>
        <v/>
      </c>
      <c r="U27" s="111">
        <f>IF(AND(B27&lt;&gt;"",M27="",I27&lt;&gt;""),I27,"")</f>
        <v/>
      </c>
      <c r="V27" s="79">
        <f>IF(U27="","",IF(U27&lt;AsOf,1,IF(U27&lt;=AsOf+AlertDays,2,IF(U27&lt;=AsOf+2*AlertDays,3,""))))</f>
        <v/>
      </c>
      <c r="W27" s="79">
        <f>IF(V27="","",IF(O27="OVERDUE","Overdue payment: ","Payment due: ")&amp;B27&amp;" — "&amp;C27&amp;" ("&amp;CurSym&amp;" "&amp;FIXED(S27,0)&amp;")")</f>
        <v/>
      </c>
      <c r="Z27" s="115">
        <f>IF('Contractors'!B27="","",'Contractors'!B27)</f>
        <v/>
      </c>
      <c r="AA27" s="77">
        <f>IF(Z27="","",'Contractors'!K27)</f>
        <v/>
      </c>
      <c r="AB27" s="77">
        <f>IF(Z27="","",SUMIFS($L$6:$L$205,$B$6:$B$205,Z27))</f>
        <v/>
      </c>
      <c r="AC27" s="77">
        <f>IF(Z27="","",SUMIFS($N$6:$N$205,$B$6:$B$205,Z27))</f>
        <v/>
      </c>
      <c r="AD27" s="76">
        <f>IF(Z27="","",AA27-AC27)</f>
        <v/>
      </c>
      <c r="AE27" s="116">
        <f>IF(Z27="","",IFERROR(1/SUMPRODUCT(MAX(($B$6:$B$205=Z27)*$T$6:$T$205)),""))</f>
        <v/>
      </c>
      <c r="AF27" s="77">
        <f>IF(AE27="","",SUMIFS($S$6:$S$205,$B$6:$B$205,Z27,$I$6:$I$205,AE27))</f>
        <v/>
      </c>
    </row>
    <row r="28" ht="20" customHeight="1">
      <c r="B28" s="72" t="inlineStr">
        <is>
          <t>ClimaHeat HVAC</t>
        </is>
      </c>
      <c r="C28" s="72" t="inlineStr">
        <is>
          <t>Commissioning 70%</t>
        </is>
      </c>
      <c r="D28" s="72" t="n"/>
      <c r="E28" s="72" t="n"/>
      <c r="F28" s="109" t="n">
        <v>0.7</v>
      </c>
      <c r="G28" s="73" t="n"/>
      <c r="H28" s="75">
        <f>IF(B28="","",IF(G28&lt;&gt;"",G28,IF(F28&lt;&gt;"",F28*IFERROR(INDEX('Contractors'!$I$6:$I$35,MATCH(B28,'Contractors'!$B$6:$B$35,0)),0),"")))</f>
        <v/>
      </c>
      <c r="I28" s="108" t="n">
        <v>46203</v>
      </c>
      <c r="J28" s="72" t="n"/>
      <c r="K28" s="108" t="n"/>
      <c r="L28" s="73" t="n"/>
      <c r="M28" s="108" t="n"/>
      <c r="N28" s="73" t="n"/>
      <c r="O28" s="107">
        <f>IF(B28="","",IF(M28&lt;&gt;"","Paid",IF(AND(I28&lt;&gt;"",I28&lt;AsOf),"OVERDUE",IF(OR(K28&lt;&gt;"",L28&lt;&gt;""),"Invoiced","Scheduled"))))</f>
        <v/>
      </c>
      <c r="P28" s="114">
        <f>IF(B28="","",IF(E28&lt;&gt;"",E28,IFERROR(INDEX('Contractors'!$D$6:$D$35,MATCH(B28,'Contractors'!$B$6:$B$35,0)),"")))</f>
        <v/>
      </c>
      <c r="Q28" s="79">
        <f>IF(B28="","",IF(D28&lt;&gt;"",D28,IFERROR(INDEX('Contractors'!$E$6:$E$35,MATCH(B28,'Contractors'!$B$6:$B$35,0)),"")))</f>
        <v/>
      </c>
      <c r="R28" s="79">
        <f>IF(O28="","",IF(O28="OVERDUE",2,IF(O28="Paid",0,IF(AND(I28&lt;&gt;"",I28&lt;=AsOf+AlertDays),1,0))))</f>
        <v/>
      </c>
      <c r="S28" s="79">
        <f>IF(AND(B28&lt;&gt;"",M28="",I28&lt;&gt;""),IF(L28&lt;&gt;"",L28,IF(H28="",0,H28)),0)</f>
        <v/>
      </c>
      <c r="T28" s="79">
        <f>IF(AND(B28&lt;&gt;"",M28="",I28&lt;&gt;""),1/I28,0)</f>
        <v/>
      </c>
      <c r="U28" s="111">
        <f>IF(AND(B28&lt;&gt;"",M28="",I28&lt;&gt;""),I28,"")</f>
        <v/>
      </c>
      <c r="V28" s="79">
        <f>IF(U28="","",IF(U28&lt;AsOf,1,IF(U28&lt;=AsOf+AlertDays,2,IF(U28&lt;=AsOf+2*AlertDays,3,""))))</f>
        <v/>
      </c>
      <c r="W28" s="79">
        <f>IF(V28="","",IF(O28="OVERDUE","Overdue payment: ","Payment due: ")&amp;B28&amp;" — "&amp;C28&amp;" ("&amp;CurSym&amp;" "&amp;FIXED(S28,0)&amp;")")</f>
        <v/>
      </c>
      <c r="Z28" s="115">
        <f>IF('Contractors'!B28="","",'Contractors'!B28)</f>
        <v/>
      </c>
      <c r="AA28" s="77">
        <f>IF(Z28="","",'Contractors'!K28)</f>
        <v/>
      </c>
      <c r="AB28" s="77">
        <f>IF(Z28="","",SUMIFS($L$6:$L$205,$B$6:$B$205,Z28))</f>
        <v/>
      </c>
      <c r="AC28" s="77">
        <f>IF(Z28="","",SUMIFS($N$6:$N$205,$B$6:$B$205,Z28))</f>
        <v/>
      </c>
      <c r="AD28" s="76">
        <f>IF(Z28="","",AA28-AC28)</f>
        <v/>
      </c>
      <c r="AE28" s="116">
        <f>IF(Z28="","",IFERROR(1/SUMPRODUCT(MAX(($B$6:$B$205=Z28)*$T$6:$T$205)),""))</f>
        <v/>
      </c>
      <c r="AF28" s="77">
        <f>IF(AE28="","",SUMIFS($S$6:$S$205,$B$6:$B$205,Z28,$I$6:$I$205,AE28))</f>
        <v/>
      </c>
    </row>
    <row r="29" ht="20" customHeight="1">
      <c r="B29" s="72" t="inlineStr">
        <is>
          <t>FlowRight Plumbing</t>
        </is>
      </c>
      <c r="C29" s="72" t="inlineStr">
        <is>
          <t>Final 30%</t>
        </is>
      </c>
      <c r="D29" s="72" t="n"/>
      <c r="E29" s="72" t="n"/>
      <c r="F29" s="109" t="n">
        <v>0.3</v>
      </c>
      <c r="G29" s="73" t="n"/>
      <c r="H29" s="75">
        <f>IF(B29="","",IF(G29&lt;&gt;"",G29,IF(F29&lt;&gt;"",F29*IFERROR(INDEX('Contractors'!$I$6:$I$35,MATCH(B29,'Contractors'!$B$6:$B$35,0)),0),"")))</f>
        <v/>
      </c>
      <c r="I29" s="108" t="n">
        <v>46223</v>
      </c>
      <c r="J29" s="72" t="n"/>
      <c r="K29" s="108" t="n"/>
      <c r="L29" s="73" t="n"/>
      <c r="M29" s="108" t="n"/>
      <c r="N29" s="73" t="n"/>
      <c r="O29" s="107">
        <f>IF(B29="","",IF(M29&lt;&gt;"","Paid",IF(AND(I29&lt;&gt;"",I29&lt;AsOf),"OVERDUE",IF(OR(K29&lt;&gt;"",L29&lt;&gt;""),"Invoiced","Scheduled"))))</f>
        <v/>
      </c>
      <c r="P29" s="114">
        <f>IF(B29="","",IF(E29&lt;&gt;"",E29,IFERROR(INDEX('Contractors'!$D$6:$D$35,MATCH(B29,'Contractors'!$B$6:$B$35,0)),"")))</f>
        <v/>
      </c>
      <c r="Q29" s="79">
        <f>IF(B29="","",IF(D29&lt;&gt;"",D29,IFERROR(INDEX('Contractors'!$E$6:$E$35,MATCH(B29,'Contractors'!$B$6:$B$35,0)),"")))</f>
        <v/>
      </c>
      <c r="R29" s="79">
        <f>IF(O29="","",IF(O29="OVERDUE",2,IF(O29="Paid",0,IF(AND(I29&lt;&gt;"",I29&lt;=AsOf+AlertDays),1,0))))</f>
        <v/>
      </c>
      <c r="S29" s="79">
        <f>IF(AND(B29&lt;&gt;"",M29="",I29&lt;&gt;""),IF(L29&lt;&gt;"",L29,IF(H29="",0,H29)),0)</f>
        <v/>
      </c>
      <c r="T29" s="79">
        <f>IF(AND(B29&lt;&gt;"",M29="",I29&lt;&gt;""),1/I29,0)</f>
        <v/>
      </c>
      <c r="U29" s="111">
        <f>IF(AND(B29&lt;&gt;"",M29="",I29&lt;&gt;""),I29,"")</f>
        <v/>
      </c>
      <c r="V29" s="79">
        <f>IF(U29="","",IF(U29&lt;AsOf,1,IF(U29&lt;=AsOf+AlertDays,2,IF(U29&lt;=AsOf+2*AlertDays,3,""))))</f>
        <v/>
      </c>
      <c r="W29" s="79">
        <f>IF(V29="","",IF(O29="OVERDUE","Overdue payment: ","Payment due: ")&amp;B29&amp;" — "&amp;C29&amp;" ("&amp;CurSym&amp;" "&amp;FIXED(S29,0)&amp;")")</f>
        <v/>
      </c>
      <c r="Z29" s="115">
        <f>IF('Contractors'!B29="","",'Contractors'!B29)</f>
        <v/>
      </c>
      <c r="AA29" s="77">
        <f>IF(Z29="","",'Contractors'!K29)</f>
        <v/>
      </c>
      <c r="AB29" s="77">
        <f>IF(Z29="","",SUMIFS($L$6:$L$205,$B$6:$B$205,Z29))</f>
        <v/>
      </c>
      <c r="AC29" s="77">
        <f>IF(Z29="","",SUMIFS($N$6:$N$205,$B$6:$B$205,Z29))</f>
        <v/>
      </c>
      <c r="AD29" s="76">
        <f>IF(Z29="","",AA29-AC29)</f>
        <v/>
      </c>
      <c r="AE29" s="116">
        <f>IF(Z29="","",IFERROR(1/SUMPRODUCT(MAX(($B$6:$B$205=Z29)*$T$6:$T$205)),""))</f>
        <v/>
      </c>
      <c r="AF29" s="77">
        <f>IF(AE29="","",SUMIFS($S$6:$S$205,$B$6:$B$205,Z29,$I$6:$I$205,AE29))</f>
        <v/>
      </c>
    </row>
    <row r="30" ht="20" customHeight="1">
      <c r="B30" s="72" t="inlineStr">
        <is>
          <t>Nordic Kitchens</t>
        </is>
      </c>
      <c r="C30" s="72" t="inlineStr">
        <is>
          <t>Completion 40%</t>
        </is>
      </c>
      <c r="D30" s="72" t="inlineStr">
        <is>
          <t>Kitchen</t>
        </is>
      </c>
      <c r="E30" s="72" t="n"/>
      <c r="F30" s="109" t="n">
        <v>0.4</v>
      </c>
      <c r="G30" s="73" t="n"/>
      <c r="H30" s="75">
        <f>IF(B30="","",IF(G30&lt;&gt;"",G30,IF(F30&lt;&gt;"",F30*IFERROR(INDEX('Contractors'!$I$6:$I$35,MATCH(B30,'Contractors'!$B$6:$B$35,0)),0),"")))</f>
        <v/>
      </c>
      <c r="I30" s="108" t="n">
        <v>46223</v>
      </c>
      <c r="J30" s="72" t="n"/>
      <c r="K30" s="108" t="n"/>
      <c r="L30" s="73" t="n"/>
      <c r="M30" s="108" t="n"/>
      <c r="N30" s="73" t="n"/>
      <c r="O30" s="107">
        <f>IF(B30="","",IF(M30&lt;&gt;"","Paid",IF(AND(I30&lt;&gt;"",I30&lt;AsOf),"OVERDUE",IF(OR(K30&lt;&gt;"",L30&lt;&gt;""),"Invoiced","Scheduled"))))</f>
        <v/>
      </c>
      <c r="P30" s="114">
        <f>IF(B30="","",IF(E30&lt;&gt;"",E30,IFERROR(INDEX('Contractors'!$D$6:$D$35,MATCH(B30,'Contractors'!$B$6:$B$35,0)),"")))</f>
        <v/>
      </c>
      <c r="Q30" s="79">
        <f>IF(B30="","",IF(D30&lt;&gt;"",D30,IFERROR(INDEX('Contractors'!$E$6:$E$35,MATCH(B30,'Contractors'!$B$6:$B$35,0)),"")))</f>
        <v/>
      </c>
      <c r="R30" s="79">
        <f>IF(O30="","",IF(O30="OVERDUE",2,IF(O30="Paid",0,IF(AND(I30&lt;&gt;"",I30&lt;=AsOf+AlertDays),1,0))))</f>
        <v/>
      </c>
      <c r="S30" s="79">
        <f>IF(AND(B30&lt;&gt;"",M30="",I30&lt;&gt;""),IF(L30&lt;&gt;"",L30,IF(H30="",0,H30)),0)</f>
        <v/>
      </c>
      <c r="T30" s="79">
        <f>IF(AND(B30&lt;&gt;"",M30="",I30&lt;&gt;""),1/I30,0)</f>
        <v/>
      </c>
      <c r="U30" s="111">
        <f>IF(AND(B30&lt;&gt;"",M30="",I30&lt;&gt;""),I30,"")</f>
        <v/>
      </c>
      <c r="V30" s="79">
        <f>IF(U30="","",IF(U30&lt;AsOf,1,IF(U30&lt;=AsOf+AlertDays,2,IF(U30&lt;=AsOf+2*AlertDays,3,""))))</f>
        <v/>
      </c>
      <c r="W30" s="79">
        <f>IF(V30="","",IF(O30="OVERDUE","Overdue payment: ","Payment due: ")&amp;B30&amp;" — "&amp;C30&amp;" ("&amp;CurSym&amp;" "&amp;FIXED(S30,0)&amp;")")</f>
        <v/>
      </c>
      <c r="Z30" s="115">
        <f>IF('Contractors'!B30="","",'Contractors'!B30)</f>
        <v/>
      </c>
      <c r="AA30" s="77">
        <f>IF(Z30="","",'Contractors'!K30)</f>
        <v/>
      </c>
      <c r="AB30" s="77">
        <f>IF(Z30="","",SUMIFS($L$6:$L$205,$B$6:$B$205,Z30))</f>
        <v/>
      </c>
      <c r="AC30" s="77">
        <f>IF(Z30="","",SUMIFS($N$6:$N$205,$B$6:$B$205,Z30))</f>
        <v/>
      </c>
      <c r="AD30" s="76">
        <f>IF(Z30="","",AA30-AC30)</f>
        <v/>
      </c>
      <c r="AE30" s="116">
        <f>IF(Z30="","",IFERROR(1/SUMPRODUCT(MAX(($B$6:$B$205=Z30)*$T$6:$T$205)),""))</f>
        <v/>
      </c>
      <c r="AF30" s="77">
        <f>IF(AE30="","",SUMIFS($S$6:$S$205,$B$6:$B$205,Z30,$I$6:$I$205,AE30))</f>
        <v/>
      </c>
    </row>
    <row r="31" ht="20" customHeight="1">
      <c r="B31" s="72" t="inlineStr">
        <is>
          <t>Aqua Bath Studio</t>
        </is>
      </c>
      <c r="C31" s="72" t="inlineStr">
        <is>
          <t>Completion 80%</t>
        </is>
      </c>
      <c r="D31" s="72" t="n"/>
      <c r="E31" s="72" t="n"/>
      <c r="F31" s="109" t="n">
        <v>0.8</v>
      </c>
      <c r="G31" s="73" t="n"/>
      <c r="H31" s="75">
        <f>IF(B31="","",IF(G31&lt;&gt;"",G31,IF(F31&lt;&gt;"",F31*IFERROR(INDEX('Contractors'!$I$6:$I$35,MATCH(B31,'Contractors'!$B$6:$B$35,0)),0),"")))</f>
        <v/>
      </c>
      <c r="I31" s="108" t="n">
        <v>46234</v>
      </c>
      <c r="J31" s="72" t="n"/>
      <c r="K31" s="108" t="n"/>
      <c r="L31" s="73" t="n"/>
      <c r="M31" s="108" t="n"/>
      <c r="N31" s="73" t="n"/>
      <c r="O31" s="107">
        <f>IF(B31="","",IF(M31&lt;&gt;"","Paid",IF(AND(I31&lt;&gt;"",I31&lt;AsOf),"OVERDUE",IF(OR(K31&lt;&gt;"",L31&lt;&gt;""),"Invoiced","Scheduled"))))</f>
        <v/>
      </c>
      <c r="P31" s="114">
        <f>IF(B31="","",IF(E31&lt;&gt;"",E31,IFERROR(INDEX('Contractors'!$D$6:$D$35,MATCH(B31,'Contractors'!$B$6:$B$35,0)),"")))</f>
        <v/>
      </c>
      <c r="Q31" s="79">
        <f>IF(B31="","",IF(D31&lt;&gt;"",D31,IFERROR(INDEX('Contractors'!$E$6:$E$35,MATCH(B31,'Contractors'!$B$6:$B$35,0)),"")))</f>
        <v/>
      </c>
      <c r="R31" s="79">
        <f>IF(O31="","",IF(O31="OVERDUE",2,IF(O31="Paid",0,IF(AND(I31&lt;&gt;"",I31&lt;=AsOf+AlertDays),1,0))))</f>
        <v/>
      </c>
      <c r="S31" s="79">
        <f>IF(AND(B31&lt;&gt;"",M31="",I31&lt;&gt;""),IF(L31&lt;&gt;"",L31,IF(H31="",0,H31)),0)</f>
        <v/>
      </c>
      <c r="T31" s="79">
        <f>IF(AND(B31&lt;&gt;"",M31="",I31&lt;&gt;""),1/I31,0)</f>
        <v/>
      </c>
      <c r="U31" s="111">
        <f>IF(AND(B31&lt;&gt;"",M31="",I31&lt;&gt;""),I31,"")</f>
        <v/>
      </c>
      <c r="V31" s="79">
        <f>IF(U31="","",IF(U31&lt;AsOf,1,IF(U31&lt;=AsOf+AlertDays,2,IF(U31&lt;=AsOf+2*AlertDays,3,""))))</f>
        <v/>
      </c>
      <c r="W31" s="79">
        <f>IF(V31="","",IF(O31="OVERDUE","Overdue payment: ","Payment due: ")&amp;B31&amp;" — "&amp;C31&amp;" ("&amp;CurSym&amp;" "&amp;FIXED(S31,0)&amp;")")</f>
        <v/>
      </c>
      <c r="Z31" s="115">
        <f>IF('Contractors'!B31="","",'Contractors'!B31)</f>
        <v/>
      </c>
      <c r="AA31" s="77">
        <f>IF(Z31="","",'Contractors'!K31)</f>
        <v/>
      </c>
      <c r="AB31" s="77">
        <f>IF(Z31="","",SUMIFS($L$6:$L$205,$B$6:$B$205,Z31))</f>
        <v/>
      </c>
      <c r="AC31" s="77">
        <f>IF(Z31="","",SUMIFS($N$6:$N$205,$B$6:$B$205,Z31))</f>
        <v/>
      </c>
      <c r="AD31" s="76">
        <f>IF(Z31="","",AA31-AC31)</f>
        <v/>
      </c>
      <c r="AE31" s="116">
        <f>IF(Z31="","",IFERROR(1/SUMPRODUCT(MAX(($B$6:$B$205=Z31)*$T$6:$T$205)),""))</f>
        <v/>
      </c>
      <c r="AF31" s="77">
        <f>IF(AE31="","",SUMIFS($S$6:$S$205,$B$6:$B$205,Z31,$I$6:$I$205,AE31))</f>
        <v/>
      </c>
    </row>
    <row r="32" ht="20" customHeight="1">
      <c r="B32" s="72" t="inlineStr">
        <is>
          <t>Bright Spark Electric</t>
        </is>
      </c>
      <c r="C32" s="72" t="inlineStr">
        <is>
          <t>Final 40%</t>
        </is>
      </c>
      <c r="D32" s="72" t="n"/>
      <c r="E32" s="72" t="n"/>
      <c r="F32" s="109" t="n">
        <v>0.4</v>
      </c>
      <c r="G32" s="73" t="n"/>
      <c r="H32" s="75">
        <f>IF(B32="","",IF(G32&lt;&gt;"",G32,IF(F32&lt;&gt;"",F32*IFERROR(INDEX('Contractors'!$I$6:$I$35,MATCH(B32,'Contractors'!$B$6:$B$35,0)),0),"")))</f>
        <v/>
      </c>
      <c r="I32" s="108" t="n">
        <v>46246</v>
      </c>
      <c r="J32" s="72" t="n"/>
      <c r="K32" s="108" t="n"/>
      <c r="L32" s="73" t="n"/>
      <c r="M32" s="108" t="n"/>
      <c r="N32" s="73" t="n"/>
      <c r="O32" s="107">
        <f>IF(B32="","",IF(M32&lt;&gt;"","Paid",IF(AND(I32&lt;&gt;"",I32&lt;AsOf),"OVERDUE",IF(OR(K32&lt;&gt;"",L32&lt;&gt;""),"Invoiced","Scheduled"))))</f>
        <v/>
      </c>
      <c r="P32" s="114">
        <f>IF(B32="","",IF(E32&lt;&gt;"",E32,IFERROR(INDEX('Contractors'!$D$6:$D$35,MATCH(B32,'Contractors'!$B$6:$B$35,0)),"")))</f>
        <v/>
      </c>
      <c r="Q32" s="79">
        <f>IF(B32="","",IF(D32&lt;&gt;"",D32,IFERROR(INDEX('Contractors'!$E$6:$E$35,MATCH(B32,'Contractors'!$B$6:$B$35,0)),"")))</f>
        <v/>
      </c>
      <c r="R32" s="79">
        <f>IF(O32="","",IF(O32="OVERDUE",2,IF(O32="Paid",0,IF(AND(I32&lt;&gt;"",I32&lt;=AsOf+AlertDays),1,0))))</f>
        <v/>
      </c>
      <c r="S32" s="79">
        <f>IF(AND(B32&lt;&gt;"",M32="",I32&lt;&gt;""),IF(L32&lt;&gt;"",L32,IF(H32="",0,H32)),0)</f>
        <v/>
      </c>
      <c r="T32" s="79">
        <f>IF(AND(B32&lt;&gt;"",M32="",I32&lt;&gt;""),1/I32,0)</f>
        <v/>
      </c>
      <c r="U32" s="111">
        <f>IF(AND(B32&lt;&gt;"",M32="",I32&lt;&gt;""),I32,"")</f>
        <v/>
      </c>
      <c r="V32" s="79">
        <f>IF(U32="","",IF(U32&lt;AsOf,1,IF(U32&lt;=AsOf+AlertDays,2,IF(U32&lt;=AsOf+2*AlertDays,3,""))))</f>
        <v/>
      </c>
      <c r="W32" s="79">
        <f>IF(V32="","",IF(O32="OVERDUE","Overdue payment: ","Payment due: ")&amp;B32&amp;" — "&amp;C32&amp;" ("&amp;CurSym&amp;" "&amp;FIXED(S32,0)&amp;")")</f>
        <v/>
      </c>
      <c r="Z32" s="115">
        <f>IF('Contractors'!B32="","",'Contractors'!B32)</f>
        <v/>
      </c>
      <c r="AA32" s="77">
        <f>IF(Z32="","",'Contractors'!K32)</f>
        <v/>
      </c>
      <c r="AB32" s="77">
        <f>IF(Z32="","",SUMIFS($L$6:$L$205,$B$6:$B$205,Z32))</f>
        <v/>
      </c>
      <c r="AC32" s="77">
        <f>IF(Z32="","",SUMIFS($N$6:$N$205,$B$6:$B$205,Z32))</f>
        <v/>
      </c>
      <c r="AD32" s="76">
        <f>IF(Z32="","",AA32-AC32)</f>
        <v/>
      </c>
      <c r="AE32" s="116">
        <f>IF(Z32="","",IFERROR(1/SUMPRODUCT(MAX(($B$6:$B$205=Z32)*$T$6:$T$205)),""))</f>
        <v/>
      </c>
      <c r="AF32" s="77">
        <f>IF(AE32="","",SUMIFS($S$6:$S$205,$B$6:$B$205,Z32,$I$6:$I$205,AE32))</f>
        <v/>
      </c>
    </row>
    <row r="33" ht="20" customHeight="1">
      <c r="B33" s="72" t="inlineStr">
        <is>
          <t>GreenPlan Architects</t>
        </is>
      </c>
      <c r="C33" s="72" t="inlineStr">
        <is>
          <t>Final sign-off 25%</t>
        </is>
      </c>
      <c r="D33" s="72" t="n"/>
      <c r="E33" s="72" t="n"/>
      <c r="F33" s="109" t="n">
        <v>0.25</v>
      </c>
      <c r="G33" s="73" t="n"/>
      <c r="H33" s="75">
        <f>IF(B33="","",IF(G33&lt;&gt;"",G33,IF(F33&lt;&gt;"",F33*IFERROR(INDEX('Contractors'!$I$6:$I$35,MATCH(B33,'Contractors'!$B$6:$B$35,0)),0),"")))</f>
        <v/>
      </c>
      <c r="I33" s="108" t="n">
        <v>46254</v>
      </c>
      <c r="J33" s="72" t="n"/>
      <c r="K33" s="108" t="n"/>
      <c r="L33" s="73" t="n"/>
      <c r="M33" s="108" t="n"/>
      <c r="N33" s="73" t="n"/>
      <c r="O33" s="107">
        <f>IF(B33="","",IF(M33&lt;&gt;"","Paid",IF(AND(I33&lt;&gt;"",I33&lt;AsOf),"OVERDUE",IF(OR(K33&lt;&gt;"",L33&lt;&gt;""),"Invoiced","Scheduled"))))</f>
        <v/>
      </c>
      <c r="P33" s="114">
        <f>IF(B33="","",IF(E33&lt;&gt;"",E33,IFERROR(INDEX('Contractors'!$D$6:$D$35,MATCH(B33,'Contractors'!$B$6:$B$35,0)),"")))</f>
        <v/>
      </c>
      <c r="Q33" s="79">
        <f>IF(B33="","",IF(D33&lt;&gt;"",D33,IFERROR(INDEX('Contractors'!$E$6:$E$35,MATCH(B33,'Contractors'!$B$6:$B$35,0)),"")))</f>
        <v/>
      </c>
      <c r="R33" s="79">
        <f>IF(O33="","",IF(O33="OVERDUE",2,IF(O33="Paid",0,IF(AND(I33&lt;&gt;"",I33&lt;=AsOf+AlertDays),1,0))))</f>
        <v/>
      </c>
      <c r="S33" s="79">
        <f>IF(AND(B33&lt;&gt;"",M33="",I33&lt;&gt;""),IF(L33&lt;&gt;"",L33,IF(H33="",0,H33)),0)</f>
        <v/>
      </c>
      <c r="T33" s="79">
        <f>IF(AND(B33&lt;&gt;"",M33="",I33&lt;&gt;""),1/I33,0)</f>
        <v/>
      </c>
      <c r="U33" s="111">
        <f>IF(AND(B33&lt;&gt;"",M33="",I33&lt;&gt;""),I33,"")</f>
        <v/>
      </c>
      <c r="V33" s="79">
        <f>IF(U33="","",IF(U33&lt;AsOf,1,IF(U33&lt;=AsOf+AlertDays,2,IF(U33&lt;=AsOf+2*AlertDays,3,""))))</f>
        <v/>
      </c>
      <c r="W33" s="79">
        <f>IF(V33="","",IF(O33="OVERDUE","Overdue payment: ","Payment due: ")&amp;B33&amp;" — "&amp;C33&amp;" ("&amp;CurSym&amp;" "&amp;FIXED(S33,0)&amp;")")</f>
        <v/>
      </c>
      <c r="Z33" s="115">
        <f>IF('Contractors'!B33="","",'Contractors'!B33)</f>
        <v/>
      </c>
      <c r="AA33" s="77">
        <f>IF(Z33="","",'Contractors'!K33)</f>
        <v/>
      </c>
      <c r="AB33" s="77">
        <f>IF(Z33="","",SUMIFS($L$6:$L$205,$B$6:$B$205,Z33))</f>
        <v/>
      </c>
      <c r="AC33" s="77">
        <f>IF(Z33="","",SUMIFS($N$6:$N$205,$B$6:$B$205,Z33))</f>
        <v/>
      </c>
      <c r="AD33" s="76">
        <f>IF(Z33="","",AA33-AC33)</f>
        <v/>
      </c>
      <c r="AE33" s="116">
        <f>IF(Z33="","",IFERROR(1/SUMPRODUCT(MAX(($B$6:$B$205=Z33)*$T$6:$T$205)),""))</f>
        <v/>
      </c>
      <c r="AF33" s="77">
        <f>IF(AE33="","",SUMIFS($S$6:$S$205,$B$6:$B$205,Z33,$I$6:$I$205,AE33))</f>
        <v/>
      </c>
    </row>
    <row r="34" ht="20" customHeight="1">
      <c r="B34" s="72" t="n"/>
      <c r="C34" s="72" t="n"/>
      <c r="D34" s="72" t="n"/>
      <c r="E34" s="72" t="n"/>
      <c r="F34" s="109" t="n"/>
      <c r="G34" s="73" t="n"/>
      <c r="H34" s="75">
        <f>IF(B34="","",IF(G34&lt;&gt;"",G34,IF(F34&lt;&gt;"",F34*IFERROR(INDEX('Contractors'!$I$6:$I$35,MATCH(B34,'Contractors'!$B$6:$B$35,0)),0),"")))</f>
        <v/>
      </c>
      <c r="I34" s="108" t="n"/>
      <c r="J34" s="72" t="n"/>
      <c r="K34" s="108" t="n"/>
      <c r="L34" s="73" t="n"/>
      <c r="M34" s="108" t="n"/>
      <c r="N34" s="73" t="n"/>
      <c r="O34" s="107">
        <f>IF(B34="","",IF(M34&lt;&gt;"","Paid",IF(AND(I34&lt;&gt;"",I34&lt;AsOf),"OVERDUE",IF(OR(K34&lt;&gt;"",L34&lt;&gt;""),"Invoiced","Scheduled"))))</f>
        <v/>
      </c>
      <c r="P34" s="114">
        <f>IF(B34="","",IF(E34&lt;&gt;"",E34,IFERROR(INDEX('Contractors'!$D$6:$D$35,MATCH(B34,'Contractors'!$B$6:$B$35,0)),"")))</f>
        <v/>
      </c>
      <c r="Q34" s="79">
        <f>IF(B34="","",IF(D34&lt;&gt;"",D34,IFERROR(INDEX('Contractors'!$E$6:$E$35,MATCH(B34,'Contractors'!$B$6:$B$35,0)),"")))</f>
        <v/>
      </c>
      <c r="R34" s="79">
        <f>IF(O34="","",IF(O34="OVERDUE",2,IF(O34="Paid",0,IF(AND(I34&lt;&gt;"",I34&lt;=AsOf+AlertDays),1,0))))</f>
        <v/>
      </c>
      <c r="S34" s="79">
        <f>IF(AND(B34&lt;&gt;"",M34="",I34&lt;&gt;""),IF(L34&lt;&gt;"",L34,IF(H34="",0,H34)),0)</f>
        <v/>
      </c>
      <c r="T34" s="79">
        <f>IF(AND(B34&lt;&gt;"",M34="",I34&lt;&gt;""),1/I34,0)</f>
        <v/>
      </c>
      <c r="U34" s="111">
        <f>IF(AND(B34&lt;&gt;"",M34="",I34&lt;&gt;""),I34,"")</f>
        <v/>
      </c>
      <c r="V34" s="79">
        <f>IF(U34="","",IF(U34&lt;AsOf,1,IF(U34&lt;=AsOf+AlertDays,2,IF(U34&lt;=AsOf+2*AlertDays,3,""))))</f>
        <v/>
      </c>
      <c r="W34" s="79">
        <f>IF(V34="","",IF(O34="OVERDUE","Overdue payment: ","Payment due: ")&amp;B34&amp;" — "&amp;C34&amp;" ("&amp;CurSym&amp;" "&amp;FIXED(S34,0)&amp;")")</f>
        <v/>
      </c>
      <c r="Z34" s="115">
        <f>IF('Contractors'!B34="","",'Contractors'!B34)</f>
        <v/>
      </c>
      <c r="AA34" s="77">
        <f>IF(Z34="","",'Contractors'!K34)</f>
        <v/>
      </c>
      <c r="AB34" s="77">
        <f>IF(Z34="","",SUMIFS($L$6:$L$205,$B$6:$B$205,Z34))</f>
        <v/>
      </c>
      <c r="AC34" s="77">
        <f>IF(Z34="","",SUMIFS($N$6:$N$205,$B$6:$B$205,Z34))</f>
        <v/>
      </c>
      <c r="AD34" s="76">
        <f>IF(Z34="","",AA34-AC34)</f>
        <v/>
      </c>
      <c r="AE34" s="116">
        <f>IF(Z34="","",IFERROR(1/SUMPRODUCT(MAX(($B$6:$B$205=Z34)*$T$6:$T$205)),""))</f>
        <v/>
      </c>
      <c r="AF34" s="77">
        <f>IF(AE34="","",SUMIFS($S$6:$S$205,$B$6:$B$205,Z34,$I$6:$I$205,AE34))</f>
        <v/>
      </c>
    </row>
    <row r="35" ht="20" customHeight="1">
      <c r="B35" s="72" t="n"/>
      <c r="C35" s="72" t="n"/>
      <c r="D35" s="72" t="n"/>
      <c r="E35" s="72" t="n"/>
      <c r="F35" s="109" t="n"/>
      <c r="G35" s="73" t="n"/>
      <c r="H35" s="75">
        <f>IF(B35="","",IF(G35&lt;&gt;"",G35,IF(F35&lt;&gt;"",F35*IFERROR(INDEX('Contractors'!$I$6:$I$35,MATCH(B35,'Contractors'!$B$6:$B$35,0)),0),"")))</f>
        <v/>
      </c>
      <c r="I35" s="108" t="n"/>
      <c r="J35" s="72" t="n"/>
      <c r="K35" s="108" t="n"/>
      <c r="L35" s="73" t="n"/>
      <c r="M35" s="108" t="n"/>
      <c r="N35" s="73" t="n"/>
      <c r="O35" s="107">
        <f>IF(B35="","",IF(M35&lt;&gt;"","Paid",IF(AND(I35&lt;&gt;"",I35&lt;AsOf),"OVERDUE",IF(OR(K35&lt;&gt;"",L35&lt;&gt;""),"Invoiced","Scheduled"))))</f>
        <v/>
      </c>
      <c r="P35" s="114">
        <f>IF(B35="","",IF(E35&lt;&gt;"",E35,IFERROR(INDEX('Contractors'!$D$6:$D$35,MATCH(B35,'Contractors'!$B$6:$B$35,0)),"")))</f>
        <v/>
      </c>
      <c r="Q35" s="79">
        <f>IF(B35="","",IF(D35&lt;&gt;"",D35,IFERROR(INDEX('Contractors'!$E$6:$E$35,MATCH(B35,'Contractors'!$B$6:$B$35,0)),"")))</f>
        <v/>
      </c>
      <c r="R35" s="79">
        <f>IF(O35="","",IF(O35="OVERDUE",2,IF(O35="Paid",0,IF(AND(I35&lt;&gt;"",I35&lt;=AsOf+AlertDays),1,0))))</f>
        <v/>
      </c>
      <c r="S35" s="79">
        <f>IF(AND(B35&lt;&gt;"",M35="",I35&lt;&gt;""),IF(L35&lt;&gt;"",L35,IF(H35="",0,H35)),0)</f>
        <v/>
      </c>
      <c r="T35" s="79">
        <f>IF(AND(B35&lt;&gt;"",M35="",I35&lt;&gt;""),1/I35,0)</f>
        <v/>
      </c>
      <c r="U35" s="111">
        <f>IF(AND(B35&lt;&gt;"",M35="",I35&lt;&gt;""),I35,"")</f>
        <v/>
      </c>
      <c r="V35" s="79">
        <f>IF(U35="","",IF(U35&lt;AsOf,1,IF(U35&lt;=AsOf+AlertDays,2,IF(U35&lt;=AsOf+2*AlertDays,3,""))))</f>
        <v/>
      </c>
      <c r="W35" s="79">
        <f>IF(V35="","",IF(O35="OVERDUE","Overdue payment: ","Payment due: ")&amp;B35&amp;" — "&amp;C35&amp;" ("&amp;CurSym&amp;" "&amp;FIXED(S35,0)&amp;")")</f>
        <v/>
      </c>
      <c r="Z35" s="115">
        <f>IF('Contractors'!B35="","",'Contractors'!B35)</f>
        <v/>
      </c>
      <c r="AA35" s="77">
        <f>IF(Z35="","",'Contractors'!K35)</f>
        <v/>
      </c>
      <c r="AB35" s="77">
        <f>IF(Z35="","",SUMIFS($L$6:$L$205,$B$6:$B$205,Z35))</f>
        <v/>
      </c>
      <c r="AC35" s="77">
        <f>IF(Z35="","",SUMIFS($N$6:$N$205,$B$6:$B$205,Z35))</f>
        <v/>
      </c>
      <c r="AD35" s="76">
        <f>IF(Z35="","",AA35-AC35)</f>
        <v/>
      </c>
      <c r="AE35" s="116">
        <f>IF(Z35="","",IFERROR(1/SUMPRODUCT(MAX(($B$6:$B$205=Z35)*$T$6:$T$205)),""))</f>
        <v/>
      </c>
      <c r="AF35" s="77">
        <f>IF(AE35="","",SUMIFS($S$6:$S$205,$B$6:$B$205,Z35,$I$6:$I$205,AE35))</f>
        <v/>
      </c>
    </row>
    <row r="36" ht="20" customHeight="1">
      <c r="B36" s="72" t="n"/>
      <c r="C36" s="72" t="n"/>
      <c r="D36" s="72" t="n"/>
      <c r="E36" s="72" t="n"/>
      <c r="F36" s="109" t="n"/>
      <c r="G36" s="73" t="n"/>
      <c r="H36" s="75">
        <f>IF(B36="","",IF(G36&lt;&gt;"",G36,IF(F36&lt;&gt;"",F36*IFERROR(INDEX('Contractors'!$I$6:$I$35,MATCH(B36,'Contractors'!$B$6:$B$35,0)),0),"")))</f>
        <v/>
      </c>
      <c r="I36" s="108" t="n"/>
      <c r="J36" s="72" t="n"/>
      <c r="K36" s="108" t="n"/>
      <c r="L36" s="73" t="n"/>
      <c r="M36" s="108" t="n"/>
      <c r="N36" s="73" t="n"/>
      <c r="O36" s="107">
        <f>IF(B36="","",IF(M36&lt;&gt;"","Paid",IF(AND(I36&lt;&gt;"",I36&lt;AsOf),"OVERDUE",IF(OR(K36&lt;&gt;"",L36&lt;&gt;""),"Invoiced","Scheduled"))))</f>
        <v/>
      </c>
      <c r="P36" s="114">
        <f>IF(B36="","",IF(E36&lt;&gt;"",E36,IFERROR(INDEX('Contractors'!$D$6:$D$35,MATCH(B36,'Contractors'!$B$6:$B$35,0)),"")))</f>
        <v/>
      </c>
      <c r="Q36" s="79">
        <f>IF(B36="","",IF(D36&lt;&gt;"",D36,IFERROR(INDEX('Contractors'!$E$6:$E$35,MATCH(B36,'Contractors'!$B$6:$B$35,0)),"")))</f>
        <v/>
      </c>
      <c r="R36" s="79">
        <f>IF(O36="","",IF(O36="OVERDUE",2,IF(O36="Paid",0,IF(AND(I36&lt;&gt;"",I36&lt;=AsOf+AlertDays),1,0))))</f>
        <v/>
      </c>
      <c r="S36" s="79">
        <f>IF(AND(B36&lt;&gt;"",M36="",I36&lt;&gt;""),IF(L36&lt;&gt;"",L36,IF(H36="",0,H36)),0)</f>
        <v/>
      </c>
      <c r="T36" s="79">
        <f>IF(AND(B36&lt;&gt;"",M36="",I36&lt;&gt;""),1/I36,0)</f>
        <v/>
      </c>
      <c r="U36" s="111">
        <f>IF(AND(B36&lt;&gt;"",M36="",I36&lt;&gt;""),I36,"")</f>
        <v/>
      </c>
      <c r="V36" s="79">
        <f>IF(U36="","",IF(U36&lt;AsOf,1,IF(U36&lt;=AsOf+AlertDays,2,IF(U36&lt;=AsOf+2*AlertDays,3,""))))</f>
        <v/>
      </c>
      <c r="W36" s="79">
        <f>IF(V36="","",IF(O36="OVERDUE","Overdue payment: ","Payment due: ")&amp;B36&amp;" — "&amp;C36&amp;" ("&amp;CurSym&amp;" "&amp;FIXED(S36,0)&amp;")")</f>
        <v/>
      </c>
    </row>
    <row r="37" ht="20" customHeight="1">
      <c r="B37" s="72" t="n"/>
      <c r="C37" s="72" t="n"/>
      <c r="D37" s="72" t="n"/>
      <c r="E37" s="72" t="n"/>
      <c r="F37" s="109" t="n"/>
      <c r="G37" s="73" t="n"/>
      <c r="H37" s="75">
        <f>IF(B37="","",IF(G37&lt;&gt;"",G37,IF(F37&lt;&gt;"",F37*IFERROR(INDEX('Contractors'!$I$6:$I$35,MATCH(B37,'Contractors'!$B$6:$B$35,0)),0),"")))</f>
        <v/>
      </c>
      <c r="I37" s="108" t="n"/>
      <c r="J37" s="72" t="n"/>
      <c r="K37" s="108" t="n"/>
      <c r="L37" s="73" t="n"/>
      <c r="M37" s="108" t="n"/>
      <c r="N37" s="73" t="n"/>
      <c r="O37" s="107">
        <f>IF(B37="","",IF(M37&lt;&gt;"","Paid",IF(AND(I37&lt;&gt;"",I37&lt;AsOf),"OVERDUE",IF(OR(K37&lt;&gt;"",L37&lt;&gt;""),"Invoiced","Scheduled"))))</f>
        <v/>
      </c>
      <c r="P37" s="114">
        <f>IF(B37="","",IF(E37&lt;&gt;"",E37,IFERROR(INDEX('Contractors'!$D$6:$D$35,MATCH(B37,'Contractors'!$B$6:$B$35,0)),"")))</f>
        <v/>
      </c>
      <c r="Q37" s="79">
        <f>IF(B37="","",IF(D37&lt;&gt;"",D37,IFERROR(INDEX('Contractors'!$E$6:$E$35,MATCH(B37,'Contractors'!$B$6:$B$35,0)),"")))</f>
        <v/>
      </c>
      <c r="R37" s="79">
        <f>IF(O37="","",IF(O37="OVERDUE",2,IF(O37="Paid",0,IF(AND(I37&lt;&gt;"",I37&lt;=AsOf+AlertDays),1,0))))</f>
        <v/>
      </c>
      <c r="S37" s="79">
        <f>IF(AND(B37&lt;&gt;"",M37="",I37&lt;&gt;""),IF(L37&lt;&gt;"",L37,IF(H37="",0,H37)),0)</f>
        <v/>
      </c>
      <c r="T37" s="79">
        <f>IF(AND(B37&lt;&gt;"",M37="",I37&lt;&gt;""),1/I37,0)</f>
        <v/>
      </c>
      <c r="U37" s="111">
        <f>IF(AND(B37&lt;&gt;"",M37="",I37&lt;&gt;""),I37,"")</f>
        <v/>
      </c>
      <c r="V37" s="79">
        <f>IF(U37="","",IF(U37&lt;AsOf,1,IF(U37&lt;=AsOf+AlertDays,2,IF(U37&lt;=AsOf+2*AlertDays,3,""))))</f>
        <v/>
      </c>
      <c r="W37" s="79">
        <f>IF(V37="","",IF(O37="OVERDUE","Overdue payment: ","Payment due: ")&amp;B37&amp;" — "&amp;C37&amp;" ("&amp;CurSym&amp;" "&amp;FIXED(S37,0)&amp;")")</f>
        <v/>
      </c>
      <c r="Z37" s="4" t="inlineStr">
        <is>
          <t>CASH FLOW — 12 months from project start</t>
        </is>
      </c>
      <c r="AA37" s="5" t="n"/>
      <c r="AB37" s="5" t="n"/>
      <c r="AC37" s="5" t="n"/>
      <c r="AD37" s="5" t="n"/>
      <c r="AE37" s="5" t="n"/>
      <c r="AF37" s="5" t="n"/>
    </row>
    <row r="38" ht="20" customHeight="1">
      <c r="B38" s="72" t="n"/>
      <c r="C38" s="72" t="n"/>
      <c r="D38" s="72" t="n"/>
      <c r="E38" s="72" t="n"/>
      <c r="F38" s="109" t="n"/>
      <c r="G38" s="73" t="n"/>
      <c r="H38" s="75">
        <f>IF(B38="","",IF(G38&lt;&gt;"",G38,IF(F38&lt;&gt;"",F38*IFERROR(INDEX('Contractors'!$I$6:$I$35,MATCH(B38,'Contractors'!$B$6:$B$35,0)),0),"")))</f>
        <v/>
      </c>
      <c r="I38" s="108" t="n"/>
      <c r="J38" s="72" t="n"/>
      <c r="K38" s="108" t="n"/>
      <c r="L38" s="73" t="n"/>
      <c r="M38" s="108" t="n"/>
      <c r="N38" s="73" t="n"/>
      <c r="O38" s="107">
        <f>IF(B38="","",IF(M38&lt;&gt;"","Paid",IF(AND(I38&lt;&gt;"",I38&lt;AsOf),"OVERDUE",IF(OR(K38&lt;&gt;"",L38&lt;&gt;""),"Invoiced","Scheduled"))))</f>
        <v/>
      </c>
      <c r="P38" s="114">
        <f>IF(B38="","",IF(E38&lt;&gt;"",E38,IFERROR(INDEX('Contractors'!$D$6:$D$35,MATCH(B38,'Contractors'!$B$6:$B$35,0)),"")))</f>
        <v/>
      </c>
      <c r="Q38" s="79">
        <f>IF(B38="","",IF(D38&lt;&gt;"",D38,IFERROR(INDEX('Contractors'!$E$6:$E$35,MATCH(B38,'Contractors'!$B$6:$B$35,0)),"")))</f>
        <v/>
      </c>
      <c r="R38" s="79">
        <f>IF(O38="","",IF(O38="OVERDUE",2,IF(O38="Paid",0,IF(AND(I38&lt;&gt;"",I38&lt;=AsOf+AlertDays),1,0))))</f>
        <v/>
      </c>
      <c r="S38" s="79">
        <f>IF(AND(B38&lt;&gt;"",M38="",I38&lt;&gt;""),IF(L38&lt;&gt;"",L38,IF(H38="",0,H38)),0)</f>
        <v/>
      </c>
      <c r="T38" s="79">
        <f>IF(AND(B38&lt;&gt;"",M38="",I38&lt;&gt;""),1/I38,0)</f>
        <v/>
      </c>
      <c r="U38" s="111">
        <f>IF(AND(B38&lt;&gt;"",M38="",I38&lt;&gt;""),I38,"")</f>
        <v/>
      </c>
      <c r="V38" s="79">
        <f>IF(U38="","",IF(U38&lt;AsOf,1,IF(U38&lt;=AsOf+AlertDays,2,IF(U38&lt;=AsOf+2*AlertDays,3,""))))</f>
        <v/>
      </c>
      <c r="W38" s="79">
        <f>IF(V38="","",IF(O38="OVERDUE","Overdue payment: ","Payment due: ")&amp;B38&amp;" — "&amp;C38&amp;" ("&amp;CurSym&amp;" "&amp;FIXED(S38,0)&amp;")")</f>
        <v/>
      </c>
      <c r="Z38" s="13">
        <f>"Cash needed in the next 30 days ("&amp;CurSym&amp;")"</f>
        <v/>
      </c>
      <c r="AC38" s="117">
        <f>SUMIFS($S$6:$S$205,$I$6:$I$205,"&lt;="&amp;(AsOf+30))</f>
        <v/>
      </c>
    </row>
    <row r="39" ht="20" customHeight="1">
      <c r="B39" s="72" t="n"/>
      <c r="C39" s="72" t="n"/>
      <c r="D39" s="72" t="n"/>
      <c r="E39" s="72" t="n"/>
      <c r="F39" s="109" t="n"/>
      <c r="G39" s="73" t="n"/>
      <c r="H39" s="75">
        <f>IF(B39="","",IF(G39&lt;&gt;"",G39,IF(F39&lt;&gt;"",F39*IFERROR(INDEX('Contractors'!$I$6:$I$35,MATCH(B39,'Contractors'!$B$6:$B$35,0)),0),"")))</f>
        <v/>
      </c>
      <c r="I39" s="108" t="n"/>
      <c r="J39" s="72" t="n"/>
      <c r="K39" s="108" t="n"/>
      <c r="L39" s="73" t="n"/>
      <c r="M39" s="108" t="n"/>
      <c r="N39" s="73" t="n"/>
      <c r="O39" s="107">
        <f>IF(B39="","",IF(M39&lt;&gt;"","Paid",IF(AND(I39&lt;&gt;"",I39&lt;AsOf),"OVERDUE",IF(OR(K39&lt;&gt;"",L39&lt;&gt;""),"Invoiced","Scheduled"))))</f>
        <v/>
      </c>
      <c r="P39" s="114">
        <f>IF(B39="","",IF(E39&lt;&gt;"",E39,IFERROR(INDEX('Contractors'!$D$6:$D$35,MATCH(B39,'Contractors'!$B$6:$B$35,0)),"")))</f>
        <v/>
      </c>
      <c r="Q39" s="79">
        <f>IF(B39="","",IF(D39&lt;&gt;"",D39,IFERROR(INDEX('Contractors'!$E$6:$E$35,MATCH(B39,'Contractors'!$B$6:$B$35,0)),"")))</f>
        <v/>
      </c>
      <c r="R39" s="79">
        <f>IF(O39="","",IF(O39="OVERDUE",2,IF(O39="Paid",0,IF(AND(I39&lt;&gt;"",I39&lt;=AsOf+AlertDays),1,0))))</f>
        <v/>
      </c>
      <c r="S39" s="79">
        <f>IF(AND(B39&lt;&gt;"",M39="",I39&lt;&gt;""),IF(L39&lt;&gt;"",L39,IF(H39="",0,H39)),0)</f>
        <v/>
      </c>
      <c r="T39" s="79">
        <f>IF(AND(B39&lt;&gt;"",M39="",I39&lt;&gt;""),1/I39,0)</f>
        <v/>
      </c>
      <c r="U39" s="111">
        <f>IF(AND(B39&lt;&gt;"",M39="",I39&lt;&gt;""),I39,"")</f>
        <v/>
      </c>
      <c r="V39" s="79">
        <f>IF(U39="","",IF(U39&lt;AsOf,1,IF(U39&lt;=AsOf+AlertDays,2,IF(U39&lt;=AsOf+2*AlertDays,3,""))))</f>
        <v/>
      </c>
      <c r="W39" s="79">
        <f>IF(V39="","",IF(O39="OVERDUE","Overdue payment: ","Payment due: ")&amp;B39&amp;" — "&amp;C39&amp;" ("&amp;CurSym&amp;" "&amp;FIXED(S39,0)&amp;")")</f>
        <v/>
      </c>
    </row>
    <row r="40" ht="20" customHeight="1">
      <c r="B40" s="72" t="n"/>
      <c r="C40" s="72" t="n"/>
      <c r="D40" s="72" t="n"/>
      <c r="E40" s="72" t="n"/>
      <c r="F40" s="109" t="n"/>
      <c r="G40" s="73" t="n"/>
      <c r="H40" s="75">
        <f>IF(B40="","",IF(G40&lt;&gt;"",G40,IF(F40&lt;&gt;"",F40*IFERROR(INDEX('Contractors'!$I$6:$I$35,MATCH(B40,'Contractors'!$B$6:$B$35,0)),0),"")))</f>
        <v/>
      </c>
      <c r="I40" s="108" t="n"/>
      <c r="J40" s="72" t="n"/>
      <c r="K40" s="108" t="n"/>
      <c r="L40" s="73" t="n"/>
      <c r="M40" s="108" t="n"/>
      <c r="N40" s="73" t="n"/>
      <c r="O40" s="107">
        <f>IF(B40="","",IF(M40&lt;&gt;"","Paid",IF(AND(I40&lt;&gt;"",I40&lt;AsOf),"OVERDUE",IF(OR(K40&lt;&gt;"",L40&lt;&gt;""),"Invoiced","Scheduled"))))</f>
        <v/>
      </c>
      <c r="P40" s="114">
        <f>IF(B40="","",IF(E40&lt;&gt;"",E40,IFERROR(INDEX('Contractors'!$D$6:$D$35,MATCH(B40,'Contractors'!$B$6:$B$35,0)),"")))</f>
        <v/>
      </c>
      <c r="Q40" s="79">
        <f>IF(B40="","",IF(D40&lt;&gt;"",D40,IFERROR(INDEX('Contractors'!$E$6:$E$35,MATCH(B40,'Contractors'!$B$6:$B$35,0)),"")))</f>
        <v/>
      </c>
      <c r="R40" s="79">
        <f>IF(O40="","",IF(O40="OVERDUE",2,IF(O40="Paid",0,IF(AND(I40&lt;&gt;"",I40&lt;=AsOf+AlertDays),1,0))))</f>
        <v/>
      </c>
      <c r="S40" s="79">
        <f>IF(AND(B40&lt;&gt;"",M40="",I40&lt;&gt;""),IF(L40&lt;&gt;"",L40,IF(H40="",0,H40)),0)</f>
        <v/>
      </c>
      <c r="T40" s="79">
        <f>IF(AND(B40&lt;&gt;"",M40="",I40&lt;&gt;""),1/I40,0)</f>
        <v/>
      </c>
      <c r="U40" s="111">
        <f>IF(AND(B40&lt;&gt;"",M40="",I40&lt;&gt;""),I40,"")</f>
        <v/>
      </c>
      <c r="V40" s="79">
        <f>IF(U40="","",IF(U40&lt;AsOf,1,IF(U40&lt;=AsOf+AlertDays,2,IF(U40&lt;=AsOf+2*AlertDays,3,""))))</f>
        <v/>
      </c>
      <c r="W40" s="79">
        <f>IF(V40="","",IF(O40="OVERDUE","Overdue payment: ","Payment due: ")&amp;B40&amp;" — "&amp;C40&amp;" ("&amp;CurSym&amp;" "&amp;FIXED(S40,0)&amp;")")</f>
        <v/>
      </c>
      <c r="Z40" s="52" t="inlineStr">
        <is>
          <t>Month</t>
        </is>
      </c>
      <c r="AA40" s="70">
        <f>"Paid ("&amp;CurSym&amp;")"</f>
        <v/>
      </c>
      <c r="AB40" s="70">
        <f>"Still to pay ("&amp;CurSym&amp;")"</f>
        <v/>
      </c>
      <c r="AC40" s="70">
        <f>"Total ("&amp;CurSym&amp;")"</f>
        <v/>
      </c>
      <c r="AD40" s="70">
        <f>"Cumulative ("&amp;CurSym&amp;")"</f>
        <v/>
      </c>
    </row>
    <row r="41" ht="20" customHeight="1">
      <c r="B41" s="72" t="n"/>
      <c r="C41" s="72" t="n"/>
      <c r="D41" s="72" t="n"/>
      <c r="E41" s="72" t="n"/>
      <c r="F41" s="109" t="n"/>
      <c r="G41" s="73" t="n"/>
      <c r="H41" s="75">
        <f>IF(B41="","",IF(G41&lt;&gt;"",G41,IF(F41&lt;&gt;"",F41*IFERROR(INDEX('Contractors'!$I$6:$I$35,MATCH(B41,'Contractors'!$B$6:$B$35,0)),0),"")))</f>
        <v/>
      </c>
      <c r="I41" s="108" t="n"/>
      <c r="J41" s="72" t="n"/>
      <c r="K41" s="108" t="n"/>
      <c r="L41" s="73" t="n"/>
      <c r="M41" s="108" t="n"/>
      <c r="N41" s="73" t="n"/>
      <c r="O41" s="107">
        <f>IF(B41="","",IF(M41&lt;&gt;"","Paid",IF(AND(I41&lt;&gt;"",I41&lt;AsOf),"OVERDUE",IF(OR(K41&lt;&gt;"",L41&lt;&gt;""),"Invoiced","Scheduled"))))</f>
        <v/>
      </c>
      <c r="P41" s="114">
        <f>IF(B41="","",IF(E41&lt;&gt;"",E41,IFERROR(INDEX('Contractors'!$D$6:$D$35,MATCH(B41,'Contractors'!$B$6:$B$35,0)),"")))</f>
        <v/>
      </c>
      <c r="Q41" s="79">
        <f>IF(B41="","",IF(D41&lt;&gt;"",D41,IFERROR(INDEX('Contractors'!$E$6:$E$35,MATCH(B41,'Contractors'!$B$6:$B$35,0)),"")))</f>
        <v/>
      </c>
      <c r="R41" s="79">
        <f>IF(O41="","",IF(O41="OVERDUE",2,IF(O41="Paid",0,IF(AND(I41&lt;&gt;"",I41&lt;=AsOf+AlertDays),1,0))))</f>
        <v/>
      </c>
      <c r="S41" s="79">
        <f>IF(AND(B41&lt;&gt;"",M41="",I41&lt;&gt;""),IF(L41&lt;&gt;"",L41,IF(H41="",0,H41)),0)</f>
        <v/>
      </c>
      <c r="T41" s="79">
        <f>IF(AND(B41&lt;&gt;"",M41="",I41&lt;&gt;""),1/I41,0)</f>
        <v/>
      </c>
      <c r="U41" s="111">
        <f>IF(AND(B41&lt;&gt;"",M41="",I41&lt;&gt;""),I41,"")</f>
        <v/>
      </c>
      <c r="V41" s="79">
        <f>IF(U41="","",IF(U41&lt;AsOf,1,IF(U41&lt;=AsOf+AlertDays,2,IF(U41&lt;=AsOf+2*AlertDays,3,""))))</f>
        <v/>
      </c>
      <c r="W41" s="79">
        <f>IF(V41="","",IF(O41="OVERDUE","Overdue payment: ","Payment due: ")&amp;B41&amp;" — "&amp;C41&amp;" ("&amp;CurSym&amp;" "&amp;FIXED(S41,0)&amp;")")</f>
        <v/>
      </c>
      <c r="Z41" s="118">
        <f>IF(ProjStart="","",DATE(YEAR(ProjStart),MONTH(ProjStart)+0,1))</f>
        <v/>
      </c>
      <c r="AA41" s="77">
        <f>IF(Z41="","",SUMIFS($N$6:$N$205,$M$6:$M$205,"&gt;="&amp;Z41,$M$6:$M$205,"&lt;"&amp;DATE(YEAR(Z41),MONTH(Z41)+1,1)))</f>
        <v/>
      </c>
      <c r="AB41" s="77">
        <f>IF(Z41="","",SUMIFS($S$6:$S$205,$I$6:$I$205,"&gt;="&amp;Z41,$I$6:$I$205,"&lt;"&amp;DATE(YEAR(Z41),MONTH(Z41)+1,1)))</f>
        <v/>
      </c>
      <c r="AC41" s="76">
        <f>IF(Z41="","",AA41+AB41)</f>
        <v/>
      </c>
      <c r="AD41" s="75">
        <f>IF(Z41="","",SUM($AC$41:AC41))</f>
        <v/>
      </c>
    </row>
    <row r="42" ht="20" customHeight="1">
      <c r="B42" s="72" t="n"/>
      <c r="C42" s="72" t="n"/>
      <c r="D42" s="72" t="n"/>
      <c r="E42" s="72" t="n"/>
      <c r="F42" s="109" t="n"/>
      <c r="G42" s="73" t="n"/>
      <c r="H42" s="75">
        <f>IF(B42="","",IF(G42&lt;&gt;"",G42,IF(F42&lt;&gt;"",F42*IFERROR(INDEX('Contractors'!$I$6:$I$35,MATCH(B42,'Contractors'!$B$6:$B$35,0)),0),"")))</f>
        <v/>
      </c>
      <c r="I42" s="108" t="n"/>
      <c r="J42" s="72" t="n"/>
      <c r="K42" s="108" t="n"/>
      <c r="L42" s="73" t="n"/>
      <c r="M42" s="108" t="n"/>
      <c r="N42" s="73" t="n"/>
      <c r="O42" s="107">
        <f>IF(B42="","",IF(M42&lt;&gt;"","Paid",IF(AND(I42&lt;&gt;"",I42&lt;AsOf),"OVERDUE",IF(OR(K42&lt;&gt;"",L42&lt;&gt;""),"Invoiced","Scheduled"))))</f>
        <v/>
      </c>
      <c r="P42" s="114">
        <f>IF(B42="","",IF(E42&lt;&gt;"",E42,IFERROR(INDEX('Contractors'!$D$6:$D$35,MATCH(B42,'Contractors'!$B$6:$B$35,0)),"")))</f>
        <v/>
      </c>
      <c r="Q42" s="79">
        <f>IF(B42="","",IF(D42&lt;&gt;"",D42,IFERROR(INDEX('Contractors'!$E$6:$E$35,MATCH(B42,'Contractors'!$B$6:$B$35,0)),"")))</f>
        <v/>
      </c>
      <c r="R42" s="79">
        <f>IF(O42="","",IF(O42="OVERDUE",2,IF(O42="Paid",0,IF(AND(I42&lt;&gt;"",I42&lt;=AsOf+AlertDays),1,0))))</f>
        <v/>
      </c>
      <c r="S42" s="79">
        <f>IF(AND(B42&lt;&gt;"",M42="",I42&lt;&gt;""),IF(L42&lt;&gt;"",L42,IF(H42="",0,H42)),0)</f>
        <v/>
      </c>
      <c r="T42" s="79">
        <f>IF(AND(B42&lt;&gt;"",M42="",I42&lt;&gt;""),1/I42,0)</f>
        <v/>
      </c>
      <c r="U42" s="111">
        <f>IF(AND(B42&lt;&gt;"",M42="",I42&lt;&gt;""),I42,"")</f>
        <v/>
      </c>
      <c r="V42" s="79">
        <f>IF(U42="","",IF(U42&lt;AsOf,1,IF(U42&lt;=AsOf+AlertDays,2,IF(U42&lt;=AsOf+2*AlertDays,3,""))))</f>
        <v/>
      </c>
      <c r="W42" s="79">
        <f>IF(V42="","",IF(O42="OVERDUE","Overdue payment: ","Payment due: ")&amp;B42&amp;" — "&amp;C42&amp;" ("&amp;CurSym&amp;" "&amp;FIXED(S42,0)&amp;")")</f>
        <v/>
      </c>
      <c r="Z42" s="118">
        <f>IF(ProjStart="","",DATE(YEAR(ProjStart),MONTH(ProjStart)+1,1))</f>
        <v/>
      </c>
      <c r="AA42" s="77">
        <f>IF(Z42="","",SUMIFS($N$6:$N$205,$M$6:$M$205,"&gt;="&amp;Z42,$M$6:$M$205,"&lt;"&amp;DATE(YEAR(Z42),MONTH(Z42)+1,1)))</f>
        <v/>
      </c>
      <c r="AB42" s="77">
        <f>IF(Z42="","",SUMIFS($S$6:$S$205,$I$6:$I$205,"&gt;="&amp;Z42,$I$6:$I$205,"&lt;"&amp;DATE(YEAR(Z42),MONTH(Z42)+1,1)))</f>
        <v/>
      </c>
      <c r="AC42" s="76">
        <f>IF(Z42="","",AA42+AB42)</f>
        <v/>
      </c>
      <c r="AD42" s="75">
        <f>IF(Z42="","",SUM($AC$41:AC42))</f>
        <v/>
      </c>
    </row>
    <row r="43" ht="20" customHeight="1">
      <c r="B43" s="72" t="n"/>
      <c r="C43" s="72" t="n"/>
      <c r="D43" s="72" t="n"/>
      <c r="E43" s="72" t="n"/>
      <c r="F43" s="109" t="n"/>
      <c r="G43" s="73" t="n"/>
      <c r="H43" s="75">
        <f>IF(B43="","",IF(G43&lt;&gt;"",G43,IF(F43&lt;&gt;"",F43*IFERROR(INDEX('Contractors'!$I$6:$I$35,MATCH(B43,'Contractors'!$B$6:$B$35,0)),0),"")))</f>
        <v/>
      </c>
      <c r="I43" s="108" t="n"/>
      <c r="J43" s="72" t="n"/>
      <c r="K43" s="108" t="n"/>
      <c r="L43" s="73" t="n"/>
      <c r="M43" s="108" t="n"/>
      <c r="N43" s="73" t="n"/>
      <c r="O43" s="107">
        <f>IF(B43="","",IF(M43&lt;&gt;"","Paid",IF(AND(I43&lt;&gt;"",I43&lt;AsOf),"OVERDUE",IF(OR(K43&lt;&gt;"",L43&lt;&gt;""),"Invoiced","Scheduled"))))</f>
        <v/>
      </c>
      <c r="P43" s="114">
        <f>IF(B43="","",IF(E43&lt;&gt;"",E43,IFERROR(INDEX('Contractors'!$D$6:$D$35,MATCH(B43,'Contractors'!$B$6:$B$35,0)),"")))</f>
        <v/>
      </c>
      <c r="Q43" s="79">
        <f>IF(B43="","",IF(D43&lt;&gt;"",D43,IFERROR(INDEX('Contractors'!$E$6:$E$35,MATCH(B43,'Contractors'!$B$6:$B$35,0)),"")))</f>
        <v/>
      </c>
      <c r="R43" s="79">
        <f>IF(O43="","",IF(O43="OVERDUE",2,IF(O43="Paid",0,IF(AND(I43&lt;&gt;"",I43&lt;=AsOf+AlertDays),1,0))))</f>
        <v/>
      </c>
      <c r="S43" s="79">
        <f>IF(AND(B43&lt;&gt;"",M43="",I43&lt;&gt;""),IF(L43&lt;&gt;"",L43,IF(H43="",0,H43)),0)</f>
        <v/>
      </c>
      <c r="T43" s="79">
        <f>IF(AND(B43&lt;&gt;"",M43="",I43&lt;&gt;""),1/I43,0)</f>
        <v/>
      </c>
      <c r="U43" s="111">
        <f>IF(AND(B43&lt;&gt;"",M43="",I43&lt;&gt;""),I43,"")</f>
        <v/>
      </c>
      <c r="V43" s="79">
        <f>IF(U43="","",IF(U43&lt;AsOf,1,IF(U43&lt;=AsOf+AlertDays,2,IF(U43&lt;=AsOf+2*AlertDays,3,""))))</f>
        <v/>
      </c>
      <c r="W43" s="79">
        <f>IF(V43="","",IF(O43="OVERDUE","Overdue payment: ","Payment due: ")&amp;B43&amp;" — "&amp;C43&amp;" ("&amp;CurSym&amp;" "&amp;FIXED(S43,0)&amp;")")</f>
        <v/>
      </c>
      <c r="Z43" s="118">
        <f>IF(ProjStart="","",DATE(YEAR(ProjStart),MONTH(ProjStart)+2,1))</f>
        <v/>
      </c>
      <c r="AA43" s="77">
        <f>IF(Z43="","",SUMIFS($N$6:$N$205,$M$6:$M$205,"&gt;="&amp;Z43,$M$6:$M$205,"&lt;"&amp;DATE(YEAR(Z43),MONTH(Z43)+1,1)))</f>
        <v/>
      </c>
      <c r="AB43" s="77">
        <f>IF(Z43="","",SUMIFS($S$6:$S$205,$I$6:$I$205,"&gt;="&amp;Z43,$I$6:$I$205,"&lt;"&amp;DATE(YEAR(Z43),MONTH(Z43)+1,1)))</f>
        <v/>
      </c>
      <c r="AC43" s="76">
        <f>IF(Z43="","",AA43+AB43)</f>
        <v/>
      </c>
      <c r="AD43" s="75">
        <f>IF(Z43="","",SUM($AC$41:AC43))</f>
        <v/>
      </c>
    </row>
    <row r="44" ht="20" customHeight="1">
      <c r="B44" s="72" t="n"/>
      <c r="C44" s="72" t="n"/>
      <c r="D44" s="72" t="n"/>
      <c r="E44" s="72" t="n"/>
      <c r="F44" s="109" t="n"/>
      <c r="G44" s="73" t="n"/>
      <c r="H44" s="75">
        <f>IF(B44="","",IF(G44&lt;&gt;"",G44,IF(F44&lt;&gt;"",F44*IFERROR(INDEX('Contractors'!$I$6:$I$35,MATCH(B44,'Contractors'!$B$6:$B$35,0)),0),"")))</f>
        <v/>
      </c>
      <c r="I44" s="108" t="n"/>
      <c r="J44" s="72" t="n"/>
      <c r="K44" s="108" t="n"/>
      <c r="L44" s="73" t="n"/>
      <c r="M44" s="108" t="n"/>
      <c r="N44" s="73" t="n"/>
      <c r="O44" s="107">
        <f>IF(B44="","",IF(M44&lt;&gt;"","Paid",IF(AND(I44&lt;&gt;"",I44&lt;AsOf),"OVERDUE",IF(OR(K44&lt;&gt;"",L44&lt;&gt;""),"Invoiced","Scheduled"))))</f>
        <v/>
      </c>
      <c r="P44" s="114">
        <f>IF(B44="","",IF(E44&lt;&gt;"",E44,IFERROR(INDEX('Contractors'!$D$6:$D$35,MATCH(B44,'Contractors'!$B$6:$B$35,0)),"")))</f>
        <v/>
      </c>
      <c r="Q44" s="79">
        <f>IF(B44="","",IF(D44&lt;&gt;"",D44,IFERROR(INDEX('Contractors'!$E$6:$E$35,MATCH(B44,'Contractors'!$B$6:$B$35,0)),"")))</f>
        <v/>
      </c>
      <c r="R44" s="79">
        <f>IF(O44="","",IF(O44="OVERDUE",2,IF(O44="Paid",0,IF(AND(I44&lt;&gt;"",I44&lt;=AsOf+AlertDays),1,0))))</f>
        <v/>
      </c>
      <c r="S44" s="79">
        <f>IF(AND(B44&lt;&gt;"",M44="",I44&lt;&gt;""),IF(L44&lt;&gt;"",L44,IF(H44="",0,H44)),0)</f>
        <v/>
      </c>
      <c r="T44" s="79">
        <f>IF(AND(B44&lt;&gt;"",M44="",I44&lt;&gt;""),1/I44,0)</f>
        <v/>
      </c>
      <c r="U44" s="111">
        <f>IF(AND(B44&lt;&gt;"",M44="",I44&lt;&gt;""),I44,"")</f>
        <v/>
      </c>
      <c r="V44" s="79">
        <f>IF(U44="","",IF(U44&lt;AsOf,1,IF(U44&lt;=AsOf+AlertDays,2,IF(U44&lt;=AsOf+2*AlertDays,3,""))))</f>
        <v/>
      </c>
      <c r="W44" s="79">
        <f>IF(V44="","",IF(O44="OVERDUE","Overdue payment: ","Payment due: ")&amp;B44&amp;" — "&amp;C44&amp;" ("&amp;CurSym&amp;" "&amp;FIXED(S44,0)&amp;")")</f>
        <v/>
      </c>
      <c r="Z44" s="118">
        <f>IF(ProjStart="","",DATE(YEAR(ProjStart),MONTH(ProjStart)+3,1))</f>
        <v/>
      </c>
      <c r="AA44" s="77">
        <f>IF(Z44="","",SUMIFS($N$6:$N$205,$M$6:$M$205,"&gt;="&amp;Z44,$M$6:$M$205,"&lt;"&amp;DATE(YEAR(Z44),MONTH(Z44)+1,1)))</f>
        <v/>
      </c>
      <c r="AB44" s="77">
        <f>IF(Z44="","",SUMIFS($S$6:$S$205,$I$6:$I$205,"&gt;="&amp;Z44,$I$6:$I$205,"&lt;"&amp;DATE(YEAR(Z44),MONTH(Z44)+1,1)))</f>
        <v/>
      </c>
      <c r="AC44" s="76">
        <f>IF(Z44="","",AA44+AB44)</f>
        <v/>
      </c>
      <c r="AD44" s="75">
        <f>IF(Z44="","",SUM($AC$41:AC44))</f>
        <v/>
      </c>
    </row>
    <row r="45" ht="20" customHeight="1">
      <c r="B45" s="72" t="n"/>
      <c r="C45" s="72" t="n"/>
      <c r="D45" s="72" t="n"/>
      <c r="E45" s="72" t="n"/>
      <c r="F45" s="109" t="n"/>
      <c r="G45" s="73" t="n"/>
      <c r="H45" s="75">
        <f>IF(B45="","",IF(G45&lt;&gt;"",G45,IF(F45&lt;&gt;"",F45*IFERROR(INDEX('Contractors'!$I$6:$I$35,MATCH(B45,'Contractors'!$B$6:$B$35,0)),0),"")))</f>
        <v/>
      </c>
      <c r="I45" s="108" t="n"/>
      <c r="J45" s="72" t="n"/>
      <c r="K45" s="108" t="n"/>
      <c r="L45" s="73" t="n"/>
      <c r="M45" s="108" t="n"/>
      <c r="N45" s="73" t="n"/>
      <c r="O45" s="107">
        <f>IF(B45="","",IF(M45&lt;&gt;"","Paid",IF(AND(I45&lt;&gt;"",I45&lt;AsOf),"OVERDUE",IF(OR(K45&lt;&gt;"",L45&lt;&gt;""),"Invoiced","Scheduled"))))</f>
        <v/>
      </c>
      <c r="P45" s="114">
        <f>IF(B45="","",IF(E45&lt;&gt;"",E45,IFERROR(INDEX('Contractors'!$D$6:$D$35,MATCH(B45,'Contractors'!$B$6:$B$35,0)),"")))</f>
        <v/>
      </c>
      <c r="Q45" s="79">
        <f>IF(B45="","",IF(D45&lt;&gt;"",D45,IFERROR(INDEX('Contractors'!$E$6:$E$35,MATCH(B45,'Contractors'!$B$6:$B$35,0)),"")))</f>
        <v/>
      </c>
      <c r="R45" s="79">
        <f>IF(O45="","",IF(O45="OVERDUE",2,IF(O45="Paid",0,IF(AND(I45&lt;&gt;"",I45&lt;=AsOf+AlertDays),1,0))))</f>
        <v/>
      </c>
      <c r="S45" s="79">
        <f>IF(AND(B45&lt;&gt;"",M45="",I45&lt;&gt;""),IF(L45&lt;&gt;"",L45,IF(H45="",0,H45)),0)</f>
        <v/>
      </c>
      <c r="T45" s="79">
        <f>IF(AND(B45&lt;&gt;"",M45="",I45&lt;&gt;""),1/I45,0)</f>
        <v/>
      </c>
      <c r="U45" s="111">
        <f>IF(AND(B45&lt;&gt;"",M45="",I45&lt;&gt;""),I45,"")</f>
        <v/>
      </c>
      <c r="V45" s="79">
        <f>IF(U45="","",IF(U45&lt;AsOf,1,IF(U45&lt;=AsOf+AlertDays,2,IF(U45&lt;=AsOf+2*AlertDays,3,""))))</f>
        <v/>
      </c>
      <c r="W45" s="79">
        <f>IF(V45="","",IF(O45="OVERDUE","Overdue payment: ","Payment due: ")&amp;B45&amp;" — "&amp;C45&amp;" ("&amp;CurSym&amp;" "&amp;FIXED(S45,0)&amp;")")</f>
        <v/>
      </c>
      <c r="Z45" s="118">
        <f>IF(ProjStart="","",DATE(YEAR(ProjStart),MONTH(ProjStart)+4,1))</f>
        <v/>
      </c>
      <c r="AA45" s="77">
        <f>IF(Z45="","",SUMIFS($N$6:$N$205,$M$6:$M$205,"&gt;="&amp;Z45,$M$6:$M$205,"&lt;"&amp;DATE(YEAR(Z45),MONTH(Z45)+1,1)))</f>
        <v/>
      </c>
      <c r="AB45" s="77">
        <f>IF(Z45="","",SUMIFS($S$6:$S$205,$I$6:$I$205,"&gt;="&amp;Z45,$I$6:$I$205,"&lt;"&amp;DATE(YEAR(Z45),MONTH(Z45)+1,1)))</f>
        <v/>
      </c>
      <c r="AC45" s="76">
        <f>IF(Z45="","",AA45+AB45)</f>
        <v/>
      </c>
      <c r="AD45" s="75">
        <f>IF(Z45="","",SUM($AC$41:AC45))</f>
        <v/>
      </c>
    </row>
    <row r="46" ht="20" customHeight="1">
      <c r="B46" s="72" t="n"/>
      <c r="C46" s="72" t="n"/>
      <c r="D46" s="72" t="n"/>
      <c r="E46" s="72" t="n"/>
      <c r="F46" s="109" t="n"/>
      <c r="G46" s="73" t="n"/>
      <c r="H46" s="75">
        <f>IF(B46="","",IF(G46&lt;&gt;"",G46,IF(F46&lt;&gt;"",F46*IFERROR(INDEX('Contractors'!$I$6:$I$35,MATCH(B46,'Contractors'!$B$6:$B$35,0)),0),"")))</f>
        <v/>
      </c>
      <c r="I46" s="108" t="n"/>
      <c r="J46" s="72" t="n"/>
      <c r="K46" s="108" t="n"/>
      <c r="L46" s="73" t="n"/>
      <c r="M46" s="108" t="n"/>
      <c r="N46" s="73" t="n"/>
      <c r="O46" s="107">
        <f>IF(B46="","",IF(M46&lt;&gt;"","Paid",IF(AND(I46&lt;&gt;"",I46&lt;AsOf),"OVERDUE",IF(OR(K46&lt;&gt;"",L46&lt;&gt;""),"Invoiced","Scheduled"))))</f>
        <v/>
      </c>
      <c r="P46" s="114">
        <f>IF(B46="","",IF(E46&lt;&gt;"",E46,IFERROR(INDEX('Contractors'!$D$6:$D$35,MATCH(B46,'Contractors'!$B$6:$B$35,0)),"")))</f>
        <v/>
      </c>
      <c r="Q46" s="79">
        <f>IF(B46="","",IF(D46&lt;&gt;"",D46,IFERROR(INDEX('Contractors'!$E$6:$E$35,MATCH(B46,'Contractors'!$B$6:$B$35,0)),"")))</f>
        <v/>
      </c>
      <c r="R46" s="79">
        <f>IF(O46="","",IF(O46="OVERDUE",2,IF(O46="Paid",0,IF(AND(I46&lt;&gt;"",I46&lt;=AsOf+AlertDays),1,0))))</f>
        <v/>
      </c>
      <c r="S46" s="79">
        <f>IF(AND(B46&lt;&gt;"",M46="",I46&lt;&gt;""),IF(L46&lt;&gt;"",L46,IF(H46="",0,H46)),0)</f>
        <v/>
      </c>
      <c r="T46" s="79">
        <f>IF(AND(B46&lt;&gt;"",M46="",I46&lt;&gt;""),1/I46,0)</f>
        <v/>
      </c>
      <c r="U46" s="111">
        <f>IF(AND(B46&lt;&gt;"",M46="",I46&lt;&gt;""),I46,"")</f>
        <v/>
      </c>
      <c r="V46" s="79">
        <f>IF(U46="","",IF(U46&lt;AsOf,1,IF(U46&lt;=AsOf+AlertDays,2,IF(U46&lt;=AsOf+2*AlertDays,3,""))))</f>
        <v/>
      </c>
      <c r="W46" s="79">
        <f>IF(V46="","",IF(O46="OVERDUE","Overdue payment: ","Payment due: ")&amp;B46&amp;" — "&amp;C46&amp;" ("&amp;CurSym&amp;" "&amp;FIXED(S46,0)&amp;")")</f>
        <v/>
      </c>
      <c r="Z46" s="118">
        <f>IF(ProjStart="","",DATE(YEAR(ProjStart),MONTH(ProjStart)+5,1))</f>
        <v/>
      </c>
      <c r="AA46" s="77">
        <f>IF(Z46="","",SUMIFS($N$6:$N$205,$M$6:$M$205,"&gt;="&amp;Z46,$M$6:$M$205,"&lt;"&amp;DATE(YEAR(Z46),MONTH(Z46)+1,1)))</f>
        <v/>
      </c>
      <c r="AB46" s="77">
        <f>IF(Z46="","",SUMIFS($S$6:$S$205,$I$6:$I$205,"&gt;="&amp;Z46,$I$6:$I$205,"&lt;"&amp;DATE(YEAR(Z46),MONTH(Z46)+1,1)))</f>
        <v/>
      </c>
      <c r="AC46" s="76">
        <f>IF(Z46="","",AA46+AB46)</f>
        <v/>
      </c>
      <c r="AD46" s="75">
        <f>IF(Z46="","",SUM($AC$41:AC46))</f>
        <v/>
      </c>
    </row>
    <row r="47" ht="20" customHeight="1">
      <c r="B47" s="72" t="n"/>
      <c r="C47" s="72" t="n"/>
      <c r="D47" s="72" t="n"/>
      <c r="E47" s="72" t="n"/>
      <c r="F47" s="109" t="n"/>
      <c r="G47" s="73" t="n"/>
      <c r="H47" s="75">
        <f>IF(B47="","",IF(G47&lt;&gt;"",G47,IF(F47&lt;&gt;"",F47*IFERROR(INDEX('Contractors'!$I$6:$I$35,MATCH(B47,'Contractors'!$B$6:$B$35,0)),0),"")))</f>
        <v/>
      </c>
      <c r="I47" s="108" t="n"/>
      <c r="J47" s="72" t="n"/>
      <c r="K47" s="108" t="n"/>
      <c r="L47" s="73" t="n"/>
      <c r="M47" s="108" t="n"/>
      <c r="N47" s="73" t="n"/>
      <c r="O47" s="107">
        <f>IF(B47="","",IF(M47&lt;&gt;"","Paid",IF(AND(I47&lt;&gt;"",I47&lt;AsOf),"OVERDUE",IF(OR(K47&lt;&gt;"",L47&lt;&gt;""),"Invoiced","Scheduled"))))</f>
        <v/>
      </c>
      <c r="P47" s="114">
        <f>IF(B47="","",IF(E47&lt;&gt;"",E47,IFERROR(INDEX('Contractors'!$D$6:$D$35,MATCH(B47,'Contractors'!$B$6:$B$35,0)),"")))</f>
        <v/>
      </c>
      <c r="Q47" s="79">
        <f>IF(B47="","",IF(D47&lt;&gt;"",D47,IFERROR(INDEX('Contractors'!$E$6:$E$35,MATCH(B47,'Contractors'!$B$6:$B$35,0)),"")))</f>
        <v/>
      </c>
      <c r="R47" s="79">
        <f>IF(O47="","",IF(O47="OVERDUE",2,IF(O47="Paid",0,IF(AND(I47&lt;&gt;"",I47&lt;=AsOf+AlertDays),1,0))))</f>
        <v/>
      </c>
      <c r="S47" s="79">
        <f>IF(AND(B47&lt;&gt;"",M47="",I47&lt;&gt;""),IF(L47&lt;&gt;"",L47,IF(H47="",0,H47)),0)</f>
        <v/>
      </c>
      <c r="T47" s="79">
        <f>IF(AND(B47&lt;&gt;"",M47="",I47&lt;&gt;""),1/I47,0)</f>
        <v/>
      </c>
      <c r="U47" s="111">
        <f>IF(AND(B47&lt;&gt;"",M47="",I47&lt;&gt;""),I47,"")</f>
        <v/>
      </c>
      <c r="V47" s="79">
        <f>IF(U47="","",IF(U47&lt;AsOf,1,IF(U47&lt;=AsOf+AlertDays,2,IF(U47&lt;=AsOf+2*AlertDays,3,""))))</f>
        <v/>
      </c>
      <c r="W47" s="79">
        <f>IF(V47="","",IF(O47="OVERDUE","Overdue payment: ","Payment due: ")&amp;B47&amp;" — "&amp;C47&amp;" ("&amp;CurSym&amp;" "&amp;FIXED(S47,0)&amp;")")</f>
        <v/>
      </c>
      <c r="Z47" s="118">
        <f>IF(ProjStart="","",DATE(YEAR(ProjStart),MONTH(ProjStart)+6,1))</f>
        <v/>
      </c>
      <c r="AA47" s="77">
        <f>IF(Z47="","",SUMIFS($N$6:$N$205,$M$6:$M$205,"&gt;="&amp;Z47,$M$6:$M$205,"&lt;"&amp;DATE(YEAR(Z47),MONTH(Z47)+1,1)))</f>
        <v/>
      </c>
      <c r="AB47" s="77">
        <f>IF(Z47="","",SUMIFS($S$6:$S$205,$I$6:$I$205,"&gt;="&amp;Z47,$I$6:$I$205,"&lt;"&amp;DATE(YEAR(Z47),MONTH(Z47)+1,1)))</f>
        <v/>
      </c>
      <c r="AC47" s="76">
        <f>IF(Z47="","",AA47+AB47)</f>
        <v/>
      </c>
      <c r="AD47" s="75">
        <f>IF(Z47="","",SUM($AC$41:AC47))</f>
        <v/>
      </c>
    </row>
    <row r="48" ht="20" customHeight="1">
      <c r="B48" s="72" t="n"/>
      <c r="C48" s="72" t="n"/>
      <c r="D48" s="72" t="n"/>
      <c r="E48" s="72" t="n"/>
      <c r="F48" s="109" t="n"/>
      <c r="G48" s="73" t="n"/>
      <c r="H48" s="75">
        <f>IF(B48="","",IF(G48&lt;&gt;"",G48,IF(F48&lt;&gt;"",F48*IFERROR(INDEX('Contractors'!$I$6:$I$35,MATCH(B48,'Contractors'!$B$6:$B$35,0)),0),"")))</f>
        <v/>
      </c>
      <c r="I48" s="108" t="n"/>
      <c r="J48" s="72" t="n"/>
      <c r="K48" s="108" t="n"/>
      <c r="L48" s="73" t="n"/>
      <c r="M48" s="108" t="n"/>
      <c r="N48" s="73" t="n"/>
      <c r="O48" s="107">
        <f>IF(B48="","",IF(M48&lt;&gt;"","Paid",IF(AND(I48&lt;&gt;"",I48&lt;AsOf),"OVERDUE",IF(OR(K48&lt;&gt;"",L48&lt;&gt;""),"Invoiced","Scheduled"))))</f>
        <v/>
      </c>
      <c r="P48" s="114">
        <f>IF(B48="","",IF(E48&lt;&gt;"",E48,IFERROR(INDEX('Contractors'!$D$6:$D$35,MATCH(B48,'Contractors'!$B$6:$B$35,0)),"")))</f>
        <v/>
      </c>
      <c r="Q48" s="79">
        <f>IF(B48="","",IF(D48&lt;&gt;"",D48,IFERROR(INDEX('Contractors'!$E$6:$E$35,MATCH(B48,'Contractors'!$B$6:$B$35,0)),"")))</f>
        <v/>
      </c>
      <c r="R48" s="79">
        <f>IF(O48="","",IF(O48="OVERDUE",2,IF(O48="Paid",0,IF(AND(I48&lt;&gt;"",I48&lt;=AsOf+AlertDays),1,0))))</f>
        <v/>
      </c>
      <c r="S48" s="79">
        <f>IF(AND(B48&lt;&gt;"",M48="",I48&lt;&gt;""),IF(L48&lt;&gt;"",L48,IF(H48="",0,H48)),0)</f>
        <v/>
      </c>
      <c r="T48" s="79">
        <f>IF(AND(B48&lt;&gt;"",M48="",I48&lt;&gt;""),1/I48,0)</f>
        <v/>
      </c>
      <c r="U48" s="111">
        <f>IF(AND(B48&lt;&gt;"",M48="",I48&lt;&gt;""),I48,"")</f>
        <v/>
      </c>
      <c r="V48" s="79">
        <f>IF(U48="","",IF(U48&lt;AsOf,1,IF(U48&lt;=AsOf+AlertDays,2,IF(U48&lt;=AsOf+2*AlertDays,3,""))))</f>
        <v/>
      </c>
      <c r="W48" s="79">
        <f>IF(V48="","",IF(O48="OVERDUE","Overdue payment: ","Payment due: ")&amp;B48&amp;" — "&amp;C48&amp;" ("&amp;CurSym&amp;" "&amp;FIXED(S48,0)&amp;")")</f>
        <v/>
      </c>
      <c r="Z48" s="118">
        <f>IF(ProjStart="","",DATE(YEAR(ProjStart),MONTH(ProjStart)+7,1))</f>
        <v/>
      </c>
      <c r="AA48" s="77">
        <f>IF(Z48="","",SUMIFS($N$6:$N$205,$M$6:$M$205,"&gt;="&amp;Z48,$M$6:$M$205,"&lt;"&amp;DATE(YEAR(Z48),MONTH(Z48)+1,1)))</f>
        <v/>
      </c>
      <c r="AB48" s="77">
        <f>IF(Z48="","",SUMIFS($S$6:$S$205,$I$6:$I$205,"&gt;="&amp;Z48,$I$6:$I$205,"&lt;"&amp;DATE(YEAR(Z48),MONTH(Z48)+1,1)))</f>
        <v/>
      </c>
      <c r="AC48" s="76">
        <f>IF(Z48="","",AA48+AB48)</f>
        <v/>
      </c>
      <c r="AD48" s="75">
        <f>IF(Z48="","",SUM($AC$41:AC48))</f>
        <v/>
      </c>
    </row>
    <row r="49" ht="20" customHeight="1">
      <c r="B49" s="72" t="n"/>
      <c r="C49" s="72" t="n"/>
      <c r="D49" s="72" t="n"/>
      <c r="E49" s="72" t="n"/>
      <c r="F49" s="109" t="n"/>
      <c r="G49" s="73" t="n"/>
      <c r="H49" s="75">
        <f>IF(B49="","",IF(G49&lt;&gt;"",G49,IF(F49&lt;&gt;"",F49*IFERROR(INDEX('Contractors'!$I$6:$I$35,MATCH(B49,'Contractors'!$B$6:$B$35,0)),0),"")))</f>
        <v/>
      </c>
      <c r="I49" s="108" t="n"/>
      <c r="J49" s="72" t="n"/>
      <c r="K49" s="108" t="n"/>
      <c r="L49" s="73" t="n"/>
      <c r="M49" s="108" t="n"/>
      <c r="N49" s="73" t="n"/>
      <c r="O49" s="107">
        <f>IF(B49="","",IF(M49&lt;&gt;"","Paid",IF(AND(I49&lt;&gt;"",I49&lt;AsOf),"OVERDUE",IF(OR(K49&lt;&gt;"",L49&lt;&gt;""),"Invoiced","Scheduled"))))</f>
        <v/>
      </c>
      <c r="P49" s="114">
        <f>IF(B49="","",IF(E49&lt;&gt;"",E49,IFERROR(INDEX('Contractors'!$D$6:$D$35,MATCH(B49,'Contractors'!$B$6:$B$35,0)),"")))</f>
        <v/>
      </c>
      <c r="Q49" s="79">
        <f>IF(B49="","",IF(D49&lt;&gt;"",D49,IFERROR(INDEX('Contractors'!$E$6:$E$35,MATCH(B49,'Contractors'!$B$6:$B$35,0)),"")))</f>
        <v/>
      </c>
      <c r="R49" s="79">
        <f>IF(O49="","",IF(O49="OVERDUE",2,IF(O49="Paid",0,IF(AND(I49&lt;&gt;"",I49&lt;=AsOf+AlertDays),1,0))))</f>
        <v/>
      </c>
      <c r="S49" s="79">
        <f>IF(AND(B49&lt;&gt;"",M49="",I49&lt;&gt;""),IF(L49&lt;&gt;"",L49,IF(H49="",0,H49)),0)</f>
        <v/>
      </c>
      <c r="T49" s="79">
        <f>IF(AND(B49&lt;&gt;"",M49="",I49&lt;&gt;""),1/I49,0)</f>
        <v/>
      </c>
      <c r="U49" s="111">
        <f>IF(AND(B49&lt;&gt;"",M49="",I49&lt;&gt;""),I49,"")</f>
        <v/>
      </c>
      <c r="V49" s="79">
        <f>IF(U49="","",IF(U49&lt;AsOf,1,IF(U49&lt;=AsOf+AlertDays,2,IF(U49&lt;=AsOf+2*AlertDays,3,""))))</f>
        <v/>
      </c>
      <c r="W49" s="79">
        <f>IF(V49="","",IF(O49="OVERDUE","Overdue payment: ","Payment due: ")&amp;B49&amp;" — "&amp;C49&amp;" ("&amp;CurSym&amp;" "&amp;FIXED(S49,0)&amp;")")</f>
        <v/>
      </c>
      <c r="Z49" s="118">
        <f>IF(ProjStart="","",DATE(YEAR(ProjStart),MONTH(ProjStart)+8,1))</f>
        <v/>
      </c>
      <c r="AA49" s="77">
        <f>IF(Z49="","",SUMIFS($N$6:$N$205,$M$6:$M$205,"&gt;="&amp;Z49,$M$6:$M$205,"&lt;"&amp;DATE(YEAR(Z49),MONTH(Z49)+1,1)))</f>
        <v/>
      </c>
      <c r="AB49" s="77">
        <f>IF(Z49="","",SUMIFS($S$6:$S$205,$I$6:$I$205,"&gt;="&amp;Z49,$I$6:$I$205,"&lt;"&amp;DATE(YEAR(Z49),MONTH(Z49)+1,1)))</f>
        <v/>
      </c>
      <c r="AC49" s="76">
        <f>IF(Z49="","",AA49+AB49)</f>
        <v/>
      </c>
      <c r="AD49" s="75">
        <f>IF(Z49="","",SUM($AC$41:AC49))</f>
        <v/>
      </c>
    </row>
    <row r="50" ht="20" customHeight="1">
      <c r="B50" s="72" t="n"/>
      <c r="C50" s="72" t="n"/>
      <c r="D50" s="72" t="n"/>
      <c r="E50" s="72" t="n"/>
      <c r="F50" s="109" t="n"/>
      <c r="G50" s="73" t="n"/>
      <c r="H50" s="75">
        <f>IF(B50="","",IF(G50&lt;&gt;"",G50,IF(F50&lt;&gt;"",F50*IFERROR(INDEX('Contractors'!$I$6:$I$35,MATCH(B50,'Contractors'!$B$6:$B$35,0)),0),"")))</f>
        <v/>
      </c>
      <c r="I50" s="108" t="n"/>
      <c r="J50" s="72" t="n"/>
      <c r="K50" s="108" t="n"/>
      <c r="L50" s="73" t="n"/>
      <c r="M50" s="108" t="n"/>
      <c r="N50" s="73" t="n"/>
      <c r="O50" s="107">
        <f>IF(B50="","",IF(M50&lt;&gt;"","Paid",IF(AND(I50&lt;&gt;"",I50&lt;AsOf),"OVERDUE",IF(OR(K50&lt;&gt;"",L50&lt;&gt;""),"Invoiced","Scheduled"))))</f>
        <v/>
      </c>
      <c r="P50" s="114">
        <f>IF(B50="","",IF(E50&lt;&gt;"",E50,IFERROR(INDEX('Contractors'!$D$6:$D$35,MATCH(B50,'Contractors'!$B$6:$B$35,0)),"")))</f>
        <v/>
      </c>
      <c r="Q50" s="79">
        <f>IF(B50="","",IF(D50&lt;&gt;"",D50,IFERROR(INDEX('Contractors'!$E$6:$E$35,MATCH(B50,'Contractors'!$B$6:$B$35,0)),"")))</f>
        <v/>
      </c>
      <c r="R50" s="79">
        <f>IF(O50="","",IF(O50="OVERDUE",2,IF(O50="Paid",0,IF(AND(I50&lt;&gt;"",I50&lt;=AsOf+AlertDays),1,0))))</f>
        <v/>
      </c>
      <c r="S50" s="79">
        <f>IF(AND(B50&lt;&gt;"",M50="",I50&lt;&gt;""),IF(L50&lt;&gt;"",L50,IF(H50="",0,H50)),0)</f>
        <v/>
      </c>
      <c r="T50" s="79">
        <f>IF(AND(B50&lt;&gt;"",M50="",I50&lt;&gt;""),1/I50,0)</f>
        <v/>
      </c>
      <c r="U50" s="111">
        <f>IF(AND(B50&lt;&gt;"",M50="",I50&lt;&gt;""),I50,"")</f>
        <v/>
      </c>
      <c r="V50" s="79">
        <f>IF(U50="","",IF(U50&lt;AsOf,1,IF(U50&lt;=AsOf+AlertDays,2,IF(U50&lt;=AsOf+2*AlertDays,3,""))))</f>
        <v/>
      </c>
      <c r="W50" s="79">
        <f>IF(V50="","",IF(O50="OVERDUE","Overdue payment: ","Payment due: ")&amp;B50&amp;" — "&amp;C50&amp;" ("&amp;CurSym&amp;" "&amp;FIXED(S50,0)&amp;")")</f>
        <v/>
      </c>
      <c r="Z50" s="118">
        <f>IF(ProjStart="","",DATE(YEAR(ProjStart),MONTH(ProjStart)+9,1))</f>
        <v/>
      </c>
      <c r="AA50" s="77">
        <f>IF(Z50="","",SUMIFS($N$6:$N$205,$M$6:$M$205,"&gt;="&amp;Z50,$M$6:$M$205,"&lt;"&amp;DATE(YEAR(Z50),MONTH(Z50)+1,1)))</f>
        <v/>
      </c>
      <c r="AB50" s="77">
        <f>IF(Z50="","",SUMIFS($S$6:$S$205,$I$6:$I$205,"&gt;="&amp;Z50,$I$6:$I$205,"&lt;"&amp;DATE(YEAR(Z50),MONTH(Z50)+1,1)))</f>
        <v/>
      </c>
      <c r="AC50" s="76">
        <f>IF(Z50="","",AA50+AB50)</f>
        <v/>
      </c>
      <c r="AD50" s="75">
        <f>IF(Z50="","",SUM($AC$41:AC50))</f>
        <v/>
      </c>
    </row>
    <row r="51" ht="20" customHeight="1">
      <c r="B51" s="72" t="n"/>
      <c r="C51" s="72" t="n"/>
      <c r="D51" s="72" t="n"/>
      <c r="E51" s="72" t="n"/>
      <c r="F51" s="109" t="n"/>
      <c r="G51" s="73" t="n"/>
      <c r="H51" s="75">
        <f>IF(B51="","",IF(G51&lt;&gt;"",G51,IF(F51&lt;&gt;"",F51*IFERROR(INDEX('Contractors'!$I$6:$I$35,MATCH(B51,'Contractors'!$B$6:$B$35,0)),0),"")))</f>
        <v/>
      </c>
      <c r="I51" s="108" t="n"/>
      <c r="J51" s="72" t="n"/>
      <c r="K51" s="108" t="n"/>
      <c r="L51" s="73" t="n"/>
      <c r="M51" s="108" t="n"/>
      <c r="N51" s="73" t="n"/>
      <c r="O51" s="107">
        <f>IF(B51="","",IF(M51&lt;&gt;"","Paid",IF(AND(I51&lt;&gt;"",I51&lt;AsOf),"OVERDUE",IF(OR(K51&lt;&gt;"",L51&lt;&gt;""),"Invoiced","Scheduled"))))</f>
        <v/>
      </c>
      <c r="P51" s="114">
        <f>IF(B51="","",IF(E51&lt;&gt;"",E51,IFERROR(INDEX('Contractors'!$D$6:$D$35,MATCH(B51,'Contractors'!$B$6:$B$35,0)),"")))</f>
        <v/>
      </c>
      <c r="Q51" s="79">
        <f>IF(B51="","",IF(D51&lt;&gt;"",D51,IFERROR(INDEX('Contractors'!$E$6:$E$35,MATCH(B51,'Contractors'!$B$6:$B$35,0)),"")))</f>
        <v/>
      </c>
      <c r="R51" s="79">
        <f>IF(O51="","",IF(O51="OVERDUE",2,IF(O51="Paid",0,IF(AND(I51&lt;&gt;"",I51&lt;=AsOf+AlertDays),1,0))))</f>
        <v/>
      </c>
      <c r="S51" s="79">
        <f>IF(AND(B51&lt;&gt;"",M51="",I51&lt;&gt;""),IF(L51&lt;&gt;"",L51,IF(H51="",0,H51)),0)</f>
        <v/>
      </c>
      <c r="T51" s="79">
        <f>IF(AND(B51&lt;&gt;"",M51="",I51&lt;&gt;""),1/I51,0)</f>
        <v/>
      </c>
      <c r="U51" s="111">
        <f>IF(AND(B51&lt;&gt;"",M51="",I51&lt;&gt;""),I51,"")</f>
        <v/>
      </c>
      <c r="V51" s="79">
        <f>IF(U51="","",IF(U51&lt;AsOf,1,IF(U51&lt;=AsOf+AlertDays,2,IF(U51&lt;=AsOf+2*AlertDays,3,""))))</f>
        <v/>
      </c>
      <c r="W51" s="79">
        <f>IF(V51="","",IF(O51="OVERDUE","Overdue payment: ","Payment due: ")&amp;B51&amp;" — "&amp;C51&amp;" ("&amp;CurSym&amp;" "&amp;FIXED(S51,0)&amp;")")</f>
        <v/>
      </c>
      <c r="Z51" s="118">
        <f>IF(ProjStart="","",DATE(YEAR(ProjStart),MONTH(ProjStart)+10,1))</f>
        <v/>
      </c>
      <c r="AA51" s="77">
        <f>IF(Z51="","",SUMIFS($N$6:$N$205,$M$6:$M$205,"&gt;="&amp;Z51,$M$6:$M$205,"&lt;"&amp;DATE(YEAR(Z51),MONTH(Z51)+1,1)))</f>
        <v/>
      </c>
      <c r="AB51" s="77">
        <f>IF(Z51="","",SUMIFS($S$6:$S$205,$I$6:$I$205,"&gt;="&amp;Z51,$I$6:$I$205,"&lt;"&amp;DATE(YEAR(Z51),MONTH(Z51)+1,1)))</f>
        <v/>
      </c>
      <c r="AC51" s="76">
        <f>IF(Z51="","",AA51+AB51)</f>
        <v/>
      </c>
      <c r="AD51" s="75">
        <f>IF(Z51="","",SUM($AC$41:AC51))</f>
        <v/>
      </c>
    </row>
    <row r="52" ht="20" customHeight="1">
      <c r="B52" s="72" t="n"/>
      <c r="C52" s="72" t="n"/>
      <c r="D52" s="72" t="n"/>
      <c r="E52" s="72" t="n"/>
      <c r="F52" s="109" t="n"/>
      <c r="G52" s="73" t="n"/>
      <c r="H52" s="75">
        <f>IF(B52="","",IF(G52&lt;&gt;"",G52,IF(F52&lt;&gt;"",F52*IFERROR(INDEX('Contractors'!$I$6:$I$35,MATCH(B52,'Contractors'!$B$6:$B$35,0)),0),"")))</f>
        <v/>
      </c>
      <c r="I52" s="108" t="n"/>
      <c r="J52" s="72" t="n"/>
      <c r="K52" s="108" t="n"/>
      <c r="L52" s="73" t="n"/>
      <c r="M52" s="108" t="n"/>
      <c r="N52" s="73" t="n"/>
      <c r="O52" s="107">
        <f>IF(B52="","",IF(M52&lt;&gt;"","Paid",IF(AND(I52&lt;&gt;"",I52&lt;AsOf),"OVERDUE",IF(OR(K52&lt;&gt;"",L52&lt;&gt;""),"Invoiced","Scheduled"))))</f>
        <v/>
      </c>
      <c r="P52" s="114">
        <f>IF(B52="","",IF(E52&lt;&gt;"",E52,IFERROR(INDEX('Contractors'!$D$6:$D$35,MATCH(B52,'Contractors'!$B$6:$B$35,0)),"")))</f>
        <v/>
      </c>
      <c r="Q52" s="79">
        <f>IF(B52="","",IF(D52&lt;&gt;"",D52,IFERROR(INDEX('Contractors'!$E$6:$E$35,MATCH(B52,'Contractors'!$B$6:$B$35,0)),"")))</f>
        <v/>
      </c>
      <c r="R52" s="79">
        <f>IF(O52="","",IF(O52="OVERDUE",2,IF(O52="Paid",0,IF(AND(I52&lt;&gt;"",I52&lt;=AsOf+AlertDays),1,0))))</f>
        <v/>
      </c>
      <c r="S52" s="79">
        <f>IF(AND(B52&lt;&gt;"",M52="",I52&lt;&gt;""),IF(L52&lt;&gt;"",L52,IF(H52="",0,H52)),0)</f>
        <v/>
      </c>
      <c r="T52" s="79">
        <f>IF(AND(B52&lt;&gt;"",M52="",I52&lt;&gt;""),1/I52,0)</f>
        <v/>
      </c>
      <c r="U52" s="111">
        <f>IF(AND(B52&lt;&gt;"",M52="",I52&lt;&gt;""),I52,"")</f>
        <v/>
      </c>
      <c r="V52" s="79">
        <f>IF(U52="","",IF(U52&lt;AsOf,1,IF(U52&lt;=AsOf+AlertDays,2,IF(U52&lt;=AsOf+2*AlertDays,3,""))))</f>
        <v/>
      </c>
      <c r="W52" s="79">
        <f>IF(V52="","",IF(O52="OVERDUE","Overdue payment: ","Payment due: ")&amp;B52&amp;" — "&amp;C52&amp;" ("&amp;CurSym&amp;" "&amp;FIXED(S52,0)&amp;")")</f>
        <v/>
      </c>
      <c r="Z52" s="118">
        <f>IF(ProjStart="","",DATE(YEAR(ProjStart),MONTH(ProjStart)+11,1))</f>
        <v/>
      </c>
      <c r="AA52" s="77">
        <f>IF(Z52="","",SUMIFS($N$6:$N$205,$M$6:$M$205,"&gt;="&amp;Z52,$M$6:$M$205,"&lt;"&amp;DATE(YEAR(Z52),MONTH(Z52)+1,1)))</f>
        <v/>
      </c>
      <c r="AB52" s="77">
        <f>IF(Z52="","",SUMIFS($S$6:$S$205,$I$6:$I$205,"&gt;="&amp;Z52,$I$6:$I$205,"&lt;"&amp;DATE(YEAR(Z52),MONTH(Z52)+1,1)))</f>
        <v/>
      </c>
      <c r="AC52" s="76">
        <f>IF(Z52="","",AA52+AB52)</f>
        <v/>
      </c>
      <c r="AD52" s="75">
        <f>IF(Z52="","",SUM($AC$41:AC52))</f>
        <v/>
      </c>
    </row>
    <row r="53" ht="20" customHeight="1">
      <c r="B53" s="72" t="n"/>
      <c r="C53" s="72" t="n"/>
      <c r="D53" s="72" t="n"/>
      <c r="E53" s="72" t="n"/>
      <c r="F53" s="109" t="n"/>
      <c r="G53" s="73" t="n"/>
      <c r="H53" s="75">
        <f>IF(B53="","",IF(G53&lt;&gt;"",G53,IF(F53&lt;&gt;"",F53*IFERROR(INDEX('Contractors'!$I$6:$I$35,MATCH(B53,'Contractors'!$B$6:$B$35,0)),0),"")))</f>
        <v/>
      </c>
      <c r="I53" s="108" t="n"/>
      <c r="J53" s="72" t="n"/>
      <c r="K53" s="108" t="n"/>
      <c r="L53" s="73" t="n"/>
      <c r="M53" s="108" t="n"/>
      <c r="N53" s="73" t="n"/>
      <c r="O53" s="107">
        <f>IF(B53="","",IF(M53&lt;&gt;"","Paid",IF(AND(I53&lt;&gt;"",I53&lt;AsOf),"OVERDUE",IF(OR(K53&lt;&gt;"",L53&lt;&gt;""),"Invoiced","Scheduled"))))</f>
        <v/>
      </c>
      <c r="P53" s="114">
        <f>IF(B53="","",IF(E53&lt;&gt;"",E53,IFERROR(INDEX('Contractors'!$D$6:$D$35,MATCH(B53,'Contractors'!$B$6:$B$35,0)),"")))</f>
        <v/>
      </c>
      <c r="Q53" s="79">
        <f>IF(B53="","",IF(D53&lt;&gt;"",D53,IFERROR(INDEX('Contractors'!$E$6:$E$35,MATCH(B53,'Contractors'!$B$6:$B$35,0)),"")))</f>
        <v/>
      </c>
      <c r="R53" s="79">
        <f>IF(O53="","",IF(O53="OVERDUE",2,IF(O53="Paid",0,IF(AND(I53&lt;&gt;"",I53&lt;=AsOf+AlertDays),1,0))))</f>
        <v/>
      </c>
      <c r="S53" s="79">
        <f>IF(AND(B53&lt;&gt;"",M53="",I53&lt;&gt;""),IF(L53&lt;&gt;"",L53,IF(H53="",0,H53)),0)</f>
        <v/>
      </c>
      <c r="T53" s="79">
        <f>IF(AND(B53&lt;&gt;"",M53="",I53&lt;&gt;""),1/I53,0)</f>
        <v/>
      </c>
      <c r="U53" s="111">
        <f>IF(AND(B53&lt;&gt;"",M53="",I53&lt;&gt;""),I53,"")</f>
        <v/>
      </c>
      <c r="V53" s="79">
        <f>IF(U53="","",IF(U53&lt;AsOf,1,IF(U53&lt;=AsOf+AlertDays,2,IF(U53&lt;=AsOf+2*AlertDays,3,""))))</f>
        <v/>
      </c>
      <c r="W53" s="79">
        <f>IF(V53="","",IF(O53="OVERDUE","Overdue payment: ","Payment due: ")&amp;B53&amp;" — "&amp;C53&amp;" ("&amp;CurSym&amp;" "&amp;FIXED(S53,0)&amp;")")</f>
        <v/>
      </c>
    </row>
    <row r="54" ht="20" customHeight="1">
      <c r="B54" s="72" t="n"/>
      <c r="C54" s="72" t="n"/>
      <c r="D54" s="72" t="n"/>
      <c r="E54" s="72" t="n"/>
      <c r="F54" s="109" t="n"/>
      <c r="G54" s="73" t="n"/>
      <c r="H54" s="75">
        <f>IF(B54="","",IF(G54&lt;&gt;"",G54,IF(F54&lt;&gt;"",F54*IFERROR(INDEX('Contractors'!$I$6:$I$35,MATCH(B54,'Contractors'!$B$6:$B$35,0)),0),"")))</f>
        <v/>
      </c>
      <c r="I54" s="108" t="n"/>
      <c r="J54" s="72" t="n"/>
      <c r="K54" s="108" t="n"/>
      <c r="L54" s="73" t="n"/>
      <c r="M54" s="108" t="n"/>
      <c r="N54" s="73" t="n"/>
      <c r="O54" s="107">
        <f>IF(B54="","",IF(M54&lt;&gt;"","Paid",IF(AND(I54&lt;&gt;"",I54&lt;AsOf),"OVERDUE",IF(OR(K54&lt;&gt;"",L54&lt;&gt;""),"Invoiced","Scheduled"))))</f>
        <v/>
      </c>
      <c r="P54" s="114">
        <f>IF(B54="","",IF(E54&lt;&gt;"",E54,IFERROR(INDEX('Contractors'!$D$6:$D$35,MATCH(B54,'Contractors'!$B$6:$B$35,0)),"")))</f>
        <v/>
      </c>
      <c r="Q54" s="79">
        <f>IF(B54="","",IF(D54&lt;&gt;"",D54,IFERROR(INDEX('Contractors'!$E$6:$E$35,MATCH(B54,'Contractors'!$B$6:$B$35,0)),"")))</f>
        <v/>
      </c>
      <c r="R54" s="79">
        <f>IF(O54="","",IF(O54="OVERDUE",2,IF(O54="Paid",0,IF(AND(I54&lt;&gt;"",I54&lt;=AsOf+AlertDays),1,0))))</f>
        <v/>
      </c>
      <c r="S54" s="79">
        <f>IF(AND(B54&lt;&gt;"",M54="",I54&lt;&gt;""),IF(L54&lt;&gt;"",L54,IF(H54="",0,H54)),0)</f>
        <v/>
      </c>
      <c r="T54" s="79">
        <f>IF(AND(B54&lt;&gt;"",M54="",I54&lt;&gt;""),1/I54,0)</f>
        <v/>
      </c>
      <c r="U54" s="111">
        <f>IF(AND(B54&lt;&gt;"",M54="",I54&lt;&gt;""),I54,"")</f>
        <v/>
      </c>
      <c r="V54" s="79">
        <f>IF(U54="","",IF(U54&lt;AsOf,1,IF(U54&lt;=AsOf+AlertDays,2,IF(U54&lt;=AsOf+2*AlertDays,3,""))))</f>
        <v/>
      </c>
      <c r="W54" s="79">
        <f>IF(V54="","",IF(O54="OVERDUE","Overdue payment: ","Payment due: ")&amp;B54&amp;" — "&amp;C54&amp;" ("&amp;CurSym&amp;" "&amp;FIXED(S54,0)&amp;")")</f>
        <v/>
      </c>
    </row>
    <row r="55" ht="20" customHeight="1">
      <c r="B55" s="72" t="n"/>
      <c r="C55" s="72" t="n"/>
      <c r="D55" s="72" t="n"/>
      <c r="E55" s="72" t="n"/>
      <c r="F55" s="109" t="n"/>
      <c r="G55" s="73" t="n"/>
      <c r="H55" s="75">
        <f>IF(B55="","",IF(G55&lt;&gt;"",G55,IF(F55&lt;&gt;"",F55*IFERROR(INDEX('Contractors'!$I$6:$I$35,MATCH(B55,'Contractors'!$B$6:$B$35,0)),0),"")))</f>
        <v/>
      </c>
      <c r="I55" s="108" t="n"/>
      <c r="J55" s="72" t="n"/>
      <c r="K55" s="108" t="n"/>
      <c r="L55" s="73" t="n"/>
      <c r="M55" s="108" t="n"/>
      <c r="N55" s="73" t="n"/>
      <c r="O55" s="107">
        <f>IF(B55="","",IF(M55&lt;&gt;"","Paid",IF(AND(I55&lt;&gt;"",I55&lt;AsOf),"OVERDUE",IF(OR(K55&lt;&gt;"",L55&lt;&gt;""),"Invoiced","Scheduled"))))</f>
        <v/>
      </c>
      <c r="P55" s="114">
        <f>IF(B55="","",IF(E55&lt;&gt;"",E55,IFERROR(INDEX('Contractors'!$D$6:$D$35,MATCH(B55,'Contractors'!$B$6:$B$35,0)),"")))</f>
        <v/>
      </c>
      <c r="Q55" s="79">
        <f>IF(B55="","",IF(D55&lt;&gt;"",D55,IFERROR(INDEX('Contractors'!$E$6:$E$35,MATCH(B55,'Contractors'!$B$6:$B$35,0)),"")))</f>
        <v/>
      </c>
      <c r="R55" s="79">
        <f>IF(O55="","",IF(O55="OVERDUE",2,IF(O55="Paid",0,IF(AND(I55&lt;&gt;"",I55&lt;=AsOf+AlertDays),1,0))))</f>
        <v/>
      </c>
      <c r="S55" s="79">
        <f>IF(AND(B55&lt;&gt;"",M55="",I55&lt;&gt;""),IF(L55&lt;&gt;"",L55,IF(H55="",0,H55)),0)</f>
        <v/>
      </c>
      <c r="T55" s="79">
        <f>IF(AND(B55&lt;&gt;"",M55="",I55&lt;&gt;""),1/I55,0)</f>
        <v/>
      </c>
      <c r="U55" s="111">
        <f>IF(AND(B55&lt;&gt;"",M55="",I55&lt;&gt;""),I55,"")</f>
        <v/>
      </c>
      <c r="V55" s="79">
        <f>IF(U55="","",IF(U55&lt;AsOf,1,IF(U55&lt;=AsOf+AlertDays,2,IF(U55&lt;=AsOf+2*AlertDays,3,""))))</f>
        <v/>
      </c>
      <c r="W55" s="79">
        <f>IF(V55="","",IF(O55="OVERDUE","Overdue payment: ","Payment due: ")&amp;B55&amp;" — "&amp;C55&amp;" ("&amp;CurSym&amp;" "&amp;FIXED(S55,0)&amp;")")</f>
        <v/>
      </c>
    </row>
    <row r="56" ht="20" customHeight="1">
      <c r="B56" s="72" t="n"/>
      <c r="C56" s="72" t="n"/>
      <c r="D56" s="72" t="n"/>
      <c r="E56" s="72" t="n"/>
      <c r="F56" s="109" t="n"/>
      <c r="G56" s="73" t="n"/>
      <c r="H56" s="75">
        <f>IF(B56="","",IF(G56&lt;&gt;"",G56,IF(F56&lt;&gt;"",F56*IFERROR(INDEX('Contractors'!$I$6:$I$35,MATCH(B56,'Contractors'!$B$6:$B$35,0)),0),"")))</f>
        <v/>
      </c>
      <c r="I56" s="108" t="n"/>
      <c r="J56" s="72" t="n"/>
      <c r="K56" s="108" t="n"/>
      <c r="L56" s="73" t="n"/>
      <c r="M56" s="108" t="n"/>
      <c r="N56" s="73" t="n"/>
      <c r="O56" s="107">
        <f>IF(B56="","",IF(M56&lt;&gt;"","Paid",IF(AND(I56&lt;&gt;"",I56&lt;AsOf),"OVERDUE",IF(OR(K56&lt;&gt;"",L56&lt;&gt;""),"Invoiced","Scheduled"))))</f>
        <v/>
      </c>
      <c r="P56" s="114">
        <f>IF(B56="","",IF(E56&lt;&gt;"",E56,IFERROR(INDEX('Contractors'!$D$6:$D$35,MATCH(B56,'Contractors'!$B$6:$B$35,0)),"")))</f>
        <v/>
      </c>
      <c r="Q56" s="79">
        <f>IF(B56="","",IF(D56&lt;&gt;"",D56,IFERROR(INDEX('Contractors'!$E$6:$E$35,MATCH(B56,'Contractors'!$B$6:$B$35,0)),"")))</f>
        <v/>
      </c>
      <c r="R56" s="79">
        <f>IF(O56="","",IF(O56="OVERDUE",2,IF(O56="Paid",0,IF(AND(I56&lt;&gt;"",I56&lt;=AsOf+AlertDays),1,0))))</f>
        <v/>
      </c>
      <c r="S56" s="79">
        <f>IF(AND(B56&lt;&gt;"",M56="",I56&lt;&gt;""),IF(L56&lt;&gt;"",L56,IF(H56="",0,H56)),0)</f>
        <v/>
      </c>
      <c r="T56" s="79">
        <f>IF(AND(B56&lt;&gt;"",M56="",I56&lt;&gt;""),1/I56,0)</f>
        <v/>
      </c>
      <c r="U56" s="111">
        <f>IF(AND(B56&lt;&gt;"",M56="",I56&lt;&gt;""),I56,"")</f>
        <v/>
      </c>
      <c r="V56" s="79">
        <f>IF(U56="","",IF(U56&lt;AsOf,1,IF(U56&lt;=AsOf+AlertDays,2,IF(U56&lt;=AsOf+2*AlertDays,3,""))))</f>
        <v/>
      </c>
      <c r="W56" s="79">
        <f>IF(V56="","",IF(O56="OVERDUE","Overdue payment: ","Payment due: ")&amp;B56&amp;" — "&amp;C56&amp;" ("&amp;CurSym&amp;" "&amp;FIXED(S56,0)&amp;")")</f>
        <v/>
      </c>
    </row>
    <row r="57" ht="20" customHeight="1">
      <c r="B57" s="72" t="n"/>
      <c r="C57" s="72" t="n"/>
      <c r="D57" s="72" t="n"/>
      <c r="E57" s="72" t="n"/>
      <c r="F57" s="109" t="n"/>
      <c r="G57" s="73" t="n"/>
      <c r="H57" s="75">
        <f>IF(B57="","",IF(G57&lt;&gt;"",G57,IF(F57&lt;&gt;"",F57*IFERROR(INDEX('Contractors'!$I$6:$I$35,MATCH(B57,'Contractors'!$B$6:$B$35,0)),0),"")))</f>
        <v/>
      </c>
      <c r="I57" s="108" t="n"/>
      <c r="J57" s="72" t="n"/>
      <c r="K57" s="108" t="n"/>
      <c r="L57" s="73" t="n"/>
      <c r="M57" s="108" t="n"/>
      <c r="N57" s="73" t="n"/>
      <c r="O57" s="107">
        <f>IF(B57="","",IF(M57&lt;&gt;"","Paid",IF(AND(I57&lt;&gt;"",I57&lt;AsOf),"OVERDUE",IF(OR(K57&lt;&gt;"",L57&lt;&gt;""),"Invoiced","Scheduled"))))</f>
        <v/>
      </c>
      <c r="P57" s="114">
        <f>IF(B57="","",IF(E57&lt;&gt;"",E57,IFERROR(INDEX('Contractors'!$D$6:$D$35,MATCH(B57,'Contractors'!$B$6:$B$35,0)),"")))</f>
        <v/>
      </c>
      <c r="Q57" s="79">
        <f>IF(B57="","",IF(D57&lt;&gt;"",D57,IFERROR(INDEX('Contractors'!$E$6:$E$35,MATCH(B57,'Contractors'!$B$6:$B$35,0)),"")))</f>
        <v/>
      </c>
      <c r="R57" s="79">
        <f>IF(O57="","",IF(O57="OVERDUE",2,IF(O57="Paid",0,IF(AND(I57&lt;&gt;"",I57&lt;=AsOf+AlertDays),1,0))))</f>
        <v/>
      </c>
      <c r="S57" s="79">
        <f>IF(AND(B57&lt;&gt;"",M57="",I57&lt;&gt;""),IF(L57&lt;&gt;"",L57,IF(H57="",0,H57)),0)</f>
        <v/>
      </c>
      <c r="T57" s="79">
        <f>IF(AND(B57&lt;&gt;"",M57="",I57&lt;&gt;""),1/I57,0)</f>
        <v/>
      </c>
      <c r="U57" s="111">
        <f>IF(AND(B57&lt;&gt;"",M57="",I57&lt;&gt;""),I57,"")</f>
        <v/>
      </c>
      <c r="V57" s="79">
        <f>IF(U57="","",IF(U57&lt;AsOf,1,IF(U57&lt;=AsOf+AlertDays,2,IF(U57&lt;=AsOf+2*AlertDays,3,""))))</f>
        <v/>
      </c>
      <c r="W57" s="79">
        <f>IF(V57="","",IF(O57="OVERDUE","Overdue payment: ","Payment due: ")&amp;B57&amp;" — "&amp;C57&amp;" ("&amp;CurSym&amp;" "&amp;FIXED(S57,0)&amp;")")</f>
        <v/>
      </c>
    </row>
    <row r="58" ht="20" customHeight="1">
      <c r="B58" s="72" t="n"/>
      <c r="C58" s="72" t="n"/>
      <c r="D58" s="72" t="n"/>
      <c r="E58" s="72" t="n"/>
      <c r="F58" s="109" t="n"/>
      <c r="G58" s="73" t="n"/>
      <c r="H58" s="75">
        <f>IF(B58="","",IF(G58&lt;&gt;"",G58,IF(F58&lt;&gt;"",F58*IFERROR(INDEX('Contractors'!$I$6:$I$35,MATCH(B58,'Contractors'!$B$6:$B$35,0)),0),"")))</f>
        <v/>
      </c>
      <c r="I58" s="108" t="n"/>
      <c r="J58" s="72" t="n"/>
      <c r="K58" s="108" t="n"/>
      <c r="L58" s="73" t="n"/>
      <c r="M58" s="108" t="n"/>
      <c r="N58" s="73" t="n"/>
      <c r="O58" s="107">
        <f>IF(B58="","",IF(M58&lt;&gt;"","Paid",IF(AND(I58&lt;&gt;"",I58&lt;AsOf),"OVERDUE",IF(OR(K58&lt;&gt;"",L58&lt;&gt;""),"Invoiced","Scheduled"))))</f>
        <v/>
      </c>
      <c r="P58" s="114">
        <f>IF(B58="","",IF(E58&lt;&gt;"",E58,IFERROR(INDEX('Contractors'!$D$6:$D$35,MATCH(B58,'Contractors'!$B$6:$B$35,0)),"")))</f>
        <v/>
      </c>
      <c r="Q58" s="79">
        <f>IF(B58="","",IF(D58&lt;&gt;"",D58,IFERROR(INDEX('Contractors'!$E$6:$E$35,MATCH(B58,'Contractors'!$B$6:$B$35,0)),"")))</f>
        <v/>
      </c>
      <c r="R58" s="79">
        <f>IF(O58="","",IF(O58="OVERDUE",2,IF(O58="Paid",0,IF(AND(I58&lt;&gt;"",I58&lt;=AsOf+AlertDays),1,0))))</f>
        <v/>
      </c>
      <c r="S58" s="79">
        <f>IF(AND(B58&lt;&gt;"",M58="",I58&lt;&gt;""),IF(L58&lt;&gt;"",L58,IF(H58="",0,H58)),0)</f>
        <v/>
      </c>
      <c r="T58" s="79">
        <f>IF(AND(B58&lt;&gt;"",M58="",I58&lt;&gt;""),1/I58,0)</f>
        <v/>
      </c>
      <c r="U58" s="111">
        <f>IF(AND(B58&lt;&gt;"",M58="",I58&lt;&gt;""),I58,"")</f>
        <v/>
      </c>
      <c r="V58" s="79">
        <f>IF(U58="","",IF(U58&lt;AsOf,1,IF(U58&lt;=AsOf+AlertDays,2,IF(U58&lt;=AsOf+2*AlertDays,3,""))))</f>
        <v/>
      </c>
      <c r="W58" s="79">
        <f>IF(V58="","",IF(O58="OVERDUE","Overdue payment: ","Payment due: ")&amp;B58&amp;" — "&amp;C58&amp;" ("&amp;CurSym&amp;" "&amp;FIXED(S58,0)&amp;")")</f>
        <v/>
      </c>
    </row>
    <row r="59" ht="20" customHeight="1">
      <c r="B59" s="72" t="n"/>
      <c r="C59" s="72" t="n"/>
      <c r="D59" s="72" t="n"/>
      <c r="E59" s="72" t="n"/>
      <c r="F59" s="109" t="n"/>
      <c r="G59" s="73" t="n"/>
      <c r="H59" s="75">
        <f>IF(B59="","",IF(G59&lt;&gt;"",G59,IF(F59&lt;&gt;"",F59*IFERROR(INDEX('Contractors'!$I$6:$I$35,MATCH(B59,'Contractors'!$B$6:$B$35,0)),0),"")))</f>
        <v/>
      </c>
      <c r="I59" s="108" t="n"/>
      <c r="J59" s="72" t="n"/>
      <c r="K59" s="108" t="n"/>
      <c r="L59" s="73" t="n"/>
      <c r="M59" s="108" t="n"/>
      <c r="N59" s="73" t="n"/>
      <c r="O59" s="107">
        <f>IF(B59="","",IF(M59&lt;&gt;"","Paid",IF(AND(I59&lt;&gt;"",I59&lt;AsOf),"OVERDUE",IF(OR(K59&lt;&gt;"",L59&lt;&gt;""),"Invoiced","Scheduled"))))</f>
        <v/>
      </c>
      <c r="P59" s="114">
        <f>IF(B59="","",IF(E59&lt;&gt;"",E59,IFERROR(INDEX('Contractors'!$D$6:$D$35,MATCH(B59,'Contractors'!$B$6:$B$35,0)),"")))</f>
        <v/>
      </c>
      <c r="Q59" s="79">
        <f>IF(B59="","",IF(D59&lt;&gt;"",D59,IFERROR(INDEX('Contractors'!$E$6:$E$35,MATCH(B59,'Contractors'!$B$6:$B$35,0)),"")))</f>
        <v/>
      </c>
      <c r="R59" s="79">
        <f>IF(O59="","",IF(O59="OVERDUE",2,IF(O59="Paid",0,IF(AND(I59&lt;&gt;"",I59&lt;=AsOf+AlertDays),1,0))))</f>
        <v/>
      </c>
      <c r="S59" s="79">
        <f>IF(AND(B59&lt;&gt;"",M59="",I59&lt;&gt;""),IF(L59&lt;&gt;"",L59,IF(H59="",0,H59)),0)</f>
        <v/>
      </c>
      <c r="T59" s="79">
        <f>IF(AND(B59&lt;&gt;"",M59="",I59&lt;&gt;""),1/I59,0)</f>
        <v/>
      </c>
      <c r="U59" s="111">
        <f>IF(AND(B59&lt;&gt;"",M59="",I59&lt;&gt;""),I59,"")</f>
        <v/>
      </c>
      <c r="V59" s="79">
        <f>IF(U59="","",IF(U59&lt;AsOf,1,IF(U59&lt;=AsOf+AlertDays,2,IF(U59&lt;=AsOf+2*AlertDays,3,""))))</f>
        <v/>
      </c>
      <c r="W59" s="79">
        <f>IF(V59="","",IF(O59="OVERDUE","Overdue payment: ","Payment due: ")&amp;B59&amp;" — "&amp;C59&amp;" ("&amp;CurSym&amp;" "&amp;FIXED(S59,0)&amp;")")</f>
        <v/>
      </c>
    </row>
    <row r="60" ht="20" customHeight="1">
      <c r="B60" s="72" t="n"/>
      <c r="C60" s="72" t="n"/>
      <c r="D60" s="72" t="n"/>
      <c r="E60" s="72" t="n"/>
      <c r="F60" s="109" t="n"/>
      <c r="G60" s="73" t="n"/>
      <c r="H60" s="75">
        <f>IF(B60="","",IF(G60&lt;&gt;"",G60,IF(F60&lt;&gt;"",F60*IFERROR(INDEX('Contractors'!$I$6:$I$35,MATCH(B60,'Contractors'!$B$6:$B$35,0)),0),"")))</f>
        <v/>
      </c>
      <c r="I60" s="108" t="n"/>
      <c r="J60" s="72" t="n"/>
      <c r="K60" s="108" t="n"/>
      <c r="L60" s="73" t="n"/>
      <c r="M60" s="108" t="n"/>
      <c r="N60" s="73" t="n"/>
      <c r="O60" s="107">
        <f>IF(B60="","",IF(M60&lt;&gt;"","Paid",IF(AND(I60&lt;&gt;"",I60&lt;AsOf),"OVERDUE",IF(OR(K60&lt;&gt;"",L60&lt;&gt;""),"Invoiced","Scheduled"))))</f>
        <v/>
      </c>
      <c r="P60" s="114">
        <f>IF(B60="","",IF(E60&lt;&gt;"",E60,IFERROR(INDEX('Contractors'!$D$6:$D$35,MATCH(B60,'Contractors'!$B$6:$B$35,0)),"")))</f>
        <v/>
      </c>
      <c r="Q60" s="79">
        <f>IF(B60="","",IF(D60&lt;&gt;"",D60,IFERROR(INDEX('Contractors'!$E$6:$E$35,MATCH(B60,'Contractors'!$B$6:$B$35,0)),"")))</f>
        <v/>
      </c>
      <c r="R60" s="79">
        <f>IF(O60="","",IF(O60="OVERDUE",2,IF(O60="Paid",0,IF(AND(I60&lt;&gt;"",I60&lt;=AsOf+AlertDays),1,0))))</f>
        <v/>
      </c>
      <c r="S60" s="79">
        <f>IF(AND(B60&lt;&gt;"",M60="",I60&lt;&gt;""),IF(L60&lt;&gt;"",L60,IF(H60="",0,H60)),0)</f>
        <v/>
      </c>
      <c r="T60" s="79">
        <f>IF(AND(B60&lt;&gt;"",M60="",I60&lt;&gt;""),1/I60,0)</f>
        <v/>
      </c>
      <c r="U60" s="111">
        <f>IF(AND(B60&lt;&gt;"",M60="",I60&lt;&gt;""),I60,"")</f>
        <v/>
      </c>
      <c r="V60" s="79">
        <f>IF(U60="","",IF(U60&lt;AsOf,1,IF(U60&lt;=AsOf+AlertDays,2,IF(U60&lt;=AsOf+2*AlertDays,3,""))))</f>
        <v/>
      </c>
      <c r="W60" s="79">
        <f>IF(V60="","",IF(O60="OVERDUE","Overdue payment: ","Payment due: ")&amp;B60&amp;" — "&amp;C60&amp;" ("&amp;CurSym&amp;" "&amp;FIXED(S60,0)&amp;")")</f>
        <v/>
      </c>
    </row>
    <row r="61" ht="20" customHeight="1">
      <c r="B61" s="72" t="n"/>
      <c r="C61" s="72" t="n"/>
      <c r="D61" s="72" t="n"/>
      <c r="E61" s="72" t="n"/>
      <c r="F61" s="109" t="n"/>
      <c r="G61" s="73" t="n"/>
      <c r="H61" s="75">
        <f>IF(B61="","",IF(G61&lt;&gt;"",G61,IF(F61&lt;&gt;"",F61*IFERROR(INDEX('Contractors'!$I$6:$I$35,MATCH(B61,'Contractors'!$B$6:$B$35,0)),0),"")))</f>
        <v/>
      </c>
      <c r="I61" s="108" t="n"/>
      <c r="J61" s="72" t="n"/>
      <c r="K61" s="108" t="n"/>
      <c r="L61" s="73" t="n"/>
      <c r="M61" s="108" t="n"/>
      <c r="N61" s="73" t="n"/>
      <c r="O61" s="107">
        <f>IF(B61="","",IF(M61&lt;&gt;"","Paid",IF(AND(I61&lt;&gt;"",I61&lt;AsOf),"OVERDUE",IF(OR(K61&lt;&gt;"",L61&lt;&gt;""),"Invoiced","Scheduled"))))</f>
        <v/>
      </c>
      <c r="P61" s="114">
        <f>IF(B61="","",IF(E61&lt;&gt;"",E61,IFERROR(INDEX('Contractors'!$D$6:$D$35,MATCH(B61,'Contractors'!$B$6:$B$35,0)),"")))</f>
        <v/>
      </c>
      <c r="Q61" s="79">
        <f>IF(B61="","",IF(D61&lt;&gt;"",D61,IFERROR(INDEX('Contractors'!$E$6:$E$35,MATCH(B61,'Contractors'!$B$6:$B$35,0)),"")))</f>
        <v/>
      </c>
      <c r="R61" s="79">
        <f>IF(O61="","",IF(O61="OVERDUE",2,IF(O61="Paid",0,IF(AND(I61&lt;&gt;"",I61&lt;=AsOf+AlertDays),1,0))))</f>
        <v/>
      </c>
      <c r="S61" s="79">
        <f>IF(AND(B61&lt;&gt;"",M61="",I61&lt;&gt;""),IF(L61&lt;&gt;"",L61,IF(H61="",0,H61)),0)</f>
        <v/>
      </c>
      <c r="T61" s="79">
        <f>IF(AND(B61&lt;&gt;"",M61="",I61&lt;&gt;""),1/I61,0)</f>
        <v/>
      </c>
      <c r="U61" s="111">
        <f>IF(AND(B61&lt;&gt;"",M61="",I61&lt;&gt;""),I61,"")</f>
        <v/>
      </c>
      <c r="V61" s="79">
        <f>IF(U61="","",IF(U61&lt;AsOf,1,IF(U61&lt;=AsOf+AlertDays,2,IF(U61&lt;=AsOf+2*AlertDays,3,""))))</f>
        <v/>
      </c>
      <c r="W61" s="79">
        <f>IF(V61="","",IF(O61="OVERDUE","Overdue payment: ","Payment due: ")&amp;B61&amp;" — "&amp;C61&amp;" ("&amp;CurSym&amp;" "&amp;FIXED(S61,0)&amp;")")</f>
        <v/>
      </c>
    </row>
    <row r="62" ht="20" customHeight="1">
      <c r="B62" s="72" t="n"/>
      <c r="C62" s="72" t="n"/>
      <c r="D62" s="72" t="n"/>
      <c r="E62" s="72" t="n"/>
      <c r="F62" s="109" t="n"/>
      <c r="G62" s="73" t="n"/>
      <c r="H62" s="75">
        <f>IF(B62="","",IF(G62&lt;&gt;"",G62,IF(F62&lt;&gt;"",F62*IFERROR(INDEX('Contractors'!$I$6:$I$35,MATCH(B62,'Contractors'!$B$6:$B$35,0)),0),"")))</f>
        <v/>
      </c>
      <c r="I62" s="108" t="n"/>
      <c r="J62" s="72" t="n"/>
      <c r="K62" s="108" t="n"/>
      <c r="L62" s="73" t="n"/>
      <c r="M62" s="108" t="n"/>
      <c r="N62" s="73" t="n"/>
      <c r="O62" s="107">
        <f>IF(B62="","",IF(M62&lt;&gt;"","Paid",IF(AND(I62&lt;&gt;"",I62&lt;AsOf),"OVERDUE",IF(OR(K62&lt;&gt;"",L62&lt;&gt;""),"Invoiced","Scheduled"))))</f>
        <v/>
      </c>
      <c r="P62" s="114">
        <f>IF(B62="","",IF(E62&lt;&gt;"",E62,IFERROR(INDEX('Contractors'!$D$6:$D$35,MATCH(B62,'Contractors'!$B$6:$B$35,0)),"")))</f>
        <v/>
      </c>
      <c r="Q62" s="79">
        <f>IF(B62="","",IF(D62&lt;&gt;"",D62,IFERROR(INDEX('Contractors'!$E$6:$E$35,MATCH(B62,'Contractors'!$B$6:$B$35,0)),"")))</f>
        <v/>
      </c>
      <c r="R62" s="79">
        <f>IF(O62="","",IF(O62="OVERDUE",2,IF(O62="Paid",0,IF(AND(I62&lt;&gt;"",I62&lt;=AsOf+AlertDays),1,0))))</f>
        <v/>
      </c>
      <c r="S62" s="79">
        <f>IF(AND(B62&lt;&gt;"",M62="",I62&lt;&gt;""),IF(L62&lt;&gt;"",L62,IF(H62="",0,H62)),0)</f>
        <v/>
      </c>
      <c r="T62" s="79">
        <f>IF(AND(B62&lt;&gt;"",M62="",I62&lt;&gt;""),1/I62,0)</f>
        <v/>
      </c>
      <c r="U62" s="111">
        <f>IF(AND(B62&lt;&gt;"",M62="",I62&lt;&gt;""),I62,"")</f>
        <v/>
      </c>
      <c r="V62" s="79">
        <f>IF(U62="","",IF(U62&lt;AsOf,1,IF(U62&lt;=AsOf+AlertDays,2,IF(U62&lt;=AsOf+2*AlertDays,3,""))))</f>
        <v/>
      </c>
      <c r="W62" s="79">
        <f>IF(V62="","",IF(O62="OVERDUE","Overdue payment: ","Payment due: ")&amp;B62&amp;" — "&amp;C62&amp;" ("&amp;CurSym&amp;" "&amp;FIXED(S62,0)&amp;")")</f>
        <v/>
      </c>
    </row>
    <row r="63" ht="20" customHeight="1">
      <c r="B63" s="72" t="n"/>
      <c r="C63" s="72" t="n"/>
      <c r="D63" s="72" t="n"/>
      <c r="E63" s="72" t="n"/>
      <c r="F63" s="109" t="n"/>
      <c r="G63" s="73" t="n"/>
      <c r="H63" s="75">
        <f>IF(B63="","",IF(G63&lt;&gt;"",G63,IF(F63&lt;&gt;"",F63*IFERROR(INDEX('Contractors'!$I$6:$I$35,MATCH(B63,'Contractors'!$B$6:$B$35,0)),0),"")))</f>
        <v/>
      </c>
      <c r="I63" s="108" t="n"/>
      <c r="J63" s="72" t="n"/>
      <c r="K63" s="108" t="n"/>
      <c r="L63" s="73" t="n"/>
      <c r="M63" s="108" t="n"/>
      <c r="N63" s="73" t="n"/>
      <c r="O63" s="107">
        <f>IF(B63="","",IF(M63&lt;&gt;"","Paid",IF(AND(I63&lt;&gt;"",I63&lt;AsOf),"OVERDUE",IF(OR(K63&lt;&gt;"",L63&lt;&gt;""),"Invoiced","Scheduled"))))</f>
        <v/>
      </c>
      <c r="P63" s="114">
        <f>IF(B63="","",IF(E63&lt;&gt;"",E63,IFERROR(INDEX('Contractors'!$D$6:$D$35,MATCH(B63,'Contractors'!$B$6:$B$35,0)),"")))</f>
        <v/>
      </c>
      <c r="Q63" s="79">
        <f>IF(B63="","",IF(D63&lt;&gt;"",D63,IFERROR(INDEX('Contractors'!$E$6:$E$35,MATCH(B63,'Contractors'!$B$6:$B$35,0)),"")))</f>
        <v/>
      </c>
      <c r="R63" s="79">
        <f>IF(O63="","",IF(O63="OVERDUE",2,IF(O63="Paid",0,IF(AND(I63&lt;&gt;"",I63&lt;=AsOf+AlertDays),1,0))))</f>
        <v/>
      </c>
      <c r="S63" s="79">
        <f>IF(AND(B63&lt;&gt;"",M63="",I63&lt;&gt;""),IF(L63&lt;&gt;"",L63,IF(H63="",0,H63)),0)</f>
        <v/>
      </c>
      <c r="T63" s="79">
        <f>IF(AND(B63&lt;&gt;"",M63="",I63&lt;&gt;""),1/I63,0)</f>
        <v/>
      </c>
      <c r="U63" s="111">
        <f>IF(AND(B63&lt;&gt;"",M63="",I63&lt;&gt;""),I63,"")</f>
        <v/>
      </c>
      <c r="V63" s="79">
        <f>IF(U63="","",IF(U63&lt;AsOf,1,IF(U63&lt;=AsOf+AlertDays,2,IF(U63&lt;=AsOf+2*AlertDays,3,""))))</f>
        <v/>
      </c>
      <c r="W63" s="79">
        <f>IF(V63="","",IF(O63="OVERDUE","Overdue payment: ","Payment due: ")&amp;B63&amp;" — "&amp;C63&amp;" ("&amp;CurSym&amp;" "&amp;FIXED(S63,0)&amp;")")</f>
        <v/>
      </c>
    </row>
    <row r="64" ht="20" customHeight="1">
      <c r="B64" s="72" t="n"/>
      <c r="C64" s="72" t="n"/>
      <c r="D64" s="72" t="n"/>
      <c r="E64" s="72" t="n"/>
      <c r="F64" s="109" t="n"/>
      <c r="G64" s="73" t="n"/>
      <c r="H64" s="75">
        <f>IF(B64="","",IF(G64&lt;&gt;"",G64,IF(F64&lt;&gt;"",F64*IFERROR(INDEX('Contractors'!$I$6:$I$35,MATCH(B64,'Contractors'!$B$6:$B$35,0)),0),"")))</f>
        <v/>
      </c>
      <c r="I64" s="108" t="n"/>
      <c r="J64" s="72" t="n"/>
      <c r="K64" s="108" t="n"/>
      <c r="L64" s="73" t="n"/>
      <c r="M64" s="108" t="n"/>
      <c r="N64" s="73" t="n"/>
      <c r="O64" s="107">
        <f>IF(B64="","",IF(M64&lt;&gt;"","Paid",IF(AND(I64&lt;&gt;"",I64&lt;AsOf),"OVERDUE",IF(OR(K64&lt;&gt;"",L64&lt;&gt;""),"Invoiced","Scheduled"))))</f>
        <v/>
      </c>
      <c r="P64" s="114">
        <f>IF(B64="","",IF(E64&lt;&gt;"",E64,IFERROR(INDEX('Contractors'!$D$6:$D$35,MATCH(B64,'Contractors'!$B$6:$B$35,0)),"")))</f>
        <v/>
      </c>
      <c r="Q64" s="79">
        <f>IF(B64="","",IF(D64&lt;&gt;"",D64,IFERROR(INDEX('Contractors'!$E$6:$E$35,MATCH(B64,'Contractors'!$B$6:$B$35,0)),"")))</f>
        <v/>
      </c>
      <c r="R64" s="79">
        <f>IF(O64="","",IF(O64="OVERDUE",2,IF(O64="Paid",0,IF(AND(I64&lt;&gt;"",I64&lt;=AsOf+AlertDays),1,0))))</f>
        <v/>
      </c>
      <c r="S64" s="79">
        <f>IF(AND(B64&lt;&gt;"",M64="",I64&lt;&gt;""),IF(L64&lt;&gt;"",L64,IF(H64="",0,H64)),0)</f>
        <v/>
      </c>
      <c r="T64" s="79">
        <f>IF(AND(B64&lt;&gt;"",M64="",I64&lt;&gt;""),1/I64,0)</f>
        <v/>
      </c>
      <c r="U64" s="111">
        <f>IF(AND(B64&lt;&gt;"",M64="",I64&lt;&gt;""),I64,"")</f>
        <v/>
      </c>
      <c r="V64" s="79">
        <f>IF(U64="","",IF(U64&lt;AsOf,1,IF(U64&lt;=AsOf+AlertDays,2,IF(U64&lt;=AsOf+2*AlertDays,3,""))))</f>
        <v/>
      </c>
      <c r="W64" s="79">
        <f>IF(V64="","",IF(O64="OVERDUE","Overdue payment: ","Payment due: ")&amp;B64&amp;" — "&amp;C64&amp;" ("&amp;CurSym&amp;" "&amp;FIXED(S64,0)&amp;")")</f>
        <v/>
      </c>
    </row>
    <row r="65" ht="20" customHeight="1">
      <c r="B65" s="72" t="n"/>
      <c r="C65" s="72" t="n"/>
      <c r="D65" s="72" t="n"/>
      <c r="E65" s="72" t="n"/>
      <c r="F65" s="109" t="n"/>
      <c r="G65" s="73" t="n"/>
      <c r="H65" s="75">
        <f>IF(B65="","",IF(G65&lt;&gt;"",G65,IF(F65&lt;&gt;"",F65*IFERROR(INDEX('Contractors'!$I$6:$I$35,MATCH(B65,'Contractors'!$B$6:$B$35,0)),0),"")))</f>
        <v/>
      </c>
      <c r="I65" s="108" t="n"/>
      <c r="J65" s="72" t="n"/>
      <c r="K65" s="108" t="n"/>
      <c r="L65" s="73" t="n"/>
      <c r="M65" s="108" t="n"/>
      <c r="N65" s="73" t="n"/>
      <c r="O65" s="107">
        <f>IF(B65="","",IF(M65&lt;&gt;"","Paid",IF(AND(I65&lt;&gt;"",I65&lt;AsOf),"OVERDUE",IF(OR(K65&lt;&gt;"",L65&lt;&gt;""),"Invoiced","Scheduled"))))</f>
        <v/>
      </c>
      <c r="P65" s="114">
        <f>IF(B65="","",IF(E65&lt;&gt;"",E65,IFERROR(INDEX('Contractors'!$D$6:$D$35,MATCH(B65,'Contractors'!$B$6:$B$35,0)),"")))</f>
        <v/>
      </c>
      <c r="Q65" s="79">
        <f>IF(B65="","",IF(D65&lt;&gt;"",D65,IFERROR(INDEX('Contractors'!$E$6:$E$35,MATCH(B65,'Contractors'!$B$6:$B$35,0)),"")))</f>
        <v/>
      </c>
      <c r="R65" s="79">
        <f>IF(O65="","",IF(O65="OVERDUE",2,IF(O65="Paid",0,IF(AND(I65&lt;&gt;"",I65&lt;=AsOf+AlertDays),1,0))))</f>
        <v/>
      </c>
      <c r="S65" s="79">
        <f>IF(AND(B65&lt;&gt;"",M65="",I65&lt;&gt;""),IF(L65&lt;&gt;"",L65,IF(H65="",0,H65)),0)</f>
        <v/>
      </c>
      <c r="T65" s="79">
        <f>IF(AND(B65&lt;&gt;"",M65="",I65&lt;&gt;""),1/I65,0)</f>
        <v/>
      </c>
      <c r="U65" s="111">
        <f>IF(AND(B65&lt;&gt;"",M65="",I65&lt;&gt;""),I65,"")</f>
        <v/>
      </c>
      <c r="V65" s="79">
        <f>IF(U65="","",IF(U65&lt;AsOf,1,IF(U65&lt;=AsOf+AlertDays,2,IF(U65&lt;=AsOf+2*AlertDays,3,""))))</f>
        <v/>
      </c>
      <c r="W65" s="79">
        <f>IF(V65="","",IF(O65="OVERDUE","Overdue payment: ","Payment due: ")&amp;B65&amp;" — "&amp;C65&amp;" ("&amp;CurSym&amp;" "&amp;FIXED(S65,0)&amp;")")</f>
        <v/>
      </c>
    </row>
    <row r="66" ht="20" customHeight="1">
      <c r="B66" s="72" t="n"/>
      <c r="C66" s="72" t="n"/>
      <c r="D66" s="72" t="n"/>
      <c r="E66" s="72" t="n"/>
      <c r="F66" s="109" t="n"/>
      <c r="G66" s="73" t="n"/>
      <c r="H66" s="75">
        <f>IF(B66="","",IF(G66&lt;&gt;"",G66,IF(F66&lt;&gt;"",F66*IFERROR(INDEX('Contractors'!$I$6:$I$35,MATCH(B66,'Contractors'!$B$6:$B$35,0)),0),"")))</f>
        <v/>
      </c>
      <c r="I66" s="108" t="n"/>
      <c r="J66" s="72" t="n"/>
      <c r="K66" s="108" t="n"/>
      <c r="L66" s="73" t="n"/>
      <c r="M66" s="108" t="n"/>
      <c r="N66" s="73" t="n"/>
      <c r="O66" s="107">
        <f>IF(B66="","",IF(M66&lt;&gt;"","Paid",IF(AND(I66&lt;&gt;"",I66&lt;AsOf),"OVERDUE",IF(OR(K66&lt;&gt;"",L66&lt;&gt;""),"Invoiced","Scheduled"))))</f>
        <v/>
      </c>
      <c r="P66" s="114">
        <f>IF(B66="","",IF(E66&lt;&gt;"",E66,IFERROR(INDEX('Contractors'!$D$6:$D$35,MATCH(B66,'Contractors'!$B$6:$B$35,0)),"")))</f>
        <v/>
      </c>
      <c r="Q66" s="79">
        <f>IF(B66="","",IF(D66&lt;&gt;"",D66,IFERROR(INDEX('Contractors'!$E$6:$E$35,MATCH(B66,'Contractors'!$B$6:$B$35,0)),"")))</f>
        <v/>
      </c>
      <c r="R66" s="79">
        <f>IF(O66="","",IF(O66="OVERDUE",2,IF(O66="Paid",0,IF(AND(I66&lt;&gt;"",I66&lt;=AsOf+AlertDays),1,0))))</f>
        <v/>
      </c>
      <c r="S66" s="79">
        <f>IF(AND(B66&lt;&gt;"",M66="",I66&lt;&gt;""),IF(L66&lt;&gt;"",L66,IF(H66="",0,H66)),0)</f>
        <v/>
      </c>
      <c r="T66" s="79">
        <f>IF(AND(B66&lt;&gt;"",M66="",I66&lt;&gt;""),1/I66,0)</f>
        <v/>
      </c>
      <c r="U66" s="111">
        <f>IF(AND(B66&lt;&gt;"",M66="",I66&lt;&gt;""),I66,"")</f>
        <v/>
      </c>
      <c r="V66" s="79">
        <f>IF(U66="","",IF(U66&lt;AsOf,1,IF(U66&lt;=AsOf+AlertDays,2,IF(U66&lt;=AsOf+2*AlertDays,3,""))))</f>
        <v/>
      </c>
      <c r="W66" s="79">
        <f>IF(V66="","",IF(O66="OVERDUE","Overdue payment: ","Payment due: ")&amp;B66&amp;" — "&amp;C66&amp;" ("&amp;CurSym&amp;" "&amp;FIXED(S66,0)&amp;")")</f>
        <v/>
      </c>
    </row>
    <row r="67" ht="20" customHeight="1">
      <c r="B67" s="72" t="n"/>
      <c r="C67" s="72" t="n"/>
      <c r="D67" s="72" t="n"/>
      <c r="E67" s="72" t="n"/>
      <c r="F67" s="109" t="n"/>
      <c r="G67" s="73" t="n"/>
      <c r="H67" s="75">
        <f>IF(B67="","",IF(G67&lt;&gt;"",G67,IF(F67&lt;&gt;"",F67*IFERROR(INDEX('Contractors'!$I$6:$I$35,MATCH(B67,'Contractors'!$B$6:$B$35,0)),0),"")))</f>
        <v/>
      </c>
      <c r="I67" s="108" t="n"/>
      <c r="J67" s="72" t="n"/>
      <c r="K67" s="108" t="n"/>
      <c r="L67" s="73" t="n"/>
      <c r="M67" s="108" t="n"/>
      <c r="N67" s="73" t="n"/>
      <c r="O67" s="107">
        <f>IF(B67="","",IF(M67&lt;&gt;"","Paid",IF(AND(I67&lt;&gt;"",I67&lt;AsOf),"OVERDUE",IF(OR(K67&lt;&gt;"",L67&lt;&gt;""),"Invoiced","Scheduled"))))</f>
        <v/>
      </c>
      <c r="P67" s="114">
        <f>IF(B67="","",IF(E67&lt;&gt;"",E67,IFERROR(INDEX('Contractors'!$D$6:$D$35,MATCH(B67,'Contractors'!$B$6:$B$35,0)),"")))</f>
        <v/>
      </c>
      <c r="Q67" s="79">
        <f>IF(B67="","",IF(D67&lt;&gt;"",D67,IFERROR(INDEX('Contractors'!$E$6:$E$35,MATCH(B67,'Contractors'!$B$6:$B$35,0)),"")))</f>
        <v/>
      </c>
      <c r="R67" s="79">
        <f>IF(O67="","",IF(O67="OVERDUE",2,IF(O67="Paid",0,IF(AND(I67&lt;&gt;"",I67&lt;=AsOf+AlertDays),1,0))))</f>
        <v/>
      </c>
      <c r="S67" s="79">
        <f>IF(AND(B67&lt;&gt;"",M67="",I67&lt;&gt;""),IF(L67&lt;&gt;"",L67,IF(H67="",0,H67)),0)</f>
        <v/>
      </c>
      <c r="T67" s="79">
        <f>IF(AND(B67&lt;&gt;"",M67="",I67&lt;&gt;""),1/I67,0)</f>
        <v/>
      </c>
      <c r="U67" s="111">
        <f>IF(AND(B67&lt;&gt;"",M67="",I67&lt;&gt;""),I67,"")</f>
        <v/>
      </c>
      <c r="V67" s="79">
        <f>IF(U67="","",IF(U67&lt;AsOf,1,IF(U67&lt;=AsOf+AlertDays,2,IF(U67&lt;=AsOf+2*AlertDays,3,""))))</f>
        <v/>
      </c>
      <c r="W67" s="79">
        <f>IF(V67="","",IF(O67="OVERDUE","Overdue payment: ","Payment due: ")&amp;B67&amp;" — "&amp;C67&amp;" ("&amp;CurSym&amp;" "&amp;FIXED(S67,0)&amp;")")</f>
        <v/>
      </c>
    </row>
    <row r="68" ht="20" customHeight="1">
      <c r="B68" s="72" t="n"/>
      <c r="C68" s="72" t="n"/>
      <c r="D68" s="72" t="n"/>
      <c r="E68" s="72" t="n"/>
      <c r="F68" s="109" t="n"/>
      <c r="G68" s="73" t="n"/>
      <c r="H68" s="75">
        <f>IF(B68="","",IF(G68&lt;&gt;"",G68,IF(F68&lt;&gt;"",F68*IFERROR(INDEX('Contractors'!$I$6:$I$35,MATCH(B68,'Contractors'!$B$6:$B$35,0)),0),"")))</f>
        <v/>
      </c>
      <c r="I68" s="108" t="n"/>
      <c r="J68" s="72" t="n"/>
      <c r="K68" s="108" t="n"/>
      <c r="L68" s="73" t="n"/>
      <c r="M68" s="108" t="n"/>
      <c r="N68" s="73" t="n"/>
      <c r="O68" s="107">
        <f>IF(B68="","",IF(M68&lt;&gt;"","Paid",IF(AND(I68&lt;&gt;"",I68&lt;AsOf),"OVERDUE",IF(OR(K68&lt;&gt;"",L68&lt;&gt;""),"Invoiced","Scheduled"))))</f>
        <v/>
      </c>
      <c r="P68" s="114">
        <f>IF(B68="","",IF(E68&lt;&gt;"",E68,IFERROR(INDEX('Contractors'!$D$6:$D$35,MATCH(B68,'Contractors'!$B$6:$B$35,0)),"")))</f>
        <v/>
      </c>
      <c r="Q68" s="79">
        <f>IF(B68="","",IF(D68&lt;&gt;"",D68,IFERROR(INDEX('Contractors'!$E$6:$E$35,MATCH(B68,'Contractors'!$B$6:$B$35,0)),"")))</f>
        <v/>
      </c>
      <c r="R68" s="79">
        <f>IF(O68="","",IF(O68="OVERDUE",2,IF(O68="Paid",0,IF(AND(I68&lt;&gt;"",I68&lt;=AsOf+AlertDays),1,0))))</f>
        <v/>
      </c>
      <c r="S68" s="79">
        <f>IF(AND(B68&lt;&gt;"",M68="",I68&lt;&gt;""),IF(L68&lt;&gt;"",L68,IF(H68="",0,H68)),0)</f>
        <v/>
      </c>
      <c r="T68" s="79">
        <f>IF(AND(B68&lt;&gt;"",M68="",I68&lt;&gt;""),1/I68,0)</f>
        <v/>
      </c>
      <c r="U68" s="111">
        <f>IF(AND(B68&lt;&gt;"",M68="",I68&lt;&gt;""),I68,"")</f>
        <v/>
      </c>
      <c r="V68" s="79">
        <f>IF(U68="","",IF(U68&lt;AsOf,1,IF(U68&lt;=AsOf+AlertDays,2,IF(U68&lt;=AsOf+2*AlertDays,3,""))))</f>
        <v/>
      </c>
      <c r="W68" s="79">
        <f>IF(V68="","",IF(O68="OVERDUE","Overdue payment: ","Payment due: ")&amp;B68&amp;" — "&amp;C68&amp;" ("&amp;CurSym&amp;" "&amp;FIXED(S68,0)&amp;")")</f>
        <v/>
      </c>
    </row>
    <row r="69" ht="20" customHeight="1">
      <c r="B69" s="72" t="n"/>
      <c r="C69" s="72" t="n"/>
      <c r="D69" s="72" t="n"/>
      <c r="E69" s="72" t="n"/>
      <c r="F69" s="109" t="n"/>
      <c r="G69" s="73" t="n"/>
      <c r="H69" s="75">
        <f>IF(B69="","",IF(G69&lt;&gt;"",G69,IF(F69&lt;&gt;"",F69*IFERROR(INDEX('Contractors'!$I$6:$I$35,MATCH(B69,'Contractors'!$B$6:$B$35,0)),0),"")))</f>
        <v/>
      </c>
      <c r="I69" s="108" t="n"/>
      <c r="J69" s="72" t="n"/>
      <c r="K69" s="108" t="n"/>
      <c r="L69" s="73" t="n"/>
      <c r="M69" s="108" t="n"/>
      <c r="N69" s="73" t="n"/>
      <c r="O69" s="107">
        <f>IF(B69="","",IF(M69&lt;&gt;"","Paid",IF(AND(I69&lt;&gt;"",I69&lt;AsOf),"OVERDUE",IF(OR(K69&lt;&gt;"",L69&lt;&gt;""),"Invoiced","Scheduled"))))</f>
        <v/>
      </c>
      <c r="P69" s="114">
        <f>IF(B69="","",IF(E69&lt;&gt;"",E69,IFERROR(INDEX('Contractors'!$D$6:$D$35,MATCH(B69,'Contractors'!$B$6:$B$35,0)),"")))</f>
        <v/>
      </c>
      <c r="Q69" s="79">
        <f>IF(B69="","",IF(D69&lt;&gt;"",D69,IFERROR(INDEX('Contractors'!$E$6:$E$35,MATCH(B69,'Contractors'!$B$6:$B$35,0)),"")))</f>
        <v/>
      </c>
      <c r="R69" s="79">
        <f>IF(O69="","",IF(O69="OVERDUE",2,IF(O69="Paid",0,IF(AND(I69&lt;&gt;"",I69&lt;=AsOf+AlertDays),1,0))))</f>
        <v/>
      </c>
      <c r="S69" s="79">
        <f>IF(AND(B69&lt;&gt;"",M69="",I69&lt;&gt;""),IF(L69&lt;&gt;"",L69,IF(H69="",0,H69)),0)</f>
        <v/>
      </c>
      <c r="T69" s="79">
        <f>IF(AND(B69&lt;&gt;"",M69="",I69&lt;&gt;""),1/I69,0)</f>
        <v/>
      </c>
      <c r="U69" s="111">
        <f>IF(AND(B69&lt;&gt;"",M69="",I69&lt;&gt;""),I69,"")</f>
        <v/>
      </c>
      <c r="V69" s="79">
        <f>IF(U69="","",IF(U69&lt;AsOf,1,IF(U69&lt;=AsOf+AlertDays,2,IF(U69&lt;=AsOf+2*AlertDays,3,""))))</f>
        <v/>
      </c>
      <c r="W69" s="79">
        <f>IF(V69="","",IF(O69="OVERDUE","Overdue payment: ","Payment due: ")&amp;B69&amp;" — "&amp;C69&amp;" ("&amp;CurSym&amp;" "&amp;FIXED(S69,0)&amp;")")</f>
        <v/>
      </c>
    </row>
    <row r="70" ht="20" customHeight="1">
      <c r="B70" s="72" t="n"/>
      <c r="C70" s="72" t="n"/>
      <c r="D70" s="72" t="n"/>
      <c r="E70" s="72" t="n"/>
      <c r="F70" s="109" t="n"/>
      <c r="G70" s="73" t="n"/>
      <c r="H70" s="75">
        <f>IF(B70="","",IF(G70&lt;&gt;"",G70,IF(F70&lt;&gt;"",F70*IFERROR(INDEX('Contractors'!$I$6:$I$35,MATCH(B70,'Contractors'!$B$6:$B$35,0)),0),"")))</f>
        <v/>
      </c>
      <c r="I70" s="108" t="n"/>
      <c r="J70" s="72" t="n"/>
      <c r="K70" s="108" t="n"/>
      <c r="L70" s="73" t="n"/>
      <c r="M70" s="108" t="n"/>
      <c r="N70" s="73" t="n"/>
      <c r="O70" s="107">
        <f>IF(B70="","",IF(M70&lt;&gt;"","Paid",IF(AND(I70&lt;&gt;"",I70&lt;AsOf),"OVERDUE",IF(OR(K70&lt;&gt;"",L70&lt;&gt;""),"Invoiced","Scheduled"))))</f>
        <v/>
      </c>
      <c r="P70" s="114">
        <f>IF(B70="","",IF(E70&lt;&gt;"",E70,IFERROR(INDEX('Contractors'!$D$6:$D$35,MATCH(B70,'Contractors'!$B$6:$B$35,0)),"")))</f>
        <v/>
      </c>
      <c r="Q70" s="79">
        <f>IF(B70="","",IF(D70&lt;&gt;"",D70,IFERROR(INDEX('Contractors'!$E$6:$E$35,MATCH(B70,'Contractors'!$B$6:$B$35,0)),"")))</f>
        <v/>
      </c>
      <c r="R70" s="79">
        <f>IF(O70="","",IF(O70="OVERDUE",2,IF(O70="Paid",0,IF(AND(I70&lt;&gt;"",I70&lt;=AsOf+AlertDays),1,0))))</f>
        <v/>
      </c>
      <c r="S70" s="79">
        <f>IF(AND(B70&lt;&gt;"",M70="",I70&lt;&gt;""),IF(L70&lt;&gt;"",L70,IF(H70="",0,H70)),0)</f>
        <v/>
      </c>
      <c r="T70" s="79">
        <f>IF(AND(B70&lt;&gt;"",M70="",I70&lt;&gt;""),1/I70,0)</f>
        <v/>
      </c>
      <c r="U70" s="111">
        <f>IF(AND(B70&lt;&gt;"",M70="",I70&lt;&gt;""),I70,"")</f>
        <v/>
      </c>
      <c r="V70" s="79">
        <f>IF(U70="","",IF(U70&lt;AsOf,1,IF(U70&lt;=AsOf+AlertDays,2,IF(U70&lt;=AsOf+2*AlertDays,3,""))))</f>
        <v/>
      </c>
      <c r="W70" s="79">
        <f>IF(V70="","",IF(O70="OVERDUE","Overdue payment: ","Payment due: ")&amp;B70&amp;" — "&amp;C70&amp;" ("&amp;CurSym&amp;" "&amp;FIXED(S70,0)&amp;")")</f>
        <v/>
      </c>
    </row>
    <row r="71" ht="20" customHeight="1">
      <c r="B71" s="72" t="n"/>
      <c r="C71" s="72" t="n"/>
      <c r="D71" s="72" t="n"/>
      <c r="E71" s="72" t="n"/>
      <c r="F71" s="109" t="n"/>
      <c r="G71" s="73" t="n"/>
      <c r="H71" s="75">
        <f>IF(B71="","",IF(G71&lt;&gt;"",G71,IF(F71&lt;&gt;"",F71*IFERROR(INDEX('Contractors'!$I$6:$I$35,MATCH(B71,'Contractors'!$B$6:$B$35,0)),0),"")))</f>
        <v/>
      </c>
      <c r="I71" s="108" t="n"/>
      <c r="J71" s="72" t="n"/>
      <c r="K71" s="108" t="n"/>
      <c r="L71" s="73" t="n"/>
      <c r="M71" s="108" t="n"/>
      <c r="N71" s="73" t="n"/>
      <c r="O71" s="107">
        <f>IF(B71="","",IF(M71&lt;&gt;"","Paid",IF(AND(I71&lt;&gt;"",I71&lt;AsOf),"OVERDUE",IF(OR(K71&lt;&gt;"",L71&lt;&gt;""),"Invoiced","Scheduled"))))</f>
        <v/>
      </c>
      <c r="P71" s="114">
        <f>IF(B71="","",IF(E71&lt;&gt;"",E71,IFERROR(INDEX('Contractors'!$D$6:$D$35,MATCH(B71,'Contractors'!$B$6:$B$35,0)),"")))</f>
        <v/>
      </c>
      <c r="Q71" s="79">
        <f>IF(B71="","",IF(D71&lt;&gt;"",D71,IFERROR(INDEX('Contractors'!$E$6:$E$35,MATCH(B71,'Contractors'!$B$6:$B$35,0)),"")))</f>
        <v/>
      </c>
      <c r="R71" s="79">
        <f>IF(O71="","",IF(O71="OVERDUE",2,IF(O71="Paid",0,IF(AND(I71&lt;&gt;"",I71&lt;=AsOf+AlertDays),1,0))))</f>
        <v/>
      </c>
      <c r="S71" s="79">
        <f>IF(AND(B71&lt;&gt;"",M71="",I71&lt;&gt;""),IF(L71&lt;&gt;"",L71,IF(H71="",0,H71)),0)</f>
        <v/>
      </c>
      <c r="T71" s="79">
        <f>IF(AND(B71&lt;&gt;"",M71="",I71&lt;&gt;""),1/I71,0)</f>
        <v/>
      </c>
      <c r="U71" s="111">
        <f>IF(AND(B71&lt;&gt;"",M71="",I71&lt;&gt;""),I71,"")</f>
        <v/>
      </c>
      <c r="V71" s="79">
        <f>IF(U71="","",IF(U71&lt;AsOf,1,IF(U71&lt;=AsOf+AlertDays,2,IF(U71&lt;=AsOf+2*AlertDays,3,""))))</f>
        <v/>
      </c>
      <c r="W71" s="79">
        <f>IF(V71="","",IF(O71="OVERDUE","Overdue payment: ","Payment due: ")&amp;B71&amp;" — "&amp;C71&amp;" ("&amp;CurSym&amp;" "&amp;FIXED(S71,0)&amp;")")</f>
        <v/>
      </c>
    </row>
    <row r="72" ht="20" customHeight="1">
      <c r="B72" s="72" t="n"/>
      <c r="C72" s="72" t="n"/>
      <c r="D72" s="72" t="n"/>
      <c r="E72" s="72" t="n"/>
      <c r="F72" s="109" t="n"/>
      <c r="G72" s="73" t="n"/>
      <c r="H72" s="75">
        <f>IF(B72="","",IF(G72&lt;&gt;"",G72,IF(F72&lt;&gt;"",F72*IFERROR(INDEX('Contractors'!$I$6:$I$35,MATCH(B72,'Contractors'!$B$6:$B$35,0)),0),"")))</f>
        <v/>
      </c>
      <c r="I72" s="108" t="n"/>
      <c r="J72" s="72" t="n"/>
      <c r="K72" s="108" t="n"/>
      <c r="L72" s="73" t="n"/>
      <c r="M72" s="108" t="n"/>
      <c r="N72" s="73" t="n"/>
      <c r="O72" s="107">
        <f>IF(B72="","",IF(M72&lt;&gt;"","Paid",IF(AND(I72&lt;&gt;"",I72&lt;AsOf),"OVERDUE",IF(OR(K72&lt;&gt;"",L72&lt;&gt;""),"Invoiced","Scheduled"))))</f>
        <v/>
      </c>
      <c r="P72" s="114">
        <f>IF(B72="","",IF(E72&lt;&gt;"",E72,IFERROR(INDEX('Contractors'!$D$6:$D$35,MATCH(B72,'Contractors'!$B$6:$B$35,0)),"")))</f>
        <v/>
      </c>
      <c r="Q72" s="79">
        <f>IF(B72="","",IF(D72&lt;&gt;"",D72,IFERROR(INDEX('Contractors'!$E$6:$E$35,MATCH(B72,'Contractors'!$B$6:$B$35,0)),"")))</f>
        <v/>
      </c>
      <c r="R72" s="79">
        <f>IF(O72="","",IF(O72="OVERDUE",2,IF(O72="Paid",0,IF(AND(I72&lt;&gt;"",I72&lt;=AsOf+AlertDays),1,0))))</f>
        <v/>
      </c>
      <c r="S72" s="79">
        <f>IF(AND(B72&lt;&gt;"",M72="",I72&lt;&gt;""),IF(L72&lt;&gt;"",L72,IF(H72="",0,H72)),0)</f>
        <v/>
      </c>
      <c r="T72" s="79">
        <f>IF(AND(B72&lt;&gt;"",M72="",I72&lt;&gt;""),1/I72,0)</f>
        <v/>
      </c>
      <c r="U72" s="111">
        <f>IF(AND(B72&lt;&gt;"",M72="",I72&lt;&gt;""),I72,"")</f>
        <v/>
      </c>
      <c r="V72" s="79">
        <f>IF(U72="","",IF(U72&lt;AsOf,1,IF(U72&lt;=AsOf+AlertDays,2,IF(U72&lt;=AsOf+2*AlertDays,3,""))))</f>
        <v/>
      </c>
      <c r="W72" s="79">
        <f>IF(V72="","",IF(O72="OVERDUE","Overdue payment: ","Payment due: ")&amp;B72&amp;" — "&amp;C72&amp;" ("&amp;CurSym&amp;" "&amp;FIXED(S72,0)&amp;")")</f>
        <v/>
      </c>
    </row>
    <row r="73" ht="20" customHeight="1">
      <c r="B73" s="72" t="n"/>
      <c r="C73" s="72" t="n"/>
      <c r="D73" s="72" t="n"/>
      <c r="E73" s="72" t="n"/>
      <c r="F73" s="109" t="n"/>
      <c r="G73" s="73" t="n"/>
      <c r="H73" s="75">
        <f>IF(B73="","",IF(G73&lt;&gt;"",G73,IF(F73&lt;&gt;"",F73*IFERROR(INDEX('Contractors'!$I$6:$I$35,MATCH(B73,'Contractors'!$B$6:$B$35,0)),0),"")))</f>
        <v/>
      </c>
      <c r="I73" s="108" t="n"/>
      <c r="J73" s="72" t="n"/>
      <c r="K73" s="108" t="n"/>
      <c r="L73" s="73" t="n"/>
      <c r="M73" s="108" t="n"/>
      <c r="N73" s="73" t="n"/>
      <c r="O73" s="107">
        <f>IF(B73="","",IF(M73&lt;&gt;"","Paid",IF(AND(I73&lt;&gt;"",I73&lt;AsOf),"OVERDUE",IF(OR(K73&lt;&gt;"",L73&lt;&gt;""),"Invoiced","Scheduled"))))</f>
        <v/>
      </c>
      <c r="P73" s="114">
        <f>IF(B73="","",IF(E73&lt;&gt;"",E73,IFERROR(INDEX('Contractors'!$D$6:$D$35,MATCH(B73,'Contractors'!$B$6:$B$35,0)),"")))</f>
        <v/>
      </c>
      <c r="Q73" s="79">
        <f>IF(B73="","",IF(D73&lt;&gt;"",D73,IFERROR(INDEX('Contractors'!$E$6:$E$35,MATCH(B73,'Contractors'!$B$6:$B$35,0)),"")))</f>
        <v/>
      </c>
      <c r="R73" s="79">
        <f>IF(O73="","",IF(O73="OVERDUE",2,IF(O73="Paid",0,IF(AND(I73&lt;&gt;"",I73&lt;=AsOf+AlertDays),1,0))))</f>
        <v/>
      </c>
      <c r="S73" s="79">
        <f>IF(AND(B73&lt;&gt;"",M73="",I73&lt;&gt;""),IF(L73&lt;&gt;"",L73,IF(H73="",0,H73)),0)</f>
        <v/>
      </c>
      <c r="T73" s="79">
        <f>IF(AND(B73&lt;&gt;"",M73="",I73&lt;&gt;""),1/I73,0)</f>
        <v/>
      </c>
      <c r="U73" s="111">
        <f>IF(AND(B73&lt;&gt;"",M73="",I73&lt;&gt;""),I73,"")</f>
        <v/>
      </c>
      <c r="V73" s="79">
        <f>IF(U73="","",IF(U73&lt;AsOf,1,IF(U73&lt;=AsOf+AlertDays,2,IF(U73&lt;=AsOf+2*AlertDays,3,""))))</f>
        <v/>
      </c>
      <c r="W73" s="79">
        <f>IF(V73="","",IF(O73="OVERDUE","Overdue payment: ","Payment due: ")&amp;B73&amp;" — "&amp;C73&amp;" ("&amp;CurSym&amp;" "&amp;FIXED(S73,0)&amp;")")</f>
        <v/>
      </c>
    </row>
    <row r="74" ht="20" customHeight="1">
      <c r="B74" s="72" t="n"/>
      <c r="C74" s="72" t="n"/>
      <c r="D74" s="72" t="n"/>
      <c r="E74" s="72" t="n"/>
      <c r="F74" s="109" t="n"/>
      <c r="G74" s="73" t="n"/>
      <c r="H74" s="75">
        <f>IF(B74="","",IF(G74&lt;&gt;"",G74,IF(F74&lt;&gt;"",F74*IFERROR(INDEX('Contractors'!$I$6:$I$35,MATCH(B74,'Contractors'!$B$6:$B$35,0)),0),"")))</f>
        <v/>
      </c>
      <c r="I74" s="108" t="n"/>
      <c r="J74" s="72" t="n"/>
      <c r="K74" s="108" t="n"/>
      <c r="L74" s="73" t="n"/>
      <c r="M74" s="108" t="n"/>
      <c r="N74" s="73" t="n"/>
      <c r="O74" s="107">
        <f>IF(B74="","",IF(M74&lt;&gt;"","Paid",IF(AND(I74&lt;&gt;"",I74&lt;AsOf),"OVERDUE",IF(OR(K74&lt;&gt;"",L74&lt;&gt;""),"Invoiced","Scheduled"))))</f>
        <v/>
      </c>
      <c r="P74" s="114">
        <f>IF(B74="","",IF(E74&lt;&gt;"",E74,IFERROR(INDEX('Contractors'!$D$6:$D$35,MATCH(B74,'Contractors'!$B$6:$B$35,0)),"")))</f>
        <v/>
      </c>
      <c r="Q74" s="79">
        <f>IF(B74="","",IF(D74&lt;&gt;"",D74,IFERROR(INDEX('Contractors'!$E$6:$E$35,MATCH(B74,'Contractors'!$B$6:$B$35,0)),"")))</f>
        <v/>
      </c>
      <c r="R74" s="79">
        <f>IF(O74="","",IF(O74="OVERDUE",2,IF(O74="Paid",0,IF(AND(I74&lt;&gt;"",I74&lt;=AsOf+AlertDays),1,0))))</f>
        <v/>
      </c>
      <c r="S74" s="79">
        <f>IF(AND(B74&lt;&gt;"",M74="",I74&lt;&gt;""),IF(L74&lt;&gt;"",L74,IF(H74="",0,H74)),0)</f>
        <v/>
      </c>
      <c r="T74" s="79">
        <f>IF(AND(B74&lt;&gt;"",M74="",I74&lt;&gt;""),1/I74,0)</f>
        <v/>
      </c>
      <c r="U74" s="111">
        <f>IF(AND(B74&lt;&gt;"",M74="",I74&lt;&gt;""),I74,"")</f>
        <v/>
      </c>
      <c r="V74" s="79">
        <f>IF(U74="","",IF(U74&lt;AsOf,1,IF(U74&lt;=AsOf+AlertDays,2,IF(U74&lt;=AsOf+2*AlertDays,3,""))))</f>
        <v/>
      </c>
      <c r="W74" s="79">
        <f>IF(V74="","",IF(O74="OVERDUE","Overdue payment: ","Payment due: ")&amp;B74&amp;" — "&amp;C74&amp;" ("&amp;CurSym&amp;" "&amp;FIXED(S74,0)&amp;")")</f>
        <v/>
      </c>
    </row>
    <row r="75" ht="20" customHeight="1">
      <c r="B75" s="72" t="n"/>
      <c r="C75" s="72" t="n"/>
      <c r="D75" s="72" t="n"/>
      <c r="E75" s="72" t="n"/>
      <c r="F75" s="109" t="n"/>
      <c r="G75" s="73" t="n"/>
      <c r="H75" s="75">
        <f>IF(B75="","",IF(G75&lt;&gt;"",G75,IF(F75&lt;&gt;"",F75*IFERROR(INDEX('Contractors'!$I$6:$I$35,MATCH(B75,'Contractors'!$B$6:$B$35,0)),0),"")))</f>
        <v/>
      </c>
      <c r="I75" s="108" t="n"/>
      <c r="J75" s="72" t="n"/>
      <c r="K75" s="108" t="n"/>
      <c r="L75" s="73" t="n"/>
      <c r="M75" s="108" t="n"/>
      <c r="N75" s="73" t="n"/>
      <c r="O75" s="107">
        <f>IF(B75="","",IF(M75&lt;&gt;"","Paid",IF(AND(I75&lt;&gt;"",I75&lt;AsOf),"OVERDUE",IF(OR(K75&lt;&gt;"",L75&lt;&gt;""),"Invoiced","Scheduled"))))</f>
        <v/>
      </c>
      <c r="P75" s="114">
        <f>IF(B75="","",IF(E75&lt;&gt;"",E75,IFERROR(INDEX('Contractors'!$D$6:$D$35,MATCH(B75,'Contractors'!$B$6:$B$35,0)),"")))</f>
        <v/>
      </c>
      <c r="Q75" s="79">
        <f>IF(B75="","",IF(D75&lt;&gt;"",D75,IFERROR(INDEX('Contractors'!$E$6:$E$35,MATCH(B75,'Contractors'!$B$6:$B$35,0)),"")))</f>
        <v/>
      </c>
      <c r="R75" s="79">
        <f>IF(O75="","",IF(O75="OVERDUE",2,IF(O75="Paid",0,IF(AND(I75&lt;&gt;"",I75&lt;=AsOf+AlertDays),1,0))))</f>
        <v/>
      </c>
      <c r="S75" s="79">
        <f>IF(AND(B75&lt;&gt;"",M75="",I75&lt;&gt;""),IF(L75&lt;&gt;"",L75,IF(H75="",0,H75)),0)</f>
        <v/>
      </c>
      <c r="T75" s="79">
        <f>IF(AND(B75&lt;&gt;"",M75="",I75&lt;&gt;""),1/I75,0)</f>
        <v/>
      </c>
      <c r="U75" s="111">
        <f>IF(AND(B75&lt;&gt;"",M75="",I75&lt;&gt;""),I75,"")</f>
        <v/>
      </c>
      <c r="V75" s="79">
        <f>IF(U75="","",IF(U75&lt;AsOf,1,IF(U75&lt;=AsOf+AlertDays,2,IF(U75&lt;=AsOf+2*AlertDays,3,""))))</f>
        <v/>
      </c>
      <c r="W75" s="79">
        <f>IF(V75="","",IF(O75="OVERDUE","Overdue payment: ","Payment due: ")&amp;B75&amp;" — "&amp;C75&amp;" ("&amp;CurSym&amp;" "&amp;FIXED(S75,0)&amp;")")</f>
        <v/>
      </c>
    </row>
    <row r="76" ht="20" customHeight="1">
      <c r="B76" s="72" t="n"/>
      <c r="C76" s="72" t="n"/>
      <c r="D76" s="72" t="n"/>
      <c r="E76" s="72" t="n"/>
      <c r="F76" s="109" t="n"/>
      <c r="G76" s="73" t="n"/>
      <c r="H76" s="75">
        <f>IF(B76="","",IF(G76&lt;&gt;"",G76,IF(F76&lt;&gt;"",F76*IFERROR(INDEX('Contractors'!$I$6:$I$35,MATCH(B76,'Contractors'!$B$6:$B$35,0)),0),"")))</f>
        <v/>
      </c>
      <c r="I76" s="108" t="n"/>
      <c r="J76" s="72" t="n"/>
      <c r="K76" s="108" t="n"/>
      <c r="L76" s="73" t="n"/>
      <c r="M76" s="108" t="n"/>
      <c r="N76" s="73" t="n"/>
      <c r="O76" s="107">
        <f>IF(B76="","",IF(M76&lt;&gt;"","Paid",IF(AND(I76&lt;&gt;"",I76&lt;AsOf),"OVERDUE",IF(OR(K76&lt;&gt;"",L76&lt;&gt;""),"Invoiced","Scheduled"))))</f>
        <v/>
      </c>
      <c r="P76" s="114">
        <f>IF(B76="","",IF(E76&lt;&gt;"",E76,IFERROR(INDEX('Contractors'!$D$6:$D$35,MATCH(B76,'Contractors'!$B$6:$B$35,0)),"")))</f>
        <v/>
      </c>
      <c r="Q76" s="79">
        <f>IF(B76="","",IF(D76&lt;&gt;"",D76,IFERROR(INDEX('Contractors'!$E$6:$E$35,MATCH(B76,'Contractors'!$B$6:$B$35,0)),"")))</f>
        <v/>
      </c>
      <c r="R76" s="79">
        <f>IF(O76="","",IF(O76="OVERDUE",2,IF(O76="Paid",0,IF(AND(I76&lt;&gt;"",I76&lt;=AsOf+AlertDays),1,0))))</f>
        <v/>
      </c>
      <c r="S76" s="79">
        <f>IF(AND(B76&lt;&gt;"",M76="",I76&lt;&gt;""),IF(L76&lt;&gt;"",L76,IF(H76="",0,H76)),0)</f>
        <v/>
      </c>
      <c r="T76" s="79">
        <f>IF(AND(B76&lt;&gt;"",M76="",I76&lt;&gt;""),1/I76,0)</f>
        <v/>
      </c>
      <c r="U76" s="111">
        <f>IF(AND(B76&lt;&gt;"",M76="",I76&lt;&gt;""),I76,"")</f>
        <v/>
      </c>
      <c r="V76" s="79">
        <f>IF(U76="","",IF(U76&lt;AsOf,1,IF(U76&lt;=AsOf+AlertDays,2,IF(U76&lt;=AsOf+2*AlertDays,3,""))))</f>
        <v/>
      </c>
      <c r="W76" s="79">
        <f>IF(V76="","",IF(O76="OVERDUE","Overdue payment: ","Payment due: ")&amp;B76&amp;" — "&amp;C76&amp;" ("&amp;CurSym&amp;" "&amp;FIXED(S76,0)&amp;")")</f>
        <v/>
      </c>
    </row>
    <row r="77" ht="20" customHeight="1">
      <c r="B77" s="72" t="n"/>
      <c r="C77" s="72" t="n"/>
      <c r="D77" s="72" t="n"/>
      <c r="E77" s="72" t="n"/>
      <c r="F77" s="109" t="n"/>
      <c r="G77" s="73" t="n"/>
      <c r="H77" s="75">
        <f>IF(B77="","",IF(G77&lt;&gt;"",G77,IF(F77&lt;&gt;"",F77*IFERROR(INDEX('Contractors'!$I$6:$I$35,MATCH(B77,'Contractors'!$B$6:$B$35,0)),0),"")))</f>
        <v/>
      </c>
      <c r="I77" s="108" t="n"/>
      <c r="J77" s="72" t="n"/>
      <c r="K77" s="108" t="n"/>
      <c r="L77" s="73" t="n"/>
      <c r="M77" s="108" t="n"/>
      <c r="N77" s="73" t="n"/>
      <c r="O77" s="107">
        <f>IF(B77="","",IF(M77&lt;&gt;"","Paid",IF(AND(I77&lt;&gt;"",I77&lt;AsOf),"OVERDUE",IF(OR(K77&lt;&gt;"",L77&lt;&gt;""),"Invoiced","Scheduled"))))</f>
        <v/>
      </c>
      <c r="P77" s="114">
        <f>IF(B77="","",IF(E77&lt;&gt;"",E77,IFERROR(INDEX('Contractors'!$D$6:$D$35,MATCH(B77,'Contractors'!$B$6:$B$35,0)),"")))</f>
        <v/>
      </c>
      <c r="Q77" s="79">
        <f>IF(B77="","",IF(D77&lt;&gt;"",D77,IFERROR(INDEX('Contractors'!$E$6:$E$35,MATCH(B77,'Contractors'!$B$6:$B$35,0)),"")))</f>
        <v/>
      </c>
      <c r="R77" s="79">
        <f>IF(O77="","",IF(O77="OVERDUE",2,IF(O77="Paid",0,IF(AND(I77&lt;&gt;"",I77&lt;=AsOf+AlertDays),1,0))))</f>
        <v/>
      </c>
      <c r="S77" s="79">
        <f>IF(AND(B77&lt;&gt;"",M77="",I77&lt;&gt;""),IF(L77&lt;&gt;"",L77,IF(H77="",0,H77)),0)</f>
        <v/>
      </c>
      <c r="T77" s="79">
        <f>IF(AND(B77&lt;&gt;"",M77="",I77&lt;&gt;""),1/I77,0)</f>
        <v/>
      </c>
      <c r="U77" s="111">
        <f>IF(AND(B77&lt;&gt;"",M77="",I77&lt;&gt;""),I77,"")</f>
        <v/>
      </c>
      <c r="V77" s="79">
        <f>IF(U77="","",IF(U77&lt;AsOf,1,IF(U77&lt;=AsOf+AlertDays,2,IF(U77&lt;=AsOf+2*AlertDays,3,""))))</f>
        <v/>
      </c>
      <c r="W77" s="79">
        <f>IF(V77="","",IF(O77="OVERDUE","Overdue payment: ","Payment due: ")&amp;B77&amp;" — "&amp;C77&amp;" ("&amp;CurSym&amp;" "&amp;FIXED(S77,0)&amp;")")</f>
        <v/>
      </c>
    </row>
    <row r="78" ht="20" customHeight="1">
      <c r="B78" s="72" t="n"/>
      <c r="C78" s="72" t="n"/>
      <c r="D78" s="72" t="n"/>
      <c r="E78" s="72" t="n"/>
      <c r="F78" s="109" t="n"/>
      <c r="G78" s="73" t="n"/>
      <c r="H78" s="75">
        <f>IF(B78="","",IF(G78&lt;&gt;"",G78,IF(F78&lt;&gt;"",F78*IFERROR(INDEX('Contractors'!$I$6:$I$35,MATCH(B78,'Contractors'!$B$6:$B$35,0)),0),"")))</f>
        <v/>
      </c>
      <c r="I78" s="108" t="n"/>
      <c r="J78" s="72" t="n"/>
      <c r="K78" s="108" t="n"/>
      <c r="L78" s="73" t="n"/>
      <c r="M78" s="108" t="n"/>
      <c r="N78" s="73" t="n"/>
      <c r="O78" s="107">
        <f>IF(B78="","",IF(M78&lt;&gt;"","Paid",IF(AND(I78&lt;&gt;"",I78&lt;AsOf),"OVERDUE",IF(OR(K78&lt;&gt;"",L78&lt;&gt;""),"Invoiced","Scheduled"))))</f>
        <v/>
      </c>
      <c r="P78" s="114">
        <f>IF(B78="","",IF(E78&lt;&gt;"",E78,IFERROR(INDEX('Contractors'!$D$6:$D$35,MATCH(B78,'Contractors'!$B$6:$B$35,0)),"")))</f>
        <v/>
      </c>
      <c r="Q78" s="79">
        <f>IF(B78="","",IF(D78&lt;&gt;"",D78,IFERROR(INDEX('Contractors'!$E$6:$E$35,MATCH(B78,'Contractors'!$B$6:$B$35,0)),"")))</f>
        <v/>
      </c>
      <c r="R78" s="79">
        <f>IF(O78="","",IF(O78="OVERDUE",2,IF(O78="Paid",0,IF(AND(I78&lt;&gt;"",I78&lt;=AsOf+AlertDays),1,0))))</f>
        <v/>
      </c>
      <c r="S78" s="79">
        <f>IF(AND(B78&lt;&gt;"",M78="",I78&lt;&gt;""),IF(L78&lt;&gt;"",L78,IF(H78="",0,H78)),0)</f>
        <v/>
      </c>
      <c r="T78" s="79">
        <f>IF(AND(B78&lt;&gt;"",M78="",I78&lt;&gt;""),1/I78,0)</f>
        <v/>
      </c>
      <c r="U78" s="111">
        <f>IF(AND(B78&lt;&gt;"",M78="",I78&lt;&gt;""),I78,"")</f>
        <v/>
      </c>
      <c r="V78" s="79">
        <f>IF(U78="","",IF(U78&lt;AsOf,1,IF(U78&lt;=AsOf+AlertDays,2,IF(U78&lt;=AsOf+2*AlertDays,3,""))))</f>
        <v/>
      </c>
      <c r="W78" s="79">
        <f>IF(V78="","",IF(O78="OVERDUE","Overdue payment: ","Payment due: ")&amp;B78&amp;" — "&amp;C78&amp;" ("&amp;CurSym&amp;" "&amp;FIXED(S78,0)&amp;")")</f>
        <v/>
      </c>
    </row>
    <row r="79" ht="20" customHeight="1">
      <c r="B79" s="72" t="n"/>
      <c r="C79" s="72" t="n"/>
      <c r="D79" s="72" t="n"/>
      <c r="E79" s="72" t="n"/>
      <c r="F79" s="109" t="n"/>
      <c r="G79" s="73" t="n"/>
      <c r="H79" s="75">
        <f>IF(B79="","",IF(G79&lt;&gt;"",G79,IF(F79&lt;&gt;"",F79*IFERROR(INDEX('Contractors'!$I$6:$I$35,MATCH(B79,'Contractors'!$B$6:$B$35,0)),0),"")))</f>
        <v/>
      </c>
      <c r="I79" s="108" t="n"/>
      <c r="J79" s="72" t="n"/>
      <c r="K79" s="108" t="n"/>
      <c r="L79" s="73" t="n"/>
      <c r="M79" s="108" t="n"/>
      <c r="N79" s="73" t="n"/>
      <c r="O79" s="107">
        <f>IF(B79="","",IF(M79&lt;&gt;"","Paid",IF(AND(I79&lt;&gt;"",I79&lt;AsOf),"OVERDUE",IF(OR(K79&lt;&gt;"",L79&lt;&gt;""),"Invoiced","Scheduled"))))</f>
        <v/>
      </c>
      <c r="P79" s="114">
        <f>IF(B79="","",IF(E79&lt;&gt;"",E79,IFERROR(INDEX('Contractors'!$D$6:$D$35,MATCH(B79,'Contractors'!$B$6:$B$35,0)),"")))</f>
        <v/>
      </c>
      <c r="Q79" s="79">
        <f>IF(B79="","",IF(D79&lt;&gt;"",D79,IFERROR(INDEX('Contractors'!$E$6:$E$35,MATCH(B79,'Contractors'!$B$6:$B$35,0)),"")))</f>
        <v/>
      </c>
      <c r="R79" s="79">
        <f>IF(O79="","",IF(O79="OVERDUE",2,IF(O79="Paid",0,IF(AND(I79&lt;&gt;"",I79&lt;=AsOf+AlertDays),1,0))))</f>
        <v/>
      </c>
      <c r="S79" s="79">
        <f>IF(AND(B79&lt;&gt;"",M79="",I79&lt;&gt;""),IF(L79&lt;&gt;"",L79,IF(H79="",0,H79)),0)</f>
        <v/>
      </c>
      <c r="T79" s="79">
        <f>IF(AND(B79&lt;&gt;"",M79="",I79&lt;&gt;""),1/I79,0)</f>
        <v/>
      </c>
      <c r="U79" s="111">
        <f>IF(AND(B79&lt;&gt;"",M79="",I79&lt;&gt;""),I79,"")</f>
        <v/>
      </c>
      <c r="V79" s="79">
        <f>IF(U79="","",IF(U79&lt;AsOf,1,IF(U79&lt;=AsOf+AlertDays,2,IF(U79&lt;=AsOf+2*AlertDays,3,""))))</f>
        <v/>
      </c>
      <c r="W79" s="79">
        <f>IF(V79="","",IF(O79="OVERDUE","Overdue payment: ","Payment due: ")&amp;B79&amp;" — "&amp;C79&amp;" ("&amp;CurSym&amp;" "&amp;FIXED(S79,0)&amp;")")</f>
        <v/>
      </c>
    </row>
    <row r="80" ht="20" customHeight="1">
      <c r="B80" s="72" t="n"/>
      <c r="C80" s="72" t="n"/>
      <c r="D80" s="72" t="n"/>
      <c r="E80" s="72" t="n"/>
      <c r="F80" s="109" t="n"/>
      <c r="G80" s="73" t="n"/>
      <c r="H80" s="75">
        <f>IF(B80="","",IF(G80&lt;&gt;"",G80,IF(F80&lt;&gt;"",F80*IFERROR(INDEX('Contractors'!$I$6:$I$35,MATCH(B80,'Contractors'!$B$6:$B$35,0)),0),"")))</f>
        <v/>
      </c>
      <c r="I80" s="108" t="n"/>
      <c r="J80" s="72" t="n"/>
      <c r="K80" s="108" t="n"/>
      <c r="L80" s="73" t="n"/>
      <c r="M80" s="108" t="n"/>
      <c r="N80" s="73" t="n"/>
      <c r="O80" s="107">
        <f>IF(B80="","",IF(M80&lt;&gt;"","Paid",IF(AND(I80&lt;&gt;"",I80&lt;AsOf),"OVERDUE",IF(OR(K80&lt;&gt;"",L80&lt;&gt;""),"Invoiced","Scheduled"))))</f>
        <v/>
      </c>
      <c r="P80" s="114">
        <f>IF(B80="","",IF(E80&lt;&gt;"",E80,IFERROR(INDEX('Contractors'!$D$6:$D$35,MATCH(B80,'Contractors'!$B$6:$B$35,0)),"")))</f>
        <v/>
      </c>
      <c r="Q80" s="79">
        <f>IF(B80="","",IF(D80&lt;&gt;"",D80,IFERROR(INDEX('Contractors'!$E$6:$E$35,MATCH(B80,'Contractors'!$B$6:$B$35,0)),"")))</f>
        <v/>
      </c>
      <c r="R80" s="79">
        <f>IF(O80="","",IF(O80="OVERDUE",2,IF(O80="Paid",0,IF(AND(I80&lt;&gt;"",I80&lt;=AsOf+AlertDays),1,0))))</f>
        <v/>
      </c>
      <c r="S80" s="79">
        <f>IF(AND(B80&lt;&gt;"",M80="",I80&lt;&gt;""),IF(L80&lt;&gt;"",L80,IF(H80="",0,H80)),0)</f>
        <v/>
      </c>
      <c r="T80" s="79">
        <f>IF(AND(B80&lt;&gt;"",M80="",I80&lt;&gt;""),1/I80,0)</f>
        <v/>
      </c>
      <c r="U80" s="111">
        <f>IF(AND(B80&lt;&gt;"",M80="",I80&lt;&gt;""),I80,"")</f>
        <v/>
      </c>
      <c r="V80" s="79">
        <f>IF(U80="","",IF(U80&lt;AsOf,1,IF(U80&lt;=AsOf+AlertDays,2,IF(U80&lt;=AsOf+2*AlertDays,3,""))))</f>
        <v/>
      </c>
      <c r="W80" s="79">
        <f>IF(V80="","",IF(O80="OVERDUE","Overdue payment: ","Payment due: ")&amp;B80&amp;" — "&amp;C80&amp;" ("&amp;CurSym&amp;" "&amp;FIXED(S80,0)&amp;")")</f>
        <v/>
      </c>
    </row>
    <row r="81" ht="20" customHeight="1">
      <c r="B81" s="72" t="n"/>
      <c r="C81" s="72" t="n"/>
      <c r="D81" s="72" t="n"/>
      <c r="E81" s="72" t="n"/>
      <c r="F81" s="109" t="n"/>
      <c r="G81" s="73" t="n"/>
      <c r="H81" s="75">
        <f>IF(B81="","",IF(G81&lt;&gt;"",G81,IF(F81&lt;&gt;"",F81*IFERROR(INDEX('Contractors'!$I$6:$I$35,MATCH(B81,'Contractors'!$B$6:$B$35,0)),0),"")))</f>
        <v/>
      </c>
      <c r="I81" s="108" t="n"/>
      <c r="J81" s="72" t="n"/>
      <c r="K81" s="108" t="n"/>
      <c r="L81" s="73" t="n"/>
      <c r="M81" s="108" t="n"/>
      <c r="N81" s="73" t="n"/>
      <c r="O81" s="107">
        <f>IF(B81="","",IF(M81&lt;&gt;"","Paid",IF(AND(I81&lt;&gt;"",I81&lt;AsOf),"OVERDUE",IF(OR(K81&lt;&gt;"",L81&lt;&gt;""),"Invoiced","Scheduled"))))</f>
        <v/>
      </c>
      <c r="P81" s="114">
        <f>IF(B81="","",IF(E81&lt;&gt;"",E81,IFERROR(INDEX('Contractors'!$D$6:$D$35,MATCH(B81,'Contractors'!$B$6:$B$35,0)),"")))</f>
        <v/>
      </c>
      <c r="Q81" s="79">
        <f>IF(B81="","",IF(D81&lt;&gt;"",D81,IFERROR(INDEX('Contractors'!$E$6:$E$35,MATCH(B81,'Contractors'!$B$6:$B$35,0)),"")))</f>
        <v/>
      </c>
      <c r="R81" s="79">
        <f>IF(O81="","",IF(O81="OVERDUE",2,IF(O81="Paid",0,IF(AND(I81&lt;&gt;"",I81&lt;=AsOf+AlertDays),1,0))))</f>
        <v/>
      </c>
      <c r="S81" s="79">
        <f>IF(AND(B81&lt;&gt;"",M81="",I81&lt;&gt;""),IF(L81&lt;&gt;"",L81,IF(H81="",0,H81)),0)</f>
        <v/>
      </c>
      <c r="T81" s="79">
        <f>IF(AND(B81&lt;&gt;"",M81="",I81&lt;&gt;""),1/I81,0)</f>
        <v/>
      </c>
      <c r="U81" s="111">
        <f>IF(AND(B81&lt;&gt;"",M81="",I81&lt;&gt;""),I81,"")</f>
        <v/>
      </c>
      <c r="V81" s="79">
        <f>IF(U81="","",IF(U81&lt;AsOf,1,IF(U81&lt;=AsOf+AlertDays,2,IF(U81&lt;=AsOf+2*AlertDays,3,""))))</f>
        <v/>
      </c>
      <c r="W81" s="79">
        <f>IF(V81="","",IF(O81="OVERDUE","Overdue payment: ","Payment due: ")&amp;B81&amp;" — "&amp;C81&amp;" ("&amp;CurSym&amp;" "&amp;FIXED(S81,0)&amp;")")</f>
        <v/>
      </c>
    </row>
    <row r="82" ht="20" customHeight="1">
      <c r="B82" s="72" t="n"/>
      <c r="C82" s="72" t="n"/>
      <c r="D82" s="72" t="n"/>
      <c r="E82" s="72" t="n"/>
      <c r="F82" s="109" t="n"/>
      <c r="G82" s="73" t="n"/>
      <c r="H82" s="75">
        <f>IF(B82="","",IF(G82&lt;&gt;"",G82,IF(F82&lt;&gt;"",F82*IFERROR(INDEX('Contractors'!$I$6:$I$35,MATCH(B82,'Contractors'!$B$6:$B$35,0)),0),"")))</f>
        <v/>
      </c>
      <c r="I82" s="108" t="n"/>
      <c r="J82" s="72" t="n"/>
      <c r="K82" s="108" t="n"/>
      <c r="L82" s="73" t="n"/>
      <c r="M82" s="108" t="n"/>
      <c r="N82" s="73" t="n"/>
      <c r="O82" s="107">
        <f>IF(B82="","",IF(M82&lt;&gt;"","Paid",IF(AND(I82&lt;&gt;"",I82&lt;AsOf),"OVERDUE",IF(OR(K82&lt;&gt;"",L82&lt;&gt;""),"Invoiced","Scheduled"))))</f>
        <v/>
      </c>
      <c r="P82" s="114">
        <f>IF(B82="","",IF(E82&lt;&gt;"",E82,IFERROR(INDEX('Contractors'!$D$6:$D$35,MATCH(B82,'Contractors'!$B$6:$B$35,0)),"")))</f>
        <v/>
      </c>
      <c r="Q82" s="79">
        <f>IF(B82="","",IF(D82&lt;&gt;"",D82,IFERROR(INDEX('Contractors'!$E$6:$E$35,MATCH(B82,'Contractors'!$B$6:$B$35,0)),"")))</f>
        <v/>
      </c>
      <c r="R82" s="79">
        <f>IF(O82="","",IF(O82="OVERDUE",2,IF(O82="Paid",0,IF(AND(I82&lt;&gt;"",I82&lt;=AsOf+AlertDays),1,0))))</f>
        <v/>
      </c>
      <c r="S82" s="79">
        <f>IF(AND(B82&lt;&gt;"",M82="",I82&lt;&gt;""),IF(L82&lt;&gt;"",L82,IF(H82="",0,H82)),0)</f>
        <v/>
      </c>
      <c r="T82" s="79">
        <f>IF(AND(B82&lt;&gt;"",M82="",I82&lt;&gt;""),1/I82,0)</f>
        <v/>
      </c>
      <c r="U82" s="111">
        <f>IF(AND(B82&lt;&gt;"",M82="",I82&lt;&gt;""),I82,"")</f>
        <v/>
      </c>
      <c r="V82" s="79">
        <f>IF(U82="","",IF(U82&lt;AsOf,1,IF(U82&lt;=AsOf+AlertDays,2,IF(U82&lt;=AsOf+2*AlertDays,3,""))))</f>
        <v/>
      </c>
      <c r="W82" s="79">
        <f>IF(V82="","",IF(O82="OVERDUE","Overdue payment: ","Payment due: ")&amp;B82&amp;" — "&amp;C82&amp;" ("&amp;CurSym&amp;" "&amp;FIXED(S82,0)&amp;")")</f>
        <v/>
      </c>
    </row>
    <row r="83" ht="20" customHeight="1">
      <c r="B83" s="72" t="n"/>
      <c r="C83" s="72" t="n"/>
      <c r="D83" s="72" t="n"/>
      <c r="E83" s="72" t="n"/>
      <c r="F83" s="109" t="n"/>
      <c r="G83" s="73" t="n"/>
      <c r="H83" s="75">
        <f>IF(B83="","",IF(G83&lt;&gt;"",G83,IF(F83&lt;&gt;"",F83*IFERROR(INDEX('Contractors'!$I$6:$I$35,MATCH(B83,'Contractors'!$B$6:$B$35,0)),0),"")))</f>
        <v/>
      </c>
      <c r="I83" s="108" t="n"/>
      <c r="J83" s="72" t="n"/>
      <c r="K83" s="108" t="n"/>
      <c r="L83" s="73" t="n"/>
      <c r="M83" s="108" t="n"/>
      <c r="N83" s="73" t="n"/>
      <c r="O83" s="107">
        <f>IF(B83="","",IF(M83&lt;&gt;"","Paid",IF(AND(I83&lt;&gt;"",I83&lt;AsOf),"OVERDUE",IF(OR(K83&lt;&gt;"",L83&lt;&gt;""),"Invoiced","Scheduled"))))</f>
        <v/>
      </c>
      <c r="P83" s="114">
        <f>IF(B83="","",IF(E83&lt;&gt;"",E83,IFERROR(INDEX('Contractors'!$D$6:$D$35,MATCH(B83,'Contractors'!$B$6:$B$35,0)),"")))</f>
        <v/>
      </c>
      <c r="Q83" s="79">
        <f>IF(B83="","",IF(D83&lt;&gt;"",D83,IFERROR(INDEX('Contractors'!$E$6:$E$35,MATCH(B83,'Contractors'!$B$6:$B$35,0)),"")))</f>
        <v/>
      </c>
      <c r="R83" s="79">
        <f>IF(O83="","",IF(O83="OVERDUE",2,IF(O83="Paid",0,IF(AND(I83&lt;&gt;"",I83&lt;=AsOf+AlertDays),1,0))))</f>
        <v/>
      </c>
      <c r="S83" s="79">
        <f>IF(AND(B83&lt;&gt;"",M83="",I83&lt;&gt;""),IF(L83&lt;&gt;"",L83,IF(H83="",0,H83)),0)</f>
        <v/>
      </c>
      <c r="T83" s="79">
        <f>IF(AND(B83&lt;&gt;"",M83="",I83&lt;&gt;""),1/I83,0)</f>
        <v/>
      </c>
      <c r="U83" s="111">
        <f>IF(AND(B83&lt;&gt;"",M83="",I83&lt;&gt;""),I83,"")</f>
        <v/>
      </c>
      <c r="V83" s="79">
        <f>IF(U83="","",IF(U83&lt;AsOf,1,IF(U83&lt;=AsOf+AlertDays,2,IF(U83&lt;=AsOf+2*AlertDays,3,""))))</f>
        <v/>
      </c>
      <c r="W83" s="79">
        <f>IF(V83="","",IF(O83="OVERDUE","Overdue payment: ","Payment due: ")&amp;B83&amp;" — "&amp;C83&amp;" ("&amp;CurSym&amp;" "&amp;FIXED(S83,0)&amp;")")</f>
        <v/>
      </c>
    </row>
    <row r="84" ht="20" customHeight="1">
      <c r="B84" s="72" t="n"/>
      <c r="C84" s="72" t="n"/>
      <c r="D84" s="72" t="n"/>
      <c r="E84" s="72" t="n"/>
      <c r="F84" s="109" t="n"/>
      <c r="G84" s="73" t="n"/>
      <c r="H84" s="75">
        <f>IF(B84="","",IF(G84&lt;&gt;"",G84,IF(F84&lt;&gt;"",F84*IFERROR(INDEX('Contractors'!$I$6:$I$35,MATCH(B84,'Contractors'!$B$6:$B$35,0)),0),"")))</f>
        <v/>
      </c>
      <c r="I84" s="108" t="n"/>
      <c r="J84" s="72" t="n"/>
      <c r="K84" s="108" t="n"/>
      <c r="L84" s="73" t="n"/>
      <c r="M84" s="108" t="n"/>
      <c r="N84" s="73" t="n"/>
      <c r="O84" s="107">
        <f>IF(B84="","",IF(M84&lt;&gt;"","Paid",IF(AND(I84&lt;&gt;"",I84&lt;AsOf),"OVERDUE",IF(OR(K84&lt;&gt;"",L84&lt;&gt;""),"Invoiced","Scheduled"))))</f>
        <v/>
      </c>
      <c r="P84" s="114">
        <f>IF(B84="","",IF(E84&lt;&gt;"",E84,IFERROR(INDEX('Contractors'!$D$6:$D$35,MATCH(B84,'Contractors'!$B$6:$B$35,0)),"")))</f>
        <v/>
      </c>
      <c r="Q84" s="79">
        <f>IF(B84="","",IF(D84&lt;&gt;"",D84,IFERROR(INDEX('Contractors'!$E$6:$E$35,MATCH(B84,'Contractors'!$B$6:$B$35,0)),"")))</f>
        <v/>
      </c>
      <c r="R84" s="79">
        <f>IF(O84="","",IF(O84="OVERDUE",2,IF(O84="Paid",0,IF(AND(I84&lt;&gt;"",I84&lt;=AsOf+AlertDays),1,0))))</f>
        <v/>
      </c>
      <c r="S84" s="79">
        <f>IF(AND(B84&lt;&gt;"",M84="",I84&lt;&gt;""),IF(L84&lt;&gt;"",L84,IF(H84="",0,H84)),0)</f>
        <v/>
      </c>
      <c r="T84" s="79">
        <f>IF(AND(B84&lt;&gt;"",M84="",I84&lt;&gt;""),1/I84,0)</f>
        <v/>
      </c>
      <c r="U84" s="111">
        <f>IF(AND(B84&lt;&gt;"",M84="",I84&lt;&gt;""),I84,"")</f>
        <v/>
      </c>
      <c r="V84" s="79">
        <f>IF(U84="","",IF(U84&lt;AsOf,1,IF(U84&lt;=AsOf+AlertDays,2,IF(U84&lt;=AsOf+2*AlertDays,3,""))))</f>
        <v/>
      </c>
      <c r="W84" s="79">
        <f>IF(V84="","",IF(O84="OVERDUE","Overdue payment: ","Payment due: ")&amp;B84&amp;" — "&amp;C84&amp;" ("&amp;CurSym&amp;" "&amp;FIXED(S84,0)&amp;")")</f>
        <v/>
      </c>
    </row>
    <row r="85" ht="20" customHeight="1">
      <c r="B85" s="72" t="n"/>
      <c r="C85" s="72" t="n"/>
      <c r="D85" s="72" t="n"/>
      <c r="E85" s="72" t="n"/>
      <c r="F85" s="109" t="n"/>
      <c r="G85" s="73" t="n"/>
      <c r="H85" s="75">
        <f>IF(B85="","",IF(G85&lt;&gt;"",G85,IF(F85&lt;&gt;"",F85*IFERROR(INDEX('Contractors'!$I$6:$I$35,MATCH(B85,'Contractors'!$B$6:$B$35,0)),0),"")))</f>
        <v/>
      </c>
      <c r="I85" s="108" t="n"/>
      <c r="J85" s="72" t="n"/>
      <c r="K85" s="108" t="n"/>
      <c r="L85" s="73" t="n"/>
      <c r="M85" s="108" t="n"/>
      <c r="N85" s="73" t="n"/>
      <c r="O85" s="107">
        <f>IF(B85="","",IF(M85&lt;&gt;"","Paid",IF(AND(I85&lt;&gt;"",I85&lt;AsOf),"OVERDUE",IF(OR(K85&lt;&gt;"",L85&lt;&gt;""),"Invoiced","Scheduled"))))</f>
        <v/>
      </c>
      <c r="P85" s="114">
        <f>IF(B85="","",IF(E85&lt;&gt;"",E85,IFERROR(INDEX('Contractors'!$D$6:$D$35,MATCH(B85,'Contractors'!$B$6:$B$35,0)),"")))</f>
        <v/>
      </c>
      <c r="Q85" s="79">
        <f>IF(B85="","",IF(D85&lt;&gt;"",D85,IFERROR(INDEX('Contractors'!$E$6:$E$35,MATCH(B85,'Contractors'!$B$6:$B$35,0)),"")))</f>
        <v/>
      </c>
      <c r="R85" s="79">
        <f>IF(O85="","",IF(O85="OVERDUE",2,IF(O85="Paid",0,IF(AND(I85&lt;&gt;"",I85&lt;=AsOf+AlertDays),1,0))))</f>
        <v/>
      </c>
      <c r="S85" s="79">
        <f>IF(AND(B85&lt;&gt;"",M85="",I85&lt;&gt;""),IF(L85&lt;&gt;"",L85,IF(H85="",0,H85)),0)</f>
        <v/>
      </c>
      <c r="T85" s="79">
        <f>IF(AND(B85&lt;&gt;"",M85="",I85&lt;&gt;""),1/I85,0)</f>
        <v/>
      </c>
      <c r="U85" s="111">
        <f>IF(AND(B85&lt;&gt;"",M85="",I85&lt;&gt;""),I85,"")</f>
        <v/>
      </c>
      <c r="V85" s="79">
        <f>IF(U85="","",IF(U85&lt;AsOf,1,IF(U85&lt;=AsOf+AlertDays,2,IF(U85&lt;=AsOf+2*AlertDays,3,""))))</f>
        <v/>
      </c>
      <c r="W85" s="79">
        <f>IF(V85="","",IF(O85="OVERDUE","Overdue payment: ","Payment due: ")&amp;B85&amp;" — "&amp;C85&amp;" ("&amp;CurSym&amp;" "&amp;FIXED(S85,0)&amp;")")</f>
        <v/>
      </c>
    </row>
    <row r="86" ht="20" customHeight="1">
      <c r="B86" s="72" t="n"/>
      <c r="C86" s="72" t="n"/>
      <c r="D86" s="72" t="n"/>
      <c r="E86" s="72" t="n"/>
      <c r="F86" s="109" t="n"/>
      <c r="G86" s="73" t="n"/>
      <c r="H86" s="75">
        <f>IF(B86="","",IF(G86&lt;&gt;"",G86,IF(F86&lt;&gt;"",F86*IFERROR(INDEX('Contractors'!$I$6:$I$35,MATCH(B86,'Contractors'!$B$6:$B$35,0)),0),"")))</f>
        <v/>
      </c>
      <c r="I86" s="108" t="n"/>
      <c r="J86" s="72" t="n"/>
      <c r="K86" s="108" t="n"/>
      <c r="L86" s="73" t="n"/>
      <c r="M86" s="108" t="n"/>
      <c r="N86" s="73" t="n"/>
      <c r="O86" s="107">
        <f>IF(B86="","",IF(M86&lt;&gt;"","Paid",IF(AND(I86&lt;&gt;"",I86&lt;AsOf),"OVERDUE",IF(OR(K86&lt;&gt;"",L86&lt;&gt;""),"Invoiced","Scheduled"))))</f>
        <v/>
      </c>
      <c r="P86" s="114">
        <f>IF(B86="","",IF(E86&lt;&gt;"",E86,IFERROR(INDEX('Contractors'!$D$6:$D$35,MATCH(B86,'Contractors'!$B$6:$B$35,0)),"")))</f>
        <v/>
      </c>
      <c r="Q86" s="79">
        <f>IF(B86="","",IF(D86&lt;&gt;"",D86,IFERROR(INDEX('Contractors'!$E$6:$E$35,MATCH(B86,'Contractors'!$B$6:$B$35,0)),"")))</f>
        <v/>
      </c>
      <c r="R86" s="79">
        <f>IF(O86="","",IF(O86="OVERDUE",2,IF(O86="Paid",0,IF(AND(I86&lt;&gt;"",I86&lt;=AsOf+AlertDays),1,0))))</f>
        <v/>
      </c>
      <c r="S86" s="79">
        <f>IF(AND(B86&lt;&gt;"",M86="",I86&lt;&gt;""),IF(L86&lt;&gt;"",L86,IF(H86="",0,H86)),0)</f>
        <v/>
      </c>
      <c r="T86" s="79">
        <f>IF(AND(B86&lt;&gt;"",M86="",I86&lt;&gt;""),1/I86,0)</f>
        <v/>
      </c>
      <c r="U86" s="111">
        <f>IF(AND(B86&lt;&gt;"",M86="",I86&lt;&gt;""),I86,"")</f>
        <v/>
      </c>
      <c r="V86" s="79">
        <f>IF(U86="","",IF(U86&lt;AsOf,1,IF(U86&lt;=AsOf+AlertDays,2,IF(U86&lt;=AsOf+2*AlertDays,3,""))))</f>
        <v/>
      </c>
      <c r="W86" s="79">
        <f>IF(V86="","",IF(O86="OVERDUE","Overdue payment: ","Payment due: ")&amp;B86&amp;" — "&amp;C86&amp;" ("&amp;CurSym&amp;" "&amp;FIXED(S86,0)&amp;")")</f>
        <v/>
      </c>
    </row>
    <row r="87" ht="20" customHeight="1">
      <c r="B87" s="72" t="n"/>
      <c r="C87" s="72" t="n"/>
      <c r="D87" s="72" t="n"/>
      <c r="E87" s="72" t="n"/>
      <c r="F87" s="109" t="n"/>
      <c r="G87" s="73" t="n"/>
      <c r="H87" s="75">
        <f>IF(B87="","",IF(G87&lt;&gt;"",G87,IF(F87&lt;&gt;"",F87*IFERROR(INDEX('Contractors'!$I$6:$I$35,MATCH(B87,'Contractors'!$B$6:$B$35,0)),0),"")))</f>
        <v/>
      </c>
      <c r="I87" s="108" t="n"/>
      <c r="J87" s="72" t="n"/>
      <c r="K87" s="108" t="n"/>
      <c r="L87" s="73" t="n"/>
      <c r="M87" s="108" t="n"/>
      <c r="N87" s="73" t="n"/>
      <c r="O87" s="107">
        <f>IF(B87="","",IF(M87&lt;&gt;"","Paid",IF(AND(I87&lt;&gt;"",I87&lt;AsOf),"OVERDUE",IF(OR(K87&lt;&gt;"",L87&lt;&gt;""),"Invoiced","Scheduled"))))</f>
        <v/>
      </c>
      <c r="P87" s="114">
        <f>IF(B87="","",IF(E87&lt;&gt;"",E87,IFERROR(INDEX('Contractors'!$D$6:$D$35,MATCH(B87,'Contractors'!$B$6:$B$35,0)),"")))</f>
        <v/>
      </c>
      <c r="Q87" s="79">
        <f>IF(B87="","",IF(D87&lt;&gt;"",D87,IFERROR(INDEX('Contractors'!$E$6:$E$35,MATCH(B87,'Contractors'!$B$6:$B$35,0)),"")))</f>
        <v/>
      </c>
      <c r="R87" s="79">
        <f>IF(O87="","",IF(O87="OVERDUE",2,IF(O87="Paid",0,IF(AND(I87&lt;&gt;"",I87&lt;=AsOf+AlertDays),1,0))))</f>
        <v/>
      </c>
      <c r="S87" s="79">
        <f>IF(AND(B87&lt;&gt;"",M87="",I87&lt;&gt;""),IF(L87&lt;&gt;"",L87,IF(H87="",0,H87)),0)</f>
        <v/>
      </c>
      <c r="T87" s="79">
        <f>IF(AND(B87&lt;&gt;"",M87="",I87&lt;&gt;""),1/I87,0)</f>
        <v/>
      </c>
      <c r="U87" s="111">
        <f>IF(AND(B87&lt;&gt;"",M87="",I87&lt;&gt;""),I87,"")</f>
        <v/>
      </c>
      <c r="V87" s="79">
        <f>IF(U87="","",IF(U87&lt;AsOf,1,IF(U87&lt;=AsOf+AlertDays,2,IF(U87&lt;=AsOf+2*AlertDays,3,""))))</f>
        <v/>
      </c>
      <c r="W87" s="79">
        <f>IF(V87="","",IF(O87="OVERDUE","Overdue payment: ","Payment due: ")&amp;B87&amp;" — "&amp;C87&amp;" ("&amp;CurSym&amp;" "&amp;FIXED(S87,0)&amp;")")</f>
        <v/>
      </c>
    </row>
    <row r="88" ht="20" customHeight="1">
      <c r="B88" s="72" t="n"/>
      <c r="C88" s="72" t="n"/>
      <c r="D88" s="72" t="n"/>
      <c r="E88" s="72" t="n"/>
      <c r="F88" s="109" t="n"/>
      <c r="G88" s="73" t="n"/>
      <c r="H88" s="75">
        <f>IF(B88="","",IF(G88&lt;&gt;"",G88,IF(F88&lt;&gt;"",F88*IFERROR(INDEX('Contractors'!$I$6:$I$35,MATCH(B88,'Contractors'!$B$6:$B$35,0)),0),"")))</f>
        <v/>
      </c>
      <c r="I88" s="108" t="n"/>
      <c r="J88" s="72" t="n"/>
      <c r="K88" s="108" t="n"/>
      <c r="L88" s="73" t="n"/>
      <c r="M88" s="108" t="n"/>
      <c r="N88" s="73" t="n"/>
      <c r="O88" s="107">
        <f>IF(B88="","",IF(M88&lt;&gt;"","Paid",IF(AND(I88&lt;&gt;"",I88&lt;AsOf),"OVERDUE",IF(OR(K88&lt;&gt;"",L88&lt;&gt;""),"Invoiced","Scheduled"))))</f>
        <v/>
      </c>
      <c r="P88" s="114">
        <f>IF(B88="","",IF(E88&lt;&gt;"",E88,IFERROR(INDEX('Contractors'!$D$6:$D$35,MATCH(B88,'Contractors'!$B$6:$B$35,0)),"")))</f>
        <v/>
      </c>
      <c r="Q88" s="79">
        <f>IF(B88="","",IF(D88&lt;&gt;"",D88,IFERROR(INDEX('Contractors'!$E$6:$E$35,MATCH(B88,'Contractors'!$B$6:$B$35,0)),"")))</f>
        <v/>
      </c>
      <c r="R88" s="79">
        <f>IF(O88="","",IF(O88="OVERDUE",2,IF(O88="Paid",0,IF(AND(I88&lt;&gt;"",I88&lt;=AsOf+AlertDays),1,0))))</f>
        <v/>
      </c>
      <c r="S88" s="79">
        <f>IF(AND(B88&lt;&gt;"",M88="",I88&lt;&gt;""),IF(L88&lt;&gt;"",L88,IF(H88="",0,H88)),0)</f>
        <v/>
      </c>
      <c r="T88" s="79">
        <f>IF(AND(B88&lt;&gt;"",M88="",I88&lt;&gt;""),1/I88,0)</f>
        <v/>
      </c>
      <c r="U88" s="111">
        <f>IF(AND(B88&lt;&gt;"",M88="",I88&lt;&gt;""),I88,"")</f>
        <v/>
      </c>
      <c r="V88" s="79">
        <f>IF(U88="","",IF(U88&lt;AsOf,1,IF(U88&lt;=AsOf+AlertDays,2,IF(U88&lt;=AsOf+2*AlertDays,3,""))))</f>
        <v/>
      </c>
      <c r="W88" s="79">
        <f>IF(V88="","",IF(O88="OVERDUE","Overdue payment: ","Payment due: ")&amp;B88&amp;" — "&amp;C88&amp;" ("&amp;CurSym&amp;" "&amp;FIXED(S88,0)&amp;")")</f>
        <v/>
      </c>
    </row>
    <row r="89" ht="20" customHeight="1">
      <c r="B89" s="72" t="n"/>
      <c r="C89" s="72" t="n"/>
      <c r="D89" s="72" t="n"/>
      <c r="E89" s="72" t="n"/>
      <c r="F89" s="109" t="n"/>
      <c r="G89" s="73" t="n"/>
      <c r="H89" s="75">
        <f>IF(B89="","",IF(G89&lt;&gt;"",G89,IF(F89&lt;&gt;"",F89*IFERROR(INDEX('Contractors'!$I$6:$I$35,MATCH(B89,'Contractors'!$B$6:$B$35,0)),0),"")))</f>
        <v/>
      </c>
      <c r="I89" s="108" t="n"/>
      <c r="J89" s="72" t="n"/>
      <c r="K89" s="108" t="n"/>
      <c r="L89" s="73" t="n"/>
      <c r="M89" s="108" t="n"/>
      <c r="N89" s="73" t="n"/>
      <c r="O89" s="107">
        <f>IF(B89="","",IF(M89&lt;&gt;"","Paid",IF(AND(I89&lt;&gt;"",I89&lt;AsOf),"OVERDUE",IF(OR(K89&lt;&gt;"",L89&lt;&gt;""),"Invoiced","Scheduled"))))</f>
        <v/>
      </c>
      <c r="P89" s="114">
        <f>IF(B89="","",IF(E89&lt;&gt;"",E89,IFERROR(INDEX('Contractors'!$D$6:$D$35,MATCH(B89,'Contractors'!$B$6:$B$35,0)),"")))</f>
        <v/>
      </c>
      <c r="Q89" s="79">
        <f>IF(B89="","",IF(D89&lt;&gt;"",D89,IFERROR(INDEX('Contractors'!$E$6:$E$35,MATCH(B89,'Contractors'!$B$6:$B$35,0)),"")))</f>
        <v/>
      </c>
      <c r="R89" s="79">
        <f>IF(O89="","",IF(O89="OVERDUE",2,IF(O89="Paid",0,IF(AND(I89&lt;&gt;"",I89&lt;=AsOf+AlertDays),1,0))))</f>
        <v/>
      </c>
      <c r="S89" s="79">
        <f>IF(AND(B89&lt;&gt;"",M89="",I89&lt;&gt;""),IF(L89&lt;&gt;"",L89,IF(H89="",0,H89)),0)</f>
        <v/>
      </c>
      <c r="T89" s="79">
        <f>IF(AND(B89&lt;&gt;"",M89="",I89&lt;&gt;""),1/I89,0)</f>
        <v/>
      </c>
      <c r="U89" s="111">
        <f>IF(AND(B89&lt;&gt;"",M89="",I89&lt;&gt;""),I89,"")</f>
        <v/>
      </c>
      <c r="V89" s="79">
        <f>IF(U89="","",IF(U89&lt;AsOf,1,IF(U89&lt;=AsOf+AlertDays,2,IF(U89&lt;=AsOf+2*AlertDays,3,""))))</f>
        <v/>
      </c>
      <c r="W89" s="79">
        <f>IF(V89="","",IF(O89="OVERDUE","Overdue payment: ","Payment due: ")&amp;B89&amp;" — "&amp;C89&amp;" ("&amp;CurSym&amp;" "&amp;FIXED(S89,0)&amp;")")</f>
        <v/>
      </c>
    </row>
    <row r="90" ht="20" customHeight="1">
      <c r="B90" s="72" t="n"/>
      <c r="C90" s="72" t="n"/>
      <c r="D90" s="72" t="n"/>
      <c r="E90" s="72" t="n"/>
      <c r="F90" s="109" t="n"/>
      <c r="G90" s="73" t="n"/>
      <c r="H90" s="75">
        <f>IF(B90="","",IF(G90&lt;&gt;"",G90,IF(F90&lt;&gt;"",F90*IFERROR(INDEX('Contractors'!$I$6:$I$35,MATCH(B90,'Contractors'!$B$6:$B$35,0)),0),"")))</f>
        <v/>
      </c>
      <c r="I90" s="108" t="n"/>
      <c r="J90" s="72" t="n"/>
      <c r="K90" s="108" t="n"/>
      <c r="L90" s="73" t="n"/>
      <c r="M90" s="108" t="n"/>
      <c r="N90" s="73" t="n"/>
      <c r="O90" s="107">
        <f>IF(B90="","",IF(M90&lt;&gt;"","Paid",IF(AND(I90&lt;&gt;"",I90&lt;AsOf),"OVERDUE",IF(OR(K90&lt;&gt;"",L90&lt;&gt;""),"Invoiced","Scheduled"))))</f>
        <v/>
      </c>
      <c r="P90" s="114">
        <f>IF(B90="","",IF(E90&lt;&gt;"",E90,IFERROR(INDEX('Contractors'!$D$6:$D$35,MATCH(B90,'Contractors'!$B$6:$B$35,0)),"")))</f>
        <v/>
      </c>
      <c r="Q90" s="79">
        <f>IF(B90="","",IF(D90&lt;&gt;"",D90,IFERROR(INDEX('Contractors'!$E$6:$E$35,MATCH(B90,'Contractors'!$B$6:$B$35,0)),"")))</f>
        <v/>
      </c>
      <c r="R90" s="79">
        <f>IF(O90="","",IF(O90="OVERDUE",2,IF(O90="Paid",0,IF(AND(I90&lt;&gt;"",I90&lt;=AsOf+AlertDays),1,0))))</f>
        <v/>
      </c>
      <c r="S90" s="79">
        <f>IF(AND(B90&lt;&gt;"",M90="",I90&lt;&gt;""),IF(L90&lt;&gt;"",L90,IF(H90="",0,H90)),0)</f>
        <v/>
      </c>
      <c r="T90" s="79">
        <f>IF(AND(B90&lt;&gt;"",M90="",I90&lt;&gt;""),1/I90,0)</f>
        <v/>
      </c>
      <c r="U90" s="111">
        <f>IF(AND(B90&lt;&gt;"",M90="",I90&lt;&gt;""),I90,"")</f>
        <v/>
      </c>
      <c r="V90" s="79">
        <f>IF(U90="","",IF(U90&lt;AsOf,1,IF(U90&lt;=AsOf+AlertDays,2,IF(U90&lt;=AsOf+2*AlertDays,3,""))))</f>
        <v/>
      </c>
      <c r="W90" s="79">
        <f>IF(V90="","",IF(O90="OVERDUE","Overdue payment: ","Payment due: ")&amp;B90&amp;" — "&amp;C90&amp;" ("&amp;CurSym&amp;" "&amp;FIXED(S90,0)&amp;")")</f>
        <v/>
      </c>
    </row>
    <row r="91" ht="20" customHeight="1">
      <c r="B91" s="72" t="n"/>
      <c r="C91" s="72" t="n"/>
      <c r="D91" s="72" t="n"/>
      <c r="E91" s="72" t="n"/>
      <c r="F91" s="109" t="n"/>
      <c r="G91" s="73" t="n"/>
      <c r="H91" s="75">
        <f>IF(B91="","",IF(G91&lt;&gt;"",G91,IF(F91&lt;&gt;"",F91*IFERROR(INDEX('Contractors'!$I$6:$I$35,MATCH(B91,'Contractors'!$B$6:$B$35,0)),0),"")))</f>
        <v/>
      </c>
      <c r="I91" s="108" t="n"/>
      <c r="J91" s="72" t="n"/>
      <c r="K91" s="108" t="n"/>
      <c r="L91" s="73" t="n"/>
      <c r="M91" s="108" t="n"/>
      <c r="N91" s="73" t="n"/>
      <c r="O91" s="107">
        <f>IF(B91="","",IF(M91&lt;&gt;"","Paid",IF(AND(I91&lt;&gt;"",I91&lt;AsOf),"OVERDUE",IF(OR(K91&lt;&gt;"",L91&lt;&gt;""),"Invoiced","Scheduled"))))</f>
        <v/>
      </c>
      <c r="P91" s="114">
        <f>IF(B91="","",IF(E91&lt;&gt;"",E91,IFERROR(INDEX('Contractors'!$D$6:$D$35,MATCH(B91,'Contractors'!$B$6:$B$35,0)),"")))</f>
        <v/>
      </c>
      <c r="Q91" s="79">
        <f>IF(B91="","",IF(D91&lt;&gt;"",D91,IFERROR(INDEX('Contractors'!$E$6:$E$35,MATCH(B91,'Contractors'!$B$6:$B$35,0)),"")))</f>
        <v/>
      </c>
      <c r="R91" s="79">
        <f>IF(O91="","",IF(O91="OVERDUE",2,IF(O91="Paid",0,IF(AND(I91&lt;&gt;"",I91&lt;=AsOf+AlertDays),1,0))))</f>
        <v/>
      </c>
      <c r="S91" s="79">
        <f>IF(AND(B91&lt;&gt;"",M91="",I91&lt;&gt;""),IF(L91&lt;&gt;"",L91,IF(H91="",0,H91)),0)</f>
        <v/>
      </c>
      <c r="T91" s="79">
        <f>IF(AND(B91&lt;&gt;"",M91="",I91&lt;&gt;""),1/I91,0)</f>
        <v/>
      </c>
      <c r="U91" s="111">
        <f>IF(AND(B91&lt;&gt;"",M91="",I91&lt;&gt;""),I91,"")</f>
        <v/>
      </c>
      <c r="V91" s="79">
        <f>IF(U91="","",IF(U91&lt;AsOf,1,IF(U91&lt;=AsOf+AlertDays,2,IF(U91&lt;=AsOf+2*AlertDays,3,""))))</f>
        <v/>
      </c>
      <c r="W91" s="79">
        <f>IF(V91="","",IF(O91="OVERDUE","Overdue payment: ","Payment due: ")&amp;B91&amp;" — "&amp;C91&amp;" ("&amp;CurSym&amp;" "&amp;FIXED(S91,0)&amp;")")</f>
        <v/>
      </c>
    </row>
    <row r="92" ht="20" customHeight="1">
      <c r="B92" s="72" t="n"/>
      <c r="C92" s="72" t="n"/>
      <c r="D92" s="72" t="n"/>
      <c r="E92" s="72" t="n"/>
      <c r="F92" s="109" t="n"/>
      <c r="G92" s="73" t="n"/>
      <c r="H92" s="75">
        <f>IF(B92="","",IF(G92&lt;&gt;"",G92,IF(F92&lt;&gt;"",F92*IFERROR(INDEX('Contractors'!$I$6:$I$35,MATCH(B92,'Contractors'!$B$6:$B$35,0)),0),"")))</f>
        <v/>
      </c>
      <c r="I92" s="108" t="n"/>
      <c r="J92" s="72" t="n"/>
      <c r="K92" s="108" t="n"/>
      <c r="L92" s="73" t="n"/>
      <c r="M92" s="108" t="n"/>
      <c r="N92" s="73" t="n"/>
      <c r="O92" s="107">
        <f>IF(B92="","",IF(M92&lt;&gt;"","Paid",IF(AND(I92&lt;&gt;"",I92&lt;AsOf),"OVERDUE",IF(OR(K92&lt;&gt;"",L92&lt;&gt;""),"Invoiced","Scheduled"))))</f>
        <v/>
      </c>
      <c r="P92" s="114">
        <f>IF(B92="","",IF(E92&lt;&gt;"",E92,IFERROR(INDEX('Contractors'!$D$6:$D$35,MATCH(B92,'Contractors'!$B$6:$B$35,0)),"")))</f>
        <v/>
      </c>
      <c r="Q92" s="79">
        <f>IF(B92="","",IF(D92&lt;&gt;"",D92,IFERROR(INDEX('Contractors'!$E$6:$E$35,MATCH(B92,'Contractors'!$B$6:$B$35,0)),"")))</f>
        <v/>
      </c>
      <c r="R92" s="79">
        <f>IF(O92="","",IF(O92="OVERDUE",2,IF(O92="Paid",0,IF(AND(I92&lt;&gt;"",I92&lt;=AsOf+AlertDays),1,0))))</f>
        <v/>
      </c>
      <c r="S92" s="79">
        <f>IF(AND(B92&lt;&gt;"",M92="",I92&lt;&gt;""),IF(L92&lt;&gt;"",L92,IF(H92="",0,H92)),0)</f>
        <v/>
      </c>
      <c r="T92" s="79">
        <f>IF(AND(B92&lt;&gt;"",M92="",I92&lt;&gt;""),1/I92,0)</f>
        <v/>
      </c>
      <c r="U92" s="111">
        <f>IF(AND(B92&lt;&gt;"",M92="",I92&lt;&gt;""),I92,"")</f>
        <v/>
      </c>
      <c r="V92" s="79">
        <f>IF(U92="","",IF(U92&lt;AsOf,1,IF(U92&lt;=AsOf+AlertDays,2,IF(U92&lt;=AsOf+2*AlertDays,3,""))))</f>
        <v/>
      </c>
      <c r="W92" s="79">
        <f>IF(V92="","",IF(O92="OVERDUE","Overdue payment: ","Payment due: ")&amp;B92&amp;" — "&amp;C92&amp;" ("&amp;CurSym&amp;" "&amp;FIXED(S92,0)&amp;")")</f>
        <v/>
      </c>
    </row>
    <row r="93" ht="20" customHeight="1">
      <c r="B93" s="72" t="n"/>
      <c r="C93" s="72" t="n"/>
      <c r="D93" s="72" t="n"/>
      <c r="E93" s="72" t="n"/>
      <c r="F93" s="109" t="n"/>
      <c r="G93" s="73" t="n"/>
      <c r="H93" s="75">
        <f>IF(B93="","",IF(G93&lt;&gt;"",G93,IF(F93&lt;&gt;"",F93*IFERROR(INDEX('Contractors'!$I$6:$I$35,MATCH(B93,'Contractors'!$B$6:$B$35,0)),0),"")))</f>
        <v/>
      </c>
      <c r="I93" s="108" t="n"/>
      <c r="J93" s="72" t="n"/>
      <c r="K93" s="108" t="n"/>
      <c r="L93" s="73" t="n"/>
      <c r="M93" s="108" t="n"/>
      <c r="N93" s="73" t="n"/>
      <c r="O93" s="107">
        <f>IF(B93="","",IF(M93&lt;&gt;"","Paid",IF(AND(I93&lt;&gt;"",I93&lt;AsOf),"OVERDUE",IF(OR(K93&lt;&gt;"",L93&lt;&gt;""),"Invoiced","Scheduled"))))</f>
        <v/>
      </c>
      <c r="P93" s="114">
        <f>IF(B93="","",IF(E93&lt;&gt;"",E93,IFERROR(INDEX('Contractors'!$D$6:$D$35,MATCH(B93,'Contractors'!$B$6:$B$35,0)),"")))</f>
        <v/>
      </c>
      <c r="Q93" s="79">
        <f>IF(B93="","",IF(D93&lt;&gt;"",D93,IFERROR(INDEX('Contractors'!$E$6:$E$35,MATCH(B93,'Contractors'!$B$6:$B$35,0)),"")))</f>
        <v/>
      </c>
      <c r="R93" s="79">
        <f>IF(O93="","",IF(O93="OVERDUE",2,IF(O93="Paid",0,IF(AND(I93&lt;&gt;"",I93&lt;=AsOf+AlertDays),1,0))))</f>
        <v/>
      </c>
      <c r="S93" s="79">
        <f>IF(AND(B93&lt;&gt;"",M93="",I93&lt;&gt;""),IF(L93&lt;&gt;"",L93,IF(H93="",0,H93)),0)</f>
        <v/>
      </c>
      <c r="T93" s="79">
        <f>IF(AND(B93&lt;&gt;"",M93="",I93&lt;&gt;""),1/I93,0)</f>
        <v/>
      </c>
      <c r="U93" s="111">
        <f>IF(AND(B93&lt;&gt;"",M93="",I93&lt;&gt;""),I93,"")</f>
        <v/>
      </c>
      <c r="V93" s="79">
        <f>IF(U93="","",IF(U93&lt;AsOf,1,IF(U93&lt;=AsOf+AlertDays,2,IF(U93&lt;=AsOf+2*AlertDays,3,""))))</f>
        <v/>
      </c>
      <c r="W93" s="79">
        <f>IF(V93="","",IF(O93="OVERDUE","Overdue payment: ","Payment due: ")&amp;B93&amp;" — "&amp;C93&amp;" ("&amp;CurSym&amp;" "&amp;FIXED(S93,0)&amp;")")</f>
        <v/>
      </c>
    </row>
    <row r="94" ht="20" customHeight="1">
      <c r="B94" s="72" t="n"/>
      <c r="C94" s="72" t="n"/>
      <c r="D94" s="72" t="n"/>
      <c r="E94" s="72" t="n"/>
      <c r="F94" s="109" t="n"/>
      <c r="G94" s="73" t="n"/>
      <c r="H94" s="75">
        <f>IF(B94="","",IF(G94&lt;&gt;"",G94,IF(F94&lt;&gt;"",F94*IFERROR(INDEX('Contractors'!$I$6:$I$35,MATCH(B94,'Contractors'!$B$6:$B$35,0)),0),"")))</f>
        <v/>
      </c>
      <c r="I94" s="108" t="n"/>
      <c r="J94" s="72" t="n"/>
      <c r="K94" s="108" t="n"/>
      <c r="L94" s="73" t="n"/>
      <c r="M94" s="108" t="n"/>
      <c r="N94" s="73" t="n"/>
      <c r="O94" s="107">
        <f>IF(B94="","",IF(M94&lt;&gt;"","Paid",IF(AND(I94&lt;&gt;"",I94&lt;AsOf),"OVERDUE",IF(OR(K94&lt;&gt;"",L94&lt;&gt;""),"Invoiced","Scheduled"))))</f>
        <v/>
      </c>
      <c r="P94" s="114">
        <f>IF(B94="","",IF(E94&lt;&gt;"",E94,IFERROR(INDEX('Contractors'!$D$6:$D$35,MATCH(B94,'Contractors'!$B$6:$B$35,0)),"")))</f>
        <v/>
      </c>
      <c r="Q94" s="79">
        <f>IF(B94="","",IF(D94&lt;&gt;"",D94,IFERROR(INDEX('Contractors'!$E$6:$E$35,MATCH(B94,'Contractors'!$B$6:$B$35,0)),"")))</f>
        <v/>
      </c>
      <c r="R94" s="79">
        <f>IF(O94="","",IF(O94="OVERDUE",2,IF(O94="Paid",0,IF(AND(I94&lt;&gt;"",I94&lt;=AsOf+AlertDays),1,0))))</f>
        <v/>
      </c>
      <c r="S94" s="79">
        <f>IF(AND(B94&lt;&gt;"",M94="",I94&lt;&gt;""),IF(L94&lt;&gt;"",L94,IF(H94="",0,H94)),0)</f>
        <v/>
      </c>
      <c r="T94" s="79">
        <f>IF(AND(B94&lt;&gt;"",M94="",I94&lt;&gt;""),1/I94,0)</f>
        <v/>
      </c>
      <c r="U94" s="111">
        <f>IF(AND(B94&lt;&gt;"",M94="",I94&lt;&gt;""),I94,"")</f>
        <v/>
      </c>
      <c r="V94" s="79">
        <f>IF(U94="","",IF(U94&lt;AsOf,1,IF(U94&lt;=AsOf+AlertDays,2,IF(U94&lt;=AsOf+2*AlertDays,3,""))))</f>
        <v/>
      </c>
      <c r="W94" s="79">
        <f>IF(V94="","",IF(O94="OVERDUE","Overdue payment: ","Payment due: ")&amp;B94&amp;" — "&amp;C94&amp;" ("&amp;CurSym&amp;" "&amp;FIXED(S94,0)&amp;")")</f>
        <v/>
      </c>
    </row>
    <row r="95" ht="20" customHeight="1">
      <c r="B95" s="72" t="n"/>
      <c r="C95" s="72" t="n"/>
      <c r="D95" s="72" t="n"/>
      <c r="E95" s="72" t="n"/>
      <c r="F95" s="109" t="n"/>
      <c r="G95" s="73" t="n"/>
      <c r="H95" s="75">
        <f>IF(B95="","",IF(G95&lt;&gt;"",G95,IF(F95&lt;&gt;"",F95*IFERROR(INDEX('Contractors'!$I$6:$I$35,MATCH(B95,'Contractors'!$B$6:$B$35,0)),0),"")))</f>
        <v/>
      </c>
      <c r="I95" s="108" t="n"/>
      <c r="J95" s="72" t="n"/>
      <c r="K95" s="108" t="n"/>
      <c r="L95" s="73" t="n"/>
      <c r="M95" s="108" t="n"/>
      <c r="N95" s="73" t="n"/>
      <c r="O95" s="107">
        <f>IF(B95="","",IF(M95&lt;&gt;"","Paid",IF(AND(I95&lt;&gt;"",I95&lt;AsOf),"OVERDUE",IF(OR(K95&lt;&gt;"",L95&lt;&gt;""),"Invoiced","Scheduled"))))</f>
        <v/>
      </c>
      <c r="P95" s="114">
        <f>IF(B95="","",IF(E95&lt;&gt;"",E95,IFERROR(INDEX('Contractors'!$D$6:$D$35,MATCH(B95,'Contractors'!$B$6:$B$35,0)),"")))</f>
        <v/>
      </c>
      <c r="Q95" s="79">
        <f>IF(B95="","",IF(D95&lt;&gt;"",D95,IFERROR(INDEX('Contractors'!$E$6:$E$35,MATCH(B95,'Contractors'!$B$6:$B$35,0)),"")))</f>
        <v/>
      </c>
      <c r="R95" s="79">
        <f>IF(O95="","",IF(O95="OVERDUE",2,IF(O95="Paid",0,IF(AND(I95&lt;&gt;"",I95&lt;=AsOf+AlertDays),1,0))))</f>
        <v/>
      </c>
      <c r="S95" s="79">
        <f>IF(AND(B95&lt;&gt;"",M95="",I95&lt;&gt;""),IF(L95&lt;&gt;"",L95,IF(H95="",0,H95)),0)</f>
        <v/>
      </c>
      <c r="T95" s="79">
        <f>IF(AND(B95&lt;&gt;"",M95="",I95&lt;&gt;""),1/I95,0)</f>
        <v/>
      </c>
      <c r="U95" s="111">
        <f>IF(AND(B95&lt;&gt;"",M95="",I95&lt;&gt;""),I95,"")</f>
        <v/>
      </c>
      <c r="V95" s="79">
        <f>IF(U95="","",IF(U95&lt;AsOf,1,IF(U95&lt;=AsOf+AlertDays,2,IF(U95&lt;=AsOf+2*AlertDays,3,""))))</f>
        <v/>
      </c>
      <c r="W95" s="79">
        <f>IF(V95="","",IF(O95="OVERDUE","Overdue payment: ","Payment due: ")&amp;B95&amp;" — "&amp;C95&amp;" ("&amp;CurSym&amp;" "&amp;FIXED(S95,0)&amp;")")</f>
        <v/>
      </c>
    </row>
    <row r="96" ht="20" customHeight="1">
      <c r="B96" s="72" t="n"/>
      <c r="C96" s="72" t="n"/>
      <c r="D96" s="72" t="n"/>
      <c r="E96" s="72" t="n"/>
      <c r="F96" s="109" t="n"/>
      <c r="G96" s="73" t="n"/>
      <c r="H96" s="75">
        <f>IF(B96="","",IF(G96&lt;&gt;"",G96,IF(F96&lt;&gt;"",F96*IFERROR(INDEX('Contractors'!$I$6:$I$35,MATCH(B96,'Contractors'!$B$6:$B$35,0)),0),"")))</f>
        <v/>
      </c>
      <c r="I96" s="108" t="n"/>
      <c r="J96" s="72" t="n"/>
      <c r="K96" s="108" t="n"/>
      <c r="L96" s="73" t="n"/>
      <c r="M96" s="108" t="n"/>
      <c r="N96" s="73" t="n"/>
      <c r="O96" s="107">
        <f>IF(B96="","",IF(M96&lt;&gt;"","Paid",IF(AND(I96&lt;&gt;"",I96&lt;AsOf),"OVERDUE",IF(OR(K96&lt;&gt;"",L96&lt;&gt;""),"Invoiced","Scheduled"))))</f>
        <v/>
      </c>
      <c r="P96" s="114">
        <f>IF(B96="","",IF(E96&lt;&gt;"",E96,IFERROR(INDEX('Contractors'!$D$6:$D$35,MATCH(B96,'Contractors'!$B$6:$B$35,0)),"")))</f>
        <v/>
      </c>
      <c r="Q96" s="79">
        <f>IF(B96="","",IF(D96&lt;&gt;"",D96,IFERROR(INDEX('Contractors'!$E$6:$E$35,MATCH(B96,'Contractors'!$B$6:$B$35,0)),"")))</f>
        <v/>
      </c>
      <c r="R96" s="79">
        <f>IF(O96="","",IF(O96="OVERDUE",2,IF(O96="Paid",0,IF(AND(I96&lt;&gt;"",I96&lt;=AsOf+AlertDays),1,0))))</f>
        <v/>
      </c>
      <c r="S96" s="79">
        <f>IF(AND(B96&lt;&gt;"",M96="",I96&lt;&gt;""),IF(L96&lt;&gt;"",L96,IF(H96="",0,H96)),0)</f>
        <v/>
      </c>
      <c r="T96" s="79">
        <f>IF(AND(B96&lt;&gt;"",M96="",I96&lt;&gt;""),1/I96,0)</f>
        <v/>
      </c>
      <c r="U96" s="111">
        <f>IF(AND(B96&lt;&gt;"",M96="",I96&lt;&gt;""),I96,"")</f>
        <v/>
      </c>
      <c r="V96" s="79">
        <f>IF(U96="","",IF(U96&lt;AsOf,1,IF(U96&lt;=AsOf+AlertDays,2,IF(U96&lt;=AsOf+2*AlertDays,3,""))))</f>
        <v/>
      </c>
      <c r="W96" s="79">
        <f>IF(V96="","",IF(O96="OVERDUE","Overdue payment: ","Payment due: ")&amp;B96&amp;" — "&amp;C96&amp;" ("&amp;CurSym&amp;" "&amp;FIXED(S96,0)&amp;")")</f>
        <v/>
      </c>
    </row>
    <row r="97" ht="20" customHeight="1">
      <c r="B97" s="72" t="n"/>
      <c r="C97" s="72" t="n"/>
      <c r="D97" s="72" t="n"/>
      <c r="E97" s="72" t="n"/>
      <c r="F97" s="109" t="n"/>
      <c r="G97" s="73" t="n"/>
      <c r="H97" s="75">
        <f>IF(B97="","",IF(G97&lt;&gt;"",G97,IF(F97&lt;&gt;"",F97*IFERROR(INDEX('Contractors'!$I$6:$I$35,MATCH(B97,'Contractors'!$B$6:$B$35,0)),0),"")))</f>
        <v/>
      </c>
      <c r="I97" s="108" t="n"/>
      <c r="J97" s="72" t="n"/>
      <c r="K97" s="108" t="n"/>
      <c r="L97" s="73" t="n"/>
      <c r="M97" s="108" t="n"/>
      <c r="N97" s="73" t="n"/>
      <c r="O97" s="107">
        <f>IF(B97="","",IF(M97&lt;&gt;"","Paid",IF(AND(I97&lt;&gt;"",I97&lt;AsOf),"OVERDUE",IF(OR(K97&lt;&gt;"",L97&lt;&gt;""),"Invoiced","Scheduled"))))</f>
        <v/>
      </c>
      <c r="P97" s="114">
        <f>IF(B97="","",IF(E97&lt;&gt;"",E97,IFERROR(INDEX('Contractors'!$D$6:$D$35,MATCH(B97,'Contractors'!$B$6:$B$35,0)),"")))</f>
        <v/>
      </c>
      <c r="Q97" s="79">
        <f>IF(B97="","",IF(D97&lt;&gt;"",D97,IFERROR(INDEX('Contractors'!$E$6:$E$35,MATCH(B97,'Contractors'!$B$6:$B$35,0)),"")))</f>
        <v/>
      </c>
      <c r="R97" s="79">
        <f>IF(O97="","",IF(O97="OVERDUE",2,IF(O97="Paid",0,IF(AND(I97&lt;&gt;"",I97&lt;=AsOf+AlertDays),1,0))))</f>
        <v/>
      </c>
      <c r="S97" s="79">
        <f>IF(AND(B97&lt;&gt;"",M97="",I97&lt;&gt;""),IF(L97&lt;&gt;"",L97,IF(H97="",0,H97)),0)</f>
        <v/>
      </c>
      <c r="T97" s="79">
        <f>IF(AND(B97&lt;&gt;"",M97="",I97&lt;&gt;""),1/I97,0)</f>
        <v/>
      </c>
      <c r="U97" s="111">
        <f>IF(AND(B97&lt;&gt;"",M97="",I97&lt;&gt;""),I97,"")</f>
        <v/>
      </c>
      <c r="V97" s="79">
        <f>IF(U97="","",IF(U97&lt;AsOf,1,IF(U97&lt;=AsOf+AlertDays,2,IF(U97&lt;=AsOf+2*AlertDays,3,""))))</f>
        <v/>
      </c>
      <c r="W97" s="79">
        <f>IF(V97="","",IF(O97="OVERDUE","Overdue payment: ","Payment due: ")&amp;B97&amp;" — "&amp;C97&amp;" ("&amp;CurSym&amp;" "&amp;FIXED(S97,0)&amp;")")</f>
        <v/>
      </c>
    </row>
    <row r="98" ht="20" customHeight="1">
      <c r="B98" s="72" t="n"/>
      <c r="C98" s="72" t="n"/>
      <c r="D98" s="72" t="n"/>
      <c r="E98" s="72" t="n"/>
      <c r="F98" s="109" t="n"/>
      <c r="G98" s="73" t="n"/>
      <c r="H98" s="75">
        <f>IF(B98="","",IF(G98&lt;&gt;"",G98,IF(F98&lt;&gt;"",F98*IFERROR(INDEX('Contractors'!$I$6:$I$35,MATCH(B98,'Contractors'!$B$6:$B$35,0)),0),"")))</f>
        <v/>
      </c>
      <c r="I98" s="108" t="n"/>
      <c r="J98" s="72" t="n"/>
      <c r="K98" s="108" t="n"/>
      <c r="L98" s="73" t="n"/>
      <c r="M98" s="108" t="n"/>
      <c r="N98" s="73" t="n"/>
      <c r="O98" s="107">
        <f>IF(B98="","",IF(M98&lt;&gt;"","Paid",IF(AND(I98&lt;&gt;"",I98&lt;AsOf),"OVERDUE",IF(OR(K98&lt;&gt;"",L98&lt;&gt;""),"Invoiced","Scheduled"))))</f>
        <v/>
      </c>
      <c r="P98" s="114">
        <f>IF(B98="","",IF(E98&lt;&gt;"",E98,IFERROR(INDEX('Contractors'!$D$6:$D$35,MATCH(B98,'Contractors'!$B$6:$B$35,0)),"")))</f>
        <v/>
      </c>
      <c r="Q98" s="79">
        <f>IF(B98="","",IF(D98&lt;&gt;"",D98,IFERROR(INDEX('Contractors'!$E$6:$E$35,MATCH(B98,'Contractors'!$B$6:$B$35,0)),"")))</f>
        <v/>
      </c>
      <c r="R98" s="79">
        <f>IF(O98="","",IF(O98="OVERDUE",2,IF(O98="Paid",0,IF(AND(I98&lt;&gt;"",I98&lt;=AsOf+AlertDays),1,0))))</f>
        <v/>
      </c>
      <c r="S98" s="79">
        <f>IF(AND(B98&lt;&gt;"",M98="",I98&lt;&gt;""),IF(L98&lt;&gt;"",L98,IF(H98="",0,H98)),0)</f>
        <v/>
      </c>
      <c r="T98" s="79">
        <f>IF(AND(B98&lt;&gt;"",M98="",I98&lt;&gt;""),1/I98,0)</f>
        <v/>
      </c>
      <c r="U98" s="111">
        <f>IF(AND(B98&lt;&gt;"",M98="",I98&lt;&gt;""),I98,"")</f>
        <v/>
      </c>
      <c r="V98" s="79">
        <f>IF(U98="","",IF(U98&lt;AsOf,1,IF(U98&lt;=AsOf+AlertDays,2,IF(U98&lt;=AsOf+2*AlertDays,3,""))))</f>
        <v/>
      </c>
      <c r="W98" s="79">
        <f>IF(V98="","",IF(O98="OVERDUE","Overdue payment: ","Payment due: ")&amp;B98&amp;" — "&amp;C98&amp;" ("&amp;CurSym&amp;" "&amp;FIXED(S98,0)&amp;")")</f>
        <v/>
      </c>
    </row>
    <row r="99" ht="20" customHeight="1">
      <c r="B99" s="72" t="n"/>
      <c r="C99" s="72" t="n"/>
      <c r="D99" s="72" t="n"/>
      <c r="E99" s="72" t="n"/>
      <c r="F99" s="109" t="n"/>
      <c r="G99" s="73" t="n"/>
      <c r="H99" s="75">
        <f>IF(B99="","",IF(G99&lt;&gt;"",G99,IF(F99&lt;&gt;"",F99*IFERROR(INDEX('Contractors'!$I$6:$I$35,MATCH(B99,'Contractors'!$B$6:$B$35,0)),0),"")))</f>
        <v/>
      </c>
      <c r="I99" s="108" t="n"/>
      <c r="J99" s="72" t="n"/>
      <c r="K99" s="108" t="n"/>
      <c r="L99" s="73" t="n"/>
      <c r="M99" s="108" t="n"/>
      <c r="N99" s="73" t="n"/>
      <c r="O99" s="107">
        <f>IF(B99="","",IF(M99&lt;&gt;"","Paid",IF(AND(I99&lt;&gt;"",I99&lt;AsOf),"OVERDUE",IF(OR(K99&lt;&gt;"",L99&lt;&gt;""),"Invoiced","Scheduled"))))</f>
        <v/>
      </c>
      <c r="P99" s="114">
        <f>IF(B99="","",IF(E99&lt;&gt;"",E99,IFERROR(INDEX('Contractors'!$D$6:$D$35,MATCH(B99,'Contractors'!$B$6:$B$35,0)),"")))</f>
        <v/>
      </c>
      <c r="Q99" s="79">
        <f>IF(B99="","",IF(D99&lt;&gt;"",D99,IFERROR(INDEX('Contractors'!$E$6:$E$35,MATCH(B99,'Contractors'!$B$6:$B$35,0)),"")))</f>
        <v/>
      </c>
      <c r="R99" s="79">
        <f>IF(O99="","",IF(O99="OVERDUE",2,IF(O99="Paid",0,IF(AND(I99&lt;&gt;"",I99&lt;=AsOf+AlertDays),1,0))))</f>
        <v/>
      </c>
      <c r="S99" s="79">
        <f>IF(AND(B99&lt;&gt;"",M99="",I99&lt;&gt;""),IF(L99&lt;&gt;"",L99,IF(H99="",0,H99)),0)</f>
        <v/>
      </c>
      <c r="T99" s="79">
        <f>IF(AND(B99&lt;&gt;"",M99="",I99&lt;&gt;""),1/I99,0)</f>
        <v/>
      </c>
      <c r="U99" s="111">
        <f>IF(AND(B99&lt;&gt;"",M99="",I99&lt;&gt;""),I99,"")</f>
        <v/>
      </c>
      <c r="V99" s="79">
        <f>IF(U99="","",IF(U99&lt;AsOf,1,IF(U99&lt;=AsOf+AlertDays,2,IF(U99&lt;=AsOf+2*AlertDays,3,""))))</f>
        <v/>
      </c>
      <c r="W99" s="79">
        <f>IF(V99="","",IF(O99="OVERDUE","Overdue payment: ","Payment due: ")&amp;B99&amp;" — "&amp;C99&amp;" ("&amp;CurSym&amp;" "&amp;FIXED(S99,0)&amp;")")</f>
        <v/>
      </c>
    </row>
    <row r="100" ht="20" customHeight="1">
      <c r="B100" s="72" t="n"/>
      <c r="C100" s="72" t="n"/>
      <c r="D100" s="72" t="n"/>
      <c r="E100" s="72" t="n"/>
      <c r="F100" s="109" t="n"/>
      <c r="G100" s="73" t="n"/>
      <c r="H100" s="75">
        <f>IF(B100="","",IF(G100&lt;&gt;"",G100,IF(F100&lt;&gt;"",F100*IFERROR(INDEX('Contractors'!$I$6:$I$35,MATCH(B100,'Contractors'!$B$6:$B$35,0)),0),"")))</f>
        <v/>
      </c>
      <c r="I100" s="108" t="n"/>
      <c r="J100" s="72" t="n"/>
      <c r="K100" s="108" t="n"/>
      <c r="L100" s="73" t="n"/>
      <c r="M100" s="108" t="n"/>
      <c r="N100" s="73" t="n"/>
      <c r="O100" s="107">
        <f>IF(B100="","",IF(M100&lt;&gt;"","Paid",IF(AND(I100&lt;&gt;"",I100&lt;AsOf),"OVERDUE",IF(OR(K100&lt;&gt;"",L100&lt;&gt;""),"Invoiced","Scheduled"))))</f>
        <v/>
      </c>
      <c r="P100" s="114">
        <f>IF(B100="","",IF(E100&lt;&gt;"",E100,IFERROR(INDEX('Contractors'!$D$6:$D$35,MATCH(B100,'Contractors'!$B$6:$B$35,0)),"")))</f>
        <v/>
      </c>
      <c r="Q100" s="79">
        <f>IF(B100="","",IF(D100&lt;&gt;"",D100,IFERROR(INDEX('Contractors'!$E$6:$E$35,MATCH(B100,'Contractors'!$B$6:$B$35,0)),"")))</f>
        <v/>
      </c>
      <c r="R100" s="79">
        <f>IF(O100="","",IF(O100="OVERDUE",2,IF(O100="Paid",0,IF(AND(I100&lt;&gt;"",I100&lt;=AsOf+AlertDays),1,0))))</f>
        <v/>
      </c>
      <c r="S100" s="79">
        <f>IF(AND(B100&lt;&gt;"",M100="",I100&lt;&gt;""),IF(L100&lt;&gt;"",L100,IF(H100="",0,H100)),0)</f>
        <v/>
      </c>
      <c r="T100" s="79">
        <f>IF(AND(B100&lt;&gt;"",M100="",I100&lt;&gt;""),1/I100,0)</f>
        <v/>
      </c>
      <c r="U100" s="111">
        <f>IF(AND(B100&lt;&gt;"",M100="",I100&lt;&gt;""),I100,"")</f>
        <v/>
      </c>
      <c r="V100" s="79">
        <f>IF(U100="","",IF(U100&lt;AsOf,1,IF(U100&lt;=AsOf+AlertDays,2,IF(U100&lt;=AsOf+2*AlertDays,3,""))))</f>
        <v/>
      </c>
      <c r="W100" s="79">
        <f>IF(V100="","",IF(O100="OVERDUE","Overdue payment: ","Payment due: ")&amp;B100&amp;" — "&amp;C100&amp;" ("&amp;CurSym&amp;" "&amp;FIXED(S100,0)&amp;")")</f>
        <v/>
      </c>
    </row>
    <row r="101" ht="20" customHeight="1">
      <c r="B101" s="72" t="n"/>
      <c r="C101" s="72" t="n"/>
      <c r="D101" s="72" t="n"/>
      <c r="E101" s="72" t="n"/>
      <c r="F101" s="109" t="n"/>
      <c r="G101" s="73" t="n"/>
      <c r="H101" s="75">
        <f>IF(B101="","",IF(G101&lt;&gt;"",G101,IF(F101&lt;&gt;"",F101*IFERROR(INDEX('Contractors'!$I$6:$I$35,MATCH(B101,'Contractors'!$B$6:$B$35,0)),0),"")))</f>
        <v/>
      </c>
      <c r="I101" s="108" t="n"/>
      <c r="J101" s="72" t="n"/>
      <c r="K101" s="108" t="n"/>
      <c r="L101" s="73" t="n"/>
      <c r="M101" s="108" t="n"/>
      <c r="N101" s="73" t="n"/>
      <c r="O101" s="107">
        <f>IF(B101="","",IF(M101&lt;&gt;"","Paid",IF(AND(I101&lt;&gt;"",I101&lt;AsOf),"OVERDUE",IF(OR(K101&lt;&gt;"",L101&lt;&gt;""),"Invoiced","Scheduled"))))</f>
        <v/>
      </c>
      <c r="P101" s="114">
        <f>IF(B101="","",IF(E101&lt;&gt;"",E101,IFERROR(INDEX('Contractors'!$D$6:$D$35,MATCH(B101,'Contractors'!$B$6:$B$35,0)),"")))</f>
        <v/>
      </c>
      <c r="Q101" s="79">
        <f>IF(B101="","",IF(D101&lt;&gt;"",D101,IFERROR(INDEX('Contractors'!$E$6:$E$35,MATCH(B101,'Contractors'!$B$6:$B$35,0)),"")))</f>
        <v/>
      </c>
      <c r="R101" s="79">
        <f>IF(O101="","",IF(O101="OVERDUE",2,IF(O101="Paid",0,IF(AND(I101&lt;&gt;"",I101&lt;=AsOf+AlertDays),1,0))))</f>
        <v/>
      </c>
      <c r="S101" s="79">
        <f>IF(AND(B101&lt;&gt;"",M101="",I101&lt;&gt;""),IF(L101&lt;&gt;"",L101,IF(H101="",0,H101)),0)</f>
        <v/>
      </c>
      <c r="T101" s="79">
        <f>IF(AND(B101&lt;&gt;"",M101="",I101&lt;&gt;""),1/I101,0)</f>
        <v/>
      </c>
      <c r="U101" s="111">
        <f>IF(AND(B101&lt;&gt;"",M101="",I101&lt;&gt;""),I101,"")</f>
        <v/>
      </c>
      <c r="V101" s="79">
        <f>IF(U101="","",IF(U101&lt;AsOf,1,IF(U101&lt;=AsOf+AlertDays,2,IF(U101&lt;=AsOf+2*AlertDays,3,""))))</f>
        <v/>
      </c>
      <c r="W101" s="79">
        <f>IF(V101="","",IF(O101="OVERDUE","Overdue payment: ","Payment due: ")&amp;B101&amp;" — "&amp;C101&amp;" ("&amp;CurSym&amp;" "&amp;FIXED(S101,0)&amp;")")</f>
        <v/>
      </c>
    </row>
    <row r="102" ht="20" customHeight="1">
      <c r="B102" s="72" t="n"/>
      <c r="C102" s="72" t="n"/>
      <c r="D102" s="72" t="n"/>
      <c r="E102" s="72" t="n"/>
      <c r="F102" s="109" t="n"/>
      <c r="G102" s="73" t="n"/>
      <c r="H102" s="75">
        <f>IF(B102="","",IF(G102&lt;&gt;"",G102,IF(F102&lt;&gt;"",F102*IFERROR(INDEX('Contractors'!$I$6:$I$35,MATCH(B102,'Contractors'!$B$6:$B$35,0)),0),"")))</f>
        <v/>
      </c>
      <c r="I102" s="108" t="n"/>
      <c r="J102" s="72" t="n"/>
      <c r="K102" s="108" t="n"/>
      <c r="L102" s="73" t="n"/>
      <c r="M102" s="108" t="n"/>
      <c r="N102" s="73" t="n"/>
      <c r="O102" s="107">
        <f>IF(B102="","",IF(M102&lt;&gt;"","Paid",IF(AND(I102&lt;&gt;"",I102&lt;AsOf),"OVERDUE",IF(OR(K102&lt;&gt;"",L102&lt;&gt;""),"Invoiced","Scheduled"))))</f>
        <v/>
      </c>
      <c r="P102" s="114">
        <f>IF(B102="","",IF(E102&lt;&gt;"",E102,IFERROR(INDEX('Contractors'!$D$6:$D$35,MATCH(B102,'Contractors'!$B$6:$B$35,0)),"")))</f>
        <v/>
      </c>
      <c r="Q102" s="79">
        <f>IF(B102="","",IF(D102&lt;&gt;"",D102,IFERROR(INDEX('Contractors'!$E$6:$E$35,MATCH(B102,'Contractors'!$B$6:$B$35,0)),"")))</f>
        <v/>
      </c>
      <c r="R102" s="79">
        <f>IF(O102="","",IF(O102="OVERDUE",2,IF(O102="Paid",0,IF(AND(I102&lt;&gt;"",I102&lt;=AsOf+AlertDays),1,0))))</f>
        <v/>
      </c>
      <c r="S102" s="79">
        <f>IF(AND(B102&lt;&gt;"",M102="",I102&lt;&gt;""),IF(L102&lt;&gt;"",L102,IF(H102="",0,H102)),0)</f>
        <v/>
      </c>
      <c r="T102" s="79">
        <f>IF(AND(B102&lt;&gt;"",M102="",I102&lt;&gt;""),1/I102,0)</f>
        <v/>
      </c>
      <c r="U102" s="111">
        <f>IF(AND(B102&lt;&gt;"",M102="",I102&lt;&gt;""),I102,"")</f>
        <v/>
      </c>
      <c r="V102" s="79">
        <f>IF(U102="","",IF(U102&lt;AsOf,1,IF(U102&lt;=AsOf+AlertDays,2,IF(U102&lt;=AsOf+2*AlertDays,3,""))))</f>
        <v/>
      </c>
      <c r="W102" s="79">
        <f>IF(V102="","",IF(O102="OVERDUE","Overdue payment: ","Payment due: ")&amp;B102&amp;" — "&amp;C102&amp;" ("&amp;CurSym&amp;" "&amp;FIXED(S102,0)&amp;")")</f>
        <v/>
      </c>
    </row>
    <row r="103" ht="20" customHeight="1">
      <c r="B103" s="72" t="n"/>
      <c r="C103" s="72" t="n"/>
      <c r="D103" s="72" t="n"/>
      <c r="E103" s="72" t="n"/>
      <c r="F103" s="109" t="n"/>
      <c r="G103" s="73" t="n"/>
      <c r="H103" s="75">
        <f>IF(B103="","",IF(G103&lt;&gt;"",G103,IF(F103&lt;&gt;"",F103*IFERROR(INDEX('Contractors'!$I$6:$I$35,MATCH(B103,'Contractors'!$B$6:$B$35,0)),0),"")))</f>
        <v/>
      </c>
      <c r="I103" s="108" t="n"/>
      <c r="J103" s="72" t="n"/>
      <c r="K103" s="108" t="n"/>
      <c r="L103" s="73" t="n"/>
      <c r="M103" s="108" t="n"/>
      <c r="N103" s="73" t="n"/>
      <c r="O103" s="107">
        <f>IF(B103="","",IF(M103&lt;&gt;"","Paid",IF(AND(I103&lt;&gt;"",I103&lt;AsOf),"OVERDUE",IF(OR(K103&lt;&gt;"",L103&lt;&gt;""),"Invoiced","Scheduled"))))</f>
        <v/>
      </c>
      <c r="P103" s="114">
        <f>IF(B103="","",IF(E103&lt;&gt;"",E103,IFERROR(INDEX('Contractors'!$D$6:$D$35,MATCH(B103,'Contractors'!$B$6:$B$35,0)),"")))</f>
        <v/>
      </c>
      <c r="Q103" s="79">
        <f>IF(B103="","",IF(D103&lt;&gt;"",D103,IFERROR(INDEX('Contractors'!$E$6:$E$35,MATCH(B103,'Contractors'!$B$6:$B$35,0)),"")))</f>
        <v/>
      </c>
      <c r="R103" s="79">
        <f>IF(O103="","",IF(O103="OVERDUE",2,IF(O103="Paid",0,IF(AND(I103&lt;&gt;"",I103&lt;=AsOf+AlertDays),1,0))))</f>
        <v/>
      </c>
      <c r="S103" s="79">
        <f>IF(AND(B103&lt;&gt;"",M103="",I103&lt;&gt;""),IF(L103&lt;&gt;"",L103,IF(H103="",0,H103)),0)</f>
        <v/>
      </c>
      <c r="T103" s="79">
        <f>IF(AND(B103&lt;&gt;"",M103="",I103&lt;&gt;""),1/I103,0)</f>
        <v/>
      </c>
      <c r="U103" s="111">
        <f>IF(AND(B103&lt;&gt;"",M103="",I103&lt;&gt;""),I103,"")</f>
        <v/>
      </c>
      <c r="V103" s="79">
        <f>IF(U103="","",IF(U103&lt;AsOf,1,IF(U103&lt;=AsOf+AlertDays,2,IF(U103&lt;=AsOf+2*AlertDays,3,""))))</f>
        <v/>
      </c>
      <c r="W103" s="79">
        <f>IF(V103="","",IF(O103="OVERDUE","Overdue payment: ","Payment due: ")&amp;B103&amp;" — "&amp;C103&amp;" ("&amp;CurSym&amp;" "&amp;FIXED(S103,0)&amp;")")</f>
        <v/>
      </c>
    </row>
    <row r="104" ht="20" customHeight="1">
      <c r="B104" s="72" t="n"/>
      <c r="C104" s="72" t="n"/>
      <c r="D104" s="72" t="n"/>
      <c r="E104" s="72" t="n"/>
      <c r="F104" s="109" t="n"/>
      <c r="G104" s="73" t="n"/>
      <c r="H104" s="75">
        <f>IF(B104="","",IF(G104&lt;&gt;"",G104,IF(F104&lt;&gt;"",F104*IFERROR(INDEX('Contractors'!$I$6:$I$35,MATCH(B104,'Contractors'!$B$6:$B$35,0)),0),"")))</f>
        <v/>
      </c>
      <c r="I104" s="108" t="n"/>
      <c r="J104" s="72" t="n"/>
      <c r="K104" s="108" t="n"/>
      <c r="L104" s="73" t="n"/>
      <c r="M104" s="108" t="n"/>
      <c r="N104" s="73" t="n"/>
      <c r="O104" s="107">
        <f>IF(B104="","",IF(M104&lt;&gt;"","Paid",IF(AND(I104&lt;&gt;"",I104&lt;AsOf),"OVERDUE",IF(OR(K104&lt;&gt;"",L104&lt;&gt;""),"Invoiced","Scheduled"))))</f>
        <v/>
      </c>
      <c r="P104" s="114">
        <f>IF(B104="","",IF(E104&lt;&gt;"",E104,IFERROR(INDEX('Contractors'!$D$6:$D$35,MATCH(B104,'Contractors'!$B$6:$B$35,0)),"")))</f>
        <v/>
      </c>
      <c r="Q104" s="79">
        <f>IF(B104="","",IF(D104&lt;&gt;"",D104,IFERROR(INDEX('Contractors'!$E$6:$E$35,MATCH(B104,'Contractors'!$B$6:$B$35,0)),"")))</f>
        <v/>
      </c>
      <c r="R104" s="79">
        <f>IF(O104="","",IF(O104="OVERDUE",2,IF(O104="Paid",0,IF(AND(I104&lt;&gt;"",I104&lt;=AsOf+AlertDays),1,0))))</f>
        <v/>
      </c>
      <c r="S104" s="79">
        <f>IF(AND(B104&lt;&gt;"",M104="",I104&lt;&gt;""),IF(L104&lt;&gt;"",L104,IF(H104="",0,H104)),0)</f>
        <v/>
      </c>
      <c r="T104" s="79">
        <f>IF(AND(B104&lt;&gt;"",M104="",I104&lt;&gt;""),1/I104,0)</f>
        <v/>
      </c>
      <c r="U104" s="111">
        <f>IF(AND(B104&lt;&gt;"",M104="",I104&lt;&gt;""),I104,"")</f>
        <v/>
      </c>
      <c r="V104" s="79">
        <f>IF(U104="","",IF(U104&lt;AsOf,1,IF(U104&lt;=AsOf+AlertDays,2,IF(U104&lt;=AsOf+2*AlertDays,3,""))))</f>
        <v/>
      </c>
      <c r="W104" s="79">
        <f>IF(V104="","",IF(O104="OVERDUE","Overdue payment: ","Payment due: ")&amp;B104&amp;" — "&amp;C104&amp;" ("&amp;CurSym&amp;" "&amp;FIXED(S104,0)&amp;")")</f>
        <v/>
      </c>
    </row>
    <row r="105" ht="20" customHeight="1">
      <c r="B105" s="72" t="n"/>
      <c r="C105" s="72" t="n"/>
      <c r="D105" s="72" t="n"/>
      <c r="E105" s="72" t="n"/>
      <c r="F105" s="109" t="n"/>
      <c r="G105" s="73" t="n"/>
      <c r="H105" s="75">
        <f>IF(B105="","",IF(G105&lt;&gt;"",G105,IF(F105&lt;&gt;"",F105*IFERROR(INDEX('Contractors'!$I$6:$I$35,MATCH(B105,'Contractors'!$B$6:$B$35,0)),0),"")))</f>
        <v/>
      </c>
      <c r="I105" s="108" t="n"/>
      <c r="J105" s="72" t="n"/>
      <c r="K105" s="108" t="n"/>
      <c r="L105" s="73" t="n"/>
      <c r="M105" s="108" t="n"/>
      <c r="N105" s="73" t="n"/>
      <c r="O105" s="107">
        <f>IF(B105="","",IF(M105&lt;&gt;"","Paid",IF(AND(I105&lt;&gt;"",I105&lt;AsOf),"OVERDUE",IF(OR(K105&lt;&gt;"",L105&lt;&gt;""),"Invoiced","Scheduled"))))</f>
        <v/>
      </c>
      <c r="P105" s="114">
        <f>IF(B105="","",IF(E105&lt;&gt;"",E105,IFERROR(INDEX('Contractors'!$D$6:$D$35,MATCH(B105,'Contractors'!$B$6:$B$35,0)),"")))</f>
        <v/>
      </c>
      <c r="Q105" s="79">
        <f>IF(B105="","",IF(D105&lt;&gt;"",D105,IFERROR(INDEX('Contractors'!$E$6:$E$35,MATCH(B105,'Contractors'!$B$6:$B$35,0)),"")))</f>
        <v/>
      </c>
      <c r="R105" s="79">
        <f>IF(O105="","",IF(O105="OVERDUE",2,IF(O105="Paid",0,IF(AND(I105&lt;&gt;"",I105&lt;=AsOf+AlertDays),1,0))))</f>
        <v/>
      </c>
      <c r="S105" s="79">
        <f>IF(AND(B105&lt;&gt;"",M105="",I105&lt;&gt;""),IF(L105&lt;&gt;"",L105,IF(H105="",0,H105)),0)</f>
        <v/>
      </c>
      <c r="T105" s="79">
        <f>IF(AND(B105&lt;&gt;"",M105="",I105&lt;&gt;""),1/I105,0)</f>
        <v/>
      </c>
      <c r="U105" s="111">
        <f>IF(AND(B105&lt;&gt;"",M105="",I105&lt;&gt;""),I105,"")</f>
        <v/>
      </c>
      <c r="V105" s="79">
        <f>IF(U105="","",IF(U105&lt;AsOf,1,IF(U105&lt;=AsOf+AlertDays,2,IF(U105&lt;=AsOf+2*AlertDays,3,""))))</f>
        <v/>
      </c>
      <c r="W105" s="79">
        <f>IF(V105="","",IF(O105="OVERDUE","Overdue payment: ","Payment due: ")&amp;B105&amp;" — "&amp;C105&amp;" ("&amp;CurSym&amp;" "&amp;FIXED(S105,0)&amp;")")</f>
        <v/>
      </c>
    </row>
    <row r="106" ht="20" customHeight="1">
      <c r="B106" s="72" t="n"/>
      <c r="C106" s="72" t="n"/>
      <c r="D106" s="72" t="n"/>
      <c r="E106" s="72" t="n"/>
      <c r="F106" s="109" t="n"/>
      <c r="G106" s="73" t="n"/>
      <c r="H106" s="75">
        <f>IF(B106="","",IF(G106&lt;&gt;"",G106,IF(F106&lt;&gt;"",F106*IFERROR(INDEX('Contractors'!$I$6:$I$35,MATCH(B106,'Contractors'!$B$6:$B$35,0)),0),"")))</f>
        <v/>
      </c>
      <c r="I106" s="108" t="n"/>
      <c r="J106" s="72" t="n"/>
      <c r="K106" s="108" t="n"/>
      <c r="L106" s="73" t="n"/>
      <c r="M106" s="108" t="n"/>
      <c r="N106" s="73" t="n"/>
      <c r="O106" s="107">
        <f>IF(B106="","",IF(M106&lt;&gt;"","Paid",IF(AND(I106&lt;&gt;"",I106&lt;AsOf),"OVERDUE",IF(OR(K106&lt;&gt;"",L106&lt;&gt;""),"Invoiced","Scheduled"))))</f>
        <v/>
      </c>
      <c r="P106" s="114">
        <f>IF(B106="","",IF(E106&lt;&gt;"",E106,IFERROR(INDEX('Contractors'!$D$6:$D$35,MATCH(B106,'Contractors'!$B$6:$B$35,0)),"")))</f>
        <v/>
      </c>
      <c r="Q106" s="79">
        <f>IF(B106="","",IF(D106&lt;&gt;"",D106,IFERROR(INDEX('Contractors'!$E$6:$E$35,MATCH(B106,'Contractors'!$B$6:$B$35,0)),"")))</f>
        <v/>
      </c>
      <c r="R106" s="79">
        <f>IF(O106="","",IF(O106="OVERDUE",2,IF(O106="Paid",0,IF(AND(I106&lt;&gt;"",I106&lt;=AsOf+AlertDays),1,0))))</f>
        <v/>
      </c>
      <c r="S106" s="79">
        <f>IF(AND(B106&lt;&gt;"",M106="",I106&lt;&gt;""),IF(L106&lt;&gt;"",L106,IF(H106="",0,H106)),0)</f>
        <v/>
      </c>
      <c r="T106" s="79">
        <f>IF(AND(B106&lt;&gt;"",M106="",I106&lt;&gt;""),1/I106,0)</f>
        <v/>
      </c>
      <c r="U106" s="111">
        <f>IF(AND(B106&lt;&gt;"",M106="",I106&lt;&gt;""),I106,"")</f>
        <v/>
      </c>
      <c r="V106" s="79">
        <f>IF(U106="","",IF(U106&lt;AsOf,1,IF(U106&lt;=AsOf+AlertDays,2,IF(U106&lt;=AsOf+2*AlertDays,3,""))))</f>
        <v/>
      </c>
      <c r="W106" s="79">
        <f>IF(V106="","",IF(O106="OVERDUE","Overdue payment: ","Payment due: ")&amp;B106&amp;" — "&amp;C106&amp;" ("&amp;CurSym&amp;" "&amp;FIXED(S106,0)&amp;")")</f>
        <v/>
      </c>
    </row>
    <row r="107" ht="20" customHeight="1">
      <c r="B107" s="72" t="n"/>
      <c r="C107" s="72" t="n"/>
      <c r="D107" s="72" t="n"/>
      <c r="E107" s="72" t="n"/>
      <c r="F107" s="109" t="n"/>
      <c r="G107" s="73" t="n"/>
      <c r="H107" s="75">
        <f>IF(B107="","",IF(G107&lt;&gt;"",G107,IF(F107&lt;&gt;"",F107*IFERROR(INDEX('Contractors'!$I$6:$I$35,MATCH(B107,'Contractors'!$B$6:$B$35,0)),0),"")))</f>
        <v/>
      </c>
      <c r="I107" s="108" t="n"/>
      <c r="J107" s="72" t="n"/>
      <c r="K107" s="108" t="n"/>
      <c r="L107" s="73" t="n"/>
      <c r="M107" s="108" t="n"/>
      <c r="N107" s="73" t="n"/>
      <c r="O107" s="107">
        <f>IF(B107="","",IF(M107&lt;&gt;"","Paid",IF(AND(I107&lt;&gt;"",I107&lt;AsOf),"OVERDUE",IF(OR(K107&lt;&gt;"",L107&lt;&gt;""),"Invoiced","Scheduled"))))</f>
        <v/>
      </c>
      <c r="P107" s="114">
        <f>IF(B107="","",IF(E107&lt;&gt;"",E107,IFERROR(INDEX('Contractors'!$D$6:$D$35,MATCH(B107,'Contractors'!$B$6:$B$35,0)),"")))</f>
        <v/>
      </c>
      <c r="Q107" s="79">
        <f>IF(B107="","",IF(D107&lt;&gt;"",D107,IFERROR(INDEX('Contractors'!$E$6:$E$35,MATCH(B107,'Contractors'!$B$6:$B$35,0)),"")))</f>
        <v/>
      </c>
      <c r="R107" s="79">
        <f>IF(O107="","",IF(O107="OVERDUE",2,IF(O107="Paid",0,IF(AND(I107&lt;&gt;"",I107&lt;=AsOf+AlertDays),1,0))))</f>
        <v/>
      </c>
      <c r="S107" s="79">
        <f>IF(AND(B107&lt;&gt;"",M107="",I107&lt;&gt;""),IF(L107&lt;&gt;"",L107,IF(H107="",0,H107)),0)</f>
        <v/>
      </c>
      <c r="T107" s="79">
        <f>IF(AND(B107&lt;&gt;"",M107="",I107&lt;&gt;""),1/I107,0)</f>
        <v/>
      </c>
      <c r="U107" s="111">
        <f>IF(AND(B107&lt;&gt;"",M107="",I107&lt;&gt;""),I107,"")</f>
        <v/>
      </c>
      <c r="V107" s="79">
        <f>IF(U107="","",IF(U107&lt;AsOf,1,IF(U107&lt;=AsOf+AlertDays,2,IF(U107&lt;=AsOf+2*AlertDays,3,""))))</f>
        <v/>
      </c>
      <c r="W107" s="79">
        <f>IF(V107="","",IF(O107="OVERDUE","Overdue payment: ","Payment due: ")&amp;B107&amp;" — "&amp;C107&amp;" ("&amp;CurSym&amp;" "&amp;FIXED(S107,0)&amp;")")</f>
        <v/>
      </c>
    </row>
    <row r="108" ht="20" customHeight="1">
      <c r="B108" s="72" t="n"/>
      <c r="C108" s="72" t="n"/>
      <c r="D108" s="72" t="n"/>
      <c r="E108" s="72" t="n"/>
      <c r="F108" s="109" t="n"/>
      <c r="G108" s="73" t="n"/>
      <c r="H108" s="75">
        <f>IF(B108="","",IF(G108&lt;&gt;"",G108,IF(F108&lt;&gt;"",F108*IFERROR(INDEX('Contractors'!$I$6:$I$35,MATCH(B108,'Contractors'!$B$6:$B$35,0)),0),"")))</f>
        <v/>
      </c>
      <c r="I108" s="108" t="n"/>
      <c r="J108" s="72" t="n"/>
      <c r="K108" s="108" t="n"/>
      <c r="L108" s="73" t="n"/>
      <c r="M108" s="108" t="n"/>
      <c r="N108" s="73" t="n"/>
      <c r="O108" s="107">
        <f>IF(B108="","",IF(M108&lt;&gt;"","Paid",IF(AND(I108&lt;&gt;"",I108&lt;AsOf),"OVERDUE",IF(OR(K108&lt;&gt;"",L108&lt;&gt;""),"Invoiced","Scheduled"))))</f>
        <v/>
      </c>
      <c r="P108" s="114">
        <f>IF(B108="","",IF(E108&lt;&gt;"",E108,IFERROR(INDEX('Contractors'!$D$6:$D$35,MATCH(B108,'Contractors'!$B$6:$B$35,0)),"")))</f>
        <v/>
      </c>
      <c r="Q108" s="79">
        <f>IF(B108="","",IF(D108&lt;&gt;"",D108,IFERROR(INDEX('Contractors'!$E$6:$E$35,MATCH(B108,'Contractors'!$B$6:$B$35,0)),"")))</f>
        <v/>
      </c>
      <c r="R108" s="79">
        <f>IF(O108="","",IF(O108="OVERDUE",2,IF(O108="Paid",0,IF(AND(I108&lt;&gt;"",I108&lt;=AsOf+AlertDays),1,0))))</f>
        <v/>
      </c>
      <c r="S108" s="79">
        <f>IF(AND(B108&lt;&gt;"",M108="",I108&lt;&gt;""),IF(L108&lt;&gt;"",L108,IF(H108="",0,H108)),0)</f>
        <v/>
      </c>
      <c r="T108" s="79">
        <f>IF(AND(B108&lt;&gt;"",M108="",I108&lt;&gt;""),1/I108,0)</f>
        <v/>
      </c>
      <c r="U108" s="111">
        <f>IF(AND(B108&lt;&gt;"",M108="",I108&lt;&gt;""),I108,"")</f>
        <v/>
      </c>
      <c r="V108" s="79">
        <f>IF(U108="","",IF(U108&lt;AsOf,1,IF(U108&lt;=AsOf+AlertDays,2,IF(U108&lt;=AsOf+2*AlertDays,3,""))))</f>
        <v/>
      </c>
      <c r="W108" s="79">
        <f>IF(V108="","",IF(O108="OVERDUE","Overdue payment: ","Payment due: ")&amp;B108&amp;" — "&amp;C108&amp;" ("&amp;CurSym&amp;" "&amp;FIXED(S108,0)&amp;")")</f>
        <v/>
      </c>
    </row>
    <row r="109" ht="20" customHeight="1">
      <c r="B109" s="72" t="n"/>
      <c r="C109" s="72" t="n"/>
      <c r="D109" s="72" t="n"/>
      <c r="E109" s="72" t="n"/>
      <c r="F109" s="109" t="n"/>
      <c r="G109" s="73" t="n"/>
      <c r="H109" s="75">
        <f>IF(B109="","",IF(G109&lt;&gt;"",G109,IF(F109&lt;&gt;"",F109*IFERROR(INDEX('Contractors'!$I$6:$I$35,MATCH(B109,'Contractors'!$B$6:$B$35,0)),0),"")))</f>
        <v/>
      </c>
      <c r="I109" s="108" t="n"/>
      <c r="J109" s="72" t="n"/>
      <c r="K109" s="108" t="n"/>
      <c r="L109" s="73" t="n"/>
      <c r="M109" s="108" t="n"/>
      <c r="N109" s="73" t="n"/>
      <c r="O109" s="107">
        <f>IF(B109="","",IF(M109&lt;&gt;"","Paid",IF(AND(I109&lt;&gt;"",I109&lt;AsOf),"OVERDUE",IF(OR(K109&lt;&gt;"",L109&lt;&gt;""),"Invoiced","Scheduled"))))</f>
        <v/>
      </c>
      <c r="P109" s="114">
        <f>IF(B109="","",IF(E109&lt;&gt;"",E109,IFERROR(INDEX('Contractors'!$D$6:$D$35,MATCH(B109,'Contractors'!$B$6:$B$35,0)),"")))</f>
        <v/>
      </c>
      <c r="Q109" s="79">
        <f>IF(B109="","",IF(D109&lt;&gt;"",D109,IFERROR(INDEX('Contractors'!$E$6:$E$35,MATCH(B109,'Contractors'!$B$6:$B$35,0)),"")))</f>
        <v/>
      </c>
      <c r="R109" s="79">
        <f>IF(O109="","",IF(O109="OVERDUE",2,IF(O109="Paid",0,IF(AND(I109&lt;&gt;"",I109&lt;=AsOf+AlertDays),1,0))))</f>
        <v/>
      </c>
      <c r="S109" s="79">
        <f>IF(AND(B109&lt;&gt;"",M109="",I109&lt;&gt;""),IF(L109&lt;&gt;"",L109,IF(H109="",0,H109)),0)</f>
        <v/>
      </c>
      <c r="T109" s="79">
        <f>IF(AND(B109&lt;&gt;"",M109="",I109&lt;&gt;""),1/I109,0)</f>
        <v/>
      </c>
      <c r="U109" s="111">
        <f>IF(AND(B109&lt;&gt;"",M109="",I109&lt;&gt;""),I109,"")</f>
        <v/>
      </c>
      <c r="V109" s="79">
        <f>IF(U109="","",IF(U109&lt;AsOf,1,IF(U109&lt;=AsOf+AlertDays,2,IF(U109&lt;=AsOf+2*AlertDays,3,""))))</f>
        <v/>
      </c>
      <c r="W109" s="79">
        <f>IF(V109="","",IF(O109="OVERDUE","Overdue payment: ","Payment due: ")&amp;B109&amp;" — "&amp;C109&amp;" ("&amp;CurSym&amp;" "&amp;FIXED(S109,0)&amp;")")</f>
        <v/>
      </c>
    </row>
    <row r="110" ht="20" customHeight="1">
      <c r="B110" s="72" t="n"/>
      <c r="C110" s="72" t="n"/>
      <c r="D110" s="72" t="n"/>
      <c r="E110" s="72" t="n"/>
      <c r="F110" s="109" t="n"/>
      <c r="G110" s="73" t="n"/>
      <c r="H110" s="75">
        <f>IF(B110="","",IF(G110&lt;&gt;"",G110,IF(F110&lt;&gt;"",F110*IFERROR(INDEX('Contractors'!$I$6:$I$35,MATCH(B110,'Contractors'!$B$6:$B$35,0)),0),"")))</f>
        <v/>
      </c>
      <c r="I110" s="108" t="n"/>
      <c r="J110" s="72" t="n"/>
      <c r="K110" s="108" t="n"/>
      <c r="L110" s="73" t="n"/>
      <c r="M110" s="108" t="n"/>
      <c r="N110" s="73" t="n"/>
      <c r="O110" s="107">
        <f>IF(B110="","",IF(M110&lt;&gt;"","Paid",IF(AND(I110&lt;&gt;"",I110&lt;AsOf),"OVERDUE",IF(OR(K110&lt;&gt;"",L110&lt;&gt;""),"Invoiced","Scheduled"))))</f>
        <v/>
      </c>
      <c r="P110" s="114">
        <f>IF(B110="","",IF(E110&lt;&gt;"",E110,IFERROR(INDEX('Contractors'!$D$6:$D$35,MATCH(B110,'Contractors'!$B$6:$B$35,0)),"")))</f>
        <v/>
      </c>
      <c r="Q110" s="79">
        <f>IF(B110="","",IF(D110&lt;&gt;"",D110,IFERROR(INDEX('Contractors'!$E$6:$E$35,MATCH(B110,'Contractors'!$B$6:$B$35,0)),"")))</f>
        <v/>
      </c>
      <c r="R110" s="79">
        <f>IF(O110="","",IF(O110="OVERDUE",2,IF(O110="Paid",0,IF(AND(I110&lt;&gt;"",I110&lt;=AsOf+AlertDays),1,0))))</f>
        <v/>
      </c>
      <c r="S110" s="79">
        <f>IF(AND(B110&lt;&gt;"",M110="",I110&lt;&gt;""),IF(L110&lt;&gt;"",L110,IF(H110="",0,H110)),0)</f>
        <v/>
      </c>
      <c r="T110" s="79">
        <f>IF(AND(B110&lt;&gt;"",M110="",I110&lt;&gt;""),1/I110,0)</f>
        <v/>
      </c>
      <c r="U110" s="111">
        <f>IF(AND(B110&lt;&gt;"",M110="",I110&lt;&gt;""),I110,"")</f>
        <v/>
      </c>
      <c r="V110" s="79">
        <f>IF(U110="","",IF(U110&lt;AsOf,1,IF(U110&lt;=AsOf+AlertDays,2,IF(U110&lt;=AsOf+2*AlertDays,3,""))))</f>
        <v/>
      </c>
      <c r="W110" s="79">
        <f>IF(V110="","",IF(O110="OVERDUE","Overdue payment: ","Payment due: ")&amp;B110&amp;" — "&amp;C110&amp;" ("&amp;CurSym&amp;" "&amp;FIXED(S110,0)&amp;")")</f>
        <v/>
      </c>
    </row>
    <row r="111" ht="20" customHeight="1">
      <c r="B111" s="72" t="n"/>
      <c r="C111" s="72" t="n"/>
      <c r="D111" s="72" t="n"/>
      <c r="E111" s="72" t="n"/>
      <c r="F111" s="109" t="n"/>
      <c r="G111" s="73" t="n"/>
      <c r="H111" s="75">
        <f>IF(B111="","",IF(G111&lt;&gt;"",G111,IF(F111&lt;&gt;"",F111*IFERROR(INDEX('Contractors'!$I$6:$I$35,MATCH(B111,'Contractors'!$B$6:$B$35,0)),0),"")))</f>
        <v/>
      </c>
      <c r="I111" s="108" t="n"/>
      <c r="J111" s="72" t="n"/>
      <c r="K111" s="108" t="n"/>
      <c r="L111" s="73" t="n"/>
      <c r="M111" s="108" t="n"/>
      <c r="N111" s="73" t="n"/>
      <c r="O111" s="107">
        <f>IF(B111="","",IF(M111&lt;&gt;"","Paid",IF(AND(I111&lt;&gt;"",I111&lt;AsOf),"OVERDUE",IF(OR(K111&lt;&gt;"",L111&lt;&gt;""),"Invoiced","Scheduled"))))</f>
        <v/>
      </c>
      <c r="P111" s="114">
        <f>IF(B111="","",IF(E111&lt;&gt;"",E111,IFERROR(INDEX('Contractors'!$D$6:$D$35,MATCH(B111,'Contractors'!$B$6:$B$35,0)),"")))</f>
        <v/>
      </c>
      <c r="Q111" s="79">
        <f>IF(B111="","",IF(D111&lt;&gt;"",D111,IFERROR(INDEX('Contractors'!$E$6:$E$35,MATCH(B111,'Contractors'!$B$6:$B$35,0)),"")))</f>
        <v/>
      </c>
      <c r="R111" s="79">
        <f>IF(O111="","",IF(O111="OVERDUE",2,IF(O111="Paid",0,IF(AND(I111&lt;&gt;"",I111&lt;=AsOf+AlertDays),1,0))))</f>
        <v/>
      </c>
      <c r="S111" s="79">
        <f>IF(AND(B111&lt;&gt;"",M111="",I111&lt;&gt;""),IF(L111&lt;&gt;"",L111,IF(H111="",0,H111)),0)</f>
        <v/>
      </c>
      <c r="T111" s="79">
        <f>IF(AND(B111&lt;&gt;"",M111="",I111&lt;&gt;""),1/I111,0)</f>
        <v/>
      </c>
      <c r="U111" s="111">
        <f>IF(AND(B111&lt;&gt;"",M111="",I111&lt;&gt;""),I111,"")</f>
        <v/>
      </c>
      <c r="V111" s="79">
        <f>IF(U111="","",IF(U111&lt;AsOf,1,IF(U111&lt;=AsOf+AlertDays,2,IF(U111&lt;=AsOf+2*AlertDays,3,""))))</f>
        <v/>
      </c>
      <c r="W111" s="79">
        <f>IF(V111="","",IF(O111="OVERDUE","Overdue payment: ","Payment due: ")&amp;B111&amp;" — "&amp;C111&amp;" ("&amp;CurSym&amp;" "&amp;FIXED(S111,0)&amp;")")</f>
        <v/>
      </c>
    </row>
    <row r="112" ht="20" customHeight="1">
      <c r="B112" s="72" t="n"/>
      <c r="C112" s="72" t="n"/>
      <c r="D112" s="72" t="n"/>
      <c r="E112" s="72" t="n"/>
      <c r="F112" s="109" t="n"/>
      <c r="G112" s="73" t="n"/>
      <c r="H112" s="75">
        <f>IF(B112="","",IF(G112&lt;&gt;"",G112,IF(F112&lt;&gt;"",F112*IFERROR(INDEX('Contractors'!$I$6:$I$35,MATCH(B112,'Contractors'!$B$6:$B$35,0)),0),"")))</f>
        <v/>
      </c>
      <c r="I112" s="108" t="n"/>
      <c r="J112" s="72" t="n"/>
      <c r="K112" s="108" t="n"/>
      <c r="L112" s="73" t="n"/>
      <c r="M112" s="108" t="n"/>
      <c r="N112" s="73" t="n"/>
      <c r="O112" s="107">
        <f>IF(B112="","",IF(M112&lt;&gt;"","Paid",IF(AND(I112&lt;&gt;"",I112&lt;AsOf),"OVERDUE",IF(OR(K112&lt;&gt;"",L112&lt;&gt;""),"Invoiced","Scheduled"))))</f>
        <v/>
      </c>
      <c r="P112" s="114">
        <f>IF(B112="","",IF(E112&lt;&gt;"",E112,IFERROR(INDEX('Contractors'!$D$6:$D$35,MATCH(B112,'Contractors'!$B$6:$B$35,0)),"")))</f>
        <v/>
      </c>
      <c r="Q112" s="79">
        <f>IF(B112="","",IF(D112&lt;&gt;"",D112,IFERROR(INDEX('Contractors'!$E$6:$E$35,MATCH(B112,'Contractors'!$B$6:$B$35,0)),"")))</f>
        <v/>
      </c>
      <c r="R112" s="79">
        <f>IF(O112="","",IF(O112="OVERDUE",2,IF(O112="Paid",0,IF(AND(I112&lt;&gt;"",I112&lt;=AsOf+AlertDays),1,0))))</f>
        <v/>
      </c>
      <c r="S112" s="79">
        <f>IF(AND(B112&lt;&gt;"",M112="",I112&lt;&gt;""),IF(L112&lt;&gt;"",L112,IF(H112="",0,H112)),0)</f>
        <v/>
      </c>
      <c r="T112" s="79">
        <f>IF(AND(B112&lt;&gt;"",M112="",I112&lt;&gt;""),1/I112,0)</f>
        <v/>
      </c>
      <c r="U112" s="111">
        <f>IF(AND(B112&lt;&gt;"",M112="",I112&lt;&gt;""),I112,"")</f>
        <v/>
      </c>
      <c r="V112" s="79">
        <f>IF(U112="","",IF(U112&lt;AsOf,1,IF(U112&lt;=AsOf+AlertDays,2,IF(U112&lt;=AsOf+2*AlertDays,3,""))))</f>
        <v/>
      </c>
      <c r="W112" s="79">
        <f>IF(V112="","",IF(O112="OVERDUE","Overdue payment: ","Payment due: ")&amp;B112&amp;" — "&amp;C112&amp;" ("&amp;CurSym&amp;" "&amp;FIXED(S112,0)&amp;")")</f>
        <v/>
      </c>
    </row>
    <row r="113" ht="20" customHeight="1">
      <c r="B113" s="72" t="n"/>
      <c r="C113" s="72" t="n"/>
      <c r="D113" s="72" t="n"/>
      <c r="E113" s="72" t="n"/>
      <c r="F113" s="109" t="n"/>
      <c r="G113" s="73" t="n"/>
      <c r="H113" s="75">
        <f>IF(B113="","",IF(G113&lt;&gt;"",G113,IF(F113&lt;&gt;"",F113*IFERROR(INDEX('Contractors'!$I$6:$I$35,MATCH(B113,'Contractors'!$B$6:$B$35,0)),0),"")))</f>
        <v/>
      </c>
      <c r="I113" s="108" t="n"/>
      <c r="J113" s="72" t="n"/>
      <c r="K113" s="108" t="n"/>
      <c r="L113" s="73" t="n"/>
      <c r="M113" s="108" t="n"/>
      <c r="N113" s="73" t="n"/>
      <c r="O113" s="107">
        <f>IF(B113="","",IF(M113&lt;&gt;"","Paid",IF(AND(I113&lt;&gt;"",I113&lt;AsOf),"OVERDUE",IF(OR(K113&lt;&gt;"",L113&lt;&gt;""),"Invoiced","Scheduled"))))</f>
        <v/>
      </c>
      <c r="P113" s="114">
        <f>IF(B113="","",IF(E113&lt;&gt;"",E113,IFERROR(INDEX('Contractors'!$D$6:$D$35,MATCH(B113,'Contractors'!$B$6:$B$35,0)),"")))</f>
        <v/>
      </c>
      <c r="Q113" s="79">
        <f>IF(B113="","",IF(D113&lt;&gt;"",D113,IFERROR(INDEX('Contractors'!$E$6:$E$35,MATCH(B113,'Contractors'!$B$6:$B$35,0)),"")))</f>
        <v/>
      </c>
      <c r="R113" s="79">
        <f>IF(O113="","",IF(O113="OVERDUE",2,IF(O113="Paid",0,IF(AND(I113&lt;&gt;"",I113&lt;=AsOf+AlertDays),1,0))))</f>
        <v/>
      </c>
      <c r="S113" s="79">
        <f>IF(AND(B113&lt;&gt;"",M113="",I113&lt;&gt;""),IF(L113&lt;&gt;"",L113,IF(H113="",0,H113)),0)</f>
        <v/>
      </c>
      <c r="T113" s="79">
        <f>IF(AND(B113&lt;&gt;"",M113="",I113&lt;&gt;""),1/I113,0)</f>
        <v/>
      </c>
      <c r="U113" s="111">
        <f>IF(AND(B113&lt;&gt;"",M113="",I113&lt;&gt;""),I113,"")</f>
        <v/>
      </c>
      <c r="V113" s="79">
        <f>IF(U113="","",IF(U113&lt;AsOf,1,IF(U113&lt;=AsOf+AlertDays,2,IF(U113&lt;=AsOf+2*AlertDays,3,""))))</f>
        <v/>
      </c>
      <c r="W113" s="79">
        <f>IF(V113="","",IF(O113="OVERDUE","Overdue payment: ","Payment due: ")&amp;B113&amp;" — "&amp;C113&amp;" ("&amp;CurSym&amp;" "&amp;FIXED(S113,0)&amp;")")</f>
        <v/>
      </c>
    </row>
    <row r="114" ht="20" customHeight="1">
      <c r="B114" s="72" t="n"/>
      <c r="C114" s="72" t="n"/>
      <c r="D114" s="72" t="n"/>
      <c r="E114" s="72" t="n"/>
      <c r="F114" s="109" t="n"/>
      <c r="G114" s="73" t="n"/>
      <c r="H114" s="75">
        <f>IF(B114="","",IF(G114&lt;&gt;"",G114,IF(F114&lt;&gt;"",F114*IFERROR(INDEX('Contractors'!$I$6:$I$35,MATCH(B114,'Contractors'!$B$6:$B$35,0)),0),"")))</f>
        <v/>
      </c>
      <c r="I114" s="108" t="n"/>
      <c r="J114" s="72" t="n"/>
      <c r="K114" s="108" t="n"/>
      <c r="L114" s="73" t="n"/>
      <c r="M114" s="108" t="n"/>
      <c r="N114" s="73" t="n"/>
      <c r="O114" s="107">
        <f>IF(B114="","",IF(M114&lt;&gt;"","Paid",IF(AND(I114&lt;&gt;"",I114&lt;AsOf),"OVERDUE",IF(OR(K114&lt;&gt;"",L114&lt;&gt;""),"Invoiced","Scheduled"))))</f>
        <v/>
      </c>
      <c r="P114" s="114">
        <f>IF(B114="","",IF(E114&lt;&gt;"",E114,IFERROR(INDEX('Contractors'!$D$6:$D$35,MATCH(B114,'Contractors'!$B$6:$B$35,0)),"")))</f>
        <v/>
      </c>
      <c r="Q114" s="79">
        <f>IF(B114="","",IF(D114&lt;&gt;"",D114,IFERROR(INDEX('Contractors'!$E$6:$E$35,MATCH(B114,'Contractors'!$B$6:$B$35,0)),"")))</f>
        <v/>
      </c>
      <c r="R114" s="79">
        <f>IF(O114="","",IF(O114="OVERDUE",2,IF(O114="Paid",0,IF(AND(I114&lt;&gt;"",I114&lt;=AsOf+AlertDays),1,0))))</f>
        <v/>
      </c>
      <c r="S114" s="79">
        <f>IF(AND(B114&lt;&gt;"",M114="",I114&lt;&gt;""),IF(L114&lt;&gt;"",L114,IF(H114="",0,H114)),0)</f>
        <v/>
      </c>
      <c r="T114" s="79">
        <f>IF(AND(B114&lt;&gt;"",M114="",I114&lt;&gt;""),1/I114,0)</f>
        <v/>
      </c>
      <c r="U114" s="111">
        <f>IF(AND(B114&lt;&gt;"",M114="",I114&lt;&gt;""),I114,"")</f>
        <v/>
      </c>
      <c r="V114" s="79">
        <f>IF(U114="","",IF(U114&lt;AsOf,1,IF(U114&lt;=AsOf+AlertDays,2,IF(U114&lt;=AsOf+2*AlertDays,3,""))))</f>
        <v/>
      </c>
      <c r="W114" s="79">
        <f>IF(V114="","",IF(O114="OVERDUE","Overdue payment: ","Payment due: ")&amp;B114&amp;" — "&amp;C114&amp;" ("&amp;CurSym&amp;" "&amp;FIXED(S114,0)&amp;")")</f>
        <v/>
      </c>
    </row>
    <row r="115" ht="20" customHeight="1">
      <c r="B115" s="72" t="n"/>
      <c r="C115" s="72" t="n"/>
      <c r="D115" s="72" t="n"/>
      <c r="E115" s="72" t="n"/>
      <c r="F115" s="109" t="n"/>
      <c r="G115" s="73" t="n"/>
      <c r="H115" s="75">
        <f>IF(B115="","",IF(G115&lt;&gt;"",G115,IF(F115&lt;&gt;"",F115*IFERROR(INDEX('Contractors'!$I$6:$I$35,MATCH(B115,'Contractors'!$B$6:$B$35,0)),0),"")))</f>
        <v/>
      </c>
      <c r="I115" s="108" t="n"/>
      <c r="J115" s="72" t="n"/>
      <c r="K115" s="108" t="n"/>
      <c r="L115" s="73" t="n"/>
      <c r="M115" s="108" t="n"/>
      <c r="N115" s="73" t="n"/>
      <c r="O115" s="107">
        <f>IF(B115="","",IF(M115&lt;&gt;"","Paid",IF(AND(I115&lt;&gt;"",I115&lt;AsOf),"OVERDUE",IF(OR(K115&lt;&gt;"",L115&lt;&gt;""),"Invoiced","Scheduled"))))</f>
        <v/>
      </c>
      <c r="P115" s="114">
        <f>IF(B115="","",IF(E115&lt;&gt;"",E115,IFERROR(INDEX('Contractors'!$D$6:$D$35,MATCH(B115,'Contractors'!$B$6:$B$35,0)),"")))</f>
        <v/>
      </c>
      <c r="Q115" s="79">
        <f>IF(B115="","",IF(D115&lt;&gt;"",D115,IFERROR(INDEX('Contractors'!$E$6:$E$35,MATCH(B115,'Contractors'!$B$6:$B$35,0)),"")))</f>
        <v/>
      </c>
      <c r="R115" s="79">
        <f>IF(O115="","",IF(O115="OVERDUE",2,IF(O115="Paid",0,IF(AND(I115&lt;&gt;"",I115&lt;=AsOf+AlertDays),1,0))))</f>
        <v/>
      </c>
      <c r="S115" s="79">
        <f>IF(AND(B115&lt;&gt;"",M115="",I115&lt;&gt;""),IF(L115&lt;&gt;"",L115,IF(H115="",0,H115)),0)</f>
        <v/>
      </c>
      <c r="T115" s="79">
        <f>IF(AND(B115&lt;&gt;"",M115="",I115&lt;&gt;""),1/I115,0)</f>
        <v/>
      </c>
      <c r="U115" s="111">
        <f>IF(AND(B115&lt;&gt;"",M115="",I115&lt;&gt;""),I115,"")</f>
        <v/>
      </c>
      <c r="V115" s="79">
        <f>IF(U115="","",IF(U115&lt;AsOf,1,IF(U115&lt;=AsOf+AlertDays,2,IF(U115&lt;=AsOf+2*AlertDays,3,""))))</f>
        <v/>
      </c>
      <c r="W115" s="79">
        <f>IF(V115="","",IF(O115="OVERDUE","Overdue payment: ","Payment due: ")&amp;B115&amp;" — "&amp;C115&amp;" ("&amp;CurSym&amp;" "&amp;FIXED(S115,0)&amp;")")</f>
        <v/>
      </c>
    </row>
    <row r="116" ht="20" customHeight="1">
      <c r="B116" s="72" t="n"/>
      <c r="C116" s="72" t="n"/>
      <c r="D116" s="72" t="n"/>
      <c r="E116" s="72" t="n"/>
      <c r="F116" s="109" t="n"/>
      <c r="G116" s="73" t="n"/>
      <c r="H116" s="75">
        <f>IF(B116="","",IF(G116&lt;&gt;"",G116,IF(F116&lt;&gt;"",F116*IFERROR(INDEX('Contractors'!$I$6:$I$35,MATCH(B116,'Contractors'!$B$6:$B$35,0)),0),"")))</f>
        <v/>
      </c>
      <c r="I116" s="108" t="n"/>
      <c r="J116" s="72" t="n"/>
      <c r="K116" s="108" t="n"/>
      <c r="L116" s="73" t="n"/>
      <c r="M116" s="108" t="n"/>
      <c r="N116" s="73" t="n"/>
      <c r="O116" s="107">
        <f>IF(B116="","",IF(M116&lt;&gt;"","Paid",IF(AND(I116&lt;&gt;"",I116&lt;AsOf),"OVERDUE",IF(OR(K116&lt;&gt;"",L116&lt;&gt;""),"Invoiced","Scheduled"))))</f>
        <v/>
      </c>
      <c r="P116" s="114">
        <f>IF(B116="","",IF(E116&lt;&gt;"",E116,IFERROR(INDEX('Contractors'!$D$6:$D$35,MATCH(B116,'Contractors'!$B$6:$B$35,0)),"")))</f>
        <v/>
      </c>
      <c r="Q116" s="79">
        <f>IF(B116="","",IF(D116&lt;&gt;"",D116,IFERROR(INDEX('Contractors'!$E$6:$E$35,MATCH(B116,'Contractors'!$B$6:$B$35,0)),"")))</f>
        <v/>
      </c>
      <c r="R116" s="79">
        <f>IF(O116="","",IF(O116="OVERDUE",2,IF(O116="Paid",0,IF(AND(I116&lt;&gt;"",I116&lt;=AsOf+AlertDays),1,0))))</f>
        <v/>
      </c>
      <c r="S116" s="79">
        <f>IF(AND(B116&lt;&gt;"",M116="",I116&lt;&gt;""),IF(L116&lt;&gt;"",L116,IF(H116="",0,H116)),0)</f>
        <v/>
      </c>
      <c r="T116" s="79">
        <f>IF(AND(B116&lt;&gt;"",M116="",I116&lt;&gt;""),1/I116,0)</f>
        <v/>
      </c>
      <c r="U116" s="111">
        <f>IF(AND(B116&lt;&gt;"",M116="",I116&lt;&gt;""),I116,"")</f>
        <v/>
      </c>
      <c r="V116" s="79">
        <f>IF(U116="","",IF(U116&lt;AsOf,1,IF(U116&lt;=AsOf+AlertDays,2,IF(U116&lt;=AsOf+2*AlertDays,3,""))))</f>
        <v/>
      </c>
      <c r="W116" s="79">
        <f>IF(V116="","",IF(O116="OVERDUE","Overdue payment: ","Payment due: ")&amp;B116&amp;" — "&amp;C116&amp;" ("&amp;CurSym&amp;" "&amp;FIXED(S116,0)&amp;")")</f>
        <v/>
      </c>
    </row>
    <row r="117" ht="20" customHeight="1">
      <c r="B117" s="72" t="n"/>
      <c r="C117" s="72" t="n"/>
      <c r="D117" s="72" t="n"/>
      <c r="E117" s="72" t="n"/>
      <c r="F117" s="109" t="n"/>
      <c r="G117" s="73" t="n"/>
      <c r="H117" s="75">
        <f>IF(B117="","",IF(G117&lt;&gt;"",G117,IF(F117&lt;&gt;"",F117*IFERROR(INDEX('Contractors'!$I$6:$I$35,MATCH(B117,'Contractors'!$B$6:$B$35,0)),0),"")))</f>
        <v/>
      </c>
      <c r="I117" s="108" t="n"/>
      <c r="J117" s="72" t="n"/>
      <c r="K117" s="108" t="n"/>
      <c r="L117" s="73" t="n"/>
      <c r="M117" s="108" t="n"/>
      <c r="N117" s="73" t="n"/>
      <c r="O117" s="107">
        <f>IF(B117="","",IF(M117&lt;&gt;"","Paid",IF(AND(I117&lt;&gt;"",I117&lt;AsOf),"OVERDUE",IF(OR(K117&lt;&gt;"",L117&lt;&gt;""),"Invoiced","Scheduled"))))</f>
        <v/>
      </c>
      <c r="P117" s="114">
        <f>IF(B117="","",IF(E117&lt;&gt;"",E117,IFERROR(INDEX('Contractors'!$D$6:$D$35,MATCH(B117,'Contractors'!$B$6:$B$35,0)),"")))</f>
        <v/>
      </c>
      <c r="Q117" s="79">
        <f>IF(B117="","",IF(D117&lt;&gt;"",D117,IFERROR(INDEX('Contractors'!$E$6:$E$35,MATCH(B117,'Contractors'!$B$6:$B$35,0)),"")))</f>
        <v/>
      </c>
      <c r="R117" s="79">
        <f>IF(O117="","",IF(O117="OVERDUE",2,IF(O117="Paid",0,IF(AND(I117&lt;&gt;"",I117&lt;=AsOf+AlertDays),1,0))))</f>
        <v/>
      </c>
      <c r="S117" s="79">
        <f>IF(AND(B117&lt;&gt;"",M117="",I117&lt;&gt;""),IF(L117&lt;&gt;"",L117,IF(H117="",0,H117)),0)</f>
        <v/>
      </c>
      <c r="T117" s="79">
        <f>IF(AND(B117&lt;&gt;"",M117="",I117&lt;&gt;""),1/I117,0)</f>
        <v/>
      </c>
      <c r="U117" s="111">
        <f>IF(AND(B117&lt;&gt;"",M117="",I117&lt;&gt;""),I117,"")</f>
        <v/>
      </c>
      <c r="V117" s="79">
        <f>IF(U117="","",IF(U117&lt;AsOf,1,IF(U117&lt;=AsOf+AlertDays,2,IF(U117&lt;=AsOf+2*AlertDays,3,""))))</f>
        <v/>
      </c>
      <c r="W117" s="79">
        <f>IF(V117="","",IF(O117="OVERDUE","Overdue payment: ","Payment due: ")&amp;B117&amp;" — "&amp;C117&amp;" ("&amp;CurSym&amp;" "&amp;FIXED(S117,0)&amp;")")</f>
        <v/>
      </c>
    </row>
    <row r="118" ht="20" customHeight="1">
      <c r="B118" s="72" t="n"/>
      <c r="C118" s="72" t="n"/>
      <c r="D118" s="72" t="n"/>
      <c r="E118" s="72" t="n"/>
      <c r="F118" s="109" t="n"/>
      <c r="G118" s="73" t="n"/>
      <c r="H118" s="75">
        <f>IF(B118="","",IF(G118&lt;&gt;"",G118,IF(F118&lt;&gt;"",F118*IFERROR(INDEX('Contractors'!$I$6:$I$35,MATCH(B118,'Contractors'!$B$6:$B$35,0)),0),"")))</f>
        <v/>
      </c>
      <c r="I118" s="108" t="n"/>
      <c r="J118" s="72" t="n"/>
      <c r="K118" s="108" t="n"/>
      <c r="L118" s="73" t="n"/>
      <c r="M118" s="108" t="n"/>
      <c r="N118" s="73" t="n"/>
      <c r="O118" s="107">
        <f>IF(B118="","",IF(M118&lt;&gt;"","Paid",IF(AND(I118&lt;&gt;"",I118&lt;AsOf),"OVERDUE",IF(OR(K118&lt;&gt;"",L118&lt;&gt;""),"Invoiced","Scheduled"))))</f>
        <v/>
      </c>
      <c r="P118" s="114">
        <f>IF(B118="","",IF(E118&lt;&gt;"",E118,IFERROR(INDEX('Contractors'!$D$6:$D$35,MATCH(B118,'Contractors'!$B$6:$B$35,0)),"")))</f>
        <v/>
      </c>
      <c r="Q118" s="79">
        <f>IF(B118="","",IF(D118&lt;&gt;"",D118,IFERROR(INDEX('Contractors'!$E$6:$E$35,MATCH(B118,'Contractors'!$B$6:$B$35,0)),"")))</f>
        <v/>
      </c>
      <c r="R118" s="79">
        <f>IF(O118="","",IF(O118="OVERDUE",2,IF(O118="Paid",0,IF(AND(I118&lt;&gt;"",I118&lt;=AsOf+AlertDays),1,0))))</f>
        <v/>
      </c>
      <c r="S118" s="79">
        <f>IF(AND(B118&lt;&gt;"",M118="",I118&lt;&gt;""),IF(L118&lt;&gt;"",L118,IF(H118="",0,H118)),0)</f>
        <v/>
      </c>
      <c r="T118" s="79">
        <f>IF(AND(B118&lt;&gt;"",M118="",I118&lt;&gt;""),1/I118,0)</f>
        <v/>
      </c>
      <c r="U118" s="111">
        <f>IF(AND(B118&lt;&gt;"",M118="",I118&lt;&gt;""),I118,"")</f>
        <v/>
      </c>
      <c r="V118" s="79">
        <f>IF(U118="","",IF(U118&lt;AsOf,1,IF(U118&lt;=AsOf+AlertDays,2,IF(U118&lt;=AsOf+2*AlertDays,3,""))))</f>
        <v/>
      </c>
      <c r="W118" s="79">
        <f>IF(V118="","",IF(O118="OVERDUE","Overdue payment: ","Payment due: ")&amp;B118&amp;" — "&amp;C118&amp;" ("&amp;CurSym&amp;" "&amp;FIXED(S118,0)&amp;")")</f>
        <v/>
      </c>
    </row>
    <row r="119" ht="20" customHeight="1">
      <c r="B119" s="72" t="n"/>
      <c r="C119" s="72" t="n"/>
      <c r="D119" s="72" t="n"/>
      <c r="E119" s="72" t="n"/>
      <c r="F119" s="109" t="n"/>
      <c r="G119" s="73" t="n"/>
      <c r="H119" s="75">
        <f>IF(B119="","",IF(G119&lt;&gt;"",G119,IF(F119&lt;&gt;"",F119*IFERROR(INDEX('Contractors'!$I$6:$I$35,MATCH(B119,'Contractors'!$B$6:$B$35,0)),0),"")))</f>
        <v/>
      </c>
      <c r="I119" s="108" t="n"/>
      <c r="J119" s="72" t="n"/>
      <c r="K119" s="108" t="n"/>
      <c r="L119" s="73" t="n"/>
      <c r="M119" s="108" t="n"/>
      <c r="N119" s="73" t="n"/>
      <c r="O119" s="107">
        <f>IF(B119="","",IF(M119&lt;&gt;"","Paid",IF(AND(I119&lt;&gt;"",I119&lt;AsOf),"OVERDUE",IF(OR(K119&lt;&gt;"",L119&lt;&gt;""),"Invoiced","Scheduled"))))</f>
        <v/>
      </c>
      <c r="P119" s="114">
        <f>IF(B119="","",IF(E119&lt;&gt;"",E119,IFERROR(INDEX('Contractors'!$D$6:$D$35,MATCH(B119,'Contractors'!$B$6:$B$35,0)),"")))</f>
        <v/>
      </c>
      <c r="Q119" s="79">
        <f>IF(B119="","",IF(D119&lt;&gt;"",D119,IFERROR(INDEX('Contractors'!$E$6:$E$35,MATCH(B119,'Contractors'!$B$6:$B$35,0)),"")))</f>
        <v/>
      </c>
      <c r="R119" s="79">
        <f>IF(O119="","",IF(O119="OVERDUE",2,IF(O119="Paid",0,IF(AND(I119&lt;&gt;"",I119&lt;=AsOf+AlertDays),1,0))))</f>
        <v/>
      </c>
      <c r="S119" s="79">
        <f>IF(AND(B119&lt;&gt;"",M119="",I119&lt;&gt;""),IF(L119&lt;&gt;"",L119,IF(H119="",0,H119)),0)</f>
        <v/>
      </c>
      <c r="T119" s="79">
        <f>IF(AND(B119&lt;&gt;"",M119="",I119&lt;&gt;""),1/I119,0)</f>
        <v/>
      </c>
      <c r="U119" s="111">
        <f>IF(AND(B119&lt;&gt;"",M119="",I119&lt;&gt;""),I119,"")</f>
        <v/>
      </c>
      <c r="V119" s="79">
        <f>IF(U119="","",IF(U119&lt;AsOf,1,IF(U119&lt;=AsOf+AlertDays,2,IF(U119&lt;=AsOf+2*AlertDays,3,""))))</f>
        <v/>
      </c>
      <c r="W119" s="79">
        <f>IF(V119="","",IF(O119="OVERDUE","Overdue payment: ","Payment due: ")&amp;B119&amp;" — "&amp;C119&amp;" ("&amp;CurSym&amp;" "&amp;FIXED(S119,0)&amp;")")</f>
        <v/>
      </c>
    </row>
    <row r="120" ht="20" customHeight="1">
      <c r="B120" s="72" t="n"/>
      <c r="C120" s="72" t="n"/>
      <c r="D120" s="72" t="n"/>
      <c r="E120" s="72" t="n"/>
      <c r="F120" s="109" t="n"/>
      <c r="G120" s="73" t="n"/>
      <c r="H120" s="75">
        <f>IF(B120="","",IF(G120&lt;&gt;"",G120,IF(F120&lt;&gt;"",F120*IFERROR(INDEX('Contractors'!$I$6:$I$35,MATCH(B120,'Contractors'!$B$6:$B$35,0)),0),"")))</f>
        <v/>
      </c>
      <c r="I120" s="108" t="n"/>
      <c r="J120" s="72" t="n"/>
      <c r="K120" s="108" t="n"/>
      <c r="L120" s="73" t="n"/>
      <c r="M120" s="108" t="n"/>
      <c r="N120" s="73" t="n"/>
      <c r="O120" s="107">
        <f>IF(B120="","",IF(M120&lt;&gt;"","Paid",IF(AND(I120&lt;&gt;"",I120&lt;AsOf),"OVERDUE",IF(OR(K120&lt;&gt;"",L120&lt;&gt;""),"Invoiced","Scheduled"))))</f>
        <v/>
      </c>
      <c r="P120" s="114">
        <f>IF(B120="","",IF(E120&lt;&gt;"",E120,IFERROR(INDEX('Contractors'!$D$6:$D$35,MATCH(B120,'Contractors'!$B$6:$B$35,0)),"")))</f>
        <v/>
      </c>
      <c r="Q120" s="79">
        <f>IF(B120="","",IF(D120&lt;&gt;"",D120,IFERROR(INDEX('Contractors'!$E$6:$E$35,MATCH(B120,'Contractors'!$B$6:$B$35,0)),"")))</f>
        <v/>
      </c>
      <c r="R120" s="79">
        <f>IF(O120="","",IF(O120="OVERDUE",2,IF(O120="Paid",0,IF(AND(I120&lt;&gt;"",I120&lt;=AsOf+AlertDays),1,0))))</f>
        <v/>
      </c>
      <c r="S120" s="79">
        <f>IF(AND(B120&lt;&gt;"",M120="",I120&lt;&gt;""),IF(L120&lt;&gt;"",L120,IF(H120="",0,H120)),0)</f>
        <v/>
      </c>
      <c r="T120" s="79">
        <f>IF(AND(B120&lt;&gt;"",M120="",I120&lt;&gt;""),1/I120,0)</f>
        <v/>
      </c>
      <c r="U120" s="111">
        <f>IF(AND(B120&lt;&gt;"",M120="",I120&lt;&gt;""),I120,"")</f>
        <v/>
      </c>
      <c r="V120" s="79">
        <f>IF(U120="","",IF(U120&lt;AsOf,1,IF(U120&lt;=AsOf+AlertDays,2,IF(U120&lt;=AsOf+2*AlertDays,3,""))))</f>
        <v/>
      </c>
      <c r="W120" s="79">
        <f>IF(V120="","",IF(O120="OVERDUE","Overdue payment: ","Payment due: ")&amp;B120&amp;" — "&amp;C120&amp;" ("&amp;CurSym&amp;" "&amp;FIXED(S120,0)&amp;")")</f>
        <v/>
      </c>
    </row>
    <row r="121" ht="20" customHeight="1">
      <c r="B121" s="72" t="n"/>
      <c r="C121" s="72" t="n"/>
      <c r="D121" s="72" t="n"/>
      <c r="E121" s="72" t="n"/>
      <c r="F121" s="109" t="n"/>
      <c r="G121" s="73" t="n"/>
      <c r="H121" s="75">
        <f>IF(B121="","",IF(G121&lt;&gt;"",G121,IF(F121&lt;&gt;"",F121*IFERROR(INDEX('Contractors'!$I$6:$I$35,MATCH(B121,'Contractors'!$B$6:$B$35,0)),0),"")))</f>
        <v/>
      </c>
      <c r="I121" s="108" t="n"/>
      <c r="J121" s="72" t="n"/>
      <c r="K121" s="108" t="n"/>
      <c r="L121" s="73" t="n"/>
      <c r="M121" s="108" t="n"/>
      <c r="N121" s="73" t="n"/>
      <c r="O121" s="107">
        <f>IF(B121="","",IF(M121&lt;&gt;"","Paid",IF(AND(I121&lt;&gt;"",I121&lt;AsOf),"OVERDUE",IF(OR(K121&lt;&gt;"",L121&lt;&gt;""),"Invoiced","Scheduled"))))</f>
        <v/>
      </c>
      <c r="P121" s="114">
        <f>IF(B121="","",IF(E121&lt;&gt;"",E121,IFERROR(INDEX('Contractors'!$D$6:$D$35,MATCH(B121,'Contractors'!$B$6:$B$35,0)),"")))</f>
        <v/>
      </c>
      <c r="Q121" s="79">
        <f>IF(B121="","",IF(D121&lt;&gt;"",D121,IFERROR(INDEX('Contractors'!$E$6:$E$35,MATCH(B121,'Contractors'!$B$6:$B$35,0)),"")))</f>
        <v/>
      </c>
      <c r="R121" s="79">
        <f>IF(O121="","",IF(O121="OVERDUE",2,IF(O121="Paid",0,IF(AND(I121&lt;&gt;"",I121&lt;=AsOf+AlertDays),1,0))))</f>
        <v/>
      </c>
      <c r="S121" s="79">
        <f>IF(AND(B121&lt;&gt;"",M121="",I121&lt;&gt;""),IF(L121&lt;&gt;"",L121,IF(H121="",0,H121)),0)</f>
        <v/>
      </c>
      <c r="T121" s="79">
        <f>IF(AND(B121&lt;&gt;"",M121="",I121&lt;&gt;""),1/I121,0)</f>
        <v/>
      </c>
      <c r="U121" s="111">
        <f>IF(AND(B121&lt;&gt;"",M121="",I121&lt;&gt;""),I121,"")</f>
        <v/>
      </c>
      <c r="V121" s="79">
        <f>IF(U121="","",IF(U121&lt;AsOf,1,IF(U121&lt;=AsOf+AlertDays,2,IF(U121&lt;=AsOf+2*AlertDays,3,""))))</f>
        <v/>
      </c>
      <c r="W121" s="79">
        <f>IF(V121="","",IF(O121="OVERDUE","Overdue payment: ","Payment due: ")&amp;B121&amp;" — "&amp;C121&amp;" ("&amp;CurSym&amp;" "&amp;FIXED(S121,0)&amp;")")</f>
        <v/>
      </c>
    </row>
    <row r="122" ht="20" customHeight="1">
      <c r="B122" s="72" t="n"/>
      <c r="C122" s="72" t="n"/>
      <c r="D122" s="72" t="n"/>
      <c r="E122" s="72" t="n"/>
      <c r="F122" s="109" t="n"/>
      <c r="G122" s="73" t="n"/>
      <c r="H122" s="75">
        <f>IF(B122="","",IF(G122&lt;&gt;"",G122,IF(F122&lt;&gt;"",F122*IFERROR(INDEX('Contractors'!$I$6:$I$35,MATCH(B122,'Contractors'!$B$6:$B$35,0)),0),"")))</f>
        <v/>
      </c>
      <c r="I122" s="108" t="n"/>
      <c r="J122" s="72" t="n"/>
      <c r="K122" s="108" t="n"/>
      <c r="L122" s="73" t="n"/>
      <c r="M122" s="108" t="n"/>
      <c r="N122" s="73" t="n"/>
      <c r="O122" s="107">
        <f>IF(B122="","",IF(M122&lt;&gt;"","Paid",IF(AND(I122&lt;&gt;"",I122&lt;AsOf),"OVERDUE",IF(OR(K122&lt;&gt;"",L122&lt;&gt;""),"Invoiced","Scheduled"))))</f>
        <v/>
      </c>
      <c r="P122" s="114">
        <f>IF(B122="","",IF(E122&lt;&gt;"",E122,IFERROR(INDEX('Contractors'!$D$6:$D$35,MATCH(B122,'Contractors'!$B$6:$B$35,0)),"")))</f>
        <v/>
      </c>
      <c r="Q122" s="79">
        <f>IF(B122="","",IF(D122&lt;&gt;"",D122,IFERROR(INDEX('Contractors'!$E$6:$E$35,MATCH(B122,'Contractors'!$B$6:$B$35,0)),"")))</f>
        <v/>
      </c>
      <c r="R122" s="79">
        <f>IF(O122="","",IF(O122="OVERDUE",2,IF(O122="Paid",0,IF(AND(I122&lt;&gt;"",I122&lt;=AsOf+AlertDays),1,0))))</f>
        <v/>
      </c>
      <c r="S122" s="79">
        <f>IF(AND(B122&lt;&gt;"",M122="",I122&lt;&gt;""),IF(L122&lt;&gt;"",L122,IF(H122="",0,H122)),0)</f>
        <v/>
      </c>
      <c r="T122" s="79">
        <f>IF(AND(B122&lt;&gt;"",M122="",I122&lt;&gt;""),1/I122,0)</f>
        <v/>
      </c>
      <c r="U122" s="111">
        <f>IF(AND(B122&lt;&gt;"",M122="",I122&lt;&gt;""),I122,"")</f>
        <v/>
      </c>
      <c r="V122" s="79">
        <f>IF(U122="","",IF(U122&lt;AsOf,1,IF(U122&lt;=AsOf+AlertDays,2,IF(U122&lt;=AsOf+2*AlertDays,3,""))))</f>
        <v/>
      </c>
      <c r="W122" s="79">
        <f>IF(V122="","",IF(O122="OVERDUE","Overdue payment: ","Payment due: ")&amp;B122&amp;" — "&amp;C122&amp;" ("&amp;CurSym&amp;" "&amp;FIXED(S122,0)&amp;")")</f>
        <v/>
      </c>
    </row>
    <row r="123" ht="20" customHeight="1">
      <c r="B123" s="72" t="n"/>
      <c r="C123" s="72" t="n"/>
      <c r="D123" s="72" t="n"/>
      <c r="E123" s="72" t="n"/>
      <c r="F123" s="109" t="n"/>
      <c r="G123" s="73" t="n"/>
      <c r="H123" s="75">
        <f>IF(B123="","",IF(G123&lt;&gt;"",G123,IF(F123&lt;&gt;"",F123*IFERROR(INDEX('Contractors'!$I$6:$I$35,MATCH(B123,'Contractors'!$B$6:$B$35,0)),0),"")))</f>
        <v/>
      </c>
      <c r="I123" s="108" t="n"/>
      <c r="J123" s="72" t="n"/>
      <c r="K123" s="108" t="n"/>
      <c r="L123" s="73" t="n"/>
      <c r="M123" s="108" t="n"/>
      <c r="N123" s="73" t="n"/>
      <c r="O123" s="107">
        <f>IF(B123="","",IF(M123&lt;&gt;"","Paid",IF(AND(I123&lt;&gt;"",I123&lt;AsOf),"OVERDUE",IF(OR(K123&lt;&gt;"",L123&lt;&gt;""),"Invoiced","Scheduled"))))</f>
        <v/>
      </c>
      <c r="P123" s="114">
        <f>IF(B123="","",IF(E123&lt;&gt;"",E123,IFERROR(INDEX('Contractors'!$D$6:$D$35,MATCH(B123,'Contractors'!$B$6:$B$35,0)),"")))</f>
        <v/>
      </c>
      <c r="Q123" s="79">
        <f>IF(B123="","",IF(D123&lt;&gt;"",D123,IFERROR(INDEX('Contractors'!$E$6:$E$35,MATCH(B123,'Contractors'!$B$6:$B$35,0)),"")))</f>
        <v/>
      </c>
      <c r="R123" s="79">
        <f>IF(O123="","",IF(O123="OVERDUE",2,IF(O123="Paid",0,IF(AND(I123&lt;&gt;"",I123&lt;=AsOf+AlertDays),1,0))))</f>
        <v/>
      </c>
      <c r="S123" s="79">
        <f>IF(AND(B123&lt;&gt;"",M123="",I123&lt;&gt;""),IF(L123&lt;&gt;"",L123,IF(H123="",0,H123)),0)</f>
        <v/>
      </c>
      <c r="T123" s="79">
        <f>IF(AND(B123&lt;&gt;"",M123="",I123&lt;&gt;""),1/I123,0)</f>
        <v/>
      </c>
      <c r="U123" s="111">
        <f>IF(AND(B123&lt;&gt;"",M123="",I123&lt;&gt;""),I123,"")</f>
        <v/>
      </c>
      <c r="V123" s="79">
        <f>IF(U123="","",IF(U123&lt;AsOf,1,IF(U123&lt;=AsOf+AlertDays,2,IF(U123&lt;=AsOf+2*AlertDays,3,""))))</f>
        <v/>
      </c>
      <c r="W123" s="79">
        <f>IF(V123="","",IF(O123="OVERDUE","Overdue payment: ","Payment due: ")&amp;B123&amp;" — "&amp;C123&amp;" ("&amp;CurSym&amp;" "&amp;FIXED(S123,0)&amp;")")</f>
        <v/>
      </c>
    </row>
    <row r="124" ht="20" customHeight="1">
      <c r="B124" s="72" t="n"/>
      <c r="C124" s="72" t="n"/>
      <c r="D124" s="72" t="n"/>
      <c r="E124" s="72" t="n"/>
      <c r="F124" s="109" t="n"/>
      <c r="G124" s="73" t="n"/>
      <c r="H124" s="75">
        <f>IF(B124="","",IF(G124&lt;&gt;"",G124,IF(F124&lt;&gt;"",F124*IFERROR(INDEX('Contractors'!$I$6:$I$35,MATCH(B124,'Contractors'!$B$6:$B$35,0)),0),"")))</f>
        <v/>
      </c>
      <c r="I124" s="108" t="n"/>
      <c r="J124" s="72" t="n"/>
      <c r="K124" s="108" t="n"/>
      <c r="L124" s="73" t="n"/>
      <c r="M124" s="108" t="n"/>
      <c r="N124" s="73" t="n"/>
      <c r="O124" s="107">
        <f>IF(B124="","",IF(M124&lt;&gt;"","Paid",IF(AND(I124&lt;&gt;"",I124&lt;AsOf),"OVERDUE",IF(OR(K124&lt;&gt;"",L124&lt;&gt;""),"Invoiced","Scheduled"))))</f>
        <v/>
      </c>
      <c r="P124" s="114">
        <f>IF(B124="","",IF(E124&lt;&gt;"",E124,IFERROR(INDEX('Contractors'!$D$6:$D$35,MATCH(B124,'Contractors'!$B$6:$B$35,0)),"")))</f>
        <v/>
      </c>
      <c r="Q124" s="79">
        <f>IF(B124="","",IF(D124&lt;&gt;"",D124,IFERROR(INDEX('Contractors'!$E$6:$E$35,MATCH(B124,'Contractors'!$B$6:$B$35,0)),"")))</f>
        <v/>
      </c>
      <c r="R124" s="79">
        <f>IF(O124="","",IF(O124="OVERDUE",2,IF(O124="Paid",0,IF(AND(I124&lt;&gt;"",I124&lt;=AsOf+AlertDays),1,0))))</f>
        <v/>
      </c>
      <c r="S124" s="79">
        <f>IF(AND(B124&lt;&gt;"",M124="",I124&lt;&gt;""),IF(L124&lt;&gt;"",L124,IF(H124="",0,H124)),0)</f>
        <v/>
      </c>
      <c r="T124" s="79">
        <f>IF(AND(B124&lt;&gt;"",M124="",I124&lt;&gt;""),1/I124,0)</f>
        <v/>
      </c>
      <c r="U124" s="111">
        <f>IF(AND(B124&lt;&gt;"",M124="",I124&lt;&gt;""),I124,"")</f>
        <v/>
      </c>
      <c r="V124" s="79">
        <f>IF(U124="","",IF(U124&lt;AsOf,1,IF(U124&lt;=AsOf+AlertDays,2,IF(U124&lt;=AsOf+2*AlertDays,3,""))))</f>
        <v/>
      </c>
      <c r="W124" s="79">
        <f>IF(V124="","",IF(O124="OVERDUE","Overdue payment: ","Payment due: ")&amp;B124&amp;" — "&amp;C124&amp;" ("&amp;CurSym&amp;" "&amp;FIXED(S124,0)&amp;")")</f>
        <v/>
      </c>
    </row>
    <row r="125" ht="20" customHeight="1">
      <c r="B125" s="72" t="n"/>
      <c r="C125" s="72" t="n"/>
      <c r="D125" s="72" t="n"/>
      <c r="E125" s="72" t="n"/>
      <c r="F125" s="109" t="n"/>
      <c r="G125" s="73" t="n"/>
      <c r="H125" s="75">
        <f>IF(B125="","",IF(G125&lt;&gt;"",G125,IF(F125&lt;&gt;"",F125*IFERROR(INDEX('Contractors'!$I$6:$I$35,MATCH(B125,'Contractors'!$B$6:$B$35,0)),0),"")))</f>
        <v/>
      </c>
      <c r="I125" s="108" t="n"/>
      <c r="J125" s="72" t="n"/>
      <c r="K125" s="108" t="n"/>
      <c r="L125" s="73" t="n"/>
      <c r="M125" s="108" t="n"/>
      <c r="N125" s="73" t="n"/>
      <c r="O125" s="107">
        <f>IF(B125="","",IF(M125&lt;&gt;"","Paid",IF(AND(I125&lt;&gt;"",I125&lt;AsOf),"OVERDUE",IF(OR(K125&lt;&gt;"",L125&lt;&gt;""),"Invoiced","Scheduled"))))</f>
        <v/>
      </c>
      <c r="P125" s="114">
        <f>IF(B125="","",IF(E125&lt;&gt;"",E125,IFERROR(INDEX('Contractors'!$D$6:$D$35,MATCH(B125,'Contractors'!$B$6:$B$35,0)),"")))</f>
        <v/>
      </c>
      <c r="Q125" s="79">
        <f>IF(B125="","",IF(D125&lt;&gt;"",D125,IFERROR(INDEX('Contractors'!$E$6:$E$35,MATCH(B125,'Contractors'!$B$6:$B$35,0)),"")))</f>
        <v/>
      </c>
      <c r="R125" s="79">
        <f>IF(O125="","",IF(O125="OVERDUE",2,IF(O125="Paid",0,IF(AND(I125&lt;&gt;"",I125&lt;=AsOf+AlertDays),1,0))))</f>
        <v/>
      </c>
      <c r="S125" s="79">
        <f>IF(AND(B125&lt;&gt;"",M125="",I125&lt;&gt;""),IF(L125&lt;&gt;"",L125,IF(H125="",0,H125)),0)</f>
        <v/>
      </c>
      <c r="T125" s="79">
        <f>IF(AND(B125&lt;&gt;"",M125="",I125&lt;&gt;""),1/I125,0)</f>
        <v/>
      </c>
      <c r="U125" s="111">
        <f>IF(AND(B125&lt;&gt;"",M125="",I125&lt;&gt;""),I125,"")</f>
        <v/>
      </c>
      <c r="V125" s="79">
        <f>IF(U125="","",IF(U125&lt;AsOf,1,IF(U125&lt;=AsOf+AlertDays,2,IF(U125&lt;=AsOf+2*AlertDays,3,""))))</f>
        <v/>
      </c>
      <c r="W125" s="79">
        <f>IF(V125="","",IF(O125="OVERDUE","Overdue payment: ","Payment due: ")&amp;B125&amp;" — "&amp;C125&amp;" ("&amp;CurSym&amp;" "&amp;FIXED(S125,0)&amp;")")</f>
        <v/>
      </c>
    </row>
    <row r="126" ht="20" customHeight="1">
      <c r="B126" s="72" t="n"/>
      <c r="C126" s="72" t="n"/>
      <c r="D126" s="72" t="n"/>
      <c r="E126" s="72" t="n"/>
      <c r="F126" s="109" t="n"/>
      <c r="G126" s="73" t="n"/>
      <c r="H126" s="75">
        <f>IF(B126="","",IF(G126&lt;&gt;"",G126,IF(F126&lt;&gt;"",F126*IFERROR(INDEX('Contractors'!$I$6:$I$35,MATCH(B126,'Contractors'!$B$6:$B$35,0)),0),"")))</f>
        <v/>
      </c>
      <c r="I126" s="108" t="n"/>
      <c r="J126" s="72" t="n"/>
      <c r="K126" s="108" t="n"/>
      <c r="L126" s="73" t="n"/>
      <c r="M126" s="108" t="n"/>
      <c r="N126" s="73" t="n"/>
      <c r="O126" s="107">
        <f>IF(B126="","",IF(M126&lt;&gt;"","Paid",IF(AND(I126&lt;&gt;"",I126&lt;AsOf),"OVERDUE",IF(OR(K126&lt;&gt;"",L126&lt;&gt;""),"Invoiced","Scheduled"))))</f>
        <v/>
      </c>
      <c r="P126" s="114">
        <f>IF(B126="","",IF(E126&lt;&gt;"",E126,IFERROR(INDEX('Contractors'!$D$6:$D$35,MATCH(B126,'Contractors'!$B$6:$B$35,0)),"")))</f>
        <v/>
      </c>
      <c r="Q126" s="79">
        <f>IF(B126="","",IF(D126&lt;&gt;"",D126,IFERROR(INDEX('Contractors'!$E$6:$E$35,MATCH(B126,'Contractors'!$B$6:$B$35,0)),"")))</f>
        <v/>
      </c>
      <c r="R126" s="79">
        <f>IF(O126="","",IF(O126="OVERDUE",2,IF(O126="Paid",0,IF(AND(I126&lt;&gt;"",I126&lt;=AsOf+AlertDays),1,0))))</f>
        <v/>
      </c>
      <c r="S126" s="79">
        <f>IF(AND(B126&lt;&gt;"",M126="",I126&lt;&gt;""),IF(L126&lt;&gt;"",L126,IF(H126="",0,H126)),0)</f>
        <v/>
      </c>
      <c r="T126" s="79">
        <f>IF(AND(B126&lt;&gt;"",M126="",I126&lt;&gt;""),1/I126,0)</f>
        <v/>
      </c>
      <c r="U126" s="111">
        <f>IF(AND(B126&lt;&gt;"",M126="",I126&lt;&gt;""),I126,"")</f>
        <v/>
      </c>
      <c r="V126" s="79">
        <f>IF(U126="","",IF(U126&lt;AsOf,1,IF(U126&lt;=AsOf+AlertDays,2,IF(U126&lt;=AsOf+2*AlertDays,3,""))))</f>
        <v/>
      </c>
      <c r="W126" s="79">
        <f>IF(V126="","",IF(O126="OVERDUE","Overdue payment: ","Payment due: ")&amp;B126&amp;" — "&amp;C126&amp;" ("&amp;CurSym&amp;" "&amp;FIXED(S126,0)&amp;")")</f>
        <v/>
      </c>
    </row>
    <row r="127" ht="20" customHeight="1">
      <c r="B127" s="72" t="n"/>
      <c r="C127" s="72" t="n"/>
      <c r="D127" s="72" t="n"/>
      <c r="E127" s="72" t="n"/>
      <c r="F127" s="109" t="n"/>
      <c r="G127" s="73" t="n"/>
      <c r="H127" s="75">
        <f>IF(B127="","",IF(G127&lt;&gt;"",G127,IF(F127&lt;&gt;"",F127*IFERROR(INDEX('Contractors'!$I$6:$I$35,MATCH(B127,'Contractors'!$B$6:$B$35,0)),0),"")))</f>
        <v/>
      </c>
      <c r="I127" s="108" t="n"/>
      <c r="J127" s="72" t="n"/>
      <c r="K127" s="108" t="n"/>
      <c r="L127" s="73" t="n"/>
      <c r="M127" s="108" t="n"/>
      <c r="N127" s="73" t="n"/>
      <c r="O127" s="107">
        <f>IF(B127="","",IF(M127&lt;&gt;"","Paid",IF(AND(I127&lt;&gt;"",I127&lt;AsOf),"OVERDUE",IF(OR(K127&lt;&gt;"",L127&lt;&gt;""),"Invoiced","Scheduled"))))</f>
        <v/>
      </c>
      <c r="P127" s="114">
        <f>IF(B127="","",IF(E127&lt;&gt;"",E127,IFERROR(INDEX('Contractors'!$D$6:$D$35,MATCH(B127,'Contractors'!$B$6:$B$35,0)),"")))</f>
        <v/>
      </c>
      <c r="Q127" s="79">
        <f>IF(B127="","",IF(D127&lt;&gt;"",D127,IFERROR(INDEX('Contractors'!$E$6:$E$35,MATCH(B127,'Contractors'!$B$6:$B$35,0)),"")))</f>
        <v/>
      </c>
      <c r="R127" s="79">
        <f>IF(O127="","",IF(O127="OVERDUE",2,IF(O127="Paid",0,IF(AND(I127&lt;&gt;"",I127&lt;=AsOf+AlertDays),1,0))))</f>
        <v/>
      </c>
      <c r="S127" s="79">
        <f>IF(AND(B127&lt;&gt;"",M127="",I127&lt;&gt;""),IF(L127&lt;&gt;"",L127,IF(H127="",0,H127)),0)</f>
        <v/>
      </c>
      <c r="T127" s="79">
        <f>IF(AND(B127&lt;&gt;"",M127="",I127&lt;&gt;""),1/I127,0)</f>
        <v/>
      </c>
      <c r="U127" s="111">
        <f>IF(AND(B127&lt;&gt;"",M127="",I127&lt;&gt;""),I127,"")</f>
        <v/>
      </c>
      <c r="V127" s="79">
        <f>IF(U127="","",IF(U127&lt;AsOf,1,IF(U127&lt;=AsOf+AlertDays,2,IF(U127&lt;=AsOf+2*AlertDays,3,""))))</f>
        <v/>
      </c>
      <c r="W127" s="79">
        <f>IF(V127="","",IF(O127="OVERDUE","Overdue payment: ","Payment due: ")&amp;B127&amp;" — "&amp;C127&amp;" ("&amp;CurSym&amp;" "&amp;FIXED(S127,0)&amp;")")</f>
        <v/>
      </c>
    </row>
    <row r="128" ht="20" customHeight="1">
      <c r="B128" s="72" t="n"/>
      <c r="C128" s="72" t="n"/>
      <c r="D128" s="72" t="n"/>
      <c r="E128" s="72" t="n"/>
      <c r="F128" s="109" t="n"/>
      <c r="G128" s="73" t="n"/>
      <c r="H128" s="75">
        <f>IF(B128="","",IF(G128&lt;&gt;"",G128,IF(F128&lt;&gt;"",F128*IFERROR(INDEX('Contractors'!$I$6:$I$35,MATCH(B128,'Contractors'!$B$6:$B$35,0)),0),"")))</f>
        <v/>
      </c>
      <c r="I128" s="108" t="n"/>
      <c r="J128" s="72" t="n"/>
      <c r="K128" s="108" t="n"/>
      <c r="L128" s="73" t="n"/>
      <c r="M128" s="108" t="n"/>
      <c r="N128" s="73" t="n"/>
      <c r="O128" s="107">
        <f>IF(B128="","",IF(M128&lt;&gt;"","Paid",IF(AND(I128&lt;&gt;"",I128&lt;AsOf),"OVERDUE",IF(OR(K128&lt;&gt;"",L128&lt;&gt;""),"Invoiced","Scheduled"))))</f>
        <v/>
      </c>
      <c r="P128" s="114">
        <f>IF(B128="","",IF(E128&lt;&gt;"",E128,IFERROR(INDEX('Contractors'!$D$6:$D$35,MATCH(B128,'Contractors'!$B$6:$B$35,0)),"")))</f>
        <v/>
      </c>
      <c r="Q128" s="79">
        <f>IF(B128="","",IF(D128&lt;&gt;"",D128,IFERROR(INDEX('Contractors'!$E$6:$E$35,MATCH(B128,'Contractors'!$B$6:$B$35,0)),"")))</f>
        <v/>
      </c>
      <c r="R128" s="79">
        <f>IF(O128="","",IF(O128="OVERDUE",2,IF(O128="Paid",0,IF(AND(I128&lt;&gt;"",I128&lt;=AsOf+AlertDays),1,0))))</f>
        <v/>
      </c>
      <c r="S128" s="79">
        <f>IF(AND(B128&lt;&gt;"",M128="",I128&lt;&gt;""),IF(L128&lt;&gt;"",L128,IF(H128="",0,H128)),0)</f>
        <v/>
      </c>
      <c r="T128" s="79">
        <f>IF(AND(B128&lt;&gt;"",M128="",I128&lt;&gt;""),1/I128,0)</f>
        <v/>
      </c>
      <c r="U128" s="111">
        <f>IF(AND(B128&lt;&gt;"",M128="",I128&lt;&gt;""),I128,"")</f>
        <v/>
      </c>
      <c r="V128" s="79">
        <f>IF(U128="","",IF(U128&lt;AsOf,1,IF(U128&lt;=AsOf+AlertDays,2,IF(U128&lt;=AsOf+2*AlertDays,3,""))))</f>
        <v/>
      </c>
      <c r="W128" s="79">
        <f>IF(V128="","",IF(O128="OVERDUE","Overdue payment: ","Payment due: ")&amp;B128&amp;" — "&amp;C128&amp;" ("&amp;CurSym&amp;" "&amp;FIXED(S128,0)&amp;")")</f>
        <v/>
      </c>
    </row>
    <row r="129" ht="20" customHeight="1">
      <c r="B129" s="72" t="n"/>
      <c r="C129" s="72" t="n"/>
      <c r="D129" s="72" t="n"/>
      <c r="E129" s="72" t="n"/>
      <c r="F129" s="109" t="n"/>
      <c r="G129" s="73" t="n"/>
      <c r="H129" s="75">
        <f>IF(B129="","",IF(G129&lt;&gt;"",G129,IF(F129&lt;&gt;"",F129*IFERROR(INDEX('Contractors'!$I$6:$I$35,MATCH(B129,'Contractors'!$B$6:$B$35,0)),0),"")))</f>
        <v/>
      </c>
      <c r="I129" s="108" t="n"/>
      <c r="J129" s="72" t="n"/>
      <c r="K129" s="108" t="n"/>
      <c r="L129" s="73" t="n"/>
      <c r="M129" s="108" t="n"/>
      <c r="N129" s="73" t="n"/>
      <c r="O129" s="107">
        <f>IF(B129="","",IF(M129&lt;&gt;"","Paid",IF(AND(I129&lt;&gt;"",I129&lt;AsOf),"OVERDUE",IF(OR(K129&lt;&gt;"",L129&lt;&gt;""),"Invoiced","Scheduled"))))</f>
        <v/>
      </c>
      <c r="P129" s="114">
        <f>IF(B129="","",IF(E129&lt;&gt;"",E129,IFERROR(INDEX('Contractors'!$D$6:$D$35,MATCH(B129,'Contractors'!$B$6:$B$35,0)),"")))</f>
        <v/>
      </c>
      <c r="Q129" s="79">
        <f>IF(B129="","",IF(D129&lt;&gt;"",D129,IFERROR(INDEX('Contractors'!$E$6:$E$35,MATCH(B129,'Contractors'!$B$6:$B$35,0)),"")))</f>
        <v/>
      </c>
      <c r="R129" s="79">
        <f>IF(O129="","",IF(O129="OVERDUE",2,IF(O129="Paid",0,IF(AND(I129&lt;&gt;"",I129&lt;=AsOf+AlertDays),1,0))))</f>
        <v/>
      </c>
      <c r="S129" s="79">
        <f>IF(AND(B129&lt;&gt;"",M129="",I129&lt;&gt;""),IF(L129&lt;&gt;"",L129,IF(H129="",0,H129)),0)</f>
        <v/>
      </c>
      <c r="T129" s="79">
        <f>IF(AND(B129&lt;&gt;"",M129="",I129&lt;&gt;""),1/I129,0)</f>
        <v/>
      </c>
      <c r="U129" s="111">
        <f>IF(AND(B129&lt;&gt;"",M129="",I129&lt;&gt;""),I129,"")</f>
        <v/>
      </c>
      <c r="V129" s="79">
        <f>IF(U129="","",IF(U129&lt;AsOf,1,IF(U129&lt;=AsOf+AlertDays,2,IF(U129&lt;=AsOf+2*AlertDays,3,""))))</f>
        <v/>
      </c>
      <c r="W129" s="79">
        <f>IF(V129="","",IF(O129="OVERDUE","Overdue payment: ","Payment due: ")&amp;B129&amp;" — "&amp;C129&amp;" ("&amp;CurSym&amp;" "&amp;FIXED(S129,0)&amp;")")</f>
        <v/>
      </c>
    </row>
    <row r="130" ht="20" customHeight="1">
      <c r="B130" s="72" t="n"/>
      <c r="C130" s="72" t="n"/>
      <c r="D130" s="72" t="n"/>
      <c r="E130" s="72" t="n"/>
      <c r="F130" s="109" t="n"/>
      <c r="G130" s="73" t="n"/>
      <c r="H130" s="75">
        <f>IF(B130="","",IF(G130&lt;&gt;"",G130,IF(F130&lt;&gt;"",F130*IFERROR(INDEX('Contractors'!$I$6:$I$35,MATCH(B130,'Contractors'!$B$6:$B$35,0)),0),"")))</f>
        <v/>
      </c>
      <c r="I130" s="108" t="n"/>
      <c r="J130" s="72" t="n"/>
      <c r="K130" s="108" t="n"/>
      <c r="L130" s="73" t="n"/>
      <c r="M130" s="108" t="n"/>
      <c r="N130" s="73" t="n"/>
      <c r="O130" s="107">
        <f>IF(B130="","",IF(M130&lt;&gt;"","Paid",IF(AND(I130&lt;&gt;"",I130&lt;AsOf),"OVERDUE",IF(OR(K130&lt;&gt;"",L130&lt;&gt;""),"Invoiced","Scheduled"))))</f>
        <v/>
      </c>
      <c r="P130" s="114">
        <f>IF(B130="","",IF(E130&lt;&gt;"",E130,IFERROR(INDEX('Contractors'!$D$6:$D$35,MATCH(B130,'Contractors'!$B$6:$B$35,0)),"")))</f>
        <v/>
      </c>
      <c r="Q130" s="79">
        <f>IF(B130="","",IF(D130&lt;&gt;"",D130,IFERROR(INDEX('Contractors'!$E$6:$E$35,MATCH(B130,'Contractors'!$B$6:$B$35,0)),"")))</f>
        <v/>
      </c>
      <c r="R130" s="79">
        <f>IF(O130="","",IF(O130="OVERDUE",2,IF(O130="Paid",0,IF(AND(I130&lt;&gt;"",I130&lt;=AsOf+AlertDays),1,0))))</f>
        <v/>
      </c>
      <c r="S130" s="79">
        <f>IF(AND(B130&lt;&gt;"",M130="",I130&lt;&gt;""),IF(L130&lt;&gt;"",L130,IF(H130="",0,H130)),0)</f>
        <v/>
      </c>
      <c r="T130" s="79">
        <f>IF(AND(B130&lt;&gt;"",M130="",I130&lt;&gt;""),1/I130,0)</f>
        <v/>
      </c>
      <c r="U130" s="111">
        <f>IF(AND(B130&lt;&gt;"",M130="",I130&lt;&gt;""),I130,"")</f>
        <v/>
      </c>
      <c r="V130" s="79">
        <f>IF(U130="","",IF(U130&lt;AsOf,1,IF(U130&lt;=AsOf+AlertDays,2,IF(U130&lt;=AsOf+2*AlertDays,3,""))))</f>
        <v/>
      </c>
      <c r="W130" s="79">
        <f>IF(V130="","",IF(O130="OVERDUE","Overdue payment: ","Payment due: ")&amp;B130&amp;" — "&amp;C130&amp;" ("&amp;CurSym&amp;" "&amp;FIXED(S130,0)&amp;")")</f>
        <v/>
      </c>
    </row>
    <row r="131" ht="20" customHeight="1">
      <c r="B131" s="72" t="n"/>
      <c r="C131" s="72" t="n"/>
      <c r="D131" s="72" t="n"/>
      <c r="E131" s="72" t="n"/>
      <c r="F131" s="109" t="n"/>
      <c r="G131" s="73" t="n"/>
      <c r="H131" s="75">
        <f>IF(B131="","",IF(G131&lt;&gt;"",G131,IF(F131&lt;&gt;"",F131*IFERROR(INDEX('Contractors'!$I$6:$I$35,MATCH(B131,'Contractors'!$B$6:$B$35,0)),0),"")))</f>
        <v/>
      </c>
      <c r="I131" s="108" t="n"/>
      <c r="J131" s="72" t="n"/>
      <c r="K131" s="108" t="n"/>
      <c r="L131" s="73" t="n"/>
      <c r="M131" s="108" t="n"/>
      <c r="N131" s="73" t="n"/>
      <c r="O131" s="107">
        <f>IF(B131="","",IF(M131&lt;&gt;"","Paid",IF(AND(I131&lt;&gt;"",I131&lt;AsOf),"OVERDUE",IF(OR(K131&lt;&gt;"",L131&lt;&gt;""),"Invoiced","Scheduled"))))</f>
        <v/>
      </c>
      <c r="P131" s="114">
        <f>IF(B131="","",IF(E131&lt;&gt;"",E131,IFERROR(INDEX('Contractors'!$D$6:$D$35,MATCH(B131,'Contractors'!$B$6:$B$35,0)),"")))</f>
        <v/>
      </c>
      <c r="Q131" s="79">
        <f>IF(B131="","",IF(D131&lt;&gt;"",D131,IFERROR(INDEX('Contractors'!$E$6:$E$35,MATCH(B131,'Contractors'!$B$6:$B$35,0)),"")))</f>
        <v/>
      </c>
      <c r="R131" s="79">
        <f>IF(O131="","",IF(O131="OVERDUE",2,IF(O131="Paid",0,IF(AND(I131&lt;&gt;"",I131&lt;=AsOf+AlertDays),1,0))))</f>
        <v/>
      </c>
      <c r="S131" s="79">
        <f>IF(AND(B131&lt;&gt;"",M131="",I131&lt;&gt;""),IF(L131&lt;&gt;"",L131,IF(H131="",0,H131)),0)</f>
        <v/>
      </c>
      <c r="T131" s="79">
        <f>IF(AND(B131&lt;&gt;"",M131="",I131&lt;&gt;""),1/I131,0)</f>
        <v/>
      </c>
      <c r="U131" s="111">
        <f>IF(AND(B131&lt;&gt;"",M131="",I131&lt;&gt;""),I131,"")</f>
        <v/>
      </c>
      <c r="V131" s="79">
        <f>IF(U131="","",IF(U131&lt;AsOf,1,IF(U131&lt;=AsOf+AlertDays,2,IF(U131&lt;=AsOf+2*AlertDays,3,""))))</f>
        <v/>
      </c>
      <c r="W131" s="79">
        <f>IF(V131="","",IF(O131="OVERDUE","Overdue payment: ","Payment due: ")&amp;B131&amp;" — "&amp;C131&amp;" ("&amp;CurSym&amp;" "&amp;FIXED(S131,0)&amp;")")</f>
        <v/>
      </c>
    </row>
    <row r="132" ht="20" customHeight="1">
      <c r="B132" s="72" t="n"/>
      <c r="C132" s="72" t="n"/>
      <c r="D132" s="72" t="n"/>
      <c r="E132" s="72" t="n"/>
      <c r="F132" s="109" t="n"/>
      <c r="G132" s="73" t="n"/>
      <c r="H132" s="75">
        <f>IF(B132="","",IF(G132&lt;&gt;"",G132,IF(F132&lt;&gt;"",F132*IFERROR(INDEX('Contractors'!$I$6:$I$35,MATCH(B132,'Contractors'!$B$6:$B$35,0)),0),"")))</f>
        <v/>
      </c>
      <c r="I132" s="108" t="n"/>
      <c r="J132" s="72" t="n"/>
      <c r="K132" s="108" t="n"/>
      <c r="L132" s="73" t="n"/>
      <c r="M132" s="108" t="n"/>
      <c r="N132" s="73" t="n"/>
      <c r="O132" s="107">
        <f>IF(B132="","",IF(M132&lt;&gt;"","Paid",IF(AND(I132&lt;&gt;"",I132&lt;AsOf),"OVERDUE",IF(OR(K132&lt;&gt;"",L132&lt;&gt;""),"Invoiced","Scheduled"))))</f>
        <v/>
      </c>
      <c r="P132" s="114">
        <f>IF(B132="","",IF(E132&lt;&gt;"",E132,IFERROR(INDEX('Contractors'!$D$6:$D$35,MATCH(B132,'Contractors'!$B$6:$B$35,0)),"")))</f>
        <v/>
      </c>
      <c r="Q132" s="79">
        <f>IF(B132="","",IF(D132&lt;&gt;"",D132,IFERROR(INDEX('Contractors'!$E$6:$E$35,MATCH(B132,'Contractors'!$B$6:$B$35,0)),"")))</f>
        <v/>
      </c>
      <c r="R132" s="79">
        <f>IF(O132="","",IF(O132="OVERDUE",2,IF(O132="Paid",0,IF(AND(I132&lt;&gt;"",I132&lt;=AsOf+AlertDays),1,0))))</f>
        <v/>
      </c>
      <c r="S132" s="79">
        <f>IF(AND(B132&lt;&gt;"",M132="",I132&lt;&gt;""),IF(L132&lt;&gt;"",L132,IF(H132="",0,H132)),0)</f>
        <v/>
      </c>
      <c r="T132" s="79">
        <f>IF(AND(B132&lt;&gt;"",M132="",I132&lt;&gt;""),1/I132,0)</f>
        <v/>
      </c>
      <c r="U132" s="111">
        <f>IF(AND(B132&lt;&gt;"",M132="",I132&lt;&gt;""),I132,"")</f>
        <v/>
      </c>
      <c r="V132" s="79">
        <f>IF(U132="","",IF(U132&lt;AsOf,1,IF(U132&lt;=AsOf+AlertDays,2,IF(U132&lt;=AsOf+2*AlertDays,3,""))))</f>
        <v/>
      </c>
      <c r="W132" s="79">
        <f>IF(V132="","",IF(O132="OVERDUE","Overdue payment: ","Payment due: ")&amp;B132&amp;" — "&amp;C132&amp;" ("&amp;CurSym&amp;" "&amp;FIXED(S132,0)&amp;")")</f>
        <v/>
      </c>
    </row>
    <row r="133" ht="20" customHeight="1">
      <c r="B133" s="72" t="n"/>
      <c r="C133" s="72" t="n"/>
      <c r="D133" s="72" t="n"/>
      <c r="E133" s="72" t="n"/>
      <c r="F133" s="109" t="n"/>
      <c r="G133" s="73" t="n"/>
      <c r="H133" s="75">
        <f>IF(B133="","",IF(G133&lt;&gt;"",G133,IF(F133&lt;&gt;"",F133*IFERROR(INDEX('Contractors'!$I$6:$I$35,MATCH(B133,'Contractors'!$B$6:$B$35,0)),0),"")))</f>
        <v/>
      </c>
      <c r="I133" s="108" t="n"/>
      <c r="J133" s="72" t="n"/>
      <c r="K133" s="108" t="n"/>
      <c r="L133" s="73" t="n"/>
      <c r="M133" s="108" t="n"/>
      <c r="N133" s="73" t="n"/>
      <c r="O133" s="107">
        <f>IF(B133="","",IF(M133&lt;&gt;"","Paid",IF(AND(I133&lt;&gt;"",I133&lt;AsOf),"OVERDUE",IF(OR(K133&lt;&gt;"",L133&lt;&gt;""),"Invoiced","Scheduled"))))</f>
        <v/>
      </c>
      <c r="P133" s="114">
        <f>IF(B133="","",IF(E133&lt;&gt;"",E133,IFERROR(INDEX('Contractors'!$D$6:$D$35,MATCH(B133,'Contractors'!$B$6:$B$35,0)),"")))</f>
        <v/>
      </c>
      <c r="Q133" s="79">
        <f>IF(B133="","",IF(D133&lt;&gt;"",D133,IFERROR(INDEX('Contractors'!$E$6:$E$35,MATCH(B133,'Contractors'!$B$6:$B$35,0)),"")))</f>
        <v/>
      </c>
      <c r="R133" s="79">
        <f>IF(O133="","",IF(O133="OVERDUE",2,IF(O133="Paid",0,IF(AND(I133&lt;&gt;"",I133&lt;=AsOf+AlertDays),1,0))))</f>
        <v/>
      </c>
      <c r="S133" s="79">
        <f>IF(AND(B133&lt;&gt;"",M133="",I133&lt;&gt;""),IF(L133&lt;&gt;"",L133,IF(H133="",0,H133)),0)</f>
        <v/>
      </c>
      <c r="T133" s="79">
        <f>IF(AND(B133&lt;&gt;"",M133="",I133&lt;&gt;""),1/I133,0)</f>
        <v/>
      </c>
      <c r="U133" s="111">
        <f>IF(AND(B133&lt;&gt;"",M133="",I133&lt;&gt;""),I133,"")</f>
        <v/>
      </c>
      <c r="V133" s="79">
        <f>IF(U133="","",IF(U133&lt;AsOf,1,IF(U133&lt;=AsOf+AlertDays,2,IF(U133&lt;=AsOf+2*AlertDays,3,""))))</f>
        <v/>
      </c>
      <c r="W133" s="79">
        <f>IF(V133="","",IF(O133="OVERDUE","Overdue payment: ","Payment due: ")&amp;B133&amp;" — "&amp;C133&amp;" ("&amp;CurSym&amp;" "&amp;FIXED(S133,0)&amp;")")</f>
        <v/>
      </c>
    </row>
    <row r="134" ht="20" customHeight="1">
      <c r="B134" s="72" t="n"/>
      <c r="C134" s="72" t="n"/>
      <c r="D134" s="72" t="n"/>
      <c r="E134" s="72" t="n"/>
      <c r="F134" s="109" t="n"/>
      <c r="G134" s="73" t="n"/>
      <c r="H134" s="75">
        <f>IF(B134="","",IF(G134&lt;&gt;"",G134,IF(F134&lt;&gt;"",F134*IFERROR(INDEX('Contractors'!$I$6:$I$35,MATCH(B134,'Contractors'!$B$6:$B$35,0)),0),"")))</f>
        <v/>
      </c>
      <c r="I134" s="108" t="n"/>
      <c r="J134" s="72" t="n"/>
      <c r="K134" s="108" t="n"/>
      <c r="L134" s="73" t="n"/>
      <c r="M134" s="108" t="n"/>
      <c r="N134" s="73" t="n"/>
      <c r="O134" s="107">
        <f>IF(B134="","",IF(M134&lt;&gt;"","Paid",IF(AND(I134&lt;&gt;"",I134&lt;AsOf),"OVERDUE",IF(OR(K134&lt;&gt;"",L134&lt;&gt;""),"Invoiced","Scheduled"))))</f>
        <v/>
      </c>
      <c r="P134" s="114">
        <f>IF(B134="","",IF(E134&lt;&gt;"",E134,IFERROR(INDEX('Contractors'!$D$6:$D$35,MATCH(B134,'Contractors'!$B$6:$B$35,0)),"")))</f>
        <v/>
      </c>
      <c r="Q134" s="79">
        <f>IF(B134="","",IF(D134&lt;&gt;"",D134,IFERROR(INDEX('Contractors'!$E$6:$E$35,MATCH(B134,'Contractors'!$B$6:$B$35,0)),"")))</f>
        <v/>
      </c>
      <c r="R134" s="79">
        <f>IF(O134="","",IF(O134="OVERDUE",2,IF(O134="Paid",0,IF(AND(I134&lt;&gt;"",I134&lt;=AsOf+AlertDays),1,0))))</f>
        <v/>
      </c>
      <c r="S134" s="79">
        <f>IF(AND(B134&lt;&gt;"",M134="",I134&lt;&gt;""),IF(L134&lt;&gt;"",L134,IF(H134="",0,H134)),0)</f>
        <v/>
      </c>
      <c r="T134" s="79">
        <f>IF(AND(B134&lt;&gt;"",M134="",I134&lt;&gt;""),1/I134,0)</f>
        <v/>
      </c>
      <c r="U134" s="111">
        <f>IF(AND(B134&lt;&gt;"",M134="",I134&lt;&gt;""),I134,"")</f>
        <v/>
      </c>
      <c r="V134" s="79">
        <f>IF(U134="","",IF(U134&lt;AsOf,1,IF(U134&lt;=AsOf+AlertDays,2,IF(U134&lt;=AsOf+2*AlertDays,3,""))))</f>
        <v/>
      </c>
      <c r="W134" s="79">
        <f>IF(V134="","",IF(O134="OVERDUE","Overdue payment: ","Payment due: ")&amp;B134&amp;" — "&amp;C134&amp;" ("&amp;CurSym&amp;" "&amp;FIXED(S134,0)&amp;")")</f>
        <v/>
      </c>
    </row>
    <row r="135" ht="20" customHeight="1">
      <c r="B135" s="72" t="n"/>
      <c r="C135" s="72" t="n"/>
      <c r="D135" s="72" t="n"/>
      <c r="E135" s="72" t="n"/>
      <c r="F135" s="109" t="n"/>
      <c r="G135" s="73" t="n"/>
      <c r="H135" s="75">
        <f>IF(B135="","",IF(G135&lt;&gt;"",G135,IF(F135&lt;&gt;"",F135*IFERROR(INDEX('Contractors'!$I$6:$I$35,MATCH(B135,'Contractors'!$B$6:$B$35,0)),0),"")))</f>
        <v/>
      </c>
      <c r="I135" s="108" t="n"/>
      <c r="J135" s="72" t="n"/>
      <c r="K135" s="108" t="n"/>
      <c r="L135" s="73" t="n"/>
      <c r="M135" s="108" t="n"/>
      <c r="N135" s="73" t="n"/>
      <c r="O135" s="107">
        <f>IF(B135="","",IF(M135&lt;&gt;"","Paid",IF(AND(I135&lt;&gt;"",I135&lt;AsOf),"OVERDUE",IF(OR(K135&lt;&gt;"",L135&lt;&gt;""),"Invoiced","Scheduled"))))</f>
        <v/>
      </c>
      <c r="P135" s="114">
        <f>IF(B135="","",IF(E135&lt;&gt;"",E135,IFERROR(INDEX('Contractors'!$D$6:$D$35,MATCH(B135,'Contractors'!$B$6:$B$35,0)),"")))</f>
        <v/>
      </c>
      <c r="Q135" s="79">
        <f>IF(B135="","",IF(D135&lt;&gt;"",D135,IFERROR(INDEX('Contractors'!$E$6:$E$35,MATCH(B135,'Contractors'!$B$6:$B$35,0)),"")))</f>
        <v/>
      </c>
      <c r="R135" s="79">
        <f>IF(O135="","",IF(O135="OVERDUE",2,IF(O135="Paid",0,IF(AND(I135&lt;&gt;"",I135&lt;=AsOf+AlertDays),1,0))))</f>
        <v/>
      </c>
      <c r="S135" s="79">
        <f>IF(AND(B135&lt;&gt;"",M135="",I135&lt;&gt;""),IF(L135&lt;&gt;"",L135,IF(H135="",0,H135)),0)</f>
        <v/>
      </c>
      <c r="T135" s="79">
        <f>IF(AND(B135&lt;&gt;"",M135="",I135&lt;&gt;""),1/I135,0)</f>
        <v/>
      </c>
      <c r="U135" s="111">
        <f>IF(AND(B135&lt;&gt;"",M135="",I135&lt;&gt;""),I135,"")</f>
        <v/>
      </c>
      <c r="V135" s="79">
        <f>IF(U135="","",IF(U135&lt;AsOf,1,IF(U135&lt;=AsOf+AlertDays,2,IF(U135&lt;=AsOf+2*AlertDays,3,""))))</f>
        <v/>
      </c>
      <c r="W135" s="79">
        <f>IF(V135="","",IF(O135="OVERDUE","Overdue payment: ","Payment due: ")&amp;B135&amp;" — "&amp;C135&amp;" ("&amp;CurSym&amp;" "&amp;FIXED(S135,0)&amp;")")</f>
        <v/>
      </c>
    </row>
    <row r="136" ht="20" customHeight="1">
      <c r="B136" s="72" t="n"/>
      <c r="C136" s="72" t="n"/>
      <c r="D136" s="72" t="n"/>
      <c r="E136" s="72" t="n"/>
      <c r="F136" s="109" t="n"/>
      <c r="G136" s="73" t="n"/>
      <c r="H136" s="75">
        <f>IF(B136="","",IF(G136&lt;&gt;"",G136,IF(F136&lt;&gt;"",F136*IFERROR(INDEX('Contractors'!$I$6:$I$35,MATCH(B136,'Contractors'!$B$6:$B$35,0)),0),"")))</f>
        <v/>
      </c>
      <c r="I136" s="108" t="n"/>
      <c r="J136" s="72" t="n"/>
      <c r="K136" s="108" t="n"/>
      <c r="L136" s="73" t="n"/>
      <c r="M136" s="108" t="n"/>
      <c r="N136" s="73" t="n"/>
      <c r="O136" s="107">
        <f>IF(B136="","",IF(M136&lt;&gt;"","Paid",IF(AND(I136&lt;&gt;"",I136&lt;AsOf),"OVERDUE",IF(OR(K136&lt;&gt;"",L136&lt;&gt;""),"Invoiced","Scheduled"))))</f>
        <v/>
      </c>
      <c r="P136" s="114">
        <f>IF(B136="","",IF(E136&lt;&gt;"",E136,IFERROR(INDEX('Contractors'!$D$6:$D$35,MATCH(B136,'Contractors'!$B$6:$B$35,0)),"")))</f>
        <v/>
      </c>
      <c r="Q136" s="79">
        <f>IF(B136="","",IF(D136&lt;&gt;"",D136,IFERROR(INDEX('Contractors'!$E$6:$E$35,MATCH(B136,'Contractors'!$B$6:$B$35,0)),"")))</f>
        <v/>
      </c>
      <c r="R136" s="79">
        <f>IF(O136="","",IF(O136="OVERDUE",2,IF(O136="Paid",0,IF(AND(I136&lt;&gt;"",I136&lt;=AsOf+AlertDays),1,0))))</f>
        <v/>
      </c>
      <c r="S136" s="79">
        <f>IF(AND(B136&lt;&gt;"",M136="",I136&lt;&gt;""),IF(L136&lt;&gt;"",L136,IF(H136="",0,H136)),0)</f>
        <v/>
      </c>
      <c r="T136" s="79">
        <f>IF(AND(B136&lt;&gt;"",M136="",I136&lt;&gt;""),1/I136,0)</f>
        <v/>
      </c>
      <c r="U136" s="111">
        <f>IF(AND(B136&lt;&gt;"",M136="",I136&lt;&gt;""),I136,"")</f>
        <v/>
      </c>
      <c r="V136" s="79">
        <f>IF(U136="","",IF(U136&lt;AsOf,1,IF(U136&lt;=AsOf+AlertDays,2,IF(U136&lt;=AsOf+2*AlertDays,3,""))))</f>
        <v/>
      </c>
      <c r="W136" s="79">
        <f>IF(V136="","",IF(O136="OVERDUE","Overdue payment: ","Payment due: ")&amp;B136&amp;" — "&amp;C136&amp;" ("&amp;CurSym&amp;" "&amp;FIXED(S136,0)&amp;")")</f>
        <v/>
      </c>
    </row>
    <row r="137" ht="20" customHeight="1">
      <c r="B137" s="72" t="n"/>
      <c r="C137" s="72" t="n"/>
      <c r="D137" s="72" t="n"/>
      <c r="E137" s="72" t="n"/>
      <c r="F137" s="109" t="n"/>
      <c r="G137" s="73" t="n"/>
      <c r="H137" s="75">
        <f>IF(B137="","",IF(G137&lt;&gt;"",G137,IF(F137&lt;&gt;"",F137*IFERROR(INDEX('Contractors'!$I$6:$I$35,MATCH(B137,'Contractors'!$B$6:$B$35,0)),0),"")))</f>
        <v/>
      </c>
      <c r="I137" s="108" t="n"/>
      <c r="J137" s="72" t="n"/>
      <c r="K137" s="108" t="n"/>
      <c r="L137" s="73" t="n"/>
      <c r="M137" s="108" t="n"/>
      <c r="N137" s="73" t="n"/>
      <c r="O137" s="107">
        <f>IF(B137="","",IF(M137&lt;&gt;"","Paid",IF(AND(I137&lt;&gt;"",I137&lt;AsOf),"OVERDUE",IF(OR(K137&lt;&gt;"",L137&lt;&gt;""),"Invoiced","Scheduled"))))</f>
        <v/>
      </c>
      <c r="P137" s="114">
        <f>IF(B137="","",IF(E137&lt;&gt;"",E137,IFERROR(INDEX('Contractors'!$D$6:$D$35,MATCH(B137,'Contractors'!$B$6:$B$35,0)),"")))</f>
        <v/>
      </c>
      <c r="Q137" s="79">
        <f>IF(B137="","",IF(D137&lt;&gt;"",D137,IFERROR(INDEX('Contractors'!$E$6:$E$35,MATCH(B137,'Contractors'!$B$6:$B$35,0)),"")))</f>
        <v/>
      </c>
      <c r="R137" s="79">
        <f>IF(O137="","",IF(O137="OVERDUE",2,IF(O137="Paid",0,IF(AND(I137&lt;&gt;"",I137&lt;=AsOf+AlertDays),1,0))))</f>
        <v/>
      </c>
      <c r="S137" s="79">
        <f>IF(AND(B137&lt;&gt;"",M137="",I137&lt;&gt;""),IF(L137&lt;&gt;"",L137,IF(H137="",0,H137)),0)</f>
        <v/>
      </c>
      <c r="T137" s="79">
        <f>IF(AND(B137&lt;&gt;"",M137="",I137&lt;&gt;""),1/I137,0)</f>
        <v/>
      </c>
      <c r="U137" s="111">
        <f>IF(AND(B137&lt;&gt;"",M137="",I137&lt;&gt;""),I137,"")</f>
        <v/>
      </c>
      <c r="V137" s="79">
        <f>IF(U137="","",IF(U137&lt;AsOf,1,IF(U137&lt;=AsOf+AlertDays,2,IF(U137&lt;=AsOf+2*AlertDays,3,""))))</f>
        <v/>
      </c>
      <c r="W137" s="79">
        <f>IF(V137="","",IF(O137="OVERDUE","Overdue payment: ","Payment due: ")&amp;B137&amp;" — "&amp;C137&amp;" ("&amp;CurSym&amp;" "&amp;FIXED(S137,0)&amp;")")</f>
        <v/>
      </c>
    </row>
    <row r="138" ht="20" customHeight="1">
      <c r="B138" s="72" t="n"/>
      <c r="C138" s="72" t="n"/>
      <c r="D138" s="72" t="n"/>
      <c r="E138" s="72" t="n"/>
      <c r="F138" s="109" t="n"/>
      <c r="G138" s="73" t="n"/>
      <c r="H138" s="75">
        <f>IF(B138="","",IF(G138&lt;&gt;"",G138,IF(F138&lt;&gt;"",F138*IFERROR(INDEX('Contractors'!$I$6:$I$35,MATCH(B138,'Contractors'!$B$6:$B$35,0)),0),"")))</f>
        <v/>
      </c>
      <c r="I138" s="108" t="n"/>
      <c r="J138" s="72" t="n"/>
      <c r="K138" s="108" t="n"/>
      <c r="L138" s="73" t="n"/>
      <c r="M138" s="108" t="n"/>
      <c r="N138" s="73" t="n"/>
      <c r="O138" s="107">
        <f>IF(B138="","",IF(M138&lt;&gt;"","Paid",IF(AND(I138&lt;&gt;"",I138&lt;AsOf),"OVERDUE",IF(OR(K138&lt;&gt;"",L138&lt;&gt;""),"Invoiced","Scheduled"))))</f>
        <v/>
      </c>
      <c r="P138" s="114">
        <f>IF(B138="","",IF(E138&lt;&gt;"",E138,IFERROR(INDEX('Contractors'!$D$6:$D$35,MATCH(B138,'Contractors'!$B$6:$B$35,0)),"")))</f>
        <v/>
      </c>
      <c r="Q138" s="79">
        <f>IF(B138="","",IF(D138&lt;&gt;"",D138,IFERROR(INDEX('Contractors'!$E$6:$E$35,MATCH(B138,'Contractors'!$B$6:$B$35,0)),"")))</f>
        <v/>
      </c>
      <c r="R138" s="79">
        <f>IF(O138="","",IF(O138="OVERDUE",2,IF(O138="Paid",0,IF(AND(I138&lt;&gt;"",I138&lt;=AsOf+AlertDays),1,0))))</f>
        <v/>
      </c>
      <c r="S138" s="79">
        <f>IF(AND(B138&lt;&gt;"",M138="",I138&lt;&gt;""),IF(L138&lt;&gt;"",L138,IF(H138="",0,H138)),0)</f>
        <v/>
      </c>
      <c r="T138" s="79">
        <f>IF(AND(B138&lt;&gt;"",M138="",I138&lt;&gt;""),1/I138,0)</f>
        <v/>
      </c>
      <c r="U138" s="111">
        <f>IF(AND(B138&lt;&gt;"",M138="",I138&lt;&gt;""),I138,"")</f>
        <v/>
      </c>
      <c r="V138" s="79">
        <f>IF(U138="","",IF(U138&lt;AsOf,1,IF(U138&lt;=AsOf+AlertDays,2,IF(U138&lt;=AsOf+2*AlertDays,3,""))))</f>
        <v/>
      </c>
      <c r="W138" s="79">
        <f>IF(V138="","",IF(O138="OVERDUE","Overdue payment: ","Payment due: ")&amp;B138&amp;" — "&amp;C138&amp;" ("&amp;CurSym&amp;" "&amp;FIXED(S138,0)&amp;")")</f>
        <v/>
      </c>
    </row>
    <row r="139" ht="20" customHeight="1">
      <c r="B139" s="72" t="n"/>
      <c r="C139" s="72" t="n"/>
      <c r="D139" s="72" t="n"/>
      <c r="E139" s="72" t="n"/>
      <c r="F139" s="109" t="n"/>
      <c r="G139" s="73" t="n"/>
      <c r="H139" s="75">
        <f>IF(B139="","",IF(G139&lt;&gt;"",G139,IF(F139&lt;&gt;"",F139*IFERROR(INDEX('Contractors'!$I$6:$I$35,MATCH(B139,'Contractors'!$B$6:$B$35,0)),0),"")))</f>
        <v/>
      </c>
      <c r="I139" s="108" t="n"/>
      <c r="J139" s="72" t="n"/>
      <c r="K139" s="108" t="n"/>
      <c r="L139" s="73" t="n"/>
      <c r="M139" s="108" t="n"/>
      <c r="N139" s="73" t="n"/>
      <c r="O139" s="107">
        <f>IF(B139="","",IF(M139&lt;&gt;"","Paid",IF(AND(I139&lt;&gt;"",I139&lt;AsOf),"OVERDUE",IF(OR(K139&lt;&gt;"",L139&lt;&gt;""),"Invoiced","Scheduled"))))</f>
        <v/>
      </c>
      <c r="P139" s="114">
        <f>IF(B139="","",IF(E139&lt;&gt;"",E139,IFERROR(INDEX('Contractors'!$D$6:$D$35,MATCH(B139,'Contractors'!$B$6:$B$35,0)),"")))</f>
        <v/>
      </c>
      <c r="Q139" s="79">
        <f>IF(B139="","",IF(D139&lt;&gt;"",D139,IFERROR(INDEX('Contractors'!$E$6:$E$35,MATCH(B139,'Contractors'!$B$6:$B$35,0)),"")))</f>
        <v/>
      </c>
      <c r="R139" s="79">
        <f>IF(O139="","",IF(O139="OVERDUE",2,IF(O139="Paid",0,IF(AND(I139&lt;&gt;"",I139&lt;=AsOf+AlertDays),1,0))))</f>
        <v/>
      </c>
      <c r="S139" s="79">
        <f>IF(AND(B139&lt;&gt;"",M139="",I139&lt;&gt;""),IF(L139&lt;&gt;"",L139,IF(H139="",0,H139)),0)</f>
        <v/>
      </c>
      <c r="T139" s="79">
        <f>IF(AND(B139&lt;&gt;"",M139="",I139&lt;&gt;""),1/I139,0)</f>
        <v/>
      </c>
      <c r="U139" s="111">
        <f>IF(AND(B139&lt;&gt;"",M139="",I139&lt;&gt;""),I139,"")</f>
        <v/>
      </c>
      <c r="V139" s="79">
        <f>IF(U139="","",IF(U139&lt;AsOf,1,IF(U139&lt;=AsOf+AlertDays,2,IF(U139&lt;=AsOf+2*AlertDays,3,""))))</f>
        <v/>
      </c>
      <c r="W139" s="79">
        <f>IF(V139="","",IF(O139="OVERDUE","Overdue payment: ","Payment due: ")&amp;B139&amp;" — "&amp;C139&amp;" ("&amp;CurSym&amp;" "&amp;FIXED(S139,0)&amp;")")</f>
        <v/>
      </c>
    </row>
    <row r="140" ht="20" customHeight="1">
      <c r="B140" s="72" t="n"/>
      <c r="C140" s="72" t="n"/>
      <c r="D140" s="72" t="n"/>
      <c r="E140" s="72" t="n"/>
      <c r="F140" s="109" t="n"/>
      <c r="G140" s="73" t="n"/>
      <c r="H140" s="75">
        <f>IF(B140="","",IF(G140&lt;&gt;"",G140,IF(F140&lt;&gt;"",F140*IFERROR(INDEX('Contractors'!$I$6:$I$35,MATCH(B140,'Contractors'!$B$6:$B$35,0)),0),"")))</f>
        <v/>
      </c>
      <c r="I140" s="108" t="n"/>
      <c r="J140" s="72" t="n"/>
      <c r="K140" s="108" t="n"/>
      <c r="L140" s="73" t="n"/>
      <c r="M140" s="108" t="n"/>
      <c r="N140" s="73" t="n"/>
      <c r="O140" s="107">
        <f>IF(B140="","",IF(M140&lt;&gt;"","Paid",IF(AND(I140&lt;&gt;"",I140&lt;AsOf),"OVERDUE",IF(OR(K140&lt;&gt;"",L140&lt;&gt;""),"Invoiced","Scheduled"))))</f>
        <v/>
      </c>
      <c r="P140" s="114">
        <f>IF(B140="","",IF(E140&lt;&gt;"",E140,IFERROR(INDEX('Contractors'!$D$6:$D$35,MATCH(B140,'Contractors'!$B$6:$B$35,0)),"")))</f>
        <v/>
      </c>
      <c r="Q140" s="79">
        <f>IF(B140="","",IF(D140&lt;&gt;"",D140,IFERROR(INDEX('Contractors'!$E$6:$E$35,MATCH(B140,'Contractors'!$B$6:$B$35,0)),"")))</f>
        <v/>
      </c>
      <c r="R140" s="79">
        <f>IF(O140="","",IF(O140="OVERDUE",2,IF(O140="Paid",0,IF(AND(I140&lt;&gt;"",I140&lt;=AsOf+AlertDays),1,0))))</f>
        <v/>
      </c>
      <c r="S140" s="79">
        <f>IF(AND(B140&lt;&gt;"",M140="",I140&lt;&gt;""),IF(L140&lt;&gt;"",L140,IF(H140="",0,H140)),0)</f>
        <v/>
      </c>
      <c r="T140" s="79">
        <f>IF(AND(B140&lt;&gt;"",M140="",I140&lt;&gt;""),1/I140,0)</f>
        <v/>
      </c>
      <c r="U140" s="111">
        <f>IF(AND(B140&lt;&gt;"",M140="",I140&lt;&gt;""),I140,"")</f>
        <v/>
      </c>
      <c r="V140" s="79">
        <f>IF(U140="","",IF(U140&lt;AsOf,1,IF(U140&lt;=AsOf+AlertDays,2,IF(U140&lt;=AsOf+2*AlertDays,3,""))))</f>
        <v/>
      </c>
      <c r="W140" s="79">
        <f>IF(V140="","",IF(O140="OVERDUE","Overdue payment: ","Payment due: ")&amp;B140&amp;" — "&amp;C140&amp;" ("&amp;CurSym&amp;" "&amp;FIXED(S140,0)&amp;")")</f>
        <v/>
      </c>
    </row>
    <row r="141" ht="20" customHeight="1">
      <c r="B141" s="72" t="n"/>
      <c r="C141" s="72" t="n"/>
      <c r="D141" s="72" t="n"/>
      <c r="E141" s="72" t="n"/>
      <c r="F141" s="109" t="n"/>
      <c r="G141" s="73" t="n"/>
      <c r="H141" s="75">
        <f>IF(B141="","",IF(G141&lt;&gt;"",G141,IF(F141&lt;&gt;"",F141*IFERROR(INDEX('Contractors'!$I$6:$I$35,MATCH(B141,'Contractors'!$B$6:$B$35,0)),0),"")))</f>
        <v/>
      </c>
      <c r="I141" s="108" t="n"/>
      <c r="J141" s="72" t="n"/>
      <c r="K141" s="108" t="n"/>
      <c r="L141" s="73" t="n"/>
      <c r="M141" s="108" t="n"/>
      <c r="N141" s="73" t="n"/>
      <c r="O141" s="107">
        <f>IF(B141="","",IF(M141&lt;&gt;"","Paid",IF(AND(I141&lt;&gt;"",I141&lt;AsOf),"OVERDUE",IF(OR(K141&lt;&gt;"",L141&lt;&gt;""),"Invoiced","Scheduled"))))</f>
        <v/>
      </c>
      <c r="P141" s="114">
        <f>IF(B141="","",IF(E141&lt;&gt;"",E141,IFERROR(INDEX('Contractors'!$D$6:$D$35,MATCH(B141,'Contractors'!$B$6:$B$35,0)),"")))</f>
        <v/>
      </c>
      <c r="Q141" s="79">
        <f>IF(B141="","",IF(D141&lt;&gt;"",D141,IFERROR(INDEX('Contractors'!$E$6:$E$35,MATCH(B141,'Contractors'!$B$6:$B$35,0)),"")))</f>
        <v/>
      </c>
      <c r="R141" s="79">
        <f>IF(O141="","",IF(O141="OVERDUE",2,IF(O141="Paid",0,IF(AND(I141&lt;&gt;"",I141&lt;=AsOf+AlertDays),1,0))))</f>
        <v/>
      </c>
      <c r="S141" s="79">
        <f>IF(AND(B141&lt;&gt;"",M141="",I141&lt;&gt;""),IF(L141&lt;&gt;"",L141,IF(H141="",0,H141)),0)</f>
        <v/>
      </c>
      <c r="T141" s="79">
        <f>IF(AND(B141&lt;&gt;"",M141="",I141&lt;&gt;""),1/I141,0)</f>
        <v/>
      </c>
      <c r="U141" s="111">
        <f>IF(AND(B141&lt;&gt;"",M141="",I141&lt;&gt;""),I141,"")</f>
        <v/>
      </c>
      <c r="V141" s="79">
        <f>IF(U141="","",IF(U141&lt;AsOf,1,IF(U141&lt;=AsOf+AlertDays,2,IF(U141&lt;=AsOf+2*AlertDays,3,""))))</f>
        <v/>
      </c>
      <c r="W141" s="79">
        <f>IF(V141="","",IF(O141="OVERDUE","Overdue payment: ","Payment due: ")&amp;B141&amp;" — "&amp;C141&amp;" ("&amp;CurSym&amp;" "&amp;FIXED(S141,0)&amp;")")</f>
        <v/>
      </c>
    </row>
    <row r="142" ht="20" customHeight="1">
      <c r="B142" s="72" t="n"/>
      <c r="C142" s="72" t="n"/>
      <c r="D142" s="72" t="n"/>
      <c r="E142" s="72" t="n"/>
      <c r="F142" s="109" t="n"/>
      <c r="G142" s="73" t="n"/>
      <c r="H142" s="75">
        <f>IF(B142="","",IF(G142&lt;&gt;"",G142,IF(F142&lt;&gt;"",F142*IFERROR(INDEX('Contractors'!$I$6:$I$35,MATCH(B142,'Contractors'!$B$6:$B$35,0)),0),"")))</f>
        <v/>
      </c>
      <c r="I142" s="108" t="n"/>
      <c r="J142" s="72" t="n"/>
      <c r="K142" s="108" t="n"/>
      <c r="L142" s="73" t="n"/>
      <c r="M142" s="108" t="n"/>
      <c r="N142" s="73" t="n"/>
      <c r="O142" s="107">
        <f>IF(B142="","",IF(M142&lt;&gt;"","Paid",IF(AND(I142&lt;&gt;"",I142&lt;AsOf),"OVERDUE",IF(OR(K142&lt;&gt;"",L142&lt;&gt;""),"Invoiced","Scheduled"))))</f>
        <v/>
      </c>
      <c r="P142" s="114">
        <f>IF(B142="","",IF(E142&lt;&gt;"",E142,IFERROR(INDEX('Contractors'!$D$6:$D$35,MATCH(B142,'Contractors'!$B$6:$B$35,0)),"")))</f>
        <v/>
      </c>
      <c r="Q142" s="79">
        <f>IF(B142="","",IF(D142&lt;&gt;"",D142,IFERROR(INDEX('Contractors'!$E$6:$E$35,MATCH(B142,'Contractors'!$B$6:$B$35,0)),"")))</f>
        <v/>
      </c>
      <c r="R142" s="79">
        <f>IF(O142="","",IF(O142="OVERDUE",2,IF(O142="Paid",0,IF(AND(I142&lt;&gt;"",I142&lt;=AsOf+AlertDays),1,0))))</f>
        <v/>
      </c>
      <c r="S142" s="79">
        <f>IF(AND(B142&lt;&gt;"",M142="",I142&lt;&gt;""),IF(L142&lt;&gt;"",L142,IF(H142="",0,H142)),0)</f>
        <v/>
      </c>
      <c r="T142" s="79">
        <f>IF(AND(B142&lt;&gt;"",M142="",I142&lt;&gt;""),1/I142,0)</f>
        <v/>
      </c>
      <c r="U142" s="111">
        <f>IF(AND(B142&lt;&gt;"",M142="",I142&lt;&gt;""),I142,"")</f>
        <v/>
      </c>
      <c r="V142" s="79">
        <f>IF(U142="","",IF(U142&lt;AsOf,1,IF(U142&lt;=AsOf+AlertDays,2,IF(U142&lt;=AsOf+2*AlertDays,3,""))))</f>
        <v/>
      </c>
      <c r="W142" s="79">
        <f>IF(V142="","",IF(O142="OVERDUE","Overdue payment: ","Payment due: ")&amp;B142&amp;" — "&amp;C142&amp;" ("&amp;CurSym&amp;" "&amp;FIXED(S142,0)&amp;")")</f>
        <v/>
      </c>
    </row>
    <row r="143" ht="20" customHeight="1">
      <c r="B143" s="72" t="n"/>
      <c r="C143" s="72" t="n"/>
      <c r="D143" s="72" t="n"/>
      <c r="E143" s="72" t="n"/>
      <c r="F143" s="109" t="n"/>
      <c r="G143" s="73" t="n"/>
      <c r="H143" s="75">
        <f>IF(B143="","",IF(G143&lt;&gt;"",G143,IF(F143&lt;&gt;"",F143*IFERROR(INDEX('Contractors'!$I$6:$I$35,MATCH(B143,'Contractors'!$B$6:$B$35,0)),0),"")))</f>
        <v/>
      </c>
      <c r="I143" s="108" t="n"/>
      <c r="J143" s="72" t="n"/>
      <c r="K143" s="108" t="n"/>
      <c r="L143" s="73" t="n"/>
      <c r="M143" s="108" t="n"/>
      <c r="N143" s="73" t="n"/>
      <c r="O143" s="107">
        <f>IF(B143="","",IF(M143&lt;&gt;"","Paid",IF(AND(I143&lt;&gt;"",I143&lt;AsOf),"OVERDUE",IF(OR(K143&lt;&gt;"",L143&lt;&gt;""),"Invoiced","Scheduled"))))</f>
        <v/>
      </c>
      <c r="P143" s="114">
        <f>IF(B143="","",IF(E143&lt;&gt;"",E143,IFERROR(INDEX('Contractors'!$D$6:$D$35,MATCH(B143,'Contractors'!$B$6:$B$35,0)),"")))</f>
        <v/>
      </c>
      <c r="Q143" s="79">
        <f>IF(B143="","",IF(D143&lt;&gt;"",D143,IFERROR(INDEX('Contractors'!$E$6:$E$35,MATCH(B143,'Contractors'!$B$6:$B$35,0)),"")))</f>
        <v/>
      </c>
      <c r="R143" s="79">
        <f>IF(O143="","",IF(O143="OVERDUE",2,IF(O143="Paid",0,IF(AND(I143&lt;&gt;"",I143&lt;=AsOf+AlertDays),1,0))))</f>
        <v/>
      </c>
      <c r="S143" s="79">
        <f>IF(AND(B143&lt;&gt;"",M143="",I143&lt;&gt;""),IF(L143&lt;&gt;"",L143,IF(H143="",0,H143)),0)</f>
        <v/>
      </c>
      <c r="T143" s="79">
        <f>IF(AND(B143&lt;&gt;"",M143="",I143&lt;&gt;""),1/I143,0)</f>
        <v/>
      </c>
      <c r="U143" s="111">
        <f>IF(AND(B143&lt;&gt;"",M143="",I143&lt;&gt;""),I143,"")</f>
        <v/>
      </c>
      <c r="V143" s="79">
        <f>IF(U143="","",IF(U143&lt;AsOf,1,IF(U143&lt;=AsOf+AlertDays,2,IF(U143&lt;=AsOf+2*AlertDays,3,""))))</f>
        <v/>
      </c>
      <c r="W143" s="79">
        <f>IF(V143="","",IF(O143="OVERDUE","Overdue payment: ","Payment due: ")&amp;B143&amp;" — "&amp;C143&amp;" ("&amp;CurSym&amp;" "&amp;FIXED(S143,0)&amp;")")</f>
        <v/>
      </c>
    </row>
    <row r="144" ht="20" customHeight="1">
      <c r="B144" s="72" t="n"/>
      <c r="C144" s="72" t="n"/>
      <c r="D144" s="72" t="n"/>
      <c r="E144" s="72" t="n"/>
      <c r="F144" s="109" t="n"/>
      <c r="G144" s="73" t="n"/>
      <c r="H144" s="75">
        <f>IF(B144="","",IF(G144&lt;&gt;"",G144,IF(F144&lt;&gt;"",F144*IFERROR(INDEX('Contractors'!$I$6:$I$35,MATCH(B144,'Contractors'!$B$6:$B$35,0)),0),"")))</f>
        <v/>
      </c>
      <c r="I144" s="108" t="n"/>
      <c r="J144" s="72" t="n"/>
      <c r="K144" s="108" t="n"/>
      <c r="L144" s="73" t="n"/>
      <c r="M144" s="108" t="n"/>
      <c r="N144" s="73" t="n"/>
      <c r="O144" s="107">
        <f>IF(B144="","",IF(M144&lt;&gt;"","Paid",IF(AND(I144&lt;&gt;"",I144&lt;AsOf),"OVERDUE",IF(OR(K144&lt;&gt;"",L144&lt;&gt;""),"Invoiced","Scheduled"))))</f>
        <v/>
      </c>
      <c r="P144" s="114">
        <f>IF(B144="","",IF(E144&lt;&gt;"",E144,IFERROR(INDEX('Contractors'!$D$6:$D$35,MATCH(B144,'Contractors'!$B$6:$B$35,0)),"")))</f>
        <v/>
      </c>
      <c r="Q144" s="79">
        <f>IF(B144="","",IF(D144&lt;&gt;"",D144,IFERROR(INDEX('Contractors'!$E$6:$E$35,MATCH(B144,'Contractors'!$B$6:$B$35,0)),"")))</f>
        <v/>
      </c>
      <c r="R144" s="79">
        <f>IF(O144="","",IF(O144="OVERDUE",2,IF(O144="Paid",0,IF(AND(I144&lt;&gt;"",I144&lt;=AsOf+AlertDays),1,0))))</f>
        <v/>
      </c>
      <c r="S144" s="79">
        <f>IF(AND(B144&lt;&gt;"",M144="",I144&lt;&gt;""),IF(L144&lt;&gt;"",L144,IF(H144="",0,H144)),0)</f>
        <v/>
      </c>
      <c r="T144" s="79">
        <f>IF(AND(B144&lt;&gt;"",M144="",I144&lt;&gt;""),1/I144,0)</f>
        <v/>
      </c>
      <c r="U144" s="111">
        <f>IF(AND(B144&lt;&gt;"",M144="",I144&lt;&gt;""),I144,"")</f>
        <v/>
      </c>
      <c r="V144" s="79">
        <f>IF(U144="","",IF(U144&lt;AsOf,1,IF(U144&lt;=AsOf+AlertDays,2,IF(U144&lt;=AsOf+2*AlertDays,3,""))))</f>
        <v/>
      </c>
      <c r="W144" s="79">
        <f>IF(V144="","",IF(O144="OVERDUE","Overdue payment: ","Payment due: ")&amp;B144&amp;" — "&amp;C144&amp;" ("&amp;CurSym&amp;" "&amp;FIXED(S144,0)&amp;")")</f>
        <v/>
      </c>
    </row>
    <row r="145" ht="20" customHeight="1">
      <c r="B145" s="72" t="n"/>
      <c r="C145" s="72" t="n"/>
      <c r="D145" s="72" t="n"/>
      <c r="E145" s="72" t="n"/>
      <c r="F145" s="109" t="n"/>
      <c r="G145" s="73" t="n"/>
      <c r="H145" s="75">
        <f>IF(B145="","",IF(G145&lt;&gt;"",G145,IF(F145&lt;&gt;"",F145*IFERROR(INDEX('Contractors'!$I$6:$I$35,MATCH(B145,'Contractors'!$B$6:$B$35,0)),0),"")))</f>
        <v/>
      </c>
      <c r="I145" s="108" t="n"/>
      <c r="J145" s="72" t="n"/>
      <c r="K145" s="108" t="n"/>
      <c r="L145" s="73" t="n"/>
      <c r="M145" s="108" t="n"/>
      <c r="N145" s="73" t="n"/>
      <c r="O145" s="107">
        <f>IF(B145="","",IF(M145&lt;&gt;"","Paid",IF(AND(I145&lt;&gt;"",I145&lt;AsOf),"OVERDUE",IF(OR(K145&lt;&gt;"",L145&lt;&gt;""),"Invoiced","Scheduled"))))</f>
        <v/>
      </c>
      <c r="P145" s="114">
        <f>IF(B145="","",IF(E145&lt;&gt;"",E145,IFERROR(INDEX('Contractors'!$D$6:$D$35,MATCH(B145,'Contractors'!$B$6:$B$35,0)),"")))</f>
        <v/>
      </c>
      <c r="Q145" s="79">
        <f>IF(B145="","",IF(D145&lt;&gt;"",D145,IFERROR(INDEX('Contractors'!$E$6:$E$35,MATCH(B145,'Contractors'!$B$6:$B$35,0)),"")))</f>
        <v/>
      </c>
      <c r="R145" s="79">
        <f>IF(O145="","",IF(O145="OVERDUE",2,IF(O145="Paid",0,IF(AND(I145&lt;&gt;"",I145&lt;=AsOf+AlertDays),1,0))))</f>
        <v/>
      </c>
      <c r="S145" s="79">
        <f>IF(AND(B145&lt;&gt;"",M145="",I145&lt;&gt;""),IF(L145&lt;&gt;"",L145,IF(H145="",0,H145)),0)</f>
        <v/>
      </c>
      <c r="T145" s="79">
        <f>IF(AND(B145&lt;&gt;"",M145="",I145&lt;&gt;""),1/I145,0)</f>
        <v/>
      </c>
      <c r="U145" s="111">
        <f>IF(AND(B145&lt;&gt;"",M145="",I145&lt;&gt;""),I145,"")</f>
        <v/>
      </c>
      <c r="V145" s="79">
        <f>IF(U145="","",IF(U145&lt;AsOf,1,IF(U145&lt;=AsOf+AlertDays,2,IF(U145&lt;=AsOf+2*AlertDays,3,""))))</f>
        <v/>
      </c>
      <c r="W145" s="79">
        <f>IF(V145="","",IF(O145="OVERDUE","Overdue payment: ","Payment due: ")&amp;B145&amp;" — "&amp;C145&amp;" ("&amp;CurSym&amp;" "&amp;FIXED(S145,0)&amp;")")</f>
        <v/>
      </c>
    </row>
    <row r="146" ht="20" customHeight="1">
      <c r="B146" s="72" t="n"/>
      <c r="C146" s="72" t="n"/>
      <c r="D146" s="72" t="n"/>
      <c r="E146" s="72" t="n"/>
      <c r="F146" s="109" t="n"/>
      <c r="G146" s="73" t="n"/>
      <c r="H146" s="75">
        <f>IF(B146="","",IF(G146&lt;&gt;"",G146,IF(F146&lt;&gt;"",F146*IFERROR(INDEX('Contractors'!$I$6:$I$35,MATCH(B146,'Contractors'!$B$6:$B$35,0)),0),"")))</f>
        <v/>
      </c>
      <c r="I146" s="108" t="n"/>
      <c r="J146" s="72" t="n"/>
      <c r="K146" s="108" t="n"/>
      <c r="L146" s="73" t="n"/>
      <c r="M146" s="108" t="n"/>
      <c r="N146" s="73" t="n"/>
      <c r="O146" s="107">
        <f>IF(B146="","",IF(M146&lt;&gt;"","Paid",IF(AND(I146&lt;&gt;"",I146&lt;AsOf),"OVERDUE",IF(OR(K146&lt;&gt;"",L146&lt;&gt;""),"Invoiced","Scheduled"))))</f>
        <v/>
      </c>
      <c r="P146" s="114">
        <f>IF(B146="","",IF(E146&lt;&gt;"",E146,IFERROR(INDEX('Contractors'!$D$6:$D$35,MATCH(B146,'Contractors'!$B$6:$B$35,0)),"")))</f>
        <v/>
      </c>
      <c r="Q146" s="79">
        <f>IF(B146="","",IF(D146&lt;&gt;"",D146,IFERROR(INDEX('Contractors'!$E$6:$E$35,MATCH(B146,'Contractors'!$B$6:$B$35,0)),"")))</f>
        <v/>
      </c>
      <c r="R146" s="79">
        <f>IF(O146="","",IF(O146="OVERDUE",2,IF(O146="Paid",0,IF(AND(I146&lt;&gt;"",I146&lt;=AsOf+AlertDays),1,0))))</f>
        <v/>
      </c>
      <c r="S146" s="79">
        <f>IF(AND(B146&lt;&gt;"",M146="",I146&lt;&gt;""),IF(L146&lt;&gt;"",L146,IF(H146="",0,H146)),0)</f>
        <v/>
      </c>
      <c r="T146" s="79">
        <f>IF(AND(B146&lt;&gt;"",M146="",I146&lt;&gt;""),1/I146,0)</f>
        <v/>
      </c>
      <c r="U146" s="111">
        <f>IF(AND(B146&lt;&gt;"",M146="",I146&lt;&gt;""),I146,"")</f>
        <v/>
      </c>
      <c r="V146" s="79">
        <f>IF(U146="","",IF(U146&lt;AsOf,1,IF(U146&lt;=AsOf+AlertDays,2,IF(U146&lt;=AsOf+2*AlertDays,3,""))))</f>
        <v/>
      </c>
      <c r="W146" s="79">
        <f>IF(V146="","",IF(O146="OVERDUE","Overdue payment: ","Payment due: ")&amp;B146&amp;" — "&amp;C146&amp;" ("&amp;CurSym&amp;" "&amp;FIXED(S146,0)&amp;")")</f>
        <v/>
      </c>
    </row>
    <row r="147" ht="20" customHeight="1">
      <c r="B147" s="72" t="n"/>
      <c r="C147" s="72" t="n"/>
      <c r="D147" s="72" t="n"/>
      <c r="E147" s="72" t="n"/>
      <c r="F147" s="109" t="n"/>
      <c r="G147" s="73" t="n"/>
      <c r="H147" s="75">
        <f>IF(B147="","",IF(G147&lt;&gt;"",G147,IF(F147&lt;&gt;"",F147*IFERROR(INDEX('Contractors'!$I$6:$I$35,MATCH(B147,'Contractors'!$B$6:$B$35,0)),0),"")))</f>
        <v/>
      </c>
      <c r="I147" s="108" t="n"/>
      <c r="J147" s="72" t="n"/>
      <c r="K147" s="108" t="n"/>
      <c r="L147" s="73" t="n"/>
      <c r="M147" s="108" t="n"/>
      <c r="N147" s="73" t="n"/>
      <c r="O147" s="107">
        <f>IF(B147="","",IF(M147&lt;&gt;"","Paid",IF(AND(I147&lt;&gt;"",I147&lt;AsOf),"OVERDUE",IF(OR(K147&lt;&gt;"",L147&lt;&gt;""),"Invoiced","Scheduled"))))</f>
        <v/>
      </c>
      <c r="P147" s="114">
        <f>IF(B147="","",IF(E147&lt;&gt;"",E147,IFERROR(INDEX('Contractors'!$D$6:$D$35,MATCH(B147,'Contractors'!$B$6:$B$35,0)),"")))</f>
        <v/>
      </c>
      <c r="Q147" s="79">
        <f>IF(B147="","",IF(D147&lt;&gt;"",D147,IFERROR(INDEX('Contractors'!$E$6:$E$35,MATCH(B147,'Contractors'!$B$6:$B$35,0)),"")))</f>
        <v/>
      </c>
      <c r="R147" s="79">
        <f>IF(O147="","",IF(O147="OVERDUE",2,IF(O147="Paid",0,IF(AND(I147&lt;&gt;"",I147&lt;=AsOf+AlertDays),1,0))))</f>
        <v/>
      </c>
      <c r="S147" s="79">
        <f>IF(AND(B147&lt;&gt;"",M147="",I147&lt;&gt;""),IF(L147&lt;&gt;"",L147,IF(H147="",0,H147)),0)</f>
        <v/>
      </c>
      <c r="T147" s="79">
        <f>IF(AND(B147&lt;&gt;"",M147="",I147&lt;&gt;""),1/I147,0)</f>
        <v/>
      </c>
      <c r="U147" s="111">
        <f>IF(AND(B147&lt;&gt;"",M147="",I147&lt;&gt;""),I147,"")</f>
        <v/>
      </c>
      <c r="V147" s="79">
        <f>IF(U147="","",IF(U147&lt;AsOf,1,IF(U147&lt;=AsOf+AlertDays,2,IF(U147&lt;=AsOf+2*AlertDays,3,""))))</f>
        <v/>
      </c>
      <c r="W147" s="79">
        <f>IF(V147="","",IF(O147="OVERDUE","Overdue payment: ","Payment due: ")&amp;B147&amp;" — "&amp;C147&amp;" ("&amp;CurSym&amp;" "&amp;FIXED(S147,0)&amp;")")</f>
        <v/>
      </c>
    </row>
    <row r="148" ht="20" customHeight="1">
      <c r="B148" s="72" t="n"/>
      <c r="C148" s="72" t="n"/>
      <c r="D148" s="72" t="n"/>
      <c r="E148" s="72" t="n"/>
      <c r="F148" s="109" t="n"/>
      <c r="G148" s="73" t="n"/>
      <c r="H148" s="75">
        <f>IF(B148="","",IF(G148&lt;&gt;"",G148,IF(F148&lt;&gt;"",F148*IFERROR(INDEX('Contractors'!$I$6:$I$35,MATCH(B148,'Contractors'!$B$6:$B$35,0)),0),"")))</f>
        <v/>
      </c>
      <c r="I148" s="108" t="n"/>
      <c r="J148" s="72" t="n"/>
      <c r="K148" s="108" t="n"/>
      <c r="L148" s="73" t="n"/>
      <c r="M148" s="108" t="n"/>
      <c r="N148" s="73" t="n"/>
      <c r="O148" s="107">
        <f>IF(B148="","",IF(M148&lt;&gt;"","Paid",IF(AND(I148&lt;&gt;"",I148&lt;AsOf),"OVERDUE",IF(OR(K148&lt;&gt;"",L148&lt;&gt;""),"Invoiced","Scheduled"))))</f>
        <v/>
      </c>
      <c r="P148" s="114">
        <f>IF(B148="","",IF(E148&lt;&gt;"",E148,IFERROR(INDEX('Contractors'!$D$6:$D$35,MATCH(B148,'Contractors'!$B$6:$B$35,0)),"")))</f>
        <v/>
      </c>
      <c r="Q148" s="79">
        <f>IF(B148="","",IF(D148&lt;&gt;"",D148,IFERROR(INDEX('Contractors'!$E$6:$E$35,MATCH(B148,'Contractors'!$B$6:$B$35,0)),"")))</f>
        <v/>
      </c>
      <c r="R148" s="79">
        <f>IF(O148="","",IF(O148="OVERDUE",2,IF(O148="Paid",0,IF(AND(I148&lt;&gt;"",I148&lt;=AsOf+AlertDays),1,0))))</f>
        <v/>
      </c>
      <c r="S148" s="79">
        <f>IF(AND(B148&lt;&gt;"",M148="",I148&lt;&gt;""),IF(L148&lt;&gt;"",L148,IF(H148="",0,H148)),0)</f>
        <v/>
      </c>
      <c r="T148" s="79">
        <f>IF(AND(B148&lt;&gt;"",M148="",I148&lt;&gt;""),1/I148,0)</f>
        <v/>
      </c>
      <c r="U148" s="111">
        <f>IF(AND(B148&lt;&gt;"",M148="",I148&lt;&gt;""),I148,"")</f>
        <v/>
      </c>
      <c r="V148" s="79">
        <f>IF(U148="","",IF(U148&lt;AsOf,1,IF(U148&lt;=AsOf+AlertDays,2,IF(U148&lt;=AsOf+2*AlertDays,3,""))))</f>
        <v/>
      </c>
      <c r="W148" s="79">
        <f>IF(V148="","",IF(O148="OVERDUE","Overdue payment: ","Payment due: ")&amp;B148&amp;" — "&amp;C148&amp;" ("&amp;CurSym&amp;" "&amp;FIXED(S148,0)&amp;")")</f>
        <v/>
      </c>
    </row>
    <row r="149" ht="20" customHeight="1">
      <c r="B149" s="72" t="n"/>
      <c r="C149" s="72" t="n"/>
      <c r="D149" s="72" t="n"/>
      <c r="E149" s="72" t="n"/>
      <c r="F149" s="109" t="n"/>
      <c r="G149" s="73" t="n"/>
      <c r="H149" s="75">
        <f>IF(B149="","",IF(G149&lt;&gt;"",G149,IF(F149&lt;&gt;"",F149*IFERROR(INDEX('Contractors'!$I$6:$I$35,MATCH(B149,'Contractors'!$B$6:$B$35,0)),0),"")))</f>
        <v/>
      </c>
      <c r="I149" s="108" t="n"/>
      <c r="J149" s="72" t="n"/>
      <c r="K149" s="108" t="n"/>
      <c r="L149" s="73" t="n"/>
      <c r="M149" s="108" t="n"/>
      <c r="N149" s="73" t="n"/>
      <c r="O149" s="107">
        <f>IF(B149="","",IF(M149&lt;&gt;"","Paid",IF(AND(I149&lt;&gt;"",I149&lt;AsOf),"OVERDUE",IF(OR(K149&lt;&gt;"",L149&lt;&gt;""),"Invoiced","Scheduled"))))</f>
        <v/>
      </c>
      <c r="P149" s="114">
        <f>IF(B149="","",IF(E149&lt;&gt;"",E149,IFERROR(INDEX('Contractors'!$D$6:$D$35,MATCH(B149,'Contractors'!$B$6:$B$35,0)),"")))</f>
        <v/>
      </c>
      <c r="Q149" s="79">
        <f>IF(B149="","",IF(D149&lt;&gt;"",D149,IFERROR(INDEX('Contractors'!$E$6:$E$35,MATCH(B149,'Contractors'!$B$6:$B$35,0)),"")))</f>
        <v/>
      </c>
      <c r="R149" s="79">
        <f>IF(O149="","",IF(O149="OVERDUE",2,IF(O149="Paid",0,IF(AND(I149&lt;&gt;"",I149&lt;=AsOf+AlertDays),1,0))))</f>
        <v/>
      </c>
      <c r="S149" s="79">
        <f>IF(AND(B149&lt;&gt;"",M149="",I149&lt;&gt;""),IF(L149&lt;&gt;"",L149,IF(H149="",0,H149)),0)</f>
        <v/>
      </c>
      <c r="T149" s="79">
        <f>IF(AND(B149&lt;&gt;"",M149="",I149&lt;&gt;""),1/I149,0)</f>
        <v/>
      </c>
      <c r="U149" s="111">
        <f>IF(AND(B149&lt;&gt;"",M149="",I149&lt;&gt;""),I149,"")</f>
        <v/>
      </c>
      <c r="V149" s="79">
        <f>IF(U149="","",IF(U149&lt;AsOf,1,IF(U149&lt;=AsOf+AlertDays,2,IF(U149&lt;=AsOf+2*AlertDays,3,""))))</f>
        <v/>
      </c>
      <c r="W149" s="79">
        <f>IF(V149="","",IF(O149="OVERDUE","Overdue payment: ","Payment due: ")&amp;B149&amp;" — "&amp;C149&amp;" ("&amp;CurSym&amp;" "&amp;FIXED(S149,0)&amp;")")</f>
        <v/>
      </c>
    </row>
    <row r="150" ht="20" customHeight="1">
      <c r="B150" s="72" t="n"/>
      <c r="C150" s="72" t="n"/>
      <c r="D150" s="72" t="n"/>
      <c r="E150" s="72" t="n"/>
      <c r="F150" s="109" t="n"/>
      <c r="G150" s="73" t="n"/>
      <c r="H150" s="75">
        <f>IF(B150="","",IF(G150&lt;&gt;"",G150,IF(F150&lt;&gt;"",F150*IFERROR(INDEX('Contractors'!$I$6:$I$35,MATCH(B150,'Contractors'!$B$6:$B$35,0)),0),"")))</f>
        <v/>
      </c>
      <c r="I150" s="108" t="n"/>
      <c r="J150" s="72" t="n"/>
      <c r="K150" s="108" t="n"/>
      <c r="L150" s="73" t="n"/>
      <c r="M150" s="108" t="n"/>
      <c r="N150" s="73" t="n"/>
      <c r="O150" s="107">
        <f>IF(B150="","",IF(M150&lt;&gt;"","Paid",IF(AND(I150&lt;&gt;"",I150&lt;AsOf),"OVERDUE",IF(OR(K150&lt;&gt;"",L150&lt;&gt;""),"Invoiced","Scheduled"))))</f>
        <v/>
      </c>
      <c r="P150" s="114">
        <f>IF(B150="","",IF(E150&lt;&gt;"",E150,IFERROR(INDEX('Contractors'!$D$6:$D$35,MATCH(B150,'Contractors'!$B$6:$B$35,0)),"")))</f>
        <v/>
      </c>
      <c r="Q150" s="79">
        <f>IF(B150="","",IF(D150&lt;&gt;"",D150,IFERROR(INDEX('Contractors'!$E$6:$E$35,MATCH(B150,'Contractors'!$B$6:$B$35,0)),"")))</f>
        <v/>
      </c>
      <c r="R150" s="79">
        <f>IF(O150="","",IF(O150="OVERDUE",2,IF(O150="Paid",0,IF(AND(I150&lt;&gt;"",I150&lt;=AsOf+AlertDays),1,0))))</f>
        <v/>
      </c>
      <c r="S150" s="79">
        <f>IF(AND(B150&lt;&gt;"",M150="",I150&lt;&gt;""),IF(L150&lt;&gt;"",L150,IF(H150="",0,H150)),0)</f>
        <v/>
      </c>
      <c r="T150" s="79">
        <f>IF(AND(B150&lt;&gt;"",M150="",I150&lt;&gt;""),1/I150,0)</f>
        <v/>
      </c>
      <c r="U150" s="111">
        <f>IF(AND(B150&lt;&gt;"",M150="",I150&lt;&gt;""),I150,"")</f>
        <v/>
      </c>
      <c r="V150" s="79">
        <f>IF(U150="","",IF(U150&lt;AsOf,1,IF(U150&lt;=AsOf+AlertDays,2,IF(U150&lt;=AsOf+2*AlertDays,3,""))))</f>
        <v/>
      </c>
      <c r="W150" s="79">
        <f>IF(V150="","",IF(O150="OVERDUE","Overdue payment: ","Payment due: ")&amp;B150&amp;" — "&amp;C150&amp;" ("&amp;CurSym&amp;" "&amp;FIXED(S150,0)&amp;")")</f>
        <v/>
      </c>
    </row>
    <row r="151" ht="20" customHeight="1">
      <c r="B151" s="72" t="n"/>
      <c r="C151" s="72" t="n"/>
      <c r="D151" s="72" t="n"/>
      <c r="E151" s="72" t="n"/>
      <c r="F151" s="109" t="n"/>
      <c r="G151" s="73" t="n"/>
      <c r="H151" s="75">
        <f>IF(B151="","",IF(G151&lt;&gt;"",G151,IF(F151&lt;&gt;"",F151*IFERROR(INDEX('Contractors'!$I$6:$I$35,MATCH(B151,'Contractors'!$B$6:$B$35,0)),0),"")))</f>
        <v/>
      </c>
      <c r="I151" s="108" t="n"/>
      <c r="J151" s="72" t="n"/>
      <c r="K151" s="108" t="n"/>
      <c r="L151" s="73" t="n"/>
      <c r="M151" s="108" t="n"/>
      <c r="N151" s="73" t="n"/>
      <c r="O151" s="107">
        <f>IF(B151="","",IF(M151&lt;&gt;"","Paid",IF(AND(I151&lt;&gt;"",I151&lt;AsOf),"OVERDUE",IF(OR(K151&lt;&gt;"",L151&lt;&gt;""),"Invoiced","Scheduled"))))</f>
        <v/>
      </c>
      <c r="P151" s="114">
        <f>IF(B151="","",IF(E151&lt;&gt;"",E151,IFERROR(INDEX('Contractors'!$D$6:$D$35,MATCH(B151,'Contractors'!$B$6:$B$35,0)),"")))</f>
        <v/>
      </c>
      <c r="Q151" s="79">
        <f>IF(B151="","",IF(D151&lt;&gt;"",D151,IFERROR(INDEX('Contractors'!$E$6:$E$35,MATCH(B151,'Contractors'!$B$6:$B$35,0)),"")))</f>
        <v/>
      </c>
      <c r="R151" s="79">
        <f>IF(O151="","",IF(O151="OVERDUE",2,IF(O151="Paid",0,IF(AND(I151&lt;&gt;"",I151&lt;=AsOf+AlertDays),1,0))))</f>
        <v/>
      </c>
      <c r="S151" s="79">
        <f>IF(AND(B151&lt;&gt;"",M151="",I151&lt;&gt;""),IF(L151&lt;&gt;"",L151,IF(H151="",0,H151)),0)</f>
        <v/>
      </c>
      <c r="T151" s="79">
        <f>IF(AND(B151&lt;&gt;"",M151="",I151&lt;&gt;""),1/I151,0)</f>
        <v/>
      </c>
      <c r="U151" s="111">
        <f>IF(AND(B151&lt;&gt;"",M151="",I151&lt;&gt;""),I151,"")</f>
        <v/>
      </c>
      <c r="V151" s="79">
        <f>IF(U151="","",IF(U151&lt;AsOf,1,IF(U151&lt;=AsOf+AlertDays,2,IF(U151&lt;=AsOf+2*AlertDays,3,""))))</f>
        <v/>
      </c>
      <c r="W151" s="79">
        <f>IF(V151="","",IF(O151="OVERDUE","Overdue payment: ","Payment due: ")&amp;B151&amp;" — "&amp;C151&amp;" ("&amp;CurSym&amp;" "&amp;FIXED(S151,0)&amp;")")</f>
        <v/>
      </c>
    </row>
    <row r="152" ht="20" customHeight="1">
      <c r="B152" s="72" t="n"/>
      <c r="C152" s="72" t="n"/>
      <c r="D152" s="72" t="n"/>
      <c r="E152" s="72" t="n"/>
      <c r="F152" s="109" t="n"/>
      <c r="G152" s="73" t="n"/>
      <c r="H152" s="75">
        <f>IF(B152="","",IF(G152&lt;&gt;"",G152,IF(F152&lt;&gt;"",F152*IFERROR(INDEX('Contractors'!$I$6:$I$35,MATCH(B152,'Contractors'!$B$6:$B$35,0)),0),"")))</f>
        <v/>
      </c>
      <c r="I152" s="108" t="n"/>
      <c r="J152" s="72" t="n"/>
      <c r="K152" s="108" t="n"/>
      <c r="L152" s="73" t="n"/>
      <c r="M152" s="108" t="n"/>
      <c r="N152" s="73" t="n"/>
      <c r="O152" s="107">
        <f>IF(B152="","",IF(M152&lt;&gt;"","Paid",IF(AND(I152&lt;&gt;"",I152&lt;AsOf),"OVERDUE",IF(OR(K152&lt;&gt;"",L152&lt;&gt;""),"Invoiced","Scheduled"))))</f>
        <v/>
      </c>
      <c r="P152" s="114">
        <f>IF(B152="","",IF(E152&lt;&gt;"",E152,IFERROR(INDEX('Contractors'!$D$6:$D$35,MATCH(B152,'Contractors'!$B$6:$B$35,0)),"")))</f>
        <v/>
      </c>
      <c r="Q152" s="79">
        <f>IF(B152="","",IF(D152&lt;&gt;"",D152,IFERROR(INDEX('Contractors'!$E$6:$E$35,MATCH(B152,'Contractors'!$B$6:$B$35,0)),"")))</f>
        <v/>
      </c>
      <c r="R152" s="79">
        <f>IF(O152="","",IF(O152="OVERDUE",2,IF(O152="Paid",0,IF(AND(I152&lt;&gt;"",I152&lt;=AsOf+AlertDays),1,0))))</f>
        <v/>
      </c>
      <c r="S152" s="79">
        <f>IF(AND(B152&lt;&gt;"",M152="",I152&lt;&gt;""),IF(L152&lt;&gt;"",L152,IF(H152="",0,H152)),0)</f>
        <v/>
      </c>
      <c r="T152" s="79">
        <f>IF(AND(B152&lt;&gt;"",M152="",I152&lt;&gt;""),1/I152,0)</f>
        <v/>
      </c>
      <c r="U152" s="111">
        <f>IF(AND(B152&lt;&gt;"",M152="",I152&lt;&gt;""),I152,"")</f>
        <v/>
      </c>
      <c r="V152" s="79">
        <f>IF(U152="","",IF(U152&lt;AsOf,1,IF(U152&lt;=AsOf+AlertDays,2,IF(U152&lt;=AsOf+2*AlertDays,3,""))))</f>
        <v/>
      </c>
      <c r="W152" s="79">
        <f>IF(V152="","",IF(O152="OVERDUE","Overdue payment: ","Payment due: ")&amp;B152&amp;" — "&amp;C152&amp;" ("&amp;CurSym&amp;" "&amp;FIXED(S152,0)&amp;")")</f>
        <v/>
      </c>
    </row>
    <row r="153" ht="20" customHeight="1">
      <c r="B153" s="72" t="n"/>
      <c r="C153" s="72" t="n"/>
      <c r="D153" s="72" t="n"/>
      <c r="E153" s="72" t="n"/>
      <c r="F153" s="109" t="n"/>
      <c r="G153" s="73" t="n"/>
      <c r="H153" s="75">
        <f>IF(B153="","",IF(G153&lt;&gt;"",G153,IF(F153&lt;&gt;"",F153*IFERROR(INDEX('Contractors'!$I$6:$I$35,MATCH(B153,'Contractors'!$B$6:$B$35,0)),0),"")))</f>
        <v/>
      </c>
      <c r="I153" s="108" t="n"/>
      <c r="J153" s="72" t="n"/>
      <c r="K153" s="108" t="n"/>
      <c r="L153" s="73" t="n"/>
      <c r="M153" s="108" t="n"/>
      <c r="N153" s="73" t="n"/>
      <c r="O153" s="107">
        <f>IF(B153="","",IF(M153&lt;&gt;"","Paid",IF(AND(I153&lt;&gt;"",I153&lt;AsOf),"OVERDUE",IF(OR(K153&lt;&gt;"",L153&lt;&gt;""),"Invoiced","Scheduled"))))</f>
        <v/>
      </c>
      <c r="P153" s="114">
        <f>IF(B153="","",IF(E153&lt;&gt;"",E153,IFERROR(INDEX('Contractors'!$D$6:$D$35,MATCH(B153,'Contractors'!$B$6:$B$35,0)),"")))</f>
        <v/>
      </c>
      <c r="Q153" s="79">
        <f>IF(B153="","",IF(D153&lt;&gt;"",D153,IFERROR(INDEX('Contractors'!$E$6:$E$35,MATCH(B153,'Contractors'!$B$6:$B$35,0)),"")))</f>
        <v/>
      </c>
      <c r="R153" s="79">
        <f>IF(O153="","",IF(O153="OVERDUE",2,IF(O153="Paid",0,IF(AND(I153&lt;&gt;"",I153&lt;=AsOf+AlertDays),1,0))))</f>
        <v/>
      </c>
      <c r="S153" s="79">
        <f>IF(AND(B153&lt;&gt;"",M153="",I153&lt;&gt;""),IF(L153&lt;&gt;"",L153,IF(H153="",0,H153)),0)</f>
        <v/>
      </c>
      <c r="T153" s="79">
        <f>IF(AND(B153&lt;&gt;"",M153="",I153&lt;&gt;""),1/I153,0)</f>
        <v/>
      </c>
      <c r="U153" s="111">
        <f>IF(AND(B153&lt;&gt;"",M153="",I153&lt;&gt;""),I153,"")</f>
        <v/>
      </c>
      <c r="V153" s="79">
        <f>IF(U153="","",IF(U153&lt;AsOf,1,IF(U153&lt;=AsOf+AlertDays,2,IF(U153&lt;=AsOf+2*AlertDays,3,""))))</f>
        <v/>
      </c>
      <c r="W153" s="79">
        <f>IF(V153="","",IF(O153="OVERDUE","Overdue payment: ","Payment due: ")&amp;B153&amp;" — "&amp;C153&amp;" ("&amp;CurSym&amp;" "&amp;FIXED(S153,0)&amp;")")</f>
        <v/>
      </c>
    </row>
    <row r="154" ht="20" customHeight="1">
      <c r="B154" s="72" t="n"/>
      <c r="C154" s="72" t="n"/>
      <c r="D154" s="72" t="n"/>
      <c r="E154" s="72" t="n"/>
      <c r="F154" s="109" t="n"/>
      <c r="G154" s="73" t="n"/>
      <c r="H154" s="75">
        <f>IF(B154="","",IF(G154&lt;&gt;"",G154,IF(F154&lt;&gt;"",F154*IFERROR(INDEX('Contractors'!$I$6:$I$35,MATCH(B154,'Contractors'!$B$6:$B$35,0)),0),"")))</f>
        <v/>
      </c>
      <c r="I154" s="108" t="n"/>
      <c r="J154" s="72" t="n"/>
      <c r="K154" s="108" t="n"/>
      <c r="L154" s="73" t="n"/>
      <c r="M154" s="108" t="n"/>
      <c r="N154" s="73" t="n"/>
      <c r="O154" s="107">
        <f>IF(B154="","",IF(M154&lt;&gt;"","Paid",IF(AND(I154&lt;&gt;"",I154&lt;AsOf),"OVERDUE",IF(OR(K154&lt;&gt;"",L154&lt;&gt;""),"Invoiced","Scheduled"))))</f>
        <v/>
      </c>
      <c r="P154" s="114">
        <f>IF(B154="","",IF(E154&lt;&gt;"",E154,IFERROR(INDEX('Contractors'!$D$6:$D$35,MATCH(B154,'Contractors'!$B$6:$B$35,0)),"")))</f>
        <v/>
      </c>
      <c r="Q154" s="79">
        <f>IF(B154="","",IF(D154&lt;&gt;"",D154,IFERROR(INDEX('Contractors'!$E$6:$E$35,MATCH(B154,'Contractors'!$B$6:$B$35,0)),"")))</f>
        <v/>
      </c>
      <c r="R154" s="79">
        <f>IF(O154="","",IF(O154="OVERDUE",2,IF(O154="Paid",0,IF(AND(I154&lt;&gt;"",I154&lt;=AsOf+AlertDays),1,0))))</f>
        <v/>
      </c>
      <c r="S154" s="79">
        <f>IF(AND(B154&lt;&gt;"",M154="",I154&lt;&gt;""),IF(L154&lt;&gt;"",L154,IF(H154="",0,H154)),0)</f>
        <v/>
      </c>
      <c r="T154" s="79">
        <f>IF(AND(B154&lt;&gt;"",M154="",I154&lt;&gt;""),1/I154,0)</f>
        <v/>
      </c>
      <c r="U154" s="111">
        <f>IF(AND(B154&lt;&gt;"",M154="",I154&lt;&gt;""),I154,"")</f>
        <v/>
      </c>
      <c r="V154" s="79">
        <f>IF(U154="","",IF(U154&lt;AsOf,1,IF(U154&lt;=AsOf+AlertDays,2,IF(U154&lt;=AsOf+2*AlertDays,3,""))))</f>
        <v/>
      </c>
      <c r="W154" s="79">
        <f>IF(V154="","",IF(O154="OVERDUE","Overdue payment: ","Payment due: ")&amp;B154&amp;" — "&amp;C154&amp;" ("&amp;CurSym&amp;" "&amp;FIXED(S154,0)&amp;")")</f>
        <v/>
      </c>
    </row>
    <row r="155" ht="20" customHeight="1">
      <c r="B155" s="72" t="n"/>
      <c r="C155" s="72" t="n"/>
      <c r="D155" s="72" t="n"/>
      <c r="E155" s="72" t="n"/>
      <c r="F155" s="109" t="n"/>
      <c r="G155" s="73" t="n"/>
      <c r="H155" s="75">
        <f>IF(B155="","",IF(G155&lt;&gt;"",G155,IF(F155&lt;&gt;"",F155*IFERROR(INDEX('Contractors'!$I$6:$I$35,MATCH(B155,'Contractors'!$B$6:$B$35,0)),0),"")))</f>
        <v/>
      </c>
      <c r="I155" s="108" t="n"/>
      <c r="J155" s="72" t="n"/>
      <c r="K155" s="108" t="n"/>
      <c r="L155" s="73" t="n"/>
      <c r="M155" s="108" t="n"/>
      <c r="N155" s="73" t="n"/>
      <c r="O155" s="107">
        <f>IF(B155="","",IF(M155&lt;&gt;"","Paid",IF(AND(I155&lt;&gt;"",I155&lt;AsOf),"OVERDUE",IF(OR(K155&lt;&gt;"",L155&lt;&gt;""),"Invoiced","Scheduled"))))</f>
        <v/>
      </c>
      <c r="P155" s="114">
        <f>IF(B155="","",IF(E155&lt;&gt;"",E155,IFERROR(INDEX('Contractors'!$D$6:$D$35,MATCH(B155,'Contractors'!$B$6:$B$35,0)),"")))</f>
        <v/>
      </c>
      <c r="Q155" s="79">
        <f>IF(B155="","",IF(D155&lt;&gt;"",D155,IFERROR(INDEX('Contractors'!$E$6:$E$35,MATCH(B155,'Contractors'!$B$6:$B$35,0)),"")))</f>
        <v/>
      </c>
      <c r="R155" s="79">
        <f>IF(O155="","",IF(O155="OVERDUE",2,IF(O155="Paid",0,IF(AND(I155&lt;&gt;"",I155&lt;=AsOf+AlertDays),1,0))))</f>
        <v/>
      </c>
      <c r="S155" s="79">
        <f>IF(AND(B155&lt;&gt;"",M155="",I155&lt;&gt;""),IF(L155&lt;&gt;"",L155,IF(H155="",0,H155)),0)</f>
        <v/>
      </c>
      <c r="T155" s="79">
        <f>IF(AND(B155&lt;&gt;"",M155="",I155&lt;&gt;""),1/I155,0)</f>
        <v/>
      </c>
      <c r="U155" s="111">
        <f>IF(AND(B155&lt;&gt;"",M155="",I155&lt;&gt;""),I155,"")</f>
        <v/>
      </c>
      <c r="V155" s="79">
        <f>IF(U155="","",IF(U155&lt;AsOf,1,IF(U155&lt;=AsOf+AlertDays,2,IF(U155&lt;=AsOf+2*AlertDays,3,""))))</f>
        <v/>
      </c>
      <c r="W155" s="79">
        <f>IF(V155="","",IF(O155="OVERDUE","Overdue payment: ","Payment due: ")&amp;B155&amp;" — "&amp;C155&amp;" ("&amp;CurSym&amp;" "&amp;FIXED(S155,0)&amp;")")</f>
        <v/>
      </c>
    </row>
    <row r="156" ht="20" customHeight="1">
      <c r="B156" s="72" t="n"/>
      <c r="C156" s="72" t="n"/>
      <c r="D156" s="72" t="n"/>
      <c r="E156" s="72" t="n"/>
      <c r="F156" s="109" t="n"/>
      <c r="G156" s="73" t="n"/>
      <c r="H156" s="75">
        <f>IF(B156="","",IF(G156&lt;&gt;"",G156,IF(F156&lt;&gt;"",F156*IFERROR(INDEX('Contractors'!$I$6:$I$35,MATCH(B156,'Contractors'!$B$6:$B$35,0)),0),"")))</f>
        <v/>
      </c>
      <c r="I156" s="108" t="n"/>
      <c r="J156" s="72" t="n"/>
      <c r="K156" s="108" t="n"/>
      <c r="L156" s="73" t="n"/>
      <c r="M156" s="108" t="n"/>
      <c r="N156" s="73" t="n"/>
      <c r="O156" s="107">
        <f>IF(B156="","",IF(M156&lt;&gt;"","Paid",IF(AND(I156&lt;&gt;"",I156&lt;AsOf),"OVERDUE",IF(OR(K156&lt;&gt;"",L156&lt;&gt;""),"Invoiced","Scheduled"))))</f>
        <v/>
      </c>
      <c r="P156" s="114">
        <f>IF(B156="","",IF(E156&lt;&gt;"",E156,IFERROR(INDEX('Contractors'!$D$6:$D$35,MATCH(B156,'Contractors'!$B$6:$B$35,0)),"")))</f>
        <v/>
      </c>
      <c r="Q156" s="79">
        <f>IF(B156="","",IF(D156&lt;&gt;"",D156,IFERROR(INDEX('Contractors'!$E$6:$E$35,MATCH(B156,'Contractors'!$B$6:$B$35,0)),"")))</f>
        <v/>
      </c>
      <c r="R156" s="79">
        <f>IF(O156="","",IF(O156="OVERDUE",2,IF(O156="Paid",0,IF(AND(I156&lt;&gt;"",I156&lt;=AsOf+AlertDays),1,0))))</f>
        <v/>
      </c>
      <c r="S156" s="79">
        <f>IF(AND(B156&lt;&gt;"",M156="",I156&lt;&gt;""),IF(L156&lt;&gt;"",L156,IF(H156="",0,H156)),0)</f>
        <v/>
      </c>
      <c r="T156" s="79">
        <f>IF(AND(B156&lt;&gt;"",M156="",I156&lt;&gt;""),1/I156,0)</f>
        <v/>
      </c>
      <c r="U156" s="111">
        <f>IF(AND(B156&lt;&gt;"",M156="",I156&lt;&gt;""),I156,"")</f>
        <v/>
      </c>
      <c r="V156" s="79">
        <f>IF(U156="","",IF(U156&lt;AsOf,1,IF(U156&lt;=AsOf+AlertDays,2,IF(U156&lt;=AsOf+2*AlertDays,3,""))))</f>
        <v/>
      </c>
      <c r="W156" s="79">
        <f>IF(V156="","",IF(O156="OVERDUE","Overdue payment: ","Payment due: ")&amp;B156&amp;" — "&amp;C156&amp;" ("&amp;CurSym&amp;" "&amp;FIXED(S156,0)&amp;")")</f>
        <v/>
      </c>
    </row>
    <row r="157" ht="20" customHeight="1">
      <c r="B157" s="72" t="n"/>
      <c r="C157" s="72" t="n"/>
      <c r="D157" s="72" t="n"/>
      <c r="E157" s="72" t="n"/>
      <c r="F157" s="109" t="n"/>
      <c r="G157" s="73" t="n"/>
      <c r="H157" s="75">
        <f>IF(B157="","",IF(G157&lt;&gt;"",G157,IF(F157&lt;&gt;"",F157*IFERROR(INDEX('Contractors'!$I$6:$I$35,MATCH(B157,'Contractors'!$B$6:$B$35,0)),0),"")))</f>
        <v/>
      </c>
      <c r="I157" s="108" t="n"/>
      <c r="J157" s="72" t="n"/>
      <c r="K157" s="108" t="n"/>
      <c r="L157" s="73" t="n"/>
      <c r="M157" s="108" t="n"/>
      <c r="N157" s="73" t="n"/>
      <c r="O157" s="107">
        <f>IF(B157="","",IF(M157&lt;&gt;"","Paid",IF(AND(I157&lt;&gt;"",I157&lt;AsOf),"OVERDUE",IF(OR(K157&lt;&gt;"",L157&lt;&gt;""),"Invoiced","Scheduled"))))</f>
        <v/>
      </c>
      <c r="P157" s="114">
        <f>IF(B157="","",IF(E157&lt;&gt;"",E157,IFERROR(INDEX('Contractors'!$D$6:$D$35,MATCH(B157,'Contractors'!$B$6:$B$35,0)),"")))</f>
        <v/>
      </c>
      <c r="Q157" s="79">
        <f>IF(B157="","",IF(D157&lt;&gt;"",D157,IFERROR(INDEX('Contractors'!$E$6:$E$35,MATCH(B157,'Contractors'!$B$6:$B$35,0)),"")))</f>
        <v/>
      </c>
      <c r="R157" s="79">
        <f>IF(O157="","",IF(O157="OVERDUE",2,IF(O157="Paid",0,IF(AND(I157&lt;&gt;"",I157&lt;=AsOf+AlertDays),1,0))))</f>
        <v/>
      </c>
      <c r="S157" s="79">
        <f>IF(AND(B157&lt;&gt;"",M157="",I157&lt;&gt;""),IF(L157&lt;&gt;"",L157,IF(H157="",0,H157)),0)</f>
        <v/>
      </c>
      <c r="T157" s="79">
        <f>IF(AND(B157&lt;&gt;"",M157="",I157&lt;&gt;""),1/I157,0)</f>
        <v/>
      </c>
      <c r="U157" s="111">
        <f>IF(AND(B157&lt;&gt;"",M157="",I157&lt;&gt;""),I157,"")</f>
        <v/>
      </c>
      <c r="V157" s="79">
        <f>IF(U157="","",IF(U157&lt;AsOf,1,IF(U157&lt;=AsOf+AlertDays,2,IF(U157&lt;=AsOf+2*AlertDays,3,""))))</f>
        <v/>
      </c>
      <c r="W157" s="79">
        <f>IF(V157="","",IF(O157="OVERDUE","Overdue payment: ","Payment due: ")&amp;B157&amp;" — "&amp;C157&amp;" ("&amp;CurSym&amp;" "&amp;FIXED(S157,0)&amp;")")</f>
        <v/>
      </c>
    </row>
    <row r="158" ht="20" customHeight="1">
      <c r="B158" s="72" t="n"/>
      <c r="C158" s="72" t="n"/>
      <c r="D158" s="72" t="n"/>
      <c r="E158" s="72" t="n"/>
      <c r="F158" s="109" t="n"/>
      <c r="G158" s="73" t="n"/>
      <c r="H158" s="75">
        <f>IF(B158="","",IF(G158&lt;&gt;"",G158,IF(F158&lt;&gt;"",F158*IFERROR(INDEX('Contractors'!$I$6:$I$35,MATCH(B158,'Contractors'!$B$6:$B$35,0)),0),"")))</f>
        <v/>
      </c>
      <c r="I158" s="108" t="n"/>
      <c r="J158" s="72" t="n"/>
      <c r="K158" s="108" t="n"/>
      <c r="L158" s="73" t="n"/>
      <c r="M158" s="108" t="n"/>
      <c r="N158" s="73" t="n"/>
      <c r="O158" s="107">
        <f>IF(B158="","",IF(M158&lt;&gt;"","Paid",IF(AND(I158&lt;&gt;"",I158&lt;AsOf),"OVERDUE",IF(OR(K158&lt;&gt;"",L158&lt;&gt;""),"Invoiced","Scheduled"))))</f>
        <v/>
      </c>
      <c r="P158" s="114">
        <f>IF(B158="","",IF(E158&lt;&gt;"",E158,IFERROR(INDEX('Contractors'!$D$6:$D$35,MATCH(B158,'Contractors'!$B$6:$B$35,0)),"")))</f>
        <v/>
      </c>
      <c r="Q158" s="79">
        <f>IF(B158="","",IF(D158&lt;&gt;"",D158,IFERROR(INDEX('Contractors'!$E$6:$E$35,MATCH(B158,'Contractors'!$B$6:$B$35,0)),"")))</f>
        <v/>
      </c>
      <c r="R158" s="79">
        <f>IF(O158="","",IF(O158="OVERDUE",2,IF(O158="Paid",0,IF(AND(I158&lt;&gt;"",I158&lt;=AsOf+AlertDays),1,0))))</f>
        <v/>
      </c>
      <c r="S158" s="79">
        <f>IF(AND(B158&lt;&gt;"",M158="",I158&lt;&gt;""),IF(L158&lt;&gt;"",L158,IF(H158="",0,H158)),0)</f>
        <v/>
      </c>
      <c r="T158" s="79">
        <f>IF(AND(B158&lt;&gt;"",M158="",I158&lt;&gt;""),1/I158,0)</f>
        <v/>
      </c>
      <c r="U158" s="111">
        <f>IF(AND(B158&lt;&gt;"",M158="",I158&lt;&gt;""),I158,"")</f>
        <v/>
      </c>
      <c r="V158" s="79">
        <f>IF(U158="","",IF(U158&lt;AsOf,1,IF(U158&lt;=AsOf+AlertDays,2,IF(U158&lt;=AsOf+2*AlertDays,3,""))))</f>
        <v/>
      </c>
      <c r="W158" s="79">
        <f>IF(V158="","",IF(O158="OVERDUE","Overdue payment: ","Payment due: ")&amp;B158&amp;" — "&amp;C158&amp;" ("&amp;CurSym&amp;" "&amp;FIXED(S158,0)&amp;")")</f>
        <v/>
      </c>
    </row>
    <row r="159" ht="20" customHeight="1">
      <c r="B159" s="72" t="n"/>
      <c r="C159" s="72" t="n"/>
      <c r="D159" s="72" t="n"/>
      <c r="E159" s="72" t="n"/>
      <c r="F159" s="109" t="n"/>
      <c r="G159" s="73" t="n"/>
      <c r="H159" s="75">
        <f>IF(B159="","",IF(G159&lt;&gt;"",G159,IF(F159&lt;&gt;"",F159*IFERROR(INDEX('Contractors'!$I$6:$I$35,MATCH(B159,'Contractors'!$B$6:$B$35,0)),0),"")))</f>
        <v/>
      </c>
      <c r="I159" s="108" t="n"/>
      <c r="J159" s="72" t="n"/>
      <c r="K159" s="108" t="n"/>
      <c r="L159" s="73" t="n"/>
      <c r="M159" s="108" t="n"/>
      <c r="N159" s="73" t="n"/>
      <c r="O159" s="107">
        <f>IF(B159="","",IF(M159&lt;&gt;"","Paid",IF(AND(I159&lt;&gt;"",I159&lt;AsOf),"OVERDUE",IF(OR(K159&lt;&gt;"",L159&lt;&gt;""),"Invoiced","Scheduled"))))</f>
        <v/>
      </c>
      <c r="P159" s="114">
        <f>IF(B159="","",IF(E159&lt;&gt;"",E159,IFERROR(INDEX('Contractors'!$D$6:$D$35,MATCH(B159,'Contractors'!$B$6:$B$35,0)),"")))</f>
        <v/>
      </c>
      <c r="Q159" s="79">
        <f>IF(B159="","",IF(D159&lt;&gt;"",D159,IFERROR(INDEX('Contractors'!$E$6:$E$35,MATCH(B159,'Contractors'!$B$6:$B$35,0)),"")))</f>
        <v/>
      </c>
      <c r="R159" s="79">
        <f>IF(O159="","",IF(O159="OVERDUE",2,IF(O159="Paid",0,IF(AND(I159&lt;&gt;"",I159&lt;=AsOf+AlertDays),1,0))))</f>
        <v/>
      </c>
      <c r="S159" s="79">
        <f>IF(AND(B159&lt;&gt;"",M159="",I159&lt;&gt;""),IF(L159&lt;&gt;"",L159,IF(H159="",0,H159)),0)</f>
        <v/>
      </c>
      <c r="T159" s="79">
        <f>IF(AND(B159&lt;&gt;"",M159="",I159&lt;&gt;""),1/I159,0)</f>
        <v/>
      </c>
      <c r="U159" s="111">
        <f>IF(AND(B159&lt;&gt;"",M159="",I159&lt;&gt;""),I159,"")</f>
        <v/>
      </c>
      <c r="V159" s="79">
        <f>IF(U159="","",IF(U159&lt;AsOf,1,IF(U159&lt;=AsOf+AlertDays,2,IF(U159&lt;=AsOf+2*AlertDays,3,""))))</f>
        <v/>
      </c>
      <c r="W159" s="79">
        <f>IF(V159="","",IF(O159="OVERDUE","Overdue payment: ","Payment due: ")&amp;B159&amp;" — "&amp;C159&amp;" ("&amp;CurSym&amp;" "&amp;FIXED(S159,0)&amp;")")</f>
        <v/>
      </c>
    </row>
    <row r="160" ht="20" customHeight="1">
      <c r="B160" s="72" t="n"/>
      <c r="C160" s="72" t="n"/>
      <c r="D160" s="72" t="n"/>
      <c r="E160" s="72" t="n"/>
      <c r="F160" s="109" t="n"/>
      <c r="G160" s="73" t="n"/>
      <c r="H160" s="75">
        <f>IF(B160="","",IF(G160&lt;&gt;"",G160,IF(F160&lt;&gt;"",F160*IFERROR(INDEX('Contractors'!$I$6:$I$35,MATCH(B160,'Contractors'!$B$6:$B$35,0)),0),"")))</f>
        <v/>
      </c>
      <c r="I160" s="108" t="n"/>
      <c r="J160" s="72" t="n"/>
      <c r="K160" s="108" t="n"/>
      <c r="L160" s="73" t="n"/>
      <c r="M160" s="108" t="n"/>
      <c r="N160" s="73" t="n"/>
      <c r="O160" s="107">
        <f>IF(B160="","",IF(M160&lt;&gt;"","Paid",IF(AND(I160&lt;&gt;"",I160&lt;AsOf),"OVERDUE",IF(OR(K160&lt;&gt;"",L160&lt;&gt;""),"Invoiced","Scheduled"))))</f>
        <v/>
      </c>
      <c r="P160" s="114">
        <f>IF(B160="","",IF(E160&lt;&gt;"",E160,IFERROR(INDEX('Contractors'!$D$6:$D$35,MATCH(B160,'Contractors'!$B$6:$B$35,0)),"")))</f>
        <v/>
      </c>
      <c r="Q160" s="79">
        <f>IF(B160="","",IF(D160&lt;&gt;"",D160,IFERROR(INDEX('Contractors'!$E$6:$E$35,MATCH(B160,'Contractors'!$B$6:$B$35,0)),"")))</f>
        <v/>
      </c>
      <c r="R160" s="79">
        <f>IF(O160="","",IF(O160="OVERDUE",2,IF(O160="Paid",0,IF(AND(I160&lt;&gt;"",I160&lt;=AsOf+AlertDays),1,0))))</f>
        <v/>
      </c>
      <c r="S160" s="79">
        <f>IF(AND(B160&lt;&gt;"",M160="",I160&lt;&gt;""),IF(L160&lt;&gt;"",L160,IF(H160="",0,H160)),0)</f>
        <v/>
      </c>
      <c r="T160" s="79">
        <f>IF(AND(B160&lt;&gt;"",M160="",I160&lt;&gt;""),1/I160,0)</f>
        <v/>
      </c>
      <c r="U160" s="111">
        <f>IF(AND(B160&lt;&gt;"",M160="",I160&lt;&gt;""),I160,"")</f>
        <v/>
      </c>
      <c r="V160" s="79">
        <f>IF(U160="","",IF(U160&lt;AsOf,1,IF(U160&lt;=AsOf+AlertDays,2,IF(U160&lt;=AsOf+2*AlertDays,3,""))))</f>
        <v/>
      </c>
      <c r="W160" s="79">
        <f>IF(V160="","",IF(O160="OVERDUE","Overdue payment: ","Payment due: ")&amp;B160&amp;" — "&amp;C160&amp;" ("&amp;CurSym&amp;" "&amp;FIXED(S160,0)&amp;")")</f>
        <v/>
      </c>
    </row>
    <row r="161" ht="20" customHeight="1">
      <c r="B161" s="72" t="n"/>
      <c r="C161" s="72" t="n"/>
      <c r="D161" s="72" t="n"/>
      <c r="E161" s="72" t="n"/>
      <c r="F161" s="109" t="n"/>
      <c r="G161" s="73" t="n"/>
      <c r="H161" s="75">
        <f>IF(B161="","",IF(G161&lt;&gt;"",G161,IF(F161&lt;&gt;"",F161*IFERROR(INDEX('Contractors'!$I$6:$I$35,MATCH(B161,'Contractors'!$B$6:$B$35,0)),0),"")))</f>
        <v/>
      </c>
      <c r="I161" s="108" t="n"/>
      <c r="J161" s="72" t="n"/>
      <c r="K161" s="108" t="n"/>
      <c r="L161" s="73" t="n"/>
      <c r="M161" s="108" t="n"/>
      <c r="N161" s="73" t="n"/>
      <c r="O161" s="107">
        <f>IF(B161="","",IF(M161&lt;&gt;"","Paid",IF(AND(I161&lt;&gt;"",I161&lt;AsOf),"OVERDUE",IF(OR(K161&lt;&gt;"",L161&lt;&gt;""),"Invoiced","Scheduled"))))</f>
        <v/>
      </c>
      <c r="P161" s="114">
        <f>IF(B161="","",IF(E161&lt;&gt;"",E161,IFERROR(INDEX('Contractors'!$D$6:$D$35,MATCH(B161,'Contractors'!$B$6:$B$35,0)),"")))</f>
        <v/>
      </c>
      <c r="Q161" s="79">
        <f>IF(B161="","",IF(D161&lt;&gt;"",D161,IFERROR(INDEX('Contractors'!$E$6:$E$35,MATCH(B161,'Contractors'!$B$6:$B$35,0)),"")))</f>
        <v/>
      </c>
      <c r="R161" s="79">
        <f>IF(O161="","",IF(O161="OVERDUE",2,IF(O161="Paid",0,IF(AND(I161&lt;&gt;"",I161&lt;=AsOf+AlertDays),1,0))))</f>
        <v/>
      </c>
      <c r="S161" s="79">
        <f>IF(AND(B161&lt;&gt;"",M161="",I161&lt;&gt;""),IF(L161&lt;&gt;"",L161,IF(H161="",0,H161)),0)</f>
        <v/>
      </c>
      <c r="T161" s="79">
        <f>IF(AND(B161&lt;&gt;"",M161="",I161&lt;&gt;""),1/I161,0)</f>
        <v/>
      </c>
      <c r="U161" s="111">
        <f>IF(AND(B161&lt;&gt;"",M161="",I161&lt;&gt;""),I161,"")</f>
        <v/>
      </c>
      <c r="V161" s="79">
        <f>IF(U161="","",IF(U161&lt;AsOf,1,IF(U161&lt;=AsOf+AlertDays,2,IF(U161&lt;=AsOf+2*AlertDays,3,""))))</f>
        <v/>
      </c>
      <c r="W161" s="79">
        <f>IF(V161="","",IF(O161="OVERDUE","Overdue payment: ","Payment due: ")&amp;B161&amp;" — "&amp;C161&amp;" ("&amp;CurSym&amp;" "&amp;FIXED(S161,0)&amp;")")</f>
        <v/>
      </c>
    </row>
    <row r="162" ht="20" customHeight="1">
      <c r="B162" s="72" t="n"/>
      <c r="C162" s="72" t="n"/>
      <c r="D162" s="72" t="n"/>
      <c r="E162" s="72" t="n"/>
      <c r="F162" s="109" t="n"/>
      <c r="G162" s="73" t="n"/>
      <c r="H162" s="75">
        <f>IF(B162="","",IF(G162&lt;&gt;"",G162,IF(F162&lt;&gt;"",F162*IFERROR(INDEX('Contractors'!$I$6:$I$35,MATCH(B162,'Contractors'!$B$6:$B$35,0)),0),"")))</f>
        <v/>
      </c>
      <c r="I162" s="108" t="n"/>
      <c r="J162" s="72" t="n"/>
      <c r="K162" s="108" t="n"/>
      <c r="L162" s="73" t="n"/>
      <c r="M162" s="108" t="n"/>
      <c r="N162" s="73" t="n"/>
      <c r="O162" s="107">
        <f>IF(B162="","",IF(M162&lt;&gt;"","Paid",IF(AND(I162&lt;&gt;"",I162&lt;AsOf),"OVERDUE",IF(OR(K162&lt;&gt;"",L162&lt;&gt;""),"Invoiced","Scheduled"))))</f>
        <v/>
      </c>
      <c r="P162" s="114">
        <f>IF(B162="","",IF(E162&lt;&gt;"",E162,IFERROR(INDEX('Contractors'!$D$6:$D$35,MATCH(B162,'Contractors'!$B$6:$B$35,0)),"")))</f>
        <v/>
      </c>
      <c r="Q162" s="79">
        <f>IF(B162="","",IF(D162&lt;&gt;"",D162,IFERROR(INDEX('Contractors'!$E$6:$E$35,MATCH(B162,'Contractors'!$B$6:$B$35,0)),"")))</f>
        <v/>
      </c>
      <c r="R162" s="79">
        <f>IF(O162="","",IF(O162="OVERDUE",2,IF(O162="Paid",0,IF(AND(I162&lt;&gt;"",I162&lt;=AsOf+AlertDays),1,0))))</f>
        <v/>
      </c>
      <c r="S162" s="79">
        <f>IF(AND(B162&lt;&gt;"",M162="",I162&lt;&gt;""),IF(L162&lt;&gt;"",L162,IF(H162="",0,H162)),0)</f>
        <v/>
      </c>
      <c r="T162" s="79">
        <f>IF(AND(B162&lt;&gt;"",M162="",I162&lt;&gt;""),1/I162,0)</f>
        <v/>
      </c>
      <c r="U162" s="111">
        <f>IF(AND(B162&lt;&gt;"",M162="",I162&lt;&gt;""),I162,"")</f>
        <v/>
      </c>
      <c r="V162" s="79">
        <f>IF(U162="","",IF(U162&lt;AsOf,1,IF(U162&lt;=AsOf+AlertDays,2,IF(U162&lt;=AsOf+2*AlertDays,3,""))))</f>
        <v/>
      </c>
      <c r="W162" s="79">
        <f>IF(V162="","",IF(O162="OVERDUE","Overdue payment: ","Payment due: ")&amp;B162&amp;" — "&amp;C162&amp;" ("&amp;CurSym&amp;" "&amp;FIXED(S162,0)&amp;")")</f>
        <v/>
      </c>
    </row>
    <row r="163" ht="20" customHeight="1">
      <c r="B163" s="72" t="n"/>
      <c r="C163" s="72" t="n"/>
      <c r="D163" s="72" t="n"/>
      <c r="E163" s="72" t="n"/>
      <c r="F163" s="109" t="n"/>
      <c r="G163" s="73" t="n"/>
      <c r="H163" s="75">
        <f>IF(B163="","",IF(G163&lt;&gt;"",G163,IF(F163&lt;&gt;"",F163*IFERROR(INDEX('Contractors'!$I$6:$I$35,MATCH(B163,'Contractors'!$B$6:$B$35,0)),0),"")))</f>
        <v/>
      </c>
      <c r="I163" s="108" t="n"/>
      <c r="J163" s="72" t="n"/>
      <c r="K163" s="108" t="n"/>
      <c r="L163" s="73" t="n"/>
      <c r="M163" s="108" t="n"/>
      <c r="N163" s="73" t="n"/>
      <c r="O163" s="107">
        <f>IF(B163="","",IF(M163&lt;&gt;"","Paid",IF(AND(I163&lt;&gt;"",I163&lt;AsOf),"OVERDUE",IF(OR(K163&lt;&gt;"",L163&lt;&gt;""),"Invoiced","Scheduled"))))</f>
        <v/>
      </c>
      <c r="P163" s="114">
        <f>IF(B163="","",IF(E163&lt;&gt;"",E163,IFERROR(INDEX('Contractors'!$D$6:$D$35,MATCH(B163,'Contractors'!$B$6:$B$35,0)),"")))</f>
        <v/>
      </c>
      <c r="Q163" s="79">
        <f>IF(B163="","",IF(D163&lt;&gt;"",D163,IFERROR(INDEX('Contractors'!$E$6:$E$35,MATCH(B163,'Contractors'!$B$6:$B$35,0)),"")))</f>
        <v/>
      </c>
      <c r="R163" s="79">
        <f>IF(O163="","",IF(O163="OVERDUE",2,IF(O163="Paid",0,IF(AND(I163&lt;&gt;"",I163&lt;=AsOf+AlertDays),1,0))))</f>
        <v/>
      </c>
      <c r="S163" s="79">
        <f>IF(AND(B163&lt;&gt;"",M163="",I163&lt;&gt;""),IF(L163&lt;&gt;"",L163,IF(H163="",0,H163)),0)</f>
        <v/>
      </c>
      <c r="T163" s="79">
        <f>IF(AND(B163&lt;&gt;"",M163="",I163&lt;&gt;""),1/I163,0)</f>
        <v/>
      </c>
      <c r="U163" s="111">
        <f>IF(AND(B163&lt;&gt;"",M163="",I163&lt;&gt;""),I163,"")</f>
        <v/>
      </c>
      <c r="V163" s="79">
        <f>IF(U163="","",IF(U163&lt;AsOf,1,IF(U163&lt;=AsOf+AlertDays,2,IF(U163&lt;=AsOf+2*AlertDays,3,""))))</f>
        <v/>
      </c>
      <c r="W163" s="79">
        <f>IF(V163="","",IF(O163="OVERDUE","Overdue payment: ","Payment due: ")&amp;B163&amp;" — "&amp;C163&amp;" ("&amp;CurSym&amp;" "&amp;FIXED(S163,0)&amp;")")</f>
        <v/>
      </c>
    </row>
    <row r="164" ht="20" customHeight="1">
      <c r="B164" s="72" t="n"/>
      <c r="C164" s="72" t="n"/>
      <c r="D164" s="72" t="n"/>
      <c r="E164" s="72" t="n"/>
      <c r="F164" s="109" t="n"/>
      <c r="G164" s="73" t="n"/>
      <c r="H164" s="75">
        <f>IF(B164="","",IF(G164&lt;&gt;"",G164,IF(F164&lt;&gt;"",F164*IFERROR(INDEX('Contractors'!$I$6:$I$35,MATCH(B164,'Contractors'!$B$6:$B$35,0)),0),"")))</f>
        <v/>
      </c>
      <c r="I164" s="108" t="n"/>
      <c r="J164" s="72" t="n"/>
      <c r="K164" s="108" t="n"/>
      <c r="L164" s="73" t="n"/>
      <c r="M164" s="108" t="n"/>
      <c r="N164" s="73" t="n"/>
      <c r="O164" s="107">
        <f>IF(B164="","",IF(M164&lt;&gt;"","Paid",IF(AND(I164&lt;&gt;"",I164&lt;AsOf),"OVERDUE",IF(OR(K164&lt;&gt;"",L164&lt;&gt;""),"Invoiced","Scheduled"))))</f>
        <v/>
      </c>
      <c r="P164" s="114">
        <f>IF(B164="","",IF(E164&lt;&gt;"",E164,IFERROR(INDEX('Contractors'!$D$6:$D$35,MATCH(B164,'Contractors'!$B$6:$B$35,0)),"")))</f>
        <v/>
      </c>
      <c r="Q164" s="79">
        <f>IF(B164="","",IF(D164&lt;&gt;"",D164,IFERROR(INDEX('Contractors'!$E$6:$E$35,MATCH(B164,'Contractors'!$B$6:$B$35,0)),"")))</f>
        <v/>
      </c>
      <c r="R164" s="79">
        <f>IF(O164="","",IF(O164="OVERDUE",2,IF(O164="Paid",0,IF(AND(I164&lt;&gt;"",I164&lt;=AsOf+AlertDays),1,0))))</f>
        <v/>
      </c>
      <c r="S164" s="79">
        <f>IF(AND(B164&lt;&gt;"",M164="",I164&lt;&gt;""),IF(L164&lt;&gt;"",L164,IF(H164="",0,H164)),0)</f>
        <v/>
      </c>
      <c r="T164" s="79">
        <f>IF(AND(B164&lt;&gt;"",M164="",I164&lt;&gt;""),1/I164,0)</f>
        <v/>
      </c>
      <c r="U164" s="111">
        <f>IF(AND(B164&lt;&gt;"",M164="",I164&lt;&gt;""),I164,"")</f>
        <v/>
      </c>
      <c r="V164" s="79">
        <f>IF(U164="","",IF(U164&lt;AsOf,1,IF(U164&lt;=AsOf+AlertDays,2,IF(U164&lt;=AsOf+2*AlertDays,3,""))))</f>
        <v/>
      </c>
      <c r="W164" s="79">
        <f>IF(V164="","",IF(O164="OVERDUE","Overdue payment: ","Payment due: ")&amp;B164&amp;" — "&amp;C164&amp;" ("&amp;CurSym&amp;" "&amp;FIXED(S164,0)&amp;")")</f>
        <v/>
      </c>
    </row>
    <row r="165" ht="20" customHeight="1">
      <c r="B165" s="72" t="n"/>
      <c r="C165" s="72" t="n"/>
      <c r="D165" s="72" t="n"/>
      <c r="E165" s="72" t="n"/>
      <c r="F165" s="109" t="n"/>
      <c r="G165" s="73" t="n"/>
      <c r="H165" s="75">
        <f>IF(B165="","",IF(G165&lt;&gt;"",G165,IF(F165&lt;&gt;"",F165*IFERROR(INDEX('Contractors'!$I$6:$I$35,MATCH(B165,'Contractors'!$B$6:$B$35,0)),0),"")))</f>
        <v/>
      </c>
      <c r="I165" s="108" t="n"/>
      <c r="J165" s="72" t="n"/>
      <c r="K165" s="108" t="n"/>
      <c r="L165" s="73" t="n"/>
      <c r="M165" s="108" t="n"/>
      <c r="N165" s="73" t="n"/>
      <c r="O165" s="107">
        <f>IF(B165="","",IF(M165&lt;&gt;"","Paid",IF(AND(I165&lt;&gt;"",I165&lt;AsOf),"OVERDUE",IF(OR(K165&lt;&gt;"",L165&lt;&gt;""),"Invoiced","Scheduled"))))</f>
        <v/>
      </c>
      <c r="P165" s="114">
        <f>IF(B165="","",IF(E165&lt;&gt;"",E165,IFERROR(INDEX('Contractors'!$D$6:$D$35,MATCH(B165,'Contractors'!$B$6:$B$35,0)),"")))</f>
        <v/>
      </c>
      <c r="Q165" s="79">
        <f>IF(B165="","",IF(D165&lt;&gt;"",D165,IFERROR(INDEX('Contractors'!$E$6:$E$35,MATCH(B165,'Contractors'!$B$6:$B$35,0)),"")))</f>
        <v/>
      </c>
      <c r="R165" s="79">
        <f>IF(O165="","",IF(O165="OVERDUE",2,IF(O165="Paid",0,IF(AND(I165&lt;&gt;"",I165&lt;=AsOf+AlertDays),1,0))))</f>
        <v/>
      </c>
      <c r="S165" s="79">
        <f>IF(AND(B165&lt;&gt;"",M165="",I165&lt;&gt;""),IF(L165&lt;&gt;"",L165,IF(H165="",0,H165)),0)</f>
        <v/>
      </c>
      <c r="T165" s="79">
        <f>IF(AND(B165&lt;&gt;"",M165="",I165&lt;&gt;""),1/I165,0)</f>
        <v/>
      </c>
      <c r="U165" s="111">
        <f>IF(AND(B165&lt;&gt;"",M165="",I165&lt;&gt;""),I165,"")</f>
        <v/>
      </c>
      <c r="V165" s="79">
        <f>IF(U165="","",IF(U165&lt;AsOf,1,IF(U165&lt;=AsOf+AlertDays,2,IF(U165&lt;=AsOf+2*AlertDays,3,""))))</f>
        <v/>
      </c>
      <c r="W165" s="79">
        <f>IF(V165="","",IF(O165="OVERDUE","Overdue payment: ","Payment due: ")&amp;B165&amp;" — "&amp;C165&amp;" ("&amp;CurSym&amp;" "&amp;FIXED(S165,0)&amp;")")</f>
        <v/>
      </c>
    </row>
    <row r="166" ht="20" customHeight="1">
      <c r="B166" s="72" t="n"/>
      <c r="C166" s="72" t="n"/>
      <c r="D166" s="72" t="n"/>
      <c r="E166" s="72" t="n"/>
      <c r="F166" s="109" t="n"/>
      <c r="G166" s="73" t="n"/>
      <c r="H166" s="75">
        <f>IF(B166="","",IF(G166&lt;&gt;"",G166,IF(F166&lt;&gt;"",F166*IFERROR(INDEX('Contractors'!$I$6:$I$35,MATCH(B166,'Contractors'!$B$6:$B$35,0)),0),"")))</f>
        <v/>
      </c>
      <c r="I166" s="108" t="n"/>
      <c r="J166" s="72" t="n"/>
      <c r="K166" s="108" t="n"/>
      <c r="L166" s="73" t="n"/>
      <c r="M166" s="108" t="n"/>
      <c r="N166" s="73" t="n"/>
      <c r="O166" s="107">
        <f>IF(B166="","",IF(M166&lt;&gt;"","Paid",IF(AND(I166&lt;&gt;"",I166&lt;AsOf),"OVERDUE",IF(OR(K166&lt;&gt;"",L166&lt;&gt;""),"Invoiced","Scheduled"))))</f>
        <v/>
      </c>
      <c r="P166" s="114">
        <f>IF(B166="","",IF(E166&lt;&gt;"",E166,IFERROR(INDEX('Contractors'!$D$6:$D$35,MATCH(B166,'Contractors'!$B$6:$B$35,0)),"")))</f>
        <v/>
      </c>
      <c r="Q166" s="79">
        <f>IF(B166="","",IF(D166&lt;&gt;"",D166,IFERROR(INDEX('Contractors'!$E$6:$E$35,MATCH(B166,'Contractors'!$B$6:$B$35,0)),"")))</f>
        <v/>
      </c>
      <c r="R166" s="79">
        <f>IF(O166="","",IF(O166="OVERDUE",2,IF(O166="Paid",0,IF(AND(I166&lt;&gt;"",I166&lt;=AsOf+AlertDays),1,0))))</f>
        <v/>
      </c>
      <c r="S166" s="79">
        <f>IF(AND(B166&lt;&gt;"",M166="",I166&lt;&gt;""),IF(L166&lt;&gt;"",L166,IF(H166="",0,H166)),0)</f>
        <v/>
      </c>
      <c r="T166" s="79">
        <f>IF(AND(B166&lt;&gt;"",M166="",I166&lt;&gt;""),1/I166,0)</f>
        <v/>
      </c>
      <c r="U166" s="111">
        <f>IF(AND(B166&lt;&gt;"",M166="",I166&lt;&gt;""),I166,"")</f>
        <v/>
      </c>
      <c r="V166" s="79">
        <f>IF(U166="","",IF(U166&lt;AsOf,1,IF(U166&lt;=AsOf+AlertDays,2,IF(U166&lt;=AsOf+2*AlertDays,3,""))))</f>
        <v/>
      </c>
      <c r="W166" s="79">
        <f>IF(V166="","",IF(O166="OVERDUE","Overdue payment: ","Payment due: ")&amp;B166&amp;" — "&amp;C166&amp;" ("&amp;CurSym&amp;" "&amp;FIXED(S166,0)&amp;")")</f>
        <v/>
      </c>
    </row>
    <row r="167" ht="20" customHeight="1">
      <c r="B167" s="72" t="n"/>
      <c r="C167" s="72" t="n"/>
      <c r="D167" s="72" t="n"/>
      <c r="E167" s="72" t="n"/>
      <c r="F167" s="109" t="n"/>
      <c r="G167" s="73" t="n"/>
      <c r="H167" s="75">
        <f>IF(B167="","",IF(G167&lt;&gt;"",G167,IF(F167&lt;&gt;"",F167*IFERROR(INDEX('Contractors'!$I$6:$I$35,MATCH(B167,'Contractors'!$B$6:$B$35,0)),0),"")))</f>
        <v/>
      </c>
      <c r="I167" s="108" t="n"/>
      <c r="J167" s="72" t="n"/>
      <c r="K167" s="108" t="n"/>
      <c r="L167" s="73" t="n"/>
      <c r="M167" s="108" t="n"/>
      <c r="N167" s="73" t="n"/>
      <c r="O167" s="107">
        <f>IF(B167="","",IF(M167&lt;&gt;"","Paid",IF(AND(I167&lt;&gt;"",I167&lt;AsOf),"OVERDUE",IF(OR(K167&lt;&gt;"",L167&lt;&gt;""),"Invoiced","Scheduled"))))</f>
        <v/>
      </c>
      <c r="P167" s="114">
        <f>IF(B167="","",IF(E167&lt;&gt;"",E167,IFERROR(INDEX('Contractors'!$D$6:$D$35,MATCH(B167,'Contractors'!$B$6:$B$35,0)),"")))</f>
        <v/>
      </c>
      <c r="Q167" s="79">
        <f>IF(B167="","",IF(D167&lt;&gt;"",D167,IFERROR(INDEX('Contractors'!$E$6:$E$35,MATCH(B167,'Contractors'!$B$6:$B$35,0)),"")))</f>
        <v/>
      </c>
      <c r="R167" s="79">
        <f>IF(O167="","",IF(O167="OVERDUE",2,IF(O167="Paid",0,IF(AND(I167&lt;&gt;"",I167&lt;=AsOf+AlertDays),1,0))))</f>
        <v/>
      </c>
      <c r="S167" s="79">
        <f>IF(AND(B167&lt;&gt;"",M167="",I167&lt;&gt;""),IF(L167&lt;&gt;"",L167,IF(H167="",0,H167)),0)</f>
        <v/>
      </c>
      <c r="T167" s="79">
        <f>IF(AND(B167&lt;&gt;"",M167="",I167&lt;&gt;""),1/I167,0)</f>
        <v/>
      </c>
      <c r="U167" s="111">
        <f>IF(AND(B167&lt;&gt;"",M167="",I167&lt;&gt;""),I167,"")</f>
        <v/>
      </c>
      <c r="V167" s="79">
        <f>IF(U167="","",IF(U167&lt;AsOf,1,IF(U167&lt;=AsOf+AlertDays,2,IF(U167&lt;=AsOf+2*AlertDays,3,""))))</f>
        <v/>
      </c>
      <c r="W167" s="79">
        <f>IF(V167="","",IF(O167="OVERDUE","Overdue payment: ","Payment due: ")&amp;B167&amp;" — "&amp;C167&amp;" ("&amp;CurSym&amp;" "&amp;FIXED(S167,0)&amp;")")</f>
        <v/>
      </c>
    </row>
    <row r="168" ht="20" customHeight="1">
      <c r="B168" s="72" t="n"/>
      <c r="C168" s="72" t="n"/>
      <c r="D168" s="72" t="n"/>
      <c r="E168" s="72" t="n"/>
      <c r="F168" s="109" t="n"/>
      <c r="G168" s="73" t="n"/>
      <c r="H168" s="75">
        <f>IF(B168="","",IF(G168&lt;&gt;"",G168,IF(F168&lt;&gt;"",F168*IFERROR(INDEX('Contractors'!$I$6:$I$35,MATCH(B168,'Contractors'!$B$6:$B$35,0)),0),"")))</f>
        <v/>
      </c>
      <c r="I168" s="108" t="n"/>
      <c r="J168" s="72" t="n"/>
      <c r="K168" s="108" t="n"/>
      <c r="L168" s="73" t="n"/>
      <c r="M168" s="108" t="n"/>
      <c r="N168" s="73" t="n"/>
      <c r="O168" s="107">
        <f>IF(B168="","",IF(M168&lt;&gt;"","Paid",IF(AND(I168&lt;&gt;"",I168&lt;AsOf),"OVERDUE",IF(OR(K168&lt;&gt;"",L168&lt;&gt;""),"Invoiced","Scheduled"))))</f>
        <v/>
      </c>
      <c r="P168" s="114">
        <f>IF(B168="","",IF(E168&lt;&gt;"",E168,IFERROR(INDEX('Contractors'!$D$6:$D$35,MATCH(B168,'Contractors'!$B$6:$B$35,0)),"")))</f>
        <v/>
      </c>
      <c r="Q168" s="79">
        <f>IF(B168="","",IF(D168&lt;&gt;"",D168,IFERROR(INDEX('Contractors'!$E$6:$E$35,MATCH(B168,'Contractors'!$B$6:$B$35,0)),"")))</f>
        <v/>
      </c>
      <c r="R168" s="79">
        <f>IF(O168="","",IF(O168="OVERDUE",2,IF(O168="Paid",0,IF(AND(I168&lt;&gt;"",I168&lt;=AsOf+AlertDays),1,0))))</f>
        <v/>
      </c>
      <c r="S168" s="79">
        <f>IF(AND(B168&lt;&gt;"",M168="",I168&lt;&gt;""),IF(L168&lt;&gt;"",L168,IF(H168="",0,H168)),0)</f>
        <v/>
      </c>
      <c r="T168" s="79">
        <f>IF(AND(B168&lt;&gt;"",M168="",I168&lt;&gt;""),1/I168,0)</f>
        <v/>
      </c>
      <c r="U168" s="111">
        <f>IF(AND(B168&lt;&gt;"",M168="",I168&lt;&gt;""),I168,"")</f>
        <v/>
      </c>
      <c r="V168" s="79">
        <f>IF(U168="","",IF(U168&lt;AsOf,1,IF(U168&lt;=AsOf+AlertDays,2,IF(U168&lt;=AsOf+2*AlertDays,3,""))))</f>
        <v/>
      </c>
      <c r="W168" s="79">
        <f>IF(V168="","",IF(O168="OVERDUE","Overdue payment: ","Payment due: ")&amp;B168&amp;" — "&amp;C168&amp;" ("&amp;CurSym&amp;" "&amp;FIXED(S168,0)&amp;")")</f>
        <v/>
      </c>
    </row>
    <row r="169" ht="20" customHeight="1">
      <c r="B169" s="72" t="n"/>
      <c r="C169" s="72" t="n"/>
      <c r="D169" s="72" t="n"/>
      <c r="E169" s="72" t="n"/>
      <c r="F169" s="109" t="n"/>
      <c r="G169" s="73" t="n"/>
      <c r="H169" s="75">
        <f>IF(B169="","",IF(G169&lt;&gt;"",G169,IF(F169&lt;&gt;"",F169*IFERROR(INDEX('Contractors'!$I$6:$I$35,MATCH(B169,'Contractors'!$B$6:$B$35,0)),0),"")))</f>
        <v/>
      </c>
      <c r="I169" s="108" t="n"/>
      <c r="J169" s="72" t="n"/>
      <c r="K169" s="108" t="n"/>
      <c r="L169" s="73" t="n"/>
      <c r="M169" s="108" t="n"/>
      <c r="N169" s="73" t="n"/>
      <c r="O169" s="107">
        <f>IF(B169="","",IF(M169&lt;&gt;"","Paid",IF(AND(I169&lt;&gt;"",I169&lt;AsOf),"OVERDUE",IF(OR(K169&lt;&gt;"",L169&lt;&gt;""),"Invoiced","Scheduled"))))</f>
        <v/>
      </c>
      <c r="P169" s="114">
        <f>IF(B169="","",IF(E169&lt;&gt;"",E169,IFERROR(INDEX('Contractors'!$D$6:$D$35,MATCH(B169,'Contractors'!$B$6:$B$35,0)),"")))</f>
        <v/>
      </c>
      <c r="Q169" s="79">
        <f>IF(B169="","",IF(D169&lt;&gt;"",D169,IFERROR(INDEX('Contractors'!$E$6:$E$35,MATCH(B169,'Contractors'!$B$6:$B$35,0)),"")))</f>
        <v/>
      </c>
      <c r="R169" s="79">
        <f>IF(O169="","",IF(O169="OVERDUE",2,IF(O169="Paid",0,IF(AND(I169&lt;&gt;"",I169&lt;=AsOf+AlertDays),1,0))))</f>
        <v/>
      </c>
      <c r="S169" s="79">
        <f>IF(AND(B169&lt;&gt;"",M169="",I169&lt;&gt;""),IF(L169&lt;&gt;"",L169,IF(H169="",0,H169)),0)</f>
        <v/>
      </c>
      <c r="T169" s="79">
        <f>IF(AND(B169&lt;&gt;"",M169="",I169&lt;&gt;""),1/I169,0)</f>
        <v/>
      </c>
      <c r="U169" s="111">
        <f>IF(AND(B169&lt;&gt;"",M169="",I169&lt;&gt;""),I169,"")</f>
        <v/>
      </c>
      <c r="V169" s="79">
        <f>IF(U169="","",IF(U169&lt;AsOf,1,IF(U169&lt;=AsOf+AlertDays,2,IF(U169&lt;=AsOf+2*AlertDays,3,""))))</f>
        <v/>
      </c>
      <c r="W169" s="79">
        <f>IF(V169="","",IF(O169="OVERDUE","Overdue payment: ","Payment due: ")&amp;B169&amp;" — "&amp;C169&amp;" ("&amp;CurSym&amp;" "&amp;FIXED(S169,0)&amp;")")</f>
        <v/>
      </c>
    </row>
    <row r="170" ht="20" customHeight="1">
      <c r="B170" s="72" t="n"/>
      <c r="C170" s="72" t="n"/>
      <c r="D170" s="72" t="n"/>
      <c r="E170" s="72" t="n"/>
      <c r="F170" s="109" t="n"/>
      <c r="G170" s="73" t="n"/>
      <c r="H170" s="75">
        <f>IF(B170="","",IF(G170&lt;&gt;"",G170,IF(F170&lt;&gt;"",F170*IFERROR(INDEX('Contractors'!$I$6:$I$35,MATCH(B170,'Contractors'!$B$6:$B$35,0)),0),"")))</f>
        <v/>
      </c>
      <c r="I170" s="108" t="n"/>
      <c r="J170" s="72" t="n"/>
      <c r="K170" s="108" t="n"/>
      <c r="L170" s="73" t="n"/>
      <c r="M170" s="108" t="n"/>
      <c r="N170" s="73" t="n"/>
      <c r="O170" s="107">
        <f>IF(B170="","",IF(M170&lt;&gt;"","Paid",IF(AND(I170&lt;&gt;"",I170&lt;AsOf),"OVERDUE",IF(OR(K170&lt;&gt;"",L170&lt;&gt;""),"Invoiced","Scheduled"))))</f>
        <v/>
      </c>
      <c r="P170" s="114">
        <f>IF(B170="","",IF(E170&lt;&gt;"",E170,IFERROR(INDEX('Contractors'!$D$6:$D$35,MATCH(B170,'Contractors'!$B$6:$B$35,0)),"")))</f>
        <v/>
      </c>
      <c r="Q170" s="79">
        <f>IF(B170="","",IF(D170&lt;&gt;"",D170,IFERROR(INDEX('Contractors'!$E$6:$E$35,MATCH(B170,'Contractors'!$B$6:$B$35,0)),"")))</f>
        <v/>
      </c>
      <c r="R170" s="79">
        <f>IF(O170="","",IF(O170="OVERDUE",2,IF(O170="Paid",0,IF(AND(I170&lt;&gt;"",I170&lt;=AsOf+AlertDays),1,0))))</f>
        <v/>
      </c>
      <c r="S170" s="79">
        <f>IF(AND(B170&lt;&gt;"",M170="",I170&lt;&gt;""),IF(L170&lt;&gt;"",L170,IF(H170="",0,H170)),0)</f>
        <v/>
      </c>
      <c r="T170" s="79">
        <f>IF(AND(B170&lt;&gt;"",M170="",I170&lt;&gt;""),1/I170,0)</f>
        <v/>
      </c>
      <c r="U170" s="111">
        <f>IF(AND(B170&lt;&gt;"",M170="",I170&lt;&gt;""),I170,"")</f>
        <v/>
      </c>
      <c r="V170" s="79">
        <f>IF(U170="","",IF(U170&lt;AsOf,1,IF(U170&lt;=AsOf+AlertDays,2,IF(U170&lt;=AsOf+2*AlertDays,3,""))))</f>
        <v/>
      </c>
      <c r="W170" s="79">
        <f>IF(V170="","",IF(O170="OVERDUE","Overdue payment: ","Payment due: ")&amp;B170&amp;" — "&amp;C170&amp;" ("&amp;CurSym&amp;" "&amp;FIXED(S170,0)&amp;")")</f>
        <v/>
      </c>
    </row>
    <row r="171" ht="20" customHeight="1">
      <c r="B171" s="72" t="n"/>
      <c r="C171" s="72" t="n"/>
      <c r="D171" s="72" t="n"/>
      <c r="E171" s="72" t="n"/>
      <c r="F171" s="109" t="n"/>
      <c r="G171" s="73" t="n"/>
      <c r="H171" s="75">
        <f>IF(B171="","",IF(G171&lt;&gt;"",G171,IF(F171&lt;&gt;"",F171*IFERROR(INDEX('Contractors'!$I$6:$I$35,MATCH(B171,'Contractors'!$B$6:$B$35,0)),0),"")))</f>
        <v/>
      </c>
      <c r="I171" s="108" t="n"/>
      <c r="J171" s="72" t="n"/>
      <c r="K171" s="108" t="n"/>
      <c r="L171" s="73" t="n"/>
      <c r="M171" s="108" t="n"/>
      <c r="N171" s="73" t="n"/>
      <c r="O171" s="107">
        <f>IF(B171="","",IF(M171&lt;&gt;"","Paid",IF(AND(I171&lt;&gt;"",I171&lt;AsOf),"OVERDUE",IF(OR(K171&lt;&gt;"",L171&lt;&gt;""),"Invoiced","Scheduled"))))</f>
        <v/>
      </c>
      <c r="P171" s="114">
        <f>IF(B171="","",IF(E171&lt;&gt;"",E171,IFERROR(INDEX('Contractors'!$D$6:$D$35,MATCH(B171,'Contractors'!$B$6:$B$35,0)),"")))</f>
        <v/>
      </c>
      <c r="Q171" s="79">
        <f>IF(B171="","",IF(D171&lt;&gt;"",D171,IFERROR(INDEX('Contractors'!$E$6:$E$35,MATCH(B171,'Contractors'!$B$6:$B$35,0)),"")))</f>
        <v/>
      </c>
      <c r="R171" s="79">
        <f>IF(O171="","",IF(O171="OVERDUE",2,IF(O171="Paid",0,IF(AND(I171&lt;&gt;"",I171&lt;=AsOf+AlertDays),1,0))))</f>
        <v/>
      </c>
      <c r="S171" s="79">
        <f>IF(AND(B171&lt;&gt;"",M171="",I171&lt;&gt;""),IF(L171&lt;&gt;"",L171,IF(H171="",0,H171)),0)</f>
        <v/>
      </c>
      <c r="T171" s="79">
        <f>IF(AND(B171&lt;&gt;"",M171="",I171&lt;&gt;""),1/I171,0)</f>
        <v/>
      </c>
      <c r="U171" s="111">
        <f>IF(AND(B171&lt;&gt;"",M171="",I171&lt;&gt;""),I171,"")</f>
        <v/>
      </c>
      <c r="V171" s="79">
        <f>IF(U171="","",IF(U171&lt;AsOf,1,IF(U171&lt;=AsOf+AlertDays,2,IF(U171&lt;=AsOf+2*AlertDays,3,""))))</f>
        <v/>
      </c>
      <c r="W171" s="79">
        <f>IF(V171="","",IF(O171="OVERDUE","Overdue payment: ","Payment due: ")&amp;B171&amp;" — "&amp;C171&amp;" ("&amp;CurSym&amp;" "&amp;FIXED(S171,0)&amp;")")</f>
        <v/>
      </c>
    </row>
    <row r="172" ht="20" customHeight="1">
      <c r="B172" s="72" t="n"/>
      <c r="C172" s="72" t="n"/>
      <c r="D172" s="72" t="n"/>
      <c r="E172" s="72" t="n"/>
      <c r="F172" s="109" t="n"/>
      <c r="G172" s="73" t="n"/>
      <c r="H172" s="75">
        <f>IF(B172="","",IF(G172&lt;&gt;"",G172,IF(F172&lt;&gt;"",F172*IFERROR(INDEX('Contractors'!$I$6:$I$35,MATCH(B172,'Contractors'!$B$6:$B$35,0)),0),"")))</f>
        <v/>
      </c>
      <c r="I172" s="108" t="n"/>
      <c r="J172" s="72" t="n"/>
      <c r="K172" s="108" t="n"/>
      <c r="L172" s="73" t="n"/>
      <c r="M172" s="108" t="n"/>
      <c r="N172" s="73" t="n"/>
      <c r="O172" s="107">
        <f>IF(B172="","",IF(M172&lt;&gt;"","Paid",IF(AND(I172&lt;&gt;"",I172&lt;AsOf),"OVERDUE",IF(OR(K172&lt;&gt;"",L172&lt;&gt;""),"Invoiced","Scheduled"))))</f>
        <v/>
      </c>
      <c r="P172" s="114">
        <f>IF(B172="","",IF(E172&lt;&gt;"",E172,IFERROR(INDEX('Contractors'!$D$6:$D$35,MATCH(B172,'Contractors'!$B$6:$B$35,0)),"")))</f>
        <v/>
      </c>
      <c r="Q172" s="79">
        <f>IF(B172="","",IF(D172&lt;&gt;"",D172,IFERROR(INDEX('Contractors'!$E$6:$E$35,MATCH(B172,'Contractors'!$B$6:$B$35,0)),"")))</f>
        <v/>
      </c>
      <c r="R172" s="79">
        <f>IF(O172="","",IF(O172="OVERDUE",2,IF(O172="Paid",0,IF(AND(I172&lt;&gt;"",I172&lt;=AsOf+AlertDays),1,0))))</f>
        <v/>
      </c>
      <c r="S172" s="79">
        <f>IF(AND(B172&lt;&gt;"",M172="",I172&lt;&gt;""),IF(L172&lt;&gt;"",L172,IF(H172="",0,H172)),0)</f>
        <v/>
      </c>
      <c r="T172" s="79">
        <f>IF(AND(B172&lt;&gt;"",M172="",I172&lt;&gt;""),1/I172,0)</f>
        <v/>
      </c>
      <c r="U172" s="111">
        <f>IF(AND(B172&lt;&gt;"",M172="",I172&lt;&gt;""),I172,"")</f>
        <v/>
      </c>
      <c r="V172" s="79">
        <f>IF(U172="","",IF(U172&lt;AsOf,1,IF(U172&lt;=AsOf+AlertDays,2,IF(U172&lt;=AsOf+2*AlertDays,3,""))))</f>
        <v/>
      </c>
      <c r="W172" s="79">
        <f>IF(V172="","",IF(O172="OVERDUE","Overdue payment: ","Payment due: ")&amp;B172&amp;" — "&amp;C172&amp;" ("&amp;CurSym&amp;" "&amp;FIXED(S172,0)&amp;")")</f>
        <v/>
      </c>
    </row>
    <row r="173" ht="20" customHeight="1">
      <c r="B173" s="72" t="n"/>
      <c r="C173" s="72" t="n"/>
      <c r="D173" s="72" t="n"/>
      <c r="E173" s="72" t="n"/>
      <c r="F173" s="109" t="n"/>
      <c r="G173" s="73" t="n"/>
      <c r="H173" s="75">
        <f>IF(B173="","",IF(G173&lt;&gt;"",G173,IF(F173&lt;&gt;"",F173*IFERROR(INDEX('Contractors'!$I$6:$I$35,MATCH(B173,'Contractors'!$B$6:$B$35,0)),0),"")))</f>
        <v/>
      </c>
      <c r="I173" s="108" t="n"/>
      <c r="J173" s="72" t="n"/>
      <c r="K173" s="108" t="n"/>
      <c r="L173" s="73" t="n"/>
      <c r="M173" s="108" t="n"/>
      <c r="N173" s="73" t="n"/>
      <c r="O173" s="107">
        <f>IF(B173="","",IF(M173&lt;&gt;"","Paid",IF(AND(I173&lt;&gt;"",I173&lt;AsOf),"OVERDUE",IF(OR(K173&lt;&gt;"",L173&lt;&gt;""),"Invoiced","Scheduled"))))</f>
        <v/>
      </c>
      <c r="P173" s="114">
        <f>IF(B173="","",IF(E173&lt;&gt;"",E173,IFERROR(INDEX('Contractors'!$D$6:$D$35,MATCH(B173,'Contractors'!$B$6:$B$35,0)),"")))</f>
        <v/>
      </c>
      <c r="Q173" s="79">
        <f>IF(B173="","",IF(D173&lt;&gt;"",D173,IFERROR(INDEX('Contractors'!$E$6:$E$35,MATCH(B173,'Contractors'!$B$6:$B$35,0)),"")))</f>
        <v/>
      </c>
      <c r="R173" s="79">
        <f>IF(O173="","",IF(O173="OVERDUE",2,IF(O173="Paid",0,IF(AND(I173&lt;&gt;"",I173&lt;=AsOf+AlertDays),1,0))))</f>
        <v/>
      </c>
      <c r="S173" s="79">
        <f>IF(AND(B173&lt;&gt;"",M173="",I173&lt;&gt;""),IF(L173&lt;&gt;"",L173,IF(H173="",0,H173)),0)</f>
        <v/>
      </c>
      <c r="T173" s="79">
        <f>IF(AND(B173&lt;&gt;"",M173="",I173&lt;&gt;""),1/I173,0)</f>
        <v/>
      </c>
      <c r="U173" s="111">
        <f>IF(AND(B173&lt;&gt;"",M173="",I173&lt;&gt;""),I173,"")</f>
        <v/>
      </c>
      <c r="V173" s="79">
        <f>IF(U173="","",IF(U173&lt;AsOf,1,IF(U173&lt;=AsOf+AlertDays,2,IF(U173&lt;=AsOf+2*AlertDays,3,""))))</f>
        <v/>
      </c>
      <c r="W173" s="79">
        <f>IF(V173="","",IF(O173="OVERDUE","Overdue payment: ","Payment due: ")&amp;B173&amp;" — "&amp;C173&amp;" ("&amp;CurSym&amp;" "&amp;FIXED(S173,0)&amp;")")</f>
        <v/>
      </c>
    </row>
    <row r="174" ht="20" customHeight="1">
      <c r="B174" s="72" t="n"/>
      <c r="C174" s="72" t="n"/>
      <c r="D174" s="72" t="n"/>
      <c r="E174" s="72" t="n"/>
      <c r="F174" s="109" t="n"/>
      <c r="G174" s="73" t="n"/>
      <c r="H174" s="75">
        <f>IF(B174="","",IF(G174&lt;&gt;"",G174,IF(F174&lt;&gt;"",F174*IFERROR(INDEX('Contractors'!$I$6:$I$35,MATCH(B174,'Contractors'!$B$6:$B$35,0)),0),"")))</f>
        <v/>
      </c>
      <c r="I174" s="108" t="n"/>
      <c r="J174" s="72" t="n"/>
      <c r="K174" s="108" t="n"/>
      <c r="L174" s="73" t="n"/>
      <c r="M174" s="108" t="n"/>
      <c r="N174" s="73" t="n"/>
      <c r="O174" s="107">
        <f>IF(B174="","",IF(M174&lt;&gt;"","Paid",IF(AND(I174&lt;&gt;"",I174&lt;AsOf),"OVERDUE",IF(OR(K174&lt;&gt;"",L174&lt;&gt;""),"Invoiced","Scheduled"))))</f>
        <v/>
      </c>
      <c r="P174" s="114">
        <f>IF(B174="","",IF(E174&lt;&gt;"",E174,IFERROR(INDEX('Contractors'!$D$6:$D$35,MATCH(B174,'Contractors'!$B$6:$B$35,0)),"")))</f>
        <v/>
      </c>
      <c r="Q174" s="79">
        <f>IF(B174="","",IF(D174&lt;&gt;"",D174,IFERROR(INDEX('Contractors'!$E$6:$E$35,MATCH(B174,'Contractors'!$B$6:$B$35,0)),"")))</f>
        <v/>
      </c>
      <c r="R174" s="79">
        <f>IF(O174="","",IF(O174="OVERDUE",2,IF(O174="Paid",0,IF(AND(I174&lt;&gt;"",I174&lt;=AsOf+AlertDays),1,0))))</f>
        <v/>
      </c>
      <c r="S174" s="79">
        <f>IF(AND(B174&lt;&gt;"",M174="",I174&lt;&gt;""),IF(L174&lt;&gt;"",L174,IF(H174="",0,H174)),0)</f>
        <v/>
      </c>
      <c r="T174" s="79">
        <f>IF(AND(B174&lt;&gt;"",M174="",I174&lt;&gt;""),1/I174,0)</f>
        <v/>
      </c>
      <c r="U174" s="111">
        <f>IF(AND(B174&lt;&gt;"",M174="",I174&lt;&gt;""),I174,"")</f>
        <v/>
      </c>
      <c r="V174" s="79">
        <f>IF(U174="","",IF(U174&lt;AsOf,1,IF(U174&lt;=AsOf+AlertDays,2,IF(U174&lt;=AsOf+2*AlertDays,3,""))))</f>
        <v/>
      </c>
      <c r="W174" s="79">
        <f>IF(V174="","",IF(O174="OVERDUE","Overdue payment: ","Payment due: ")&amp;B174&amp;" — "&amp;C174&amp;" ("&amp;CurSym&amp;" "&amp;FIXED(S174,0)&amp;")")</f>
        <v/>
      </c>
    </row>
    <row r="175" ht="20" customHeight="1">
      <c r="B175" s="72" t="n"/>
      <c r="C175" s="72" t="n"/>
      <c r="D175" s="72" t="n"/>
      <c r="E175" s="72" t="n"/>
      <c r="F175" s="109" t="n"/>
      <c r="G175" s="73" t="n"/>
      <c r="H175" s="75">
        <f>IF(B175="","",IF(G175&lt;&gt;"",G175,IF(F175&lt;&gt;"",F175*IFERROR(INDEX('Contractors'!$I$6:$I$35,MATCH(B175,'Contractors'!$B$6:$B$35,0)),0),"")))</f>
        <v/>
      </c>
      <c r="I175" s="108" t="n"/>
      <c r="J175" s="72" t="n"/>
      <c r="K175" s="108" t="n"/>
      <c r="L175" s="73" t="n"/>
      <c r="M175" s="108" t="n"/>
      <c r="N175" s="73" t="n"/>
      <c r="O175" s="107">
        <f>IF(B175="","",IF(M175&lt;&gt;"","Paid",IF(AND(I175&lt;&gt;"",I175&lt;AsOf),"OVERDUE",IF(OR(K175&lt;&gt;"",L175&lt;&gt;""),"Invoiced","Scheduled"))))</f>
        <v/>
      </c>
      <c r="P175" s="114">
        <f>IF(B175="","",IF(E175&lt;&gt;"",E175,IFERROR(INDEX('Contractors'!$D$6:$D$35,MATCH(B175,'Contractors'!$B$6:$B$35,0)),"")))</f>
        <v/>
      </c>
      <c r="Q175" s="79">
        <f>IF(B175="","",IF(D175&lt;&gt;"",D175,IFERROR(INDEX('Contractors'!$E$6:$E$35,MATCH(B175,'Contractors'!$B$6:$B$35,0)),"")))</f>
        <v/>
      </c>
      <c r="R175" s="79">
        <f>IF(O175="","",IF(O175="OVERDUE",2,IF(O175="Paid",0,IF(AND(I175&lt;&gt;"",I175&lt;=AsOf+AlertDays),1,0))))</f>
        <v/>
      </c>
      <c r="S175" s="79">
        <f>IF(AND(B175&lt;&gt;"",M175="",I175&lt;&gt;""),IF(L175&lt;&gt;"",L175,IF(H175="",0,H175)),0)</f>
        <v/>
      </c>
      <c r="T175" s="79">
        <f>IF(AND(B175&lt;&gt;"",M175="",I175&lt;&gt;""),1/I175,0)</f>
        <v/>
      </c>
      <c r="U175" s="111">
        <f>IF(AND(B175&lt;&gt;"",M175="",I175&lt;&gt;""),I175,"")</f>
        <v/>
      </c>
      <c r="V175" s="79">
        <f>IF(U175="","",IF(U175&lt;AsOf,1,IF(U175&lt;=AsOf+AlertDays,2,IF(U175&lt;=AsOf+2*AlertDays,3,""))))</f>
        <v/>
      </c>
      <c r="W175" s="79">
        <f>IF(V175="","",IF(O175="OVERDUE","Overdue payment: ","Payment due: ")&amp;B175&amp;" — "&amp;C175&amp;" ("&amp;CurSym&amp;" "&amp;FIXED(S175,0)&amp;")")</f>
        <v/>
      </c>
    </row>
    <row r="176" ht="20" customHeight="1">
      <c r="B176" s="72" t="n"/>
      <c r="C176" s="72" t="n"/>
      <c r="D176" s="72" t="n"/>
      <c r="E176" s="72" t="n"/>
      <c r="F176" s="109" t="n"/>
      <c r="G176" s="73" t="n"/>
      <c r="H176" s="75">
        <f>IF(B176="","",IF(G176&lt;&gt;"",G176,IF(F176&lt;&gt;"",F176*IFERROR(INDEX('Contractors'!$I$6:$I$35,MATCH(B176,'Contractors'!$B$6:$B$35,0)),0),"")))</f>
        <v/>
      </c>
      <c r="I176" s="108" t="n"/>
      <c r="J176" s="72" t="n"/>
      <c r="K176" s="108" t="n"/>
      <c r="L176" s="73" t="n"/>
      <c r="M176" s="108" t="n"/>
      <c r="N176" s="73" t="n"/>
      <c r="O176" s="107">
        <f>IF(B176="","",IF(M176&lt;&gt;"","Paid",IF(AND(I176&lt;&gt;"",I176&lt;AsOf),"OVERDUE",IF(OR(K176&lt;&gt;"",L176&lt;&gt;""),"Invoiced","Scheduled"))))</f>
        <v/>
      </c>
      <c r="P176" s="114">
        <f>IF(B176="","",IF(E176&lt;&gt;"",E176,IFERROR(INDEX('Contractors'!$D$6:$D$35,MATCH(B176,'Contractors'!$B$6:$B$35,0)),"")))</f>
        <v/>
      </c>
      <c r="Q176" s="79">
        <f>IF(B176="","",IF(D176&lt;&gt;"",D176,IFERROR(INDEX('Contractors'!$E$6:$E$35,MATCH(B176,'Contractors'!$B$6:$B$35,0)),"")))</f>
        <v/>
      </c>
      <c r="R176" s="79">
        <f>IF(O176="","",IF(O176="OVERDUE",2,IF(O176="Paid",0,IF(AND(I176&lt;&gt;"",I176&lt;=AsOf+AlertDays),1,0))))</f>
        <v/>
      </c>
      <c r="S176" s="79">
        <f>IF(AND(B176&lt;&gt;"",M176="",I176&lt;&gt;""),IF(L176&lt;&gt;"",L176,IF(H176="",0,H176)),0)</f>
        <v/>
      </c>
      <c r="T176" s="79">
        <f>IF(AND(B176&lt;&gt;"",M176="",I176&lt;&gt;""),1/I176,0)</f>
        <v/>
      </c>
      <c r="U176" s="111">
        <f>IF(AND(B176&lt;&gt;"",M176="",I176&lt;&gt;""),I176,"")</f>
        <v/>
      </c>
      <c r="V176" s="79">
        <f>IF(U176="","",IF(U176&lt;AsOf,1,IF(U176&lt;=AsOf+AlertDays,2,IF(U176&lt;=AsOf+2*AlertDays,3,""))))</f>
        <v/>
      </c>
      <c r="W176" s="79">
        <f>IF(V176="","",IF(O176="OVERDUE","Overdue payment: ","Payment due: ")&amp;B176&amp;" — "&amp;C176&amp;" ("&amp;CurSym&amp;" "&amp;FIXED(S176,0)&amp;")")</f>
        <v/>
      </c>
    </row>
    <row r="177" ht="20" customHeight="1">
      <c r="B177" s="72" t="n"/>
      <c r="C177" s="72" t="n"/>
      <c r="D177" s="72" t="n"/>
      <c r="E177" s="72" t="n"/>
      <c r="F177" s="109" t="n"/>
      <c r="G177" s="73" t="n"/>
      <c r="H177" s="75">
        <f>IF(B177="","",IF(G177&lt;&gt;"",G177,IF(F177&lt;&gt;"",F177*IFERROR(INDEX('Contractors'!$I$6:$I$35,MATCH(B177,'Contractors'!$B$6:$B$35,0)),0),"")))</f>
        <v/>
      </c>
      <c r="I177" s="108" t="n"/>
      <c r="J177" s="72" t="n"/>
      <c r="K177" s="108" t="n"/>
      <c r="L177" s="73" t="n"/>
      <c r="M177" s="108" t="n"/>
      <c r="N177" s="73" t="n"/>
      <c r="O177" s="107">
        <f>IF(B177="","",IF(M177&lt;&gt;"","Paid",IF(AND(I177&lt;&gt;"",I177&lt;AsOf),"OVERDUE",IF(OR(K177&lt;&gt;"",L177&lt;&gt;""),"Invoiced","Scheduled"))))</f>
        <v/>
      </c>
      <c r="P177" s="114">
        <f>IF(B177="","",IF(E177&lt;&gt;"",E177,IFERROR(INDEX('Contractors'!$D$6:$D$35,MATCH(B177,'Contractors'!$B$6:$B$35,0)),"")))</f>
        <v/>
      </c>
      <c r="Q177" s="79">
        <f>IF(B177="","",IF(D177&lt;&gt;"",D177,IFERROR(INDEX('Contractors'!$E$6:$E$35,MATCH(B177,'Contractors'!$B$6:$B$35,0)),"")))</f>
        <v/>
      </c>
      <c r="R177" s="79">
        <f>IF(O177="","",IF(O177="OVERDUE",2,IF(O177="Paid",0,IF(AND(I177&lt;&gt;"",I177&lt;=AsOf+AlertDays),1,0))))</f>
        <v/>
      </c>
      <c r="S177" s="79">
        <f>IF(AND(B177&lt;&gt;"",M177="",I177&lt;&gt;""),IF(L177&lt;&gt;"",L177,IF(H177="",0,H177)),0)</f>
        <v/>
      </c>
      <c r="T177" s="79">
        <f>IF(AND(B177&lt;&gt;"",M177="",I177&lt;&gt;""),1/I177,0)</f>
        <v/>
      </c>
      <c r="U177" s="111">
        <f>IF(AND(B177&lt;&gt;"",M177="",I177&lt;&gt;""),I177,"")</f>
        <v/>
      </c>
      <c r="V177" s="79">
        <f>IF(U177="","",IF(U177&lt;AsOf,1,IF(U177&lt;=AsOf+AlertDays,2,IF(U177&lt;=AsOf+2*AlertDays,3,""))))</f>
        <v/>
      </c>
      <c r="W177" s="79">
        <f>IF(V177="","",IF(O177="OVERDUE","Overdue payment: ","Payment due: ")&amp;B177&amp;" — "&amp;C177&amp;" ("&amp;CurSym&amp;" "&amp;FIXED(S177,0)&amp;")")</f>
        <v/>
      </c>
    </row>
    <row r="178" ht="20" customHeight="1">
      <c r="B178" s="72" t="n"/>
      <c r="C178" s="72" t="n"/>
      <c r="D178" s="72" t="n"/>
      <c r="E178" s="72" t="n"/>
      <c r="F178" s="109" t="n"/>
      <c r="G178" s="73" t="n"/>
      <c r="H178" s="75">
        <f>IF(B178="","",IF(G178&lt;&gt;"",G178,IF(F178&lt;&gt;"",F178*IFERROR(INDEX('Contractors'!$I$6:$I$35,MATCH(B178,'Contractors'!$B$6:$B$35,0)),0),"")))</f>
        <v/>
      </c>
      <c r="I178" s="108" t="n"/>
      <c r="J178" s="72" t="n"/>
      <c r="K178" s="108" t="n"/>
      <c r="L178" s="73" t="n"/>
      <c r="M178" s="108" t="n"/>
      <c r="N178" s="73" t="n"/>
      <c r="O178" s="107">
        <f>IF(B178="","",IF(M178&lt;&gt;"","Paid",IF(AND(I178&lt;&gt;"",I178&lt;AsOf),"OVERDUE",IF(OR(K178&lt;&gt;"",L178&lt;&gt;""),"Invoiced","Scheduled"))))</f>
        <v/>
      </c>
      <c r="P178" s="114">
        <f>IF(B178="","",IF(E178&lt;&gt;"",E178,IFERROR(INDEX('Contractors'!$D$6:$D$35,MATCH(B178,'Contractors'!$B$6:$B$35,0)),"")))</f>
        <v/>
      </c>
      <c r="Q178" s="79">
        <f>IF(B178="","",IF(D178&lt;&gt;"",D178,IFERROR(INDEX('Contractors'!$E$6:$E$35,MATCH(B178,'Contractors'!$B$6:$B$35,0)),"")))</f>
        <v/>
      </c>
      <c r="R178" s="79">
        <f>IF(O178="","",IF(O178="OVERDUE",2,IF(O178="Paid",0,IF(AND(I178&lt;&gt;"",I178&lt;=AsOf+AlertDays),1,0))))</f>
        <v/>
      </c>
      <c r="S178" s="79">
        <f>IF(AND(B178&lt;&gt;"",M178="",I178&lt;&gt;""),IF(L178&lt;&gt;"",L178,IF(H178="",0,H178)),0)</f>
        <v/>
      </c>
      <c r="T178" s="79">
        <f>IF(AND(B178&lt;&gt;"",M178="",I178&lt;&gt;""),1/I178,0)</f>
        <v/>
      </c>
      <c r="U178" s="111">
        <f>IF(AND(B178&lt;&gt;"",M178="",I178&lt;&gt;""),I178,"")</f>
        <v/>
      </c>
      <c r="V178" s="79">
        <f>IF(U178="","",IF(U178&lt;AsOf,1,IF(U178&lt;=AsOf+AlertDays,2,IF(U178&lt;=AsOf+2*AlertDays,3,""))))</f>
        <v/>
      </c>
      <c r="W178" s="79">
        <f>IF(V178="","",IF(O178="OVERDUE","Overdue payment: ","Payment due: ")&amp;B178&amp;" — "&amp;C178&amp;" ("&amp;CurSym&amp;" "&amp;FIXED(S178,0)&amp;")")</f>
        <v/>
      </c>
    </row>
    <row r="179" ht="20" customHeight="1">
      <c r="B179" s="72" t="n"/>
      <c r="C179" s="72" t="n"/>
      <c r="D179" s="72" t="n"/>
      <c r="E179" s="72" t="n"/>
      <c r="F179" s="109" t="n"/>
      <c r="G179" s="73" t="n"/>
      <c r="H179" s="75">
        <f>IF(B179="","",IF(G179&lt;&gt;"",G179,IF(F179&lt;&gt;"",F179*IFERROR(INDEX('Contractors'!$I$6:$I$35,MATCH(B179,'Contractors'!$B$6:$B$35,0)),0),"")))</f>
        <v/>
      </c>
      <c r="I179" s="108" t="n"/>
      <c r="J179" s="72" t="n"/>
      <c r="K179" s="108" t="n"/>
      <c r="L179" s="73" t="n"/>
      <c r="M179" s="108" t="n"/>
      <c r="N179" s="73" t="n"/>
      <c r="O179" s="107">
        <f>IF(B179="","",IF(M179&lt;&gt;"","Paid",IF(AND(I179&lt;&gt;"",I179&lt;AsOf),"OVERDUE",IF(OR(K179&lt;&gt;"",L179&lt;&gt;""),"Invoiced","Scheduled"))))</f>
        <v/>
      </c>
      <c r="P179" s="114">
        <f>IF(B179="","",IF(E179&lt;&gt;"",E179,IFERROR(INDEX('Contractors'!$D$6:$D$35,MATCH(B179,'Contractors'!$B$6:$B$35,0)),"")))</f>
        <v/>
      </c>
      <c r="Q179" s="79">
        <f>IF(B179="","",IF(D179&lt;&gt;"",D179,IFERROR(INDEX('Contractors'!$E$6:$E$35,MATCH(B179,'Contractors'!$B$6:$B$35,0)),"")))</f>
        <v/>
      </c>
      <c r="R179" s="79">
        <f>IF(O179="","",IF(O179="OVERDUE",2,IF(O179="Paid",0,IF(AND(I179&lt;&gt;"",I179&lt;=AsOf+AlertDays),1,0))))</f>
        <v/>
      </c>
      <c r="S179" s="79">
        <f>IF(AND(B179&lt;&gt;"",M179="",I179&lt;&gt;""),IF(L179&lt;&gt;"",L179,IF(H179="",0,H179)),0)</f>
        <v/>
      </c>
      <c r="T179" s="79">
        <f>IF(AND(B179&lt;&gt;"",M179="",I179&lt;&gt;""),1/I179,0)</f>
        <v/>
      </c>
      <c r="U179" s="111">
        <f>IF(AND(B179&lt;&gt;"",M179="",I179&lt;&gt;""),I179,"")</f>
        <v/>
      </c>
      <c r="V179" s="79">
        <f>IF(U179="","",IF(U179&lt;AsOf,1,IF(U179&lt;=AsOf+AlertDays,2,IF(U179&lt;=AsOf+2*AlertDays,3,""))))</f>
        <v/>
      </c>
      <c r="W179" s="79">
        <f>IF(V179="","",IF(O179="OVERDUE","Overdue payment: ","Payment due: ")&amp;B179&amp;" — "&amp;C179&amp;" ("&amp;CurSym&amp;" "&amp;FIXED(S179,0)&amp;")")</f>
        <v/>
      </c>
    </row>
    <row r="180" ht="20" customHeight="1">
      <c r="B180" s="72" t="n"/>
      <c r="C180" s="72" t="n"/>
      <c r="D180" s="72" t="n"/>
      <c r="E180" s="72" t="n"/>
      <c r="F180" s="109" t="n"/>
      <c r="G180" s="73" t="n"/>
      <c r="H180" s="75">
        <f>IF(B180="","",IF(G180&lt;&gt;"",G180,IF(F180&lt;&gt;"",F180*IFERROR(INDEX('Contractors'!$I$6:$I$35,MATCH(B180,'Contractors'!$B$6:$B$35,0)),0),"")))</f>
        <v/>
      </c>
      <c r="I180" s="108" t="n"/>
      <c r="J180" s="72" t="n"/>
      <c r="K180" s="108" t="n"/>
      <c r="L180" s="73" t="n"/>
      <c r="M180" s="108" t="n"/>
      <c r="N180" s="73" t="n"/>
      <c r="O180" s="107">
        <f>IF(B180="","",IF(M180&lt;&gt;"","Paid",IF(AND(I180&lt;&gt;"",I180&lt;AsOf),"OVERDUE",IF(OR(K180&lt;&gt;"",L180&lt;&gt;""),"Invoiced","Scheduled"))))</f>
        <v/>
      </c>
      <c r="P180" s="114">
        <f>IF(B180="","",IF(E180&lt;&gt;"",E180,IFERROR(INDEX('Contractors'!$D$6:$D$35,MATCH(B180,'Contractors'!$B$6:$B$35,0)),"")))</f>
        <v/>
      </c>
      <c r="Q180" s="79">
        <f>IF(B180="","",IF(D180&lt;&gt;"",D180,IFERROR(INDEX('Contractors'!$E$6:$E$35,MATCH(B180,'Contractors'!$B$6:$B$35,0)),"")))</f>
        <v/>
      </c>
      <c r="R180" s="79">
        <f>IF(O180="","",IF(O180="OVERDUE",2,IF(O180="Paid",0,IF(AND(I180&lt;&gt;"",I180&lt;=AsOf+AlertDays),1,0))))</f>
        <v/>
      </c>
      <c r="S180" s="79">
        <f>IF(AND(B180&lt;&gt;"",M180="",I180&lt;&gt;""),IF(L180&lt;&gt;"",L180,IF(H180="",0,H180)),0)</f>
        <v/>
      </c>
      <c r="T180" s="79">
        <f>IF(AND(B180&lt;&gt;"",M180="",I180&lt;&gt;""),1/I180,0)</f>
        <v/>
      </c>
      <c r="U180" s="111">
        <f>IF(AND(B180&lt;&gt;"",M180="",I180&lt;&gt;""),I180,"")</f>
        <v/>
      </c>
      <c r="V180" s="79">
        <f>IF(U180="","",IF(U180&lt;AsOf,1,IF(U180&lt;=AsOf+AlertDays,2,IF(U180&lt;=AsOf+2*AlertDays,3,""))))</f>
        <v/>
      </c>
      <c r="W180" s="79">
        <f>IF(V180="","",IF(O180="OVERDUE","Overdue payment: ","Payment due: ")&amp;B180&amp;" — "&amp;C180&amp;" ("&amp;CurSym&amp;" "&amp;FIXED(S180,0)&amp;")")</f>
        <v/>
      </c>
    </row>
    <row r="181" ht="20" customHeight="1">
      <c r="B181" s="72" t="n"/>
      <c r="C181" s="72" t="n"/>
      <c r="D181" s="72" t="n"/>
      <c r="E181" s="72" t="n"/>
      <c r="F181" s="109" t="n"/>
      <c r="G181" s="73" t="n"/>
      <c r="H181" s="75">
        <f>IF(B181="","",IF(G181&lt;&gt;"",G181,IF(F181&lt;&gt;"",F181*IFERROR(INDEX('Contractors'!$I$6:$I$35,MATCH(B181,'Contractors'!$B$6:$B$35,0)),0),"")))</f>
        <v/>
      </c>
      <c r="I181" s="108" t="n"/>
      <c r="J181" s="72" t="n"/>
      <c r="K181" s="108" t="n"/>
      <c r="L181" s="73" t="n"/>
      <c r="M181" s="108" t="n"/>
      <c r="N181" s="73" t="n"/>
      <c r="O181" s="107">
        <f>IF(B181="","",IF(M181&lt;&gt;"","Paid",IF(AND(I181&lt;&gt;"",I181&lt;AsOf),"OVERDUE",IF(OR(K181&lt;&gt;"",L181&lt;&gt;""),"Invoiced","Scheduled"))))</f>
        <v/>
      </c>
      <c r="P181" s="114">
        <f>IF(B181="","",IF(E181&lt;&gt;"",E181,IFERROR(INDEX('Contractors'!$D$6:$D$35,MATCH(B181,'Contractors'!$B$6:$B$35,0)),"")))</f>
        <v/>
      </c>
      <c r="Q181" s="79">
        <f>IF(B181="","",IF(D181&lt;&gt;"",D181,IFERROR(INDEX('Contractors'!$E$6:$E$35,MATCH(B181,'Contractors'!$B$6:$B$35,0)),"")))</f>
        <v/>
      </c>
      <c r="R181" s="79">
        <f>IF(O181="","",IF(O181="OVERDUE",2,IF(O181="Paid",0,IF(AND(I181&lt;&gt;"",I181&lt;=AsOf+AlertDays),1,0))))</f>
        <v/>
      </c>
      <c r="S181" s="79">
        <f>IF(AND(B181&lt;&gt;"",M181="",I181&lt;&gt;""),IF(L181&lt;&gt;"",L181,IF(H181="",0,H181)),0)</f>
        <v/>
      </c>
      <c r="T181" s="79">
        <f>IF(AND(B181&lt;&gt;"",M181="",I181&lt;&gt;""),1/I181,0)</f>
        <v/>
      </c>
      <c r="U181" s="111">
        <f>IF(AND(B181&lt;&gt;"",M181="",I181&lt;&gt;""),I181,"")</f>
        <v/>
      </c>
      <c r="V181" s="79">
        <f>IF(U181="","",IF(U181&lt;AsOf,1,IF(U181&lt;=AsOf+AlertDays,2,IF(U181&lt;=AsOf+2*AlertDays,3,""))))</f>
        <v/>
      </c>
      <c r="W181" s="79">
        <f>IF(V181="","",IF(O181="OVERDUE","Overdue payment: ","Payment due: ")&amp;B181&amp;" — "&amp;C181&amp;" ("&amp;CurSym&amp;" "&amp;FIXED(S181,0)&amp;")")</f>
        <v/>
      </c>
    </row>
    <row r="182" ht="20" customHeight="1">
      <c r="B182" s="72" t="n"/>
      <c r="C182" s="72" t="n"/>
      <c r="D182" s="72" t="n"/>
      <c r="E182" s="72" t="n"/>
      <c r="F182" s="109" t="n"/>
      <c r="G182" s="73" t="n"/>
      <c r="H182" s="75">
        <f>IF(B182="","",IF(G182&lt;&gt;"",G182,IF(F182&lt;&gt;"",F182*IFERROR(INDEX('Contractors'!$I$6:$I$35,MATCH(B182,'Contractors'!$B$6:$B$35,0)),0),"")))</f>
        <v/>
      </c>
      <c r="I182" s="108" t="n"/>
      <c r="J182" s="72" t="n"/>
      <c r="K182" s="108" t="n"/>
      <c r="L182" s="73" t="n"/>
      <c r="M182" s="108" t="n"/>
      <c r="N182" s="73" t="n"/>
      <c r="O182" s="107">
        <f>IF(B182="","",IF(M182&lt;&gt;"","Paid",IF(AND(I182&lt;&gt;"",I182&lt;AsOf),"OVERDUE",IF(OR(K182&lt;&gt;"",L182&lt;&gt;""),"Invoiced","Scheduled"))))</f>
        <v/>
      </c>
      <c r="P182" s="114">
        <f>IF(B182="","",IF(E182&lt;&gt;"",E182,IFERROR(INDEX('Contractors'!$D$6:$D$35,MATCH(B182,'Contractors'!$B$6:$B$35,0)),"")))</f>
        <v/>
      </c>
      <c r="Q182" s="79">
        <f>IF(B182="","",IF(D182&lt;&gt;"",D182,IFERROR(INDEX('Contractors'!$E$6:$E$35,MATCH(B182,'Contractors'!$B$6:$B$35,0)),"")))</f>
        <v/>
      </c>
      <c r="R182" s="79">
        <f>IF(O182="","",IF(O182="OVERDUE",2,IF(O182="Paid",0,IF(AND(I182&lt;&gt;"",I182&lt;=AsOf+AlertDays),1,0))))</f>
        <v/>
      </c>
      <c r="S182" s="79">
        <f>IF(AND(B182&lt;&gt;"",M182="",I182&lt;&gt;""),IF(L182&lt;&gt;"",L182,IF(H182="",0,H182)),0)</f>
        <v/>
      </c>
      <c r="T182" s="79">
        <f>IF(AND(B182&lt;&gt;"",M182="",I182&lt;&gt;""),1/I182,0)</f>
        <v/>
      </c>
      <c r="U182" s="111">
        <f>IF(AND(B182&lt;&gt;"",M182="",I182&lt;&gt;""),I182,"")</f>
        <v/>
      </c>
      <c r="V182" s="79">
        <f>IF(U182="","",IF(U182&lt;AsOf,1,IF(U182&lt;=AsOf+AlertDays,2,IF(U182&lt;=AsOf+2*AlertDays,3,""))))</f>
        <v/>
      </c>
      <c r="W182" s="79">
        <f>IF(V182="","",IF(O182="OVERDUE","Overdue payment: ","Payment due: ")&amp;B182&amp;" — "&amp;C182&amp;" ("&amp;CurSym&amp;" "&amp;FIXED(S182,0)&amp;")")</f>
        <v/>
      </c>
    </row>
    <row r="183" ht="20" customHeight="1">
      <c r="B183" s="72" t="n"/>
      <c r="C183" s="72" t="n"/>
      <c r="D183" s="72" t="n"/>
      <c r="E183" s="72" t="n"/>
      <c r="F183" s="109" t="n"/>
      <c r="G183" s="73" t="n"/>
      <c r="H183" s="75">
        <f>IF(B183="","",IF(G183&lt;&gt;"",G183,IF(F183&lt;&gt;"",F183*IFERROR(INDEX('Contractors'!$I$6:$I$35,MATCH(B183,'Contractors'!$B$6:$B$35,0)),0),"")))</f>
        <v/>
      </c>
      <c r="I183" s="108" t="n"/>
      <c r="J183" s="72" t="n"/>
      <c r="K183" s="108" t="n"/>
      <c r="L183" s="73" t="n"/>
      <c r="M183" s="108" t="n"/>
      <c r="N183" s="73" t="n"/>
      <c r="O183" s="107">
        <f>IF(B183="","",IF(M183&lt;&gt;"","Paid",IF(AND(I183&lt;&gt;"",I183&lt;AsOf),"OVERDUE",IF(OR(K183&lt;&gt;"",L183&lt;&gt;""),"Invoiced","Scheduled"))))</f>
        <v/>
      </c>
      <c r="P183" s="114">
        <f>IF(B183="","",IF(E183&lt;&gt;"",E183,IFERROR(INDEX('Contractors'!$D$6:$D$35,MATCH(B183,'Contractors'!$B$6:$B$35,0)),"")))</f>
        <v/>
      </c>
      <c r="Q183" s="79">
        <f>IF(B183="","",IF(D183&lt;&gt;"",D183,IFERROR(INDEX('Contractors'!$E$6:$E$35,MATCH(B183,'Contractors'!$B$6:$B$35,0)),"")))</f>
        <v/>
      </c>
      <c r="R183" s="79">
        <f>IF(O183="","",IF(O183="OVERDUE",2,IF(O183="Paid",0,IF(AND(I183&lt;&gt;"",I183&lt;=AsOf+AlertDays),1,0))))</f>
        <v/>
      </c>
      <c r="S183" s="79">
        <f>IF(AND(B183&lt;&gt;"",M183="",I183&lt;&gt;""),IF(L183&lt;&gt;"",L183,IF(H183="",0,H183)),0)</f>
        <v/>
      </c>
      <c r="T183" s="79">
        <f>IF(AND(B183&lt;&gt;"",M183="",I183&lt;&gt;""),1/I183,0)</f>
        <v/>
      </c>
      <c r="U183" s="111">
        <f>IF(AND(B183&lt;&gt;"",M183="",I183&lt;&gt;""),I183,"")</f>
        <v/>
      </c>
      <c r="V183" s="79">
        <f>IF(U183="","",IF(U183&lt;AsOf,1,IF(U183&lt;=AsOf+AlertDays,2,IF(U183&lt;=AsOf+2*AlertDays,3,""))))</f>
        <v/>
      </c>
      <c r="W183" s="79">
        <f>IF(V183="","",IF(O183="OVERDUE","Overdue payment: ","Payment due: ")&amp;B183&amp;" — "&amp;C183&amp;" ("&amp;CurSym&amp;" "&amp;FIXED(S183,0)&amp;")")</f>
        <v/>
      </c>
    </row>
    <row r="184" ht="20" customHeight="1">
      <c r="B184" s="72" t="n"/>
      <c r="C184" s="72" t="n"/>
      <c r="D184" s="72" t="n"/>
      <c r="E184" s="72" t="n"/>
      <c r="F184" s="109" t="n"/>
      <c r="G184" s="73" t="n"/>
      <c r="H184" s="75">
        <f>IF(B184="","",IF(G184&lt;&gt;"",G184,IF(F184&lt;&gt;"",F184*IFERROR(INDEX('Contractors'!$I$6:$I$35,MATCH(B184,'Contractors'!$B$6:$B$35,0)),0),"")))</f>
        <v/>
      </c>
      <c r="I184" s="108" t="n"/>
      <c r="J184" s="72" t="n"/>
      <c r="K184" s="108" t="n"/>
      <c r="L184" s="73" t="n"/>
      <c r="M184" s="108" t="n"/>
      <c r="N184" s="73" t="n"/>
      <c r="O184" s="107">
        <f>IF(B184="","",IF(M184&lt;&gt;"","Paid",IF(AND(I184&lt;&gt;"",I184&lt;AsOf),"OVERDUE",IF(OR(K184&lt;&gt;"",L184&lt;&gt;""),"Invoiced","Scheduled"))))</f>
        <v/>
      </c>
      <c r="P184" s="114">
        <f>IF(B184="","",IF(E184&lt;&gt;"",E184,IFERROR(INDEX('Contractors'!$D$6:$D$35,MATCH(B184,'Contractors'!$B$6:$B$35,0)),"")))</f>
        <v/>
      </c>
      <c r="Q184" s="79">
        <f>IF(B184="","",IF(D184&lt;&gt;"",D184,IFERROR(INDEX('Contractors'!$E$6:$E$35,MATCH(B184,'Contractors'!$B$6:$B$35,0)),"")))</f>
        <v/>
      </c>
      <c r="R184" s="79">
        <f>IF(O184="","",IF(O184="OVERDUE",2,IF(O184="Paid",0,IF(AND(I184&lt;&gt;"",I184&lt;=AsOf+AlertDays),1,0))))</f>
        <v/>
      </c>
      <c r="S184" s="79">
        <f>IF(AND(B184&lt;&gt;"",M184="",I184&lt;&gt;""),IF(L184&lt;&gt;"",L184,IF(H184="",0,H184)),0)</f>
        <v/>
      </c>
      <c r="T184" s="79">
        <f>IF(AND(B184&lt;&gt;"",M184="",I184&lt;&gt;""),1/I184,0)</f>
        <v/>
      </c>
      <c r="U184" s="111">
        <f>IF(AND(B184&lt;&gt;"",M184="",I184&lt;&gt;""),I184,"")</f>
        <v/>
      </c>
      <c r="V184" s="79">
        <f>IF(U184="","",IF(U184&lt;AsOf,1,IF(U184&lt;=AsOf+AlertDays,2,IF(U184&lt;=AsOf+2*AlertDays,3,""))))</f>
        <v/>
      </c>
      <c r="W184" s="79">
        <f>IF(V184="","",IF(O184="OVERDUE","Overdue payment: ","Payment due: ")&amp;B184&amp;" — "&amp;C184&amp;" ("&amp;CurSym&amp;" "&amp;FIXED(S184,0)&amp;")")</f>
        <v/>
      </c>
    </row>
    <row r="185" ht="20" customHeight="1">
      <c r="B185" s="72" t="n"/>
      <c r="C185" s="72" t="n"/>
      <c r="D185" s="72" t="n"/>
      <c r="E185" s="72" t="n"/>
      <c r="F185" s="109" t="n"/>
      <c r="G185" s="73" t="n"/>
      <c r="H185" s="75">
        <f>IF(B185="","",IF(G185&lt;&gt;"",G185,IF(F185&lt;&gt;"",F185*IFERROR(INDEX('Contractors'!$I$6:$I$35,MATCH(B185,'Contractors'!$B$6:$B$35,0)),0),"")))</f>
        <v/>
      </c>
      <c r="I185" s="108" t="n"/>
      <c r="J185" s="72" t="n"/>
      <c r="K185" s="108" t="n"/>
      <c r="L185" s="73" t="n"/>
      <c r="M185" s="108" t="n"/>
      <c r="N185" s="73" t="n"/>
      <c r="O185" s="107">
        <f>IF(B185="","",IF(M185&lt;&gt;"","Paid",IF(AND(I185&lt;&gt;"",I185&lt;AsOf),"OVERDUE",IF(OR(K185&lt;&gt;"",L185&lt;&gt;""),"Invoiced","Scheduled"))))</f>
        <v/>
      </c>
      <c r="P185" s="114">
        <f>IF(B185="","",IF(E185&lt;&gt;"",E185,IFERROR(INDEX('Contractors'!$D$6:$D$35,MATCH(B185,'Contractors'!$B$6:$B$35,0)),"")))</f>
        <v/>
      </c>
      <c r="Q185" s="79">
        <f>IF(B185="","",IF(D185&lt;&gt;"",D185,IFERROR(INDEX('Contractors'!$E$6:$E$35,MATCH(B185,'Contractors'!$B$6:$B$35,0)),"")))</f>
        <v/>
      </c>
      <c r="R185" s="79">
        <f>IF(O185="","",IF(O185="OVERDUE",2,IF(O185="Paid",0,IF(AND(I185&lt;&gt;"",I185&lt;=AsOf+AlertDays),1,0))))</f>
        <v/>
      </c>
      <c r="S185" s="79">
        <f>IF(AND(B185&lt;&gt;"",M185="",I185&lt;&gt;""),IF(L185&lt;&gt;"",L185,IF(H185="",0,H185)),0)</f>
        <v/>
      </c>
      <c r="T185" s="79">
        <f>IF(AND(B185&lt;&gt;"",M185="",I185&lt;&gt;""),1/I185,0)</f>
        <v/>
      </c>
      <c r="U185" s="111">
        <f>IF(AND(B185&lt;&gt;"",M185="",I185&lt;&gt;""),I185,"")</f>
        <v/>
      </c>
      <c r="V185" s="79">
        <f>IF(U185="","",IF(U185&lt;AsOf,1,IF(U185&lt;=AsOf+AlertDays,2,IF(U185&lt;=AsOf+2*AlertDays,3,""))))</f>
        <v/>
      </c>
      <c r="W185" s="79">
        <f>IF(V185="","",IF(O185="OVERDUE","Overdue payment: ","Payment due: ")&amp;B185&amp;" — "&amp;C185&amp;" ("&amp;CurSym&amp;" "&amp;FIXED(S185,0)&amp;")")</f>
        <v/>
      </c>
    </row>
    <row r="186" ht="20" customHeight="1">
      <c r="B186" s="72" t="n"/>
      <c r="C186" s="72" t="n"/>
      <c r="D186" s="72" t="n"/>
      <c r="E186" s="72" t="n"/>
      <c r="F186" s="109" t="n"/>
      <c r="G186" s="73" t="n"/>
      <c r="H186" s="75">
        <f>IF(B186="","",IF(G186&lt;&gt;"",G186,IF(F186&lt;&gt;"",F186*IFERROR(INDEX('Contractors'!$I$6:$I$35,MATCH(B186,'Contractors'!$B$6:$B$35,0)),0),"")))</f>
        <v/>
      </c>
      <c r="I186" s="108" t="n"/>
      <c r="J186" s="72" t="n"/>
      <c r="K186" s="108" t="n"/>
      <c r="L186" s="73" t="n"/>
      <c r="M186" s="108" t="n"/>
      <c r="N186" s="73" t="n"/>
      <c r="O186" s="107">
        <f>IF(B186="","",IF(M186&lt;&gt;"","Paid",IF(AND(I186&lt;&gt;"",I186&lt;AsOf),"OVERDUE",IF(OR(K186&lt;&gt;"",L186&lt;&gt;""),"Invoiced","Scheduled"))))</f>
        <v/>
      </c>
      <c r="P186" s="114">
        <f>IF(B186="","",IF(E186&lt;&gt;"",E186,IFERROR(INDEX('Contractors'!$D$6:$D$35,MATCH(B186,'Contractors'!$B$6:$B$35,0)),"")))</f>
        <v/>
      </c>
      <c r="Q186" s="79">
        <f>IF(B186="","",IF(D186&lt;&gt;"",D186,IFERROR(INDEX('Contractors'!$E$6:$E$35,MATCH(B186,'Contractors'!$B$6:$B$35,0)),"")))</f>
        <v/>
      </c>
      <c r="R186" s="79">
        <f>IF(O186="","",IF(O186="OVERDUE",2,IF(O186="Paid",0,IF(AND(I186&lt;&gt;"",I186&lt;=AsOf+AlertDays),1,0))))</f>
        <v/>
      </c>
      <c r="S186" s="79">
        <f>IF(AND(B186&lt;&gt;"",M186="",I186&lt;&gt;""),IF(L186&lt;&gt;"",L186,IF(H186="",0,H186)),0)</f>
        <v/>
      </c>
      <c r="T186" s="79">
        <f>IF(AND(B186&lt;&gt;"",M186="",I186&lt;&gt;""),1/I186,0)</f>
        <v/>
      </c>
      <c r="U186" s="111">
        <f>IF(AND(B186&lt;&gt;"",M186="",I186&lt;&gt;""),I186,"")</f>
        <v/>
      </c>
      <c r="V186" s="79">
        <f>IF(U186="","",IF(U186&lt;AsOf,1,IF(U186&lt;=AsOf+AlertDays,2,IF(U186&lt;=AsOf+2*AlertDays,3,""))))</f>
        <v/>
      </c>
      <c r="W186" s="79">
        <f>IF(V186="","",IF(O186="OVERDUE","Overdue payment: ","Payment due: ")&amp;B186&amp;" — "&amp;C186&amp;" ("&amp;CurSym&amp;" "&amp;FIXED(S186,0)&amp;")")</f>
        <v/>
      </c>
    </row>
    <row r="187" ht="20" customHeight="1">
      <c r="B187" s="72" t="n"/>
      <c r="C187" s="72" t="n"/>
      <c r="D187" s="72" t="n"/>
      <c r="E187" s="72" t="n"/>
      <c r="F187" s="109" t="n"/>
      <c r="G187" s="73" t="n"/>
      <c r="H187" s="75">
        <f>IF(B187="","",IF(G187&lt;&gt;"",G187,IF(F187&lt;&gt;"",F187*IFERROR(INDEX('Contractors'!$I$6:$I$35,MATCH(B187,'Contractors'!$B$6:$B$35,0)),0),"")))</f>
        <v/>
      </c>
      <c r="I187" s="108" t="n"/>
      <c r="J187" s="72" t="n"/>
      <c r="K187" s="108" t="n"/>
      <c r="L187" s="73" t="n"/>
      <c r="M187" s="108" t="n"/>
      <c r="N187" s="73" t="n"/>
      <c r="O187" s="107">
        <f>IF(B187="","",IF(M187&lt;&gt;"","Paid",IF(AND(I187&lt;&gt;"",I187&lt;AsOf),"OVERDUE",IF(OR(K187&lt;&gt;"",L187&lt;&gt;""),"Invoiced","Scheduled"))))</f>
        <v/>
      </c>
      <c r="P187" s="114">
        <f>IF(B187="","",IF(E187&lt;&gt;"",E187,IFERROR(INDEX('Contractors'!$D$6:$D$35,MATCH(B187,'Contractors'!$B$6:$B$35,0)),"")))</f>
        <v/>
      </c>
      <c r="Q187" s="79">
        <f>IF(B187="","",IF(D187&lt;&gt;"",D187,IFERROR(INDEX('Contractors'!$E$6:$E$35,MATCH(B187,'Contractors'!$B$6:$B$35,0)),"")))</f>
        <v/>
      </c>
      <c r="R187" s="79">
        <f>IF(O187="","",IF(O187="OVERDUE",2,IF(O187="Paid",0,IF(AND(I187&lt;&gt;"",I187&lt;=AsOf+AlertDays),1,0))))</f>
        <v/>
      </c>
      <c r="S187" s="79">
        <f>IF(AND(B187&lt;&gt;"",M187="",I187&lt;&gt;""),IF(L187&lt;&gt;"",L187,IF(H187="",0,H187)),0)</f>
        <v/>
      </c>
      <c r="T187" s="79">
        <f>IF(AND(B187&lt;&gt;"",M187="",I187&lt;&gt;""),1/I187,0)</f>
        <v/>
      </c>
      <c r="U187" s="111">
        <f>IF(AND(B187&lt;&gt;"",M187="",I187&lt;&gt;""),I187,"")</f>
        <v/>
      </c>
      <c r="V187" s="79">
        <f>IF(U187="","",IF(U187&lt;AsOf,1,IF(U187&lt;=AsOf+AlertDays,2,IF(U187&lt;=AsOf+2*AlertDays,3,""))))</f>
        <v/>
      </c>
      <c r="W187" s="79">
        <f>IF(V187="","",IF(O187="OVERDUE","Overdue payment: ","Payment due: ")&amp;B187&amp;" — "&amp;C187&amp;" ("&amp;CurSym&amp;" "&amp;FIXED(S187,0)&amp;")")</f>
        <v/>
      </c>
    </row>
    <row r="188" ht="20" customHeight="1">
      <c r="B188" s="72" t="n"/>
      <c r="C188" s="72" t="n"/>
      <c r="D188" s="72" t="n"/>
      <c r="E188" s="72" t="n"/>
      <c r="F188" s="109" t="n"/>
      <c r="G188" s="73" t="n"/>
      <c r="H188" s="75">
        <f>IF(B188="","",IF(G188&lt;&gt;"",G188,IF(F188&lt;&gt;"",F188*IFERROR(INDEX('Contractors'!$I$6:$I$35,MATCH(B188,'Contractors'!$B$6:$B$35,0)),0),"")))</f>
        <v/>
      </c>
      <c r="I188" s="108" t="n"/>
      <c r="J188" s="72" t="n"/>
      <c r="K188" s="108" t="n"/>
      <c r="L188" s="73" t="n"/>
      <c r="M188" s="108" t="n"/>
      <c r="N188" s="73" t="n"/>
      <c r="O188" s="107">
        <f>IF(B188="","",IF(M188&lt;&gt;"","Paid",IF(AND(I188&lt;&gt;"",I188&lt;AsOf),"OVERDUE",IF(OR(K188&lt;&gt;"",L188&lt;&gt;""),"Invoiced","Scheduled"))))</f>
        <v/>
      </c>
      <c r="P188" s="114">
        <f>IF(B188="","",IF(E188&lt;&gt;"",E188,IFERROR(INDEX('Contractors'!$D$6:$D$35,MATCH(B188,'Contractors'!$B$6:$B$35,0)),"")))</f>
        <v/>
      </c>
      <c r="Q188" s="79">
        <f>IF(B188="","",IF(D188&lt;&gt;"",D188,IFERROR(INDEX('Contractors'!$E$6:$E$35,MATCH(B188,'Contractors'!$B$6:$B$35,0)),"")))</f>
        <v/>
      </c>
      <c r="R188" s="79">
        <f>IF(O188="","",IF(O188="OVERDUE",2,IF(O188="Paid",0,IF(AND(I188&lt;&gt;"",I188&lt;=AsOf+AlertDays),1,0))))</f>
        <v/>
      </c>
      <c r="S188" s="79">
        <f>IF(AND(B188&lt;&gt;"",M188="",I188&lt;&gt;""),IF(L188&lt;&gt;"",L188,IF(H188="",0,H188)),0)</f>
        <v/>
      </c>
      <c r="T188" s="79">
        <f>IF(AND(B188&lt;&gt;"",M188="",I188&lt;&gt;""),1/I188,0)</f>
        <v/>
      </c>
      <c r="U188" s="111">
        <f>IF(AND(B188&lt;&gt;"",M188="",I188&lt;&gt;""),I188,"")</f>
        <v/>
      </c>
      <c r="V188" s="79">
        <f>IF(U188="","",IF(U188&lt;AsOf,1,IF(U188&lt;=AsOf+AlertDays,2,IF(U188&lt;=AsOf+2*AlertDays,3,""))))</f>
        <v/>
      </c>
      <c r="W188" s="79">
        <f>IF(V188="","",IF(O188="OVERDUE","Overdue payment: ","Payment due: ")&amp;B188&amp;" — "&amp;C188&amp;" ("&amp;CurSym&amp;" "&amp;FIXED(S188,0)&amp;")")</f>
        <v/>
      </c>
    </row>
    <row r="189" ht="20" customHeight="1">
      <c r="B189" s="72" t="n"/>
      <c r="C189" s="72" t="n"/>
      <c r="D189" s="72" t="n"/>
      <c r="E189" s="72" t="n"/>
      <c r="F189" s="109" t="n"/>
      <c r="G189" s="73" t="n"/>
      <c r="H189" s="75">
        <f>IF(B189="","",IF(G189&lt;&gt;"",G189,IF(F189&lt;&gt;"",F189*IFERROR(INDEX('Contractors'!$I$6:$I$35,MATCH(B189,'Contractors'!$B$6:$B$35,0)),0),"")))</f>
        <v/>
      </c>
      <c r="I189" s="108" t="n"/>
      <c r="J189" s="72" t="n"/>
      <c r="K189" s="108" t="n"/>
      <c r="L189" s="73" t="n"/>
      <c r="M189" s="108" t="n"/>
      <c r="N189" s="73" t="n"/>
      <c r="O189" s="107">
        <f>IF(B189="","",IF(M189&lt;&gt;"","Paid",IF(AND(I189&lt;&gt;"",I189&lt;AsOf),"OVERDUE",IF(OR(K189&lt;&gt;"",L189&lt;&gt;""),"Invoiced","Scheduled"))))</f>
        <v/>
      </c>
      <c r="P189" s="114">
        <f>IF(B189="","",IF(E189&lt;&gt;"",E189,IFERROR(INDEX('Contractors'!$D$6:$D$35,MATCH(B189,'Contractors'!$B$6:$B$35,0)),"")))</f>
        <v/>
      </c>
      <c r="Q189" s="79">
        <f>IF(B189="","",IF(D189&lt;&gt;"",D189,IFERROR(INDEX('Contractors'!$E$6:$E$35,MATCH(B189,'Contractors'!$B$6:$B$35,0)),"")))</f>
        <v/>
      </c>
      <c r="R189" s="79">
        <f>IF(O189="","",IF(O189="OVERDUE",2,IF(O189="Paid",0,IF(AND(I189&lt;&gt;"",I189&lt;=AsOf+AlertDays),1,0))))</f>
        <v/>
      </c>
      <c r="S189" s="79">
        <f>IF(AND(B189&lt;&gt;"",M189="",I189&lt;&gt;""),IF(L189&lt;&gt;"",L189,IF(H189="",0,H189)),0)</f>
        <v/>
      </c>
      <c r="T189" s="79">
        <f>IF(AND(B189&lt;&gt;"",M189="",I189&lt;&gt;""),1/I189,0)</f>
        <v/>
      </c>
      <c r="U189" s="111">
        <f>IF(AND(B189&lt;&gt;"",M189="",I189&lt;&gt;""),I189,"")</f>
        <v/>
      </c>
      <c r="V189" s="79">
        <f>IF(U189="","",IF(U189&lt;AsOf,1,IF(U189&lt;=AsOf+AlertDays,2,IF(U189&lt;=AsOf+2*AlertDays,3,""))))</f>
        <v/>
      </c>
      <c r="W189" s="79">
        <f>IF(V189="","",IF(O189="OVERDUE","Overdue payment: ","Payment due: ")&amp;B189&amp;" — "&amp;C189&amp;" ("&amp;CurSym&amp;" "&amp;FIXED(S189,0)&amp;")")</f>
        <v/>
      </c>
    </row>
    <row r="190" ht="20" customHeight="1">
      <c r="B190" s="72" t="n"/>
      <c r="C190" s="72" t="n"/>
      <c r="D190" s="72" t="n"/>
      <c r="E190" s="72" t="n"/>
      <c r="F190" s="109" t="n"/>
      <c r="G190" s="73" t="n"/>
      <c r="H190" s="75">
        <f>IF(B190="","",IF(G190&lt;&gt;"",G190,IF(F190&lt;&gt;"",F190*IFERROR(INDEX('Contractors'!$I$6:$I$35,MATCH(B190,'Contractors'!$B$6:$B$35,0)),0),"")))</f>
        <v/>
      </c>
      <c r="I190" s="108" t="n"/>
      <c r="J190" s="72" t="n"/>
      <c r="K190" s="108" t="n"/>
      <c r="L190" s="73" t="n"/>
      <c r="M190" s="108" t="n"/>
      <c r="N190" s="73" t="n"/>
      <c r="O190" s="107">
        <f>IF(B190="","",IF(M190&lt;&gt;"","Paid",IF(AND(I190&lt;&gt;"",I190&lt;AsOf),"OVERDUE",IF(OR(K190&lt;&gt;"",L190&lt;&gt;""),"Invoiced","Scheduled"))))</f>
        <v/>
      </c>
      <c r="P190" s="114">
        <f>IF(B190="","",IF(E190&lt;&gt;"",E190,IFERROR(INDEX('Contractors'!$D$6:$D$35,MATCH(B190,'Contractors'!$B$6:$B$35,0)),"")))</f>
        <v/>
      </c>
      <c r="Q190" s="79">
        <f>IF(B190="","",IF(D190&lt;&gt;"",D190,IFERROR(INDEX('Contractors'!$E$6:$E$35,MATCH(B190,'Contractors'!$B$6:$B$35,0)),"")))</f>
        <v/>
      </c>
      <c r="R190" s="79">
        <f>IF(O190="","",IF(O190="OVERDUE",2,IF(O190="Paid",0,IF(AND(I190&lt;&gt;"",I190&lt;=AsOf+AlertDays),1,0))))</f>
        <v/>
      </c>
      <c r="S190" s="79">
        <f>IF(AND(B190&lt;&gt;"",M190="",I190&lt;&gt;""),IF(L190&lt;&gt;"",L190,IF(H190="",0,H190)),0)</f>
        <v/>
      </c>
      <c r="T190" s="79">
        <f>IF(AND(B190&lt;&gt;"",M190="",I190&lt;&gt;""),1/I190,0)</f>
        <v/>
      </c>
      <c r="U190" s="111">
        <f>IF(AND(B190&lt;&gt;"",M190="",I190&lt;&gt;""),I190,"")</f>
        <v/>
      </c>
      <c r="V190" s="79">
        <f>IF(U190="","",IF(U190&lt;AsOf,1,IF(U190&lt;=AsOf+AlertDays,2,IF(U190&lt;=AsOf+2*AlertDays,3,""))))</f>
        <v/>
      </c>
      <c r="W190" s="79">
        <f>IF(V190="","",IF(O190="OVERDUE","Overdue payment: ","Payment due: ")&amp;B190&amp;" — "&amp;C190&amp;" ("&amp;CurSym&amp;" "&amp;FIXED(S190,0)&amp;")")</f>
        <v/>
      </c>
    </row>
    <row r="191" ht="20" customHeight="1">
      <c r="B191" s="72" t="n"/>
      <c r="C191" s="72" t="n"/>
      <c r="D191" s="72" t="n"/>
      <c r="E191" s="72" t="n"/>
      <c r="F191" s="109" t="n"/>
      <c r="G191" s="73" t="n"/>
      <c r="H191" s="75">
        <f>IF(B191="","",IF(G191&lt;&gt;"",G191,IF(F191&lt;&gt;"",F191*IFERROR(INDEX('Contractors'!$I$6:$I$35,MATCH(B191,'Contractors'!$B$6:$B$35,0)),0),"")))</f>
        <v/>
      </c>
      <c r="I191" s="108" t="n"/>
      <c r="J191" s="72" t="n"/>
      <c r="K191" s="108" t="n"/>
      <c r="L191" s="73" t="n"/>
      <c r="M191" s="108" t="n"/>
      <c r="N191" s="73" t="n"/>
      <c r="O191" s="107">
        <f>IF(B191="","",IF(M191&lt;&gt;"","Paid",IF(AND(I191&lt;&gt;"",I191&lt;AsOf),"OVERDUE",IF(OR(K191&lt;&gt;"",L191&lt;&gt;""),"Invoiced","Scheduled"))))</f>
        <v/>
      </c>
      <c r="P191" s="114">
        <f>IF(B191="","",IF(E191&lt;&gt;"",E191,IFERROR(INDEX('Contractors'!$D$6:$D$35,MATCH(B191,'Contractors'!$B$6:$B$35,0)),"")))</f>
        <v/>
      </c>
      <c r="Q191" s="79">
        <f>IF(B191="","",IF(D191&lt;&gt;"",D191,IFERROR(INDEX('Contractors'!$E$6:$E$35,MATCH(B191,'Contractors'!$B$6:$B$35,0)),"")))</f>
        <v/>
      </c>
      <c r="R191" s="79">
        <f>IF(O191="","",IF(O191="OVERDUE",2,IF(O191="Paid",0,IF(AND(I191&lt;&gt;"",I191&lt;=AsOf+AlertDays),1,0))))</f>
        <v/>
      </c>
      <c r="S191" s="79">
        <f>IF(AND(B191&lt;&gt;"",M191="",I191&lt;&gt;""),IF(L191&lt;&gt;"",L191,IF(H191="",0,H191)),0)</f>
        <v/>
      </c>
      <c r="T191" s="79">
        <f>IF(AND(B191&lt;&gt;"",M191="",I191&lt;&gt;""),1/I191,0)</f>
        <v/>
      </c>
      <c r="U191" s="111">
        <f>IF(AND(B191&lt;&gt;"",M191="",I191&lt;&gt;""),I191,"")</f>
        <v/>
      </c>
      <c r="V191" s="79">
        <f>IF(U191="","",IF(U191&lt;AsOf,1,IF(U191&lt;=AsOf+AlertDays,2,IF(U191&lt;=AsOf+2*AlertDays,3,""))))</f>
        <v/>
      </c>
      <c r="W191" s="79">
        <f>IF(V191="","",IF(O191="OVERDUE","Overdue payment: ","Payment due: ")&amp;B191&amp;" — "&amp;C191&amp;" ("&amp;CurSym&amp;" "&amp;FIXED(S191,0)&amp;")")</f>
        <v/>
      </c>
    </row>
    <row r="192" ht="20" customHeight="1">
      <c r="B192" s="72" t="n"/>
      <c r="C192" s="72" t="n"/>
      <c r="D192" s="72" t="n"/>
      <c r="E192" s="72" t="n"/>
      <c r="F192" s="109" t="n"/>
      <c r="G192" s="73" t="n"/>
      <c r="H192" s="75">
        <f>IF(B192="","",IF(G192&lt;&gt;"",G192,IF(F192&lt;&gt;"",F192*IFERROR(INDEX('Contractors'!$I$6:$I$35,MATCH(B192,'Contractors'!$B$6:$B$35,0)),0),"")))</f>
        <v/>
      </c>
      <c r="I192" s="108" t="n"/>
      <c r="J192" s="72" t="n"/>
      <c r="K192" s="108" t="n"/>
      <c r="L192" s="73" t="n"/>
      <c r="M192" s="108" t="n"/>
      <c r="N192" s="73" t="n"/>
      <c r="O192" s="107">
        <f>IF(B192="","",IF(M192&lt;&gt;"","Paid",IF(AND(I192&lt;&gt;"",I192&lt;AsOf),"OVERDUE",IF(OR(K192&lt;&gt;"",L192&lt;&gt;""),"Invoiced","Scheduled"))))</f>
        <v/>
      </c>
      <c r="P192" s="114">
        <f>IF(B192="","",IF(E192&lt;&gt;"",E192,IFERROR(INDEX('Contractors'!$D$6:$D$35,MATCH(B192,'Contractors'!$B$6:$B$35,0)),"")))</f>
        <v/>
      </c>
      <c r="Q192" s="79">
        <f>IF(B192="","",IF(D192&lt;&gt;"",D192,IFERROR(INDEX('Contractors'!$E$6:$E$35,MATCH(B192,'Contractors'!$B$6:$B$35,0)),"")))</f>
        <v/>
      </c>
      <c r="R192" s="79">
        <f>IF(O192="","",IF(O192="OVERDUE",2,IF(O192="Paid",0,IF(AND(I192&lt;&gt;"",I192&lt;=AsOf+AlertDays),1,0))))</f>
        <v/>
      </c>
      <c r="S192" s="79">
        <f>IF(AND(B192&lt;&gt;"",M192="",I192&lt;&gt;""),IF(L192&lt;&gt;"",L192,IF(H192="",0,H192)),0)</f>
        <v/>
      </c>
      <c r="T192" s="79">
        <f>IF(AND(B192&lt;&gt;"",M192="",I192&lt;&gt;""),1/I192,0)</f>
        <v/>
      </c>
      <c r="U192" s="111">
        <f>IF(AND(B192&lt;&gt;"",M192="",I192&lt;&gt;""),I192,"")</f>
        <v/>
      </c>
      <c r="V192" s="79">
        <f>IF(U192="","",IF(U192&lt;AsOf,1,IF(U192&lt;=AsOf+AlertDays,2,IF(U192&lt;=AsOf+2*AlertDays,3,""))))</f>
        <v/>
      </c>
      <c r="W192" s="79">
        <f>IF(V192="","",IF(O192="OVERDUE","Overdue payment: ","Payment due: ")&amp;B192&amp;" — "&amp;C192&amp;" ("&amp;CurSym&amp;" "&amp;FIXED(S192,0)&amp;")")</f>
        <v/>
      </c>
    </row>
    <row r="193" ht="20" customHeight="1">
      <c r="B193" s="72" t="n"/>
      <c r="C193" s="72" t="n"/>
      <c r="D193" s="72" t="n"/>
      <c r="E193" s="72" t="n"/>
      <c r="F193" s="109" t="n"/>
      <c r="G193" s="73" t="n"/>
      <c r="H193" s="75">
        <f>IF(B193="","",IF(G193&lt;&gt;"",G193,IF(F193&lt;&gt;"",F193*IFERROR(INDEX('Contractors'!$I$6:$I$35,MATCH(B193,'Contractors'!$B$6:$B$35,0)),0),"")))</f>
        <v/>
      </c>
      <c r="I193" s="108" t="n"/>
      <c r="J193" s="72" t="n"/>
      <c r="K193" s="108" t="n"/>
      <c r="L193" s="73" t="n"/>
      <c r="M193" s="108" t="n"/>
      <c r="N193" s="73" t="n"/>
      <c r="O193" s="107">
        <f>IF(B193="","",IF(M193&lt;&gt;"","Paid",IF(AND(I193&lt;&gt;"",I193&lt;AsOf),"OVERDUE",IF(OR(K193&lt;&gt;"",L193&lt;&gt;""),"Invoiced","Scheduled"))))</f>
        <v/>
      </c>
      <c r="P193" s="114">
        <f>IF(B193="","",IF(E193&lt;&gt;"",E193,IFERROR(INDEX('Contractors'!$D$6:$D$35,MATCH(B193,'Contractors'!$B$6:$B$35,0)),"")))</f>
        <v/>
      </c>
      <c r="Q193" s="79">
        <f>IF(B193="","",IF(D193&lt;&gt;"",D193,IFERROR(INDEX('Contractors'!$E$6:$E$35,MATCH(B193,'Contractors'!$B$6:$B$35,0)),"")))</f>
        <v/>
      </c>
      <c r="R193" s="79">
        <f>IF(O193="","",IF(O193="OVERDUE",2,IF(O193="Paid",0,IF(AND(I193&lt;&gt;"",I193&lt;=AsOf+AlertDays),1,0))))</f>
        <v/>
      </c>
      <c r="S193" s="79">
        <f>IF(AND(B193&lt;&gt;"",M193="",I193&lt;&gt;""),IF(L193&lt;&gt;"",L193,IF(H193="",0,H193)),0)</f>
        <v/>
      </c>
      <c r="T193" s="79">
        <f>IF(AND(B193&lt;&gt;"",M193="",I193&lt;&gt;""),1/I193,0)</f>
        <v/>
      </c>
      <c r="U193" s="111">
        <f>IF(AND(B193&lt;&gt;"",M193="",I193&lt;&gt;""),I193,"")</f>
        <v/>
      </c>
      <c r="V193" s="79">
        <f>IF(U193="","",IF(U193&lt;AsOf,1,IF(U193&lt;=AsOf+AlertDays,2,IF(U193&lt;=AsOf+2*AlertDays,3,""))))</f>
        <v/>
      </c>
      <c r="W193" s="79">
        <f>IF(V193="","",IF(O193="OVERDUE","Overdue payment: ","Payment due: ")&amp;B193&amp;" — "&amp;C193&amp;" ("&amp;CurSym&amp;" "&amp;FIXED(S193,0)&amp;")")</f>
        <v/>
      </c>
    </row>
    <row r="194" ht="20" customHeight="1">
      <c r="B194" s="72" t="n"/>
      <c r="C194" s="72" t="n"/>
      <c r="D194" s="72" t="n"/>
      <c r="E194" s="72" t="n"/>
      <c r="F194" s="109" t="n"/>
      <c r="G194" s="73" t="n"/>
      <c r="H194" s="75">
        <f>IF(B194="","",IF(G194&lt;&gt;"",G194,IF(F194&lt;&gt;"",F194*IFERROR(INDEX('Contractors'!$I$6:$I$35,MATCH(B194,'Contractors'!$B$6:$B$35,0)),0),"")))</f>
        <v/>
      </c>
      <c r="I194" s="108" t="n"/>
      <c r="J194" s="72" t="n"/>
      <c r="K194" s="108" t="n"/>
      <c r="L194" s="73" t="n"/>
      <c r="M194" s="108" t="n"/>
      <c r="N194" s="73" t="n"/>
      <c r="O194" s="107">
        <f>IF(B194="","",IF(M194&lt;&gt;"","Paid",IF(AND(I194&lt;&gt;"",I194&lt;AsOf),"OVERDUE",IF(OR(K194&lt;&gt;"",L194&lt;&gt;""),"Invoiced","Scheduled"))))</f>
        <v/>
      </c>
      <c r="P194" s="114">
        <f>IF(B194="","",IF(E194&lt;&gt;"",E194,IFERROR(INDEX('Contractors'!$D$6:$D$35,MATCH(B194,'Contractors'!$B$6:$B$35,0)),"")))</f>
        <v/>
      </c>
      <c r="Q194" s="79">
        <f>IF(B194="","",IF(D194&lt;&gt;"",D194,IFERROR(INDEX('Contractors'!$E$6:$E$35,MATCH(B194,'Contractors'!$B$6:$B$35,0)),"")))</f>
        <v/>
      </c>
      <c r="R194" s="79">
        <f>IF(O194="","",IF(O194="OVERDUE",2,IF(O194="Paid",0,IF(AND(I194&lt;&gt;"",I194&lt;=AsOf+AlertDays),1,0))))</f>
        <v/>
      </c>
      <c r="S194" s="79">
        <f>IF(AND(B194&lt;&gt;"",M194="",I194&lt;&gt;""),IF(L194&lt;&gt;"",L194,IF(H194="",0,H194)),0)</f>
        <v/>
      </c>
      <c r="T194" s="79">
        <f>IF(AND(B194&lt;&gt;"",M194="",I194&lt;&gt;""),1/I194,0)</f>
        <v/>
      </c>
      <c r="U194" s="111">
        <f>IF(AND(B194&lt;&gt;"",M194="",I194&lt;&gt;""),I194,"")</f>
        <v/>
      </c>
      <c r="V194" s="79">
        <f>IF(U194="","",IF(U194&lt;AsOf,1,IF(U194&lt;=AsOf+AlertDays,2,IF(U194&lt;=AsOf+2*AlertDays,3,""))))</f>
        <v/>
      </c>
      <c r="W194" s="79">
        <f>IF(V194="","",IF(O194="OVERDUE","Overdue payment: ","Payment due: ")&amp;B194&amp;" — "&amp;C194&amp;" ("&amp;CurSym&amp;" "&amp;FIXED(S194,0)&amp;")")</f>
        <v/>
      </c>
    </row>
    <row r="195" ht="20" customHeight="1">
      <c r="B195" s="72" t="n"/>
      <c r="C195" s="72" t="n"/>
      <c r="D195" s="72" t="n"/>
      <c r="E195" s="72" t="n"/>
      <c r="F195" s="109" t="n"/>
      <c r="G195" s="73" t="n"/>
      <c r="H195" s="75">
        <f>IF(B195="","",IF(G195&lt;&gt;"",G195,IF(F195&lt;&gt;"",F195*IFERROR(INDEX('Contractors'!$I$6:$I$35,MATCH(B195,'Contractors'!$B$6:$B$35,0)),0),"")))</f>
        <v/>
      </c>
      <c r="I195" s="108" t="n"/>
      <c r="J195" s="72" t="n"/>
      <c r="K195" s="108" t="n"/>
      <c r="L195" s="73" t="n"/>
      <c r="M195" s="108" t="n"/>
      <c r="N195" s="73" t="n"/>
      <c r="O195" s="107">
        <f>IF(B195="","",IF(M195&lt;&gt;"","Paid",IF(AND(I195&lt;&gt;"",I195&lt;AsOf),"OVERDUE",IF(OR(K195&lt;&gt;"",L195&lt;&gt;""),"Invoiced","Scheduled"))))</f>
        <v/>
      </c>
      <c r="P195" s="114">
        <f>IF(B195="","",IF(E195&lt;&gt;"",E195,IFERROR(INDEX('Contractors'!$D$6:$D$35,MATCH(B195,'Contractors'!$B$6:$B$35,0)),"")))</f>
        <v/>
      </c>
      <c r="Q195" s="79">
        <f>IF(B195="","",IF(D195&lt;&gt;"",D195,IFERROR(INDEX('Contractors'!$E$6:$E$35,MATCH(B195,'Contractors'!$B$6:$B$35,0)),"")))</f>
        <v/>
      </c>
      <c r="R195" s="79">
        <f>IF(O195="","",IF(O195="OVERDUE",2,IF(O195="Paid",0,IF(AND(I195&lt;&gt;"",I195&lt;=AsOf+AlertDays),1,0))))</f>
        <v/>
      </c>
      <c r="S195" s="79">
        <f>IF(AND(B195&lt;&gt;"",M195="",I195&lt;&gt;""),IF(L195&lt;&gt;"",L195,IF(H195="",0,H195)),0)</f>
        <v/>
      </c>
      <c r="T195" s="79">
        <f>IF(AND(B195&lt;&gt;"",M195="",I195&lt;&gt;""),1/I195,0)</f>
        <v/>
      </c>
      <c r="U195" s="111">
        <f>IF(AND(B195&lt;&gt;"",M195="",I195&lt;&gt;""),I195,"")</f>
        <v/>
      </c>
      <c r="V195" s="79">
        <f>IF(U195="","",IF(U195&lt;AsOf,1,IF(U195&lt;=AsOf+AlertDays,2,IF(U195&lt;=AsOf+2*AlertDays,3,""))))</f>
        <v/>
      </c>
      <c r="W195" s="79">
        <f>IF(V195="","",IF(O195="OVERDUE","Overdue payment: ","Payment due: ")&amp;B195&amp;" — "&amp;C195&amp;" ("&amp;CurSym&amp;" "&amp;FIXED(S195,0)&amp;")")</f>
        <v/>
      </c>
    </row>
    <row r="196" ht="20" customHeight="1">
      <c r="B196" s="72" t="n"/>
      <c r="C196" s="72" t="n"/>
      <c r="D196" s="72" t="n"/>
      <c r="E196" s="72" t="n"/>
      <c r="F196" s="109" t="n"/>
      <c r="G196" s="73" t="n"/>
      <c r="H196" s="75">
        <f>IF(B196="","",IF(G196&lt;&gt;"",G196,IF(F196&lt;&gt;"",F196*IFERROR(INDEX('Contractors'!$I$6:$I$35,MATCH(B196,'Contractors'!$B$6:$B$35,0)),0),"")))</f>
        <v/>
      </c>
      <c r="I196" s="108" t="n"/>
      <c r="J196" s="72" t="n"/>
      <c r="K196" s="108" t="n"/>
      <c r="L196" s="73" t="n"/>
      <c r="M196" s="108" t="n"/>
      <c r="N196" s="73" t="n"/>
      <c r="O196" s="107">
        <f>IF(B196="","",IF(M196&lt;&gt;"","Paid",IF(AND(I196&lt;&gt;"",I196&lt;AsOf),"OVERDUE",IF(OR(K196&lt;&gt;"",L196&lt;&gt;""),"Invoiced","Scheduled"))))</f>
        <v/>
      </c>
      <c r="P196" s="114">
        <f>IF(B196="","",IF(E196&lt;&gt;"",E196,IFERROR(INDEX('Contractors'!$D$6:$D$35,MATCH(B196,'Contractors'!$B$6:$B$35,0)),"")))</f>
        <v/>
      </c>
      <c r="Q196" s="79">
        <f>IF(B196="","",IF(D196&lt;&gt;"",D196,IFERROR(INDEX('Contractors'!$E$6:$E$35,MATCH(B196,'Contractors'!$B$6:$B$35,0)),"")))</f>
        <v/>
      </c>
      <c r="R196" s="79">
        <f>IF(O196="","",IF(O196="OVERDUE",2,IF(O196="Paid",0,IF(AND(I196&lt;&gt;"",I196&lt;=AsOf+AlertDays),1,0))))</f>
        <v/>
      </c>
      <c r="S196" s="79">
        <f>IF(AND(B196&lt;&gt;"",M196="",I196&lt;&gt;""),IF(L196&lt;&gt;"",L196,IF(H196="",0,H196)),0)</f>
        <v/>
      </c>
      <c r="T196" s="79">
        <f>IF(AND(B196&lt;&gt;"",M196="",I196&lt;&gt;""),1/I196,0)</f>
        <v/>
      </c>
      <c r="U196" s="111">
        <f>IF(AND(B196&lt;&gt;"",M196="",I196&lt;&gt;""),I196,"")</f>
        <v/>
      </c>
      <c r="V196" s="79">
        <f>IF(U196="","",IF(U196&lt;AsOf,1,IF(U196&lt;=AsOf+AlertDays,2,IF(U196&lt;=AsOf+2*AlertDays,3,""))))</f>
        <v/>
      </c>
      <c r="W196" s="79">
        <f>IF(V196="","",IF(O196="OVERDUE","Overdue payment: ","Payment due: ")&amp;B196&amp;" — "&amp;C196&amp;" ("&amp;CurSym&amp;" "&amp;FIXED(S196,0)&amp;")")</f>
        <v/>
      </c>
    </row>
    <row r="197" ht="20" customHeight="1">
      <c r="B197" s="72" t="n"/>
      <c r="C197" s="72" t="n"/>
      <c r="D197" s="72" t="n"/>
      <c r="E197" s="72" t="n"/>
      <c r="F197" s="109" t="n"/>
      <c r="G197" s="73" t="n"/>
      <c r="H197" s="75">
        <f>IF(B197="","",IF(G197&lt;&gt;"",G197,IF(F197&lt;&gt;"",F197*IFERROR(INDEX('Contractors'!$I$6:$I$35,MATCH(B197,'Contractors'!$B$6:$B$35,0)),0),"")))</f>
        <v/>
      </c>
      <c r="I197" s="108" t="n"/>
      <c r="J197" s="72" t="n"/>
      <c r="K197" s="108" t="n"/>
      <c r="L197" s="73" t="n"/>
      <c r="M197" s="108" t="n"/>
      <c r="N197" s="73" t="n"/>
      <c r="O197" s="107">
        <f>IF(B197="","",IF(M197&lt;&gt;"","Paid",IF(AND(I197&lt;&gt;"",I197&lt;AsOf),"OVERDUE",IF(OR(K197&lt;&gt;"",L197&lt;&gt;""),"Invoiced","Scheduled"))))</f>
        <v/>
      </c>
      <c r="P197" s="114">
        <f>IF(B197="","",IF(E197&lt;&gt;"",E197,IFERROR(INDEX('Contractors'!$D$6:$D$35,MATCH(B197,'Contractors'!$B$6:$B$35,0)),"")))</f>
        <v/>
      </c>
      <c r="Q197" s="79">
        <f>IF(B197="","",IF(D197&lt;&gt;"",D197,IFERROR(INDEX('Contractors'!$E$6:$E$35,MATCH(B197,'Contractors'!$B$6:$B$35,0)),"")))</f>
        <v/>
      </c>
      <c r="R197" s="79">
        <f>IF(O197="","",IF(O197="OVERDUE",2,IF(O197="Paid",0,IF(AND(I197&lt;&gt;"",I197&lt;=AsOf+AlertDays),1,0))))</f>
        <v/>
      </c>
      <c r="S197" s="79">
        <f>IF(AND(B197&lt;&gt;"",M197="",I197&lt;&gt;""),IF(L197&lt;&gt;"",L197,IF(H197="",0,H197)),0)</f>
        <v/>
      </c>
      <c r="T197" s="79">
        <f>IF(AND(B197&lt;&gt;"",M197="",I197&lt;&gt;""),1/I197,0)</f>
        <v/>
      </c>
      <c r="U197" s="111">
        <f>IF(AND(B197&lt;&gt;"",M197="",I197&lt;&gt;""),I197,"")</f>
        <v/>
      </c>
      <c r="V197" s="79">
        <f>IF(U197="","",IF(U197&lt;AsOf,1,IF(U197&lt;=AsOf+AlertDays,2,IF(U197&lt;=AsOf+2*AlertDays,3,""))))</f>
        <v/>
      </c>
      <c r="W197" s="79">
        <f>IF(V197="","",IF(O197="OVERDUE","Overdue payment: ","Payment due: ")&amp;B197&amp;" — "&amp;C197&amp;" ("&amp;CurSym&amp;" "&amp;FIXED(S197,0)&amp;")")</f>
        <v/>
      </c>
    </row>
    <row r="198" ht="20" customHeight="1">
      <c r="B198" s="72" t="n"/>
      <c r="C198" s="72" t="n"/>
      <c r="D198" s="72" t="n"/>
      <c r="E198" s="72" t="n"/>
      <c r="F198" s="109" t="n"/>
      <c r="G198" s="73" t="n"/>
      <c r="H198" s="75">
        <f>IF(B198="","",IF(G198&lt;&gt;"",G198,IF(F198&lt;&gt;"",F198*IFERROR(INDEX('Contractors'!$I$6:$I$35,MATCH(B198,'Contractors'!$B$6:$B$35,0)),0),"")))</f>
        <v/>
      </c>
      <c r="I198" s="108" t="n"/>
      <c r="J198" s="72" t="n"/>
      <c r="K198" s="108" t="n"/>
      <c r="L198" s="73" t="n"/>
      <c r="M198" s="108" t="n"/>
      <c r="N198" s="73" t="n"/>
      <c r="O198" s="107">
        <f>IF(B198="","",IF(M198&lt;&gt;"","Paid",IF(AND(I198&lt;&gt;"",I198&lt;AsOf),"OVERDUE",IF(OR(K198&lt;&gt;"",L198&lt;&gt;""),"Invoiced","Scheduled"))))</f>
        <v/>
      </c>
      <c r="P198" s="114">
        <f>IF(B198="","",IF(E198&lt;&gt;"",E198,IFERROR(INDEX('Contractors'!$D$6:$D$35,MATCH(B198,'Contractors'!$B$6:$B$35,0)),"")))</f>
        <v/>
      </c>
      <c r="Q198" s="79">
        <f>IF(B198="","",IF(D198&lt;&gt;"",D198,IFERROR(INDEX('Contractors'!$E$6:$E$35,MATCH(B198,'Contractors'!$B$6:$B$35,0)),"")))</f>
        <v/>
      </c>
      <c r="R198" s="79">
        <f>IF(O198="","",IF(O198="OVERDUE",2,IF(O198="Paid",0,IF(AND(I198&lt;&gt;"",I198&lt;=AsOf+AlertDays),1,0))))</f>
        <v/>
      </c>
      <c r="S198" s="79">
        <f>IF(AND(B198&lt;&gt;"",M198="",I198&lt;&gt;""),IF(L198&lt;&gt;"",L198,IF(H198="",0,H198)),0)</f>
        <v/>
      </c>
      <c r="T198" s="79">
        <f>IF(AND(B198&lt;&gt;"",M198="",I198&lt;&gt;""),1/I198,0)</f>
        <v/>
      </c>
      <c r="U198" s="111">
        <f>IF(AND(B198&lt;&gt;"",M198="",I198&lt;&gt;""),I198,"")</f>
        <v/>
      </c>
      <c r="V198" s="79">
        <f>IF(U198="","",IF(U198&lt;AsOf,1,IF(U198&lt;=AsOf+AlertDays,2,IF(U198&lt;=AsOf+2*AlertDays,3,""))))</f>
        <v/>
      </c>
      <c r="W198" s="79">
        <f>IF(V198="","",IF(O198="OVERDUE","Overdue payment: ","Payment due: ")&amp;B198&amp;" — "&amp;C198&amp;" ("&amp;CurSym&amp;" "&amp;FIXED(S198,0)&amp;")")</f>
        <v/>
      </c>
    </row>
    <row r="199" ht="20" customHeight="1">
      <c r="B199" s="72" t="n"/>
      <c r="C199" s="72" t="n"/>
      <c r="D199" s="72" t="n"/>
      <c r="E199" s="72" t="n"/>
      <c r="F199" s="109" t="n"/>
      <c r="G199" s="73" t="n"/>
      <c r="H199" s="75">
        <f>IF(B199="","",IF(G199&lt;&gt;"",G199,IF(F199&lt;&gt;"",F199*IFERROR(INDEX('Contractors'!$I$6:$I$35,MATCH(B199,'Contractors'!$B$6:$B$35,0)),0),"")))</f>
        <v/>
      </c>
      <c r="I199" s="108" t="n"/>
      <c r="J199" s="72" t="n"/>
      <c r="K199" s="108" t="n"/>
      <c r="L199" s="73" t="n"/>
      <c r="M199" s="108" t="n"/>
      <c r="N199" s="73" t="n"/>
      <c r="O199" s="107">
        <f>IF(B199="","",IF(M199&lt;&gt;"","Paid",IF(AND(I199&lt;&gt;"",I199&lt;AsOf),"OVERDUE",IF(OR(K199&lt;&gt;"",L199&lt;&gt;""),"Invoiced","Scheduled"))))</f>
        <v/>
      </c>
      <c r="P199" s="114">
        <f>IF(B199="","",IF(E199&lt;&gt;"",E199,IFERROR(INDEX('Contractors'!$D$6:$D$35,MATCH(B199,'Contractors'!$B$6:$B$35,0)),"")))</f>
        <v/>
      </c>
      <c r="Q199" s="79">
        <f>IF(B199="","",IF(D199&lt;&gt;"",D199,IFERROR(INDEX('Contractors'!$E$6:$E$35,MATCH(B199,'Contractors'!$B$6:$B$35,0)),"")))</f>
        <v/>
      </c>
      <c r="R199" s="79">
        <f>IF(O199="","",IF(O199="OVERDUE",2,IF(O199="Paid",0,IF(AND(I199&lt;&gt;"",I199&lt;=AsOf+AlertDays),1,0))))</f>
        <v/>
      </c>
      <c r="S199" s="79">
        <f>IF(AND(B199&lt;&gt;"",M199="",I199&lt;&gt;""),IF(L199&lt;&gt;"",L199,IF(H199="",0,H199)),0)</f>
        <v/>
      </c>
      <c r="T199" s="79">
        <f>IF(AND(B199&lt;&gt;"",M199="",I199&lt;&gt;""),1/I199,0)</f>
        <v/>
      </c>
      <c r="U199" s="111">
        <f>IF(AND(B199&lt;&gt;"",M199="",I199&lt;&gt;""),I199,"")</f>
        <v/>
      </c>
      <c r="V199" s="79">
        <f>IF(U199="","",IF(U199&lt;AsOf,1,IF(U199&lt;=AsOf+AlertDays,2,IF(U199&lt;=AsOf+2*AlertDays,3,""))))</f>
        <v/>
      </c>
      <c r="W199" s="79">
        <f>IF(V199="","",IF(O199="OVERDUE","Overdue payment: ","Payment due: ")&amp;B199&amp;" — "&amp;C199&amp;" ("&amp;CurSym&amp;" "&amp;FIXED(S199,0)&amp;")")</f>
        <v/>
      </c>
    </row>
    <row r="200" ht="20" customHeight="1">
      <c r="B200" s="72" t="n"/>
      <c r="C200" s="72" t="n"/>
      <c r="D200" s="72" t="n"/>
      <c r="E200" s="72" t="n"/>
      <c r="F200" s="109" t="n"/>
      <c r="G200" s="73" t="n"/>
      <c r="H200" s="75">
        <f>IF(B200="","",IF(G200&lt;&gt;"",G200,IF(F200&lt;&gt;"",F200*IFERROR(INDEX('Contractors'!$I$6:$I$35,MATCH(B200,'Contractors'!$B$6:$B$35,0)),0),"")))</f>
        <v/>
      </c>
      <c r="I200" s="108" t="n"/>
      <c r="J200" s="72" t="n"/>
      <c r="K200" s="108" t="n"/>
      <c r="L200" s="73" t="n"/>
      <c r="M200" s="108" t="n"/>
      <c r="N200" s="73" t="n"/>
      <c r="O200" s="107">
        <f>IF(B200="","",IF(M200&lt;&gt;"","Paid",IF(AND(I200&lt;&gt;"",I200&lt;AsOf),"OVERDUE",IF(OR(K200&lt;&gt;"",L200&lt;&gt;""),"Invoiced","Scheduled"))))</f>
        <v/>
      </c>
      <c r="P200" s="114">
        <f>IF(B200="","",IF(E200&lt;&gt;"",E200,IFERROR(INDEX('Contractors'!$D$6:$D$35,MATCH(B200,'Contractors'!$B$6:$B$35,0)),"")))</f>
        <v/>
      </c>
      <c r="Q200" s="79">
        <f>IF(B200="","",IF(D200&lt;&gt;"",D200,IFERROR(INDEX('Contractors'!$E$6:$E$35,MATCH(B200,'Contractors'!$B$6:$B$35,0)),"")))</f>
        <v/>
      </c>
      <c r="R200" s="79">
        <f>IF(O200="","",IF(O200="OVERDUE",2,IF(O200="Paid",0,IF(AND(I200&lt;&gt;"",I200&lt;=AsOf+AlertDays),1,0))))</f>
        <v/>
      </c>
      <c r="S200" s="79">
        <f>IF(AND(B200&lt;&gt;"",M200="",I200&lt;&gt;""),IF(L200&lt;&gt;"",L200,IF(H200="",0,H200)),0)</f>
        <v/>
      </c>
      <c r="T200" s="79">
        <f>IF(AND(B200&lt;&gt;"",M200="",I200&lt;&gt;""),1/I200,0)</f>
        <v/>
      </c>
      <c r="U200" s="111">
        <f>IF(AND(B200&lt;&gt;"",M200="",I200&lt;&gt;""),I200,"")</f>
        <v/>
      </c>
      <c r="V200" s="79">
        <f>IF(U200="","",IF(U200&lt;AsOf,1,IF(U200&lt;=AsOf+AlertDays,2,IF(U200&lt;=AsOf+2*AlertDays,3,""))))</f>
        <v/>
      </c>
      <c r="W200" s="79">
        <f>IF(V200="","",IF(O200="OVERDUE","Overdue payment: ","Payment due: ")&amp;B200&amp;" — "&amp;C200&amp;" ("&amp;CurSym&amp;" "&amp;FIXED(S200,0)&amp;")")</f>
        <v/>
      </c>
    </row>
    <row r="201" ht="20" customHeight="1">
      <c r="B201" s="72" t="n"/>
      <c r="C201" s="72" t="n"/>
      <c r="D201" s="72" t="n"/>
      <c r="E201" s="72" t="n"/>
      <c r="F201" s="109" t="n"/>
      <c r="G201" s="73" t="n"/>
      <c r="H201" s="75">
        <f>IF(B201="","",IF(G201&lt;&gt;"",G201,IF(F201&lt;&gt;"",F201*IFERROR(INDEX('Contractors'!$I$6:$I$35,MATCH(B201,'Contractors'!$B$6:$B$35,0)),0),"")))</f>
        <v/>
      </c>
      <c r="I201" s="108" t="n"/>
      <c r="J201" s="72" t="n"/>
      <c r="K201" s="108" t="n"/>
      <c r="L201" s="73" t="n"/>
      <c r="M201" s="108" t="n"/>
      <c r="N201" s="73" t="n"/>
      <c r="O201" s="107">
        <f>IF(B201="","",IF(M201&lt;&gt;"","Paid",IF(AND(I201&lt;&gt;"",I201&lt;AsOf),"OVERDUE",IF(OR(K201&lt;&gt;"",L201&lt;&gt;""),"Invoiced","Scheduled"))))</f>
        <v/>
      </c>
      <c r="P201" s="114">
        <f>IF(B201="","",IF(E201&lt;&gt;"",E201,IFERROR(INDEX('Contractors'!$D$6:$D$35,MATCH(B201,'Contractors'!$B$6:$B$35,0)),"")))</f>
        <v/>
      </c>
      <c r="Q201" s="79">
        <f>IF(B201="","",IF(D201&lt;&gt;"",D201,IFERROR(INDEX('Contractors'!$E$6:$E$35,MATCH(B201,'Contractors'!$B$6:$B$35,0)),"")))</f>
        <v/>
      </c>
      <c r="R201" s="79">
        <f>IF(O201="","",IF(O201="OVERDUE",2,IF(O201="Paid",0,IF(AND(I201&lt;&gt;"",I201&lt;=AsOf+AlertDays),1,0))))</f>
        <v/>
      </c>
      <c r="S201" s="79">
        <f>IF(AND(B201&lt;&gt;"",M201="",I201&lt;&gt;""),IF(L201&lt;&gt;"",L201,IF(H201="",0,H201)),0)</f>
        <v/>
      </c>
      <c r="T201" s="79">
        <f>IF(AND(B201&lt;&gt;"",M201="",I201&lt;&gt;""),1/I201,0)</f>
        <v/>
      </c>
      <c r="U201" s="111">
        <f>IF(AND(B201&lt;&gt;"",M201="",I201&lt;&gt;""),I201,"")</f>
        <v/>
      </c>
      <c r="V201" s="79">
        <f>IF(U201="","",IF(U201&lt;AsOf,1,IF(U201&lt;=AsOf+AlertDays,2,IF(U201&lt;=AsOf+2*AlertDays,3,""))))</f>
        <v/>
      </c>
      <c r="W201" s="79">
        <f>IF(V201="","",IF(O201="OVERDUE","Overdue payment: ","Payment due: ")&amp;B201&amp;" — "&amp;C201&amp;" ("&amp;CurSym&amp;" "&amp;FIXED(S201,0)&amp;")")</f>
        <v/>
      </c>
    </row>
    <row r="202" ht="20" customHeight="1">
      <c r="B202" s="72" t="n"/>
      <c r="C202" s="72" t="n"/>
      <c r="D202" s="72" t="n"/>
      <c r="E202" s="72" t="n"/>
      <c r="F202" s="109" t="n"/>
      <c r="G202" s="73" t="n"/>
      <c r="H202" s="75">
        <f>IF(B202="","",IF(G202&lt;&gt;"",G202,IF(F202&lt;&gt;"",F202*IFERROR(INDEX('Contractors'!$I$6:$I$35,MATCH(B202,'Contractors'!$B$6:$B$35,0)),0),"")))</f>
        <v/>
      </c>
      <c r="I202" s="108" t="n"/>
      <c r="J202" s="72" t="n"/>
      <c r="K202" s="108" t="n"/>
      <c r="L202" s="73" t="n"/>
      <c r="M202" s="108" t="n"/>
      <c r="N202" s="73" t="n"/>
      <c r="O202" s="107">
        <f>IF(B202="","",IF(M202&lt;&gt;"","Paid",IF(AND(I202&lt;&gt;"",I202&lt;AsOf),"OVERDUE",IF(OR(K202&lt;&gt;"",L202&lt;&gt;""),"Invoiced","Scheduled"))))</f>
        <v/>
      </c>
      <c r="P202" s="114">
        <f>IF(B202="","",IF(E202&lt;&gt;"",E202,IFERROR(INDEX('Contractors'!$D$6:$D$35,MATCH(B202,'Contractors'!$B$6:$B$35,0)),"")))</f>
        <v/>
      </c>
      <c r="Q202" s="79">
        <f>IF(B202="","",IF(D202&lt;&gt;"",D202,IFERROR(INDEX('Contractors'!$E$6:$E$35,MATCH(B202,'Contractors'!$B$6:$B$35,0)),"")))</f>
        <v/>
      </c>
      <c r="R202" s="79">
        <f>IF(O202="","",IF(O202="OVERDUE",2,IF(O202="Paid",0,IF(AND(I202&lt;&gt;"",I202&lt;=AsOf+AlertDays),1,0))))</f>
        <v/>
      </c>
      <c r="S202" s="79">
        <f>IF(AND(B202&lt;&gt;"",M202="",I202&lt;&gt;""),IF(L202&lt;&gt;"",L202,IF(H202="",0,H202)),0)</f>
        <v/>
      </c>
      <c r="T202" s="79">
        <f>IF(AND(B202&lt;&gt;"",M202="",I202&lt;&gt;""),1/I202,0)</f>
        <v/>
      </c>
      <c r="U202" s="111">
        <f>IF(AND(B202&lt;&gt;"",M202="",I202&lt;&gt;""),I202,"")</f>
        <v/>
      </c>
      <c r="V202" s="79">
        <f>IF(U202="","",IF(U202&lt;AsOf,1,IF(U202&lt;=AsOf+AlertDays,2,IF(U202&lt;=AsOf+2*AlertDays,3,""))))</f>
        <v/>
      </c>
      <c r="W202" s="79">
        <f>IF(V202="","",IF(O202="OVERDUE","Overdue payment: ","Payment due: ")&amp;B202&amp;" — "&amp;C202&amp;" ("&amp;CurSym&amp;" "&amp;FIXED(S202,0)&amp;")")</f>
        <v/>
      </c>
    </row>
    <row r="203" ht="20" customHeight="1">
      <c r="B203" s="72" t="n"/>
      <c r="C203" s="72" t="n"/>
      <c r="D203" s="72" t="n"/>
      <c r="E203" s="72" t="n"/>
      <c r="F203" s="109" t="n"/>
      <c r="G203" s="73" t="n"/>
      <c r="H203" s="75">
        <f>IF(B203="","",IF(G203&lt;&gt;"",G203,IF(F203&lt;&gt;"",F203*IFERROR(INDEX('Contractors'!$I$6:$I$35,MATCH(B203,'Contractors'!$B$6:$B$35,0)),0),"")))</f>
        <v/>
      </c>
      <c r="I203" s="108" t="n"/>
      <c r="J203" s="72" t="n"/>
      <c r="K203" s="108" t="n"/>
      <c r="L203" s="73" t="n"/>
      <c r="M203" s="108" t="n"/>
      <c r="N203" s="73" t="n"/>
      <c r="O203" s="107">
        <f>IF(B203="","",IF(M203&lt;&gt;"","Paid",IF(AND(I203&lt;&gt;"",I203&lt;AsOf),"OVERDUE",IF(OR(K203&lt;&gt;"",L203&lt;&gt;""),"Invoiced","Scheduled"))))</f>
        <v/>
      </c>
      <c r="P203" s="114">
        <f>IF(B203="","",IF(E203&lt;&gt;"",E203,IFERROR(INDEX('Contractors'!$D$6:$D$35,MATCH(B203,'Contractors'!$B$6:$B$35,0)),"")))</f>
        <v/>
      </c>
      <c r="Q203" s="79">
        <f>IF(B203="","",IF(D203&lt;&gt;"",D203,IFERROR(INDEX('Contractors'!$E$6:$E$35,MATCH(B203,'Contractors'!$B$6:$B$35,0)),"")))</f>
        <v/>
      </c>
      <c r="R203" s="79">
        <f>IF(O203="","",IF(O203="OVERDUE",2,IF(O203="Paid",0,IF(AND(I203&lt;&gt;"",I203&lt;=AsOf+AlertDays),1,0))))</f>
        <v/>
      </c>
      <c r="S203" s="79">
        <f>IF(AND(B203&lt;&gt;"",M203="",I203&lt;&gt;""),IF(L203&lt;&gt;"",L203,IF(H203="",0,H203)),0)</f>
        <v/>
      </c>
      <c r="T203" s="79">
        <f>IF(AND(B203&lt;&gt;"",M203="",I203&lt;&gt;""),1/I203,0)</f>
        <v/>
      </c>
      <c r="U203" s="111">
        <f>IF(AND(B203&lt;&gt;"",M203="",I203&lt;&gt;""),I203,"")</f>
        <v/>
      </c>
      <c r="V203" s="79">
        <f>IF(U203="","",IF(U203&lt;AsOf,1,IF(U203&lt;=AsOf+AlertDays,2,IF(U203&lt;=AsOf+2*AlertDays,3,""))))</f>
        <v/>
      </c>
      <c r="W203" s="79">
        <f>IF(V203="","",IF(O203="OVERDUE","Overdue payment: ","Payment due: ")&amp;B203&amp;" — "&amp;C203&amp;" ("&amp;CurSym&amp;" "&amp;FIXED(S203,0)&amp;")")</f>
        <v/>
      </c>
    </row>
    <row r="204" ht="20" customHeight="1">
      <c r="B204" s="72" t="n"/>
      <c r="C204" s="72" t="n"/>
      <c r="D204" s="72" t="n"/>
      <c r="E204" s="72" t="n"/>
      <c r="F204" s="109" t="n"/>
      <c r="G204" s="73" t="n"/>
      <c r="H204" s="75">
        <f>IF(B204="","",IF(G204&lt;&gt;"",G204,IF(F204&lt;&gt;"",F204*IFERROR(INDEX('Contractors'!$I$6:$I$35,MATCH(B204,'Contractors'!$B$6:$B$35,0)),0),"")))</f>
        <v/>
      </c>
      <c r="I204" s="108" t="n"/>
      <c r="J204" s="72" t="n"/>
      <c r="K204" s="108" t="n"/>
      <c r="L204" s="73" t="n"/>
      <c r="M204" s="108" t="n"/>
      <c r="N204" s="73" t="n"/>
      <c r="O204" s="107">
        <f>IF(B204="","",IF(M204&lt;&gt;"","Paid",IF(AND(I204&lt;&gt;"",I204&lt;AsOf),"OVERDUE",IF(OR(K204&lt;&gt;"",L204&lt;&gt;""),"Invoiced","Scheduled"))))</f>
        <v/>
      </c>
      <c r="P204" s="114">
        <f>IF(B204="","",IF(E204&lt;&gt;"",E204,IFERROR(INDEX('Contractors'!$D$6:$D$35,MATCH(B204,'Contractors'!$B$6:$B$35,0)),"")))</f>
        <v/>
      </c>
      <c r="Q204" s="79">
        <f>IF(B204="","",IF(D204&lt;&gt;"",D204,IFERROR(INDEX('Contractors'!$E$6:$E$35,MATCH(B204,'Contractors'!$B$6:$B$35,0)),"")))</f>
        <v/>
      </c>
      <c r="R204" s="79">
        <f>IF(O204="","",IF(O204="OVERDUE",2,IF(O204="Paid",0,IF(AND(I204&lt;&gt;"",I204&lt;=AsOf+AlertDays),1,0))))</f>
        <v/>
      </c>
      <c r="S204" s="79">
        <f>IF(AND(B204&lt;&gt;"",M204="",I204&lt;&gt;""),IF(L204&lt;&gt;"",L204,IF(H204="",0,H204)),0)</f>
        <v/>
      </c>
      <c r="T204" s="79">
        <f>IF(AND(B204&lt;&gt;"",M204="",I204&lt;&gt;""),1/I204,0)</f>
        <v/>
      </c>
      <c r="U204" s="111">
        <f>IF(AND(B204&lt;&gt;"",M204="",I204&lt;&gt;""),I204,"")</f>
        <v/>
      </c>
      <c r="V204" s="79">
        <f>IF(U204="","",IF(U204&lt;AsOf,1,IF(U204&lt;=AsOf+AlertDays,2,IF(U204&lt;=AsOf+2*AlertDays,3,""))))</f>
        <v/>
      </c>
      <c r="W204" s="79">
        <f>IF(V204="","",IF(O204="OVERDUE","Overdue payment: ","Payment due: ")&amp;B204&amp;" — "&amp;C204&amp;" ("&amp;CurSym&amp;" "&amp;FIXED(S204,0)&amp;")")</f>
        <v/>
      </c>
    </row>
    <row r="205" ht="20" customHeight="1">
      <c r="B205" s="72" t="n"/>
      <c r="C205" s="72" t="n"/>
      <c r="D205" s="72" t="n"/>
      <c r="E205" s="72" t="n"/>
      <c r="F205" s="109" t="n"/>
      <c r="G205" s="73" t="n"/>
      <c r="H205" s="75">
        <f>IF(B205="","",IF(G205&lt;&gt;"",G205,IF(F205&lt;&gt;"",F205*IFERROR(INDEX('Contractors'!$I$6:$I$35,MATCH(B205,'Contractors'!$B$6:$B$35,0)),0),"")))</f>
        <v/>
      </c>
      <c r="I205" s="108" t="n"/>
      <c r="J205" s="72" t="n"/>
      <c r="K205" s="108" t="n"/>
      <c r="L205" s="73" t="n"/>
      <c r="M205" s="108" t="n"/>
      <c r="N205" s="73" t="n"/>
      <c r="O205" s="107">
        <f>IF(B205="","",IF(M205&lt;&gt;"","Paid",IF(AND(I205&lt;&gt;"",I205&lt;AsOf),"OVERDUE",IF(OR(K205&lt;&gt;"",L205&lt;&gt;""),"Invoiced","Scheduled"))))</f>
        <v/>
      </c>
      <c r="P205" s="114">
        <f>IF(B205="","",IF(E205&lt;&gt;"",E205,IFERROR(INDEX('Contractors'!$D$6:$D$35,MATCH(B205,'Contractors'!$B$6:$B$35,0)),"")))</f>
        <v/>
      </c>
      <c r="Q205" s="79">
        <f>IF(B205="","",IF(D205&lt;&gt;"",D205,IFERROR(INDEX('Contractors'!$E$6:$E$35,MATCH(B205,'Contractors'!$B$6:$B$35,0)),"")))</f>
        <v/>
      </c>
      <c r="R205" s="79">
        <f>IF(O205="","",IF(O205="OVERDUE",2,IF(O205="Paid",0,IF(AND(I205&lt;&gt;"",I205&lt;=AsOf+AlertDays),1,0))))</f>
        <v/>
      </c>
      <c r="S205" s="79">
        <f>IF(AND(B205&lt;&gt;"",M205="",I205&lt;&gt;""),IF(L205&lt;&gt;"",L205,IF(H205="",0,H205)),0)</f>
        <v/>
      </c>
      <c r="T205" s="79">
        <f>IF(AND(B205&lt;&gt;"",M205="",I205&lt;&gt;""),1/I205,0)</f>
        <v/>
      </c>
      <c r="U205" s="111">
        <f>IF(AND(B205&lt;&gt;"",M205="",I205&lt;&gt;""),I205,"")</f>
        <v/>
      </c>
      <c r="V205" s="79">
        <f>IF(U205="","",IF(U205&lt;AsOf,1,IF(U205&lt;=AsOf+AlertDays,2,IF(U205&lt;=AsOf+2*AlertDays,3,""))))</f>
        <v/>
      </c>
      <c r="W205" s="79">
        <f>IF(V205="","",IF(O205="OVERDUE","Overdue payment: ","Payment due: ")&amp;B205&amp;" — "&amp;C205&amp;" ("&amp;CurSym&amp;" "&amp;FIXED(S205,0)&amp;")")</f>
        <v/>
      </c>
    </row>
  </sheetData>
  <sheetProtection selectLockedCells="1" selectUnlockedCells="0" sheet="1" objects="0" insertRows="1" insertHyperlinks="1" autoFilter="1" scenarios="0" formatColumns="0" deleteColumns="1" insertColumns="1" pivotTables="1" deleteRows="1" formatCells="1" formatRows="0" sort="1" password="CD61"/>
  <mergeCells count="1">
    <mergeCell ref="Z38:AB38"/>
  </mergeCells>
  <conditionalFormatting sqref="O6:O205">
    <cfRule type="expression" priority="1" dxfId="0" stopIfTrue="0">
      <formula>O6="OVERDUE"</formula>
    </cfRule>
    <cfRule type="expression" priority="2" dxfId="3" stopIfTrue="0">
      <formula>O6="Paid"</formula>
    </cfRule>
    <cfRule type="expression" priority="3" dxfId="6" stopIfTrue="0">
      <formula>AND(O6&lt;&gt;"",$R6=1)</formula>
    </cfRule>
  </conditionalFormatting>
  <dataValidations count="3">
    <dataValidation sqref="B6:B205" showDropDown="0" showInputMessage="0" showErrorMessage="1" allowBlank="1" errorTitle="Renovation OS" error="This name is not in the list. Keep it anyway?" type="list" errorStyle="warning">
      <formula1>='Lists'!$X$2:$X$31</formula1>
    </dataValidation>
    <dataValidation sqref="D6:D205" showDropDown="0" showInputMessage="0" showErrorMessage="1" allowBlank="1" errorTitle="Renovation OS" error="Please pick a value from the dropdown list." type="list">
      <formula1>='Lists'!$W$2:$W$12</formula1>
    </dataValidation>
    <dataValidation sqref="E6:E205" showDropDown="0" showInputMessage="0" showErrorMessage="1" allowBlank="1" errorTitle="Renovation OS" error="Please pick a value from the dropdown list." type="list">
      <formula1>='Lists'!$V$2:$V$31</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2E7D32"/>
    <outlinePr summaryBelow="1" summaryRight="1"/>
    <pageSetUpPr/>
  </sheetPr>
  <dimension ref="A1:U106"/>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2.5" customWidth="1" min="1" max="1"/>
    <col width="8" customWidth="1" min="2" max="2"/>
    <col width="13" customWidth="1" min="3" max="3"/>
    <col width="14" customWidth="1" min="4" max="4"/>
    <col width="22" customWidth="1" min="5" max="5"/>
    <col width="16" customWidth="1" min="6" max="6"/>
    <col width="14" customWidth="1" min="7" max="7"/>
    <col width="34" customWidth="1" min="8" max="8"/>
    <col width="18" customWidth="1" min="9" max="9"/>
    <col width="12" customWidth="1" min="10" max="10"/>
    <col width="9" customWidth="1" min="11" max="11"/>
    <col width="11" customWidth="1" min="12" max="12"/>
    <col width="13" customWidth="1" min="13" max="13"/>
    <col width="14" customWidth="1" min="14" max="14"/>
    <col width="14" customWidth="1" min="15" max="15"/>
    <col width="14" customWidth="1" min="16" max="16"/>
    <col width="11" customWidth="1" min="17" max="17"/>
    <col hidden="1" width="13" customWidth="1" min="18" max="18"/>
    <col hidden="1" width="13" customWidth="1" min="19" max="19"/>
    <col hidden="1" width="13" customWidth="1" min="20" max="20"/>
    <col hidden="1" width="13" customWidth="1" min="21" max="21"/>
  </cols>
  <sheetData>
    <row r="1" ht="36" customHeight="1">
      <c r="B1" s="1" t="inlineStr">
        <is>
          <t>🔁 Change Orders</t>
        </is>
      </c>
    </row>
    <row r="2" ht="20" customHeight="1">
      <c r="B2" s="2" t="inlineStr">
        <is>
          <t>What this tab does: logs every change to the plan and previews its effect on budget, contingency and move-in date BEFORE you approve it.</t>
        </is>
      </c>
    </row>
    <row r="3">
      <c r="B3" s="3" t="inlineStr">
        <is>
          <t>© 2026 Hang Nguyen — Renovation OS. Licensed to the original purchaser for personal use only. Do not share, copy, resell or redistribute.</t>
        </is>
      </c>
    </row>
    <row r="4" ht="30" customHeight="1">
      <c r="B4" s="119" t="inlineStr">
        <is>
          <t>⚠️  Never approve a change without checking this preview  →  the grey columns show your forecast, contingency and move-in date IF you approve.</t>
        </is>
      </c>
    </row>
    <row r="5"/>
    <row r="6" ht="32" customHeight="1">
      <c r="B6" s="52" t="inlineStr">
        <is>
          <t>CO #</t>
        </is>
      </c>
      <c r="C6" s="52" t="inlineStr">
        <is>
          <t>Date requested</t>
        </is>
      </c>
      <c r="D6" s="52" t="inlineStr">
        <is>
          <t>Requested by</t>
        </is>
      </c>
      <c r="E6" s="52" t="inlineStr">
        <is>
          <t>Contractor</t>
        </is>
      </c>
      <c r="F6" s="52" t="inlineStr">
        <is>
          <t>Budget category</t>
        </is>
      </c>
      <c r="G6" s="52" t="inlineStr">
        <is>
          <t>Room</t>
        </is>
      </c>
      <c r="H6" s="52" t="inlineStr">
        <is>
          <t>What changes</t>
        </is>
      </c>
      <c r="I6" s="52" t="inlineStr">
        <is>
          <t>Reason</t>
        </is>
      </c>
      <c r="J6" s="70">
        <f>"Extra cost ("&amp;CurSym&amp;")"</f>
        <v/>
      </c>
      <c r="K6" s="52" t="inlineStr">
        <is>
          <t>Extra days</t>
        </is>
      </c>
      <c r="L6" s="52" t="inlineStr">
        <is>
          <t>Status</t>
        </is>
      </c>
      <c r="M6" s="52" t="inlineStr">
        <is>
          <t>Decision date</t>
        </is>
      </c>
      <c r="N6" s="70">
        <f>"Forecast if approved ("&amp;CurSym&amp;")"</f>
        <v/>
      </c>
      <c r="O6" s="70">
        <f>"Contingency left if approved ("&amp;CurSym&amp;")"</f>
        <v/>
      </c>
      <c r="P6" s="52" t="inlineStr">
        <is>
          <t>Move-in if approved</t>
        </is>
      </c>
      <c r="Q6" s="52" t="inlineStr">
        <is>
          <t>vs working budget</t>
        </is>
      </c>
      <c r="R6" s="71" t="inlineStr">
        <is>
          <t>lvl</t>
        </is>
      </c>
      <c r="S6" s="71" t="inlineStr">
        <is>
          <t>due</t>
        </is>
      </c>
      <c r="T6" s="71" t="inlineStr">
        <is>
          <t>pri</t>
        </is>
      </c>
      <c r="U6" s="71" t="inlineStr">
        <is>
          <t>text</t>
        </is>
      </c>
    </row>
    <row r="7" ht="24" customHeight="1">
      <c r="B7" s="74" t="inlineStr">
        <is>
          <t>CO-1</t>
        </is>
      </c>
      <c r="C7" s="108" t="n">
        <v>46144</v>
      </c>
      <c r="D7" s="72" t="inlineStr">
        <is>
          <t>Contractor</t>
        </is>
      </c>
      <c r="E7" s="72" t="inlineStr">
        <is>
          <t>Solid Structures Ltd</t>
        </is>
      </c>
      <c r="F7" s="72" t="inlineStr">
        <is>
          <t>Structural</t>
        </is>
      </c>
      <c r="G7" s="72" t="inlineStr">
        <is>
          <t>Living room</t>
        </is>
      </c>
      <c r="H7" s="112" t="inlineStr">
        <is>
          <t>Heavier steel beam required by structural engineer</t>
        </is>
      </c>
      <c r="I7" s="72" t="inlineStr">
        <is>
          <t>Unforeseen condition</t>
        </is>
      </c>
      <c r="J7" s="73" t="n">
        <v>1200</v>
      </c>
      <c r="K7" s="89" t="n">
        <v>2</v>
      </c>
      <c r="L7" s="74" t="inlineStr">
        <is>
          <t>Approved</t>
        </is>
      </c>
      <c r="M7" s="108" t="n">
        <v>46145</v>
      </c>
      <c r="N7" s="68">
        <f>IF(AND(H7="",J7=""),"",ForecastTotal+IF(L7="Approved",0,IF(J7="",0,J7)))</f>
        <v/>
      </c>
      <c r="O7" s="75">
        <f>IF(N7="","",ContAmt-MAX(0,N7-WorkBudget))</f>
        <v/>
      </c>
      <c r="P7" s="120">
        <f>IF(OR(N7="",ForecastEnd=""),"",ForecastEnd+IF(L7="Approved",0,IF(K7="",0,K7)))</f>
        <v/>
      </c>
      <c r="Q7" s="121">
        <f>IF(OR(N7="",WorkBudget=0),"",N7/WorkBudget-1)</f>
        <v/>
      </c>
      <c r="R7" s="79">
        <f>IF(N7="","",IF(N7&lt;=WorkBudget,0,IF(N7&lt;=TotalBudget,1,2)))</f>
        <v/>
      </c>
      <c r="S7" s="111">
        <f>IF(AND(OR(H7&lt;&gt;"",J7&lt;&gt;""),OR(L7="Pending",L7=""),C7&lt;&gt;""),C7+3,"")</f>
        <v/>
      </c>
      <c r="T7" s="79">
        <f>IF(S7="","",IF(AsOf&gt;S7,1,2))</f>
        <v/>
      </c>
      <c r="U7" s="79">
        <f>IF(T7="","","Decide on change order "&amp;B7&amp;": "&amp;H7&amp;" (+"&amp;CurSym&amp;" "&amp;FIXED(IF(J7="",0,J7),0)&amp;")")</f>
        <v/>
      </c>
    </row>
    <row r="8" ht="24" customHeight="1">
      <c r="B8" s="74" t="inlineStr">
        <is>
          <t>CO-2</t>
        </is>
      </c>
      <c r="C8" s="108" t="n">
        <v>46162</v>
      </c>
      <c r="D8" s="72" t="inlineStr">
        <is>
          <t>Owner</t>
        </is>
      </c>
      <c r="E8" s="72" t="inlineStr">
        <is>
          <t>Nordic Kitchens</t>
        </is>
      </c>
      <c r="F8" s="72" t="inlineStr">
        <is>
          <t>Kitchen</t>
        </is>
      </c>
      <c r="G8" s="72" t="inlineStr">
        <is>
          <t>Kitchen</t>
        </is>
      </c>
      <c r="H8" s="112" t="inlineStr">
        <is>
          <t>Add pantry cabinet + soft-close upgrade</t>
        </is>
      </c>
      <c r="I8" s="72" t="inlineStr">
        <is>
          <t>Client choice</t>
        </is>
      </c>
      <c r="J8" s="73" t="n">
        <v>900</v>
      </c>
      <c r="K8" s="89" t="n">
        <v>0</v>
      </c>
      <c r="L8" s="74" t="inlineStr">
        <is>
          <t>Approved</t>
        </is>
      </c>
      <c r="M8" s="108" t="n">
        <v>46164</v>
      </c>
      <c r="N8" s="68">
        <f>IF(AND(H8="",J8=""),"",ForecastTotal+IF(L8="Approved",0,IF(J8="",0,J8)))</f>
        <v/>
      </c>
      <c r="O8" s="75">
        <f>IF(N8="","",ContAmt-MAX(0,N8-WorkBudget))</f>
        <v/>
      </c>
      <c r="P8" s="120">
        <f>IF(OR(N8="",ForecastEnd=""),"",ForecastEnd+IF(L8="Approved",0,IF(K8="",0,K8)))</f>
        <v/>
      </c>
      <c r="Q8" s="121">
        <f>IF(OR(N8="",WorkBudget=0),"",N8/WorkBudget-1)</f>
        <v/>
      </c>
      <c r="R8" s="79">
        <f>IF(N8="","",IF(N8&lt;=WorkBudget,0,IF(N8&lt;=TotalBudget,1,2)))</f>
        <v/>
      </c>
      <c r="S8" s="111">
        <f>IF(AND(OR(H8&lt;&gt;"",J8&lt;&gt;""),OR(L8="Pending",L8=""),C8&lt;&gt;""),C8+3,"")</f>
        <v/>
      </c>
      <c r="T8" s="79">
        <f>IF(S8="","",IF(AsOf&gt;S8,1,2))</f>
        <v/>
      </c>
      <c r="U8" s="79">
        <f>IF(T8="","","Decide on change order "&amp;B8&amp;": "&amp;H8&amp;" (+"&amp;CurSym&amp;" "&amp;FIXED(IF(J8="",0,J8),0)&amp;")")</f>
        <v/>
      </c>
    </row>
    <row r="9" ht="24" customHeight="1">
      <c r="B9" s="74" t="inlineStr">
        <is>
          <t>CO-3</t>
        </is>
      </c>
      <c r="C9" s="108" t="n">
        <v>46167</v>
      </c>
      <c r="D9" s="72" t="inlineStr">
        <is>
          <t>Contractor</t>
        </is>
      </c>
      <c r="E9" s="72" t="inlineStr">
        <is>
          <t>ClearView Windows</t>
        </is>
      </c>
      <c r="F9" s="72" t="inlineStr">
        <is>
          <t>Windows &amp; doors</t>
        </is>
      </c>
      <c r="G9" s="72" t="inlineStr">
        <is>
          <t>Living room</t>
        </is>
      </c>
      <c r="H9" s="112" t="inlineStr">
        <is>
          <t>Upgrade sliding door to triple glazing</t>
        </is>
      </c>
      <c r="I9" s="72" t="inlineStr">
        <is>
          <t>Client choice</t>
        </is>
      </c>
      <c r="J9" s="73" t="n">
        <v>2100</v>
      </c>
      <c r="K9" s="89" t="n">
        <v>5</v>
      </c>
      <c r="L9" s="74" t="inlineStr">
        <is>
          <t>Rejected</t>
        </is>
      </c>
      <c r="M9" s="108" t="n">
        <v>46170</v>
      </c>
      <c r="N9" s="68">
        <f>IF(AND(H9="",J9=""),"",ForecastTotal+IF(L9="Approved",0,IF(J9="",0,J9)))</f>
        <v/>
      </c>
      <c r="O9" s="75">
        <f>IF(N9="","",ContAmt-MAX(0,N9-WorkBudget))</f>
        <v/>
      </c>
      <c r="P9" s="120">
        <f>IF(OR(N9="",ForecastEnd=""),"",ForecastEnd+IF(L9="Approved",0,IF(K9="",0,K9)))</f>
        <v/>
      </c>
      <c r="Q9" s="121">
        <f>IF(OR(N9="",WorkBudget=0),"",N9/WorkBudget-1)</f>
        <v/>
      </c>
      <c r="R9" s="79">
        <f>IF(N9="","",IF(N9&lt;=WorkBudget,0,IF(N9&lt;=TotalBudget,1,2)))</f>
        <v/>
      </c>
      <c r="S9" s="111">
        <f>IF(AND(OR(H9&lt;&gt;"",J9&lt;&gt;""),OR(L9="Pending",L9=""),C9&lt;&gt;""),C9+3,"")</f>
        <v/>
      </c>
      <c r="T9" s="79">
        <f>IF(S9="","",IF(AsOf&gt;S9,1,2))</f>
        <v/>
      </c>
      <c r="U9" s="79">
        <f>IF(T9="","","Decide on change order "&amp;B9&amp;": "&amp;H9&amp;" (+"&amp;CurSym&amp;" "&amp;FIXED(IF(J9="",0,J9),0)&amp;")")</f>
        <v/>
      </c>
    </row>
    <row r="10" ht="24" customHeight="1">
      <c r="B10" s="74" t="inlineStr">
        <is>
          <t>CO-4</t>
        </is>
      </c>
      <c r="C10" s="108" t="n">
        <v>46174</v>
      </c>
      <c r="D10" s="72" t="inlineStr">
        <is>
          <t>Owner</t>
        </is>
      </c>
      <c r="E10" s="72" t="inlineStr">
        <is>
          <t>Aqua Bath Studio</t>
        </is>
      </c>
      <c r="F10" s="72" t="inlineStr">
        <is>
          <t>Bathrooms</t>
        </is>
      </c>
      <c r="G10" s="72" t="inlineStr">
        <is>
          <t>Bathroom 1</t>
        </is>
      </c>
      <c r="H10" s="112" t="inlineStr">
        <is>
          <t>Electric underfloor heating in bathroom 1</t>
        </is>
      </c>
      <c r="I10" s="72" t="inlineStr">
        <is>
          <t>Client choice</t>
        </is>
      </c>
      <c r="J10" s="73" t="n">
        <v>1650</v>
      </c>
      <c r="K10" s="89" t="n">
        <v>1</v>
      </c>
      <c r="L10" s="74" t="inlineStr">
        <is>
          <t>Approved</t>
        </is>
      </c>
      <c r="M10" s="108" t="n">
        <v>46176</v>
      </c>
      <c r="N10" s="68">
        <f>IF(AND(H10="",J10=""),"",ForecastTotal+IF(L10="Approved",0,IF(J10="",0,J10)))</f>
        <v/>
      </c>
      <c r="O10" s="75">
        <f>IF(N10="","",ContAmt-MAX(0,N10-WorkBudget))</f>
        <v/>
      </c>
      <c r="P10" s="120">
        <f>IF(OR(N10="",ForecastEnd=""),"",ForecastEnd+IF(L10="Approved",0,IF(K10="",0,K10)))</f>
        <v/>
      </c>
      <c r="Q10" s="121">
        <f>IF(OR(N10="",WorkBudget=0),"",N10/WorkBudget-1)</f>
        <v/>
      </c>
      <c r="R10" s="79">
        <f>IF(N10="","",IF(N10&lt;=WorkBudget,0,IF(N10&lt;=TotalBudget,1,2)))</f>
        <v/>
      </c>
      <c r="S10" s="111">
        <f>IF(AND(OR(H10&lt;&gt;"",J10&lt;&gt;""),OR(L10="Pending",L10=""),C10&lt;&gt;""),C10+3,"")</f>
        <v/>
      </c>
      <c r="T10" s="79">
        <f>IF(S10="","",IF(AsOf&gt;S10,1,2))</f>
        <v/>
      </c>
      <c r="U10" s="79">
        <f>IF(T10="","","Decide on change order "&amp;B10&amp;": "&amp;H10&amp;" (+"&amp;CurSym&amp;" "&amp;FIXED(IF(J10="",0,J10),0)&amp;")")</f>
        <v/>
      </c>
    </row>
    <row r="11" ht="24" customHeight="1">
      <c r="B11" s="74" t="inlineStr">
        <is>
          <t>CO-5</t>
        </is>
      </c>
      <c r="C11" s="108" t="n">
        <v>46182</v>
      </c>
      <c r="D11" s="72" t="inlineStr">
        <is>
          <t>Contractor</t>
        </is>
      </c>
      <c r="E11" s="72" t="inlineStr">
        <is>
          <t>Bright Spark Electric</t>
        </is>
      </c>
      <c r="F11" s="72" t="inlineStr">
        <is>
          <t>Electrical</t>
        </is>
      </c>
      <c r="G11" s="72" t="inlineStr">
        <is>
          <t>Whole house</t>
        </is>
      </c>
      <c r="H11" s="112" t="inlineStr">
        <is>
          <t>EV charger + 6 extra circuits</t>
        </is>
      </c>
      <c r="I11" s="72" t="inlineStr">
        <is>
          <t>Client choice</t>
        </is>
      </c>
      <c r="J11" s="73" t="n">
        <v>3400</v>
      </c>
      <c r="K11" s="89" t="n">
        <v>5</v>
      </c>
      <c r="L11" s="74" t="inlineStr">
        <is>
          <t>Pending</t>
        </is>
      </c>
      <c r="M11" s="108" t="n"/>
      <c r="N11" s="68">
        <f>IF(AND(H11="",J11=""),"",ForecastTotal+IF(L11="Approved",0,IF(J11="",0,J11)))</f>
        <v/>
      </c>
      <c r="O11" s="75">
        <f>IF(N11="","",ContAmt-MAX(0,N11-WorkBudget))</f>
        <v/>
      </c>
      <c r="P11" s="120">
        <f>IF(OR(N11="",ForecastEnd=""),"",ForecastEnd+IF(L11="Approved",0,IF(K11="",0,K11)))</f>
        <v/>
      </c>
      <c r="Q11" s="121">
        <f>IF(OR(N11="",WorkBudget=0),"",N11/WorkBudget-1)</f>
        <v/>
      </c>
      <c r="R11" s="79">
        <f>IF(N11="","",IF(N11&lt;=WorkBudget,0,IF(N11&lt;=TotalBudget,1,2)))</f>
        <v/>
      </c>
      <c r="S11" s="111">
        <f>IF(AND(OR(H11&lt;&gt;"",J11&lt;&gt;""),OR(L11="Pending",L11=""),C11&lt;&gt;""),C11+3,"")</f>
        <v/>
      </c>
      <c r="T11" s="79">
        <f>IF(S11="","",IF(AsOf&gt;S11,1,2))</f>
        <v/>
      </c>
      <c r="U11" s="79">
        <f>IF(T11="","","Decide on change order "&amp;B11&amp;": "&amp;H11&amp;" (+"&amp;CurSym&amp;" "&amp;FIXED(IF(J11="",0,J11),0)&amp;")")</f>
        <v/>
      </c>
    </row>
    <row r="12" ht="24" customHeight="1">
      <c r="B12" s="74" t="n"/>
      <c r="C12" s="108" t="n"/>
      <c r="D12" s="72" t="n"/>
      <c r="E12" s="72" t="n"/>
      <c r="F12" s="72" t="n"/>
      <c r="G12" s="72" t="n"/>
      <c r="H12" s="112" t="n"/>
      <c r="I12" s="72" t="n"/>
      <c r="J12" s="73" t="n"/>
      <c r="K12" s="89" t="n"/>
      <c r="L12" s="74" t="n"/>
      <c r="M12" s="108" t="n"/>
      <c r="N12" s="68">
        <f>IF(AND(H12="",J12=""),"",ForecastTotal+IF(L12="Approved",0,IF(J12="",0,J12)))</f>
        <v/>
      </c>
      <c r="O12" s="75">
        <f>IF(N12="","",ContAmt-MAX(0,N12-WorkBudget))</f>
        <v/>
      </c>
      <c r="P12" s="120">
        <f>IF(OR(N12="",ForecastEnd=""),"",ForecastEnd+IF(L12="Approved",0,IF(K12="",0,K12)))</f>
        <v/>
      </c>
      <c r="Q12" s="121">
        <f>IF(OR(N12="",WorkBudget=0),"",N12/WorkBudget-1)</f>
        <v/>
      </c>
      <c r="R12" s="79">
        <f>IF(N12="","",IF(N12&lt;=WorkBudget,0,IF(N12&lt;=TotalBudget,1,2)))</f>
        <v/>
      </c>
      <c r="S12" s="111">
        <f>IF(AND(OR(H12&lt;&gt;"",J12&lt;&gt;""),OR(L12="Pending",L12=""),C12&lt;&gt;""),C12+3,"")</f>
        <v/>
      </c>
      <c r="T12" s="79">
        <f>IF(S12="","",IF(AsOf&gt;S12,1,2))</f>
        <v/>
      </c>
      <c r="U12" s="79">
        <f>IF(T12="","","Decide on change order "&amp;B12&amp;": "&amp;H12&amp;" (+"&amp;CurSym&amp;" "&amp;FIXED(IF(J12="",0,J12),0)&amp;")")</f>
        <v/>
      </c>
    </row>
    <row r="13" ht="24" customHeight="1">
      <c r="B13" s="74" t="n"/>
      <c r="C13" s="108" t="n"/>
      <c r="D13" s="72" t="n"/>
      <c r="E13" s="72" t="n"/>
      <c r="F13" s="72" t="n"/>
      <c r="G13" s="72" t="n"/>
      <c r="H13" s="112" t="n"/>
      <c r="I13" s="72" t="n"/>
      <c r="J13" s="73" t="n"/>
      <c r="K13" s="89" t="n"/>
      <c r="L13" s="74" t="n"/>
      <c r="M13" s="108" t="n"/>
      <c r="N13" s="68">
        <f>IF(AND(H13="",J13=""),"",ForecastTotal+IF(L13="Approved",0,IF(J13="",0,J13)))</f>
        <v/>
      </c>
      <c r="O13" s="75">
        <f>IF(N13="","",ContAmt-MAX(0,N13-WorkBudget))</f>
        <v/>
      </c>
      <c r="P13" s="120">
        <f>IF(OR(N13="",ForecastEnd=""),"",ForecastEnd+IF(L13="Approved",0,IF(K13="",0,K13)))</f>
        <v/>
      </c>
      <c r="Q13" s="121">
        <f>IF(OR(N13="",WorkBudget=0),"",N13/WorkBudget-1)</f>
        <v/>
      </c>
      <c r="R13" s="79">
        <f>IF(N13="","",IF(N13&lt;=WorkBudget,0,IF(N13&lt;=TotalBudget,1,2)))</f>
        <v/>
      </c>
      <c r="S13" s="111">
        <f>IF(AND(OR(H13&lt;&gt;"",J13&lt;&gt;""),OR(L13="Pending",L13=""),C13&lt;&gt;""),C13+3,"")</f>
        <v/>
      </c>
      <c r="T13" s="79">
        <f>IF(S13="","",IF(AsOf&gt;S13,1,2))</f>
        <v/>
      </c>
      <c r="U13" s="79">
        <f>IF(T13="","","Decide on change order "&amp;B13&amp;": "&amp;H13&amp;" (+"&amp;CurSym&amp;" "&amp;FIXED(IF(J13="",0,J13),0)&amp;")")</f>
        <v/>
      </c>
    </row>
    <row r="14" ht="24" customHeight="1">
      <c r="B14" s="74" t="n"/>
      <c r="C14" s="108" t="n"/>
      <c r="D14" s="72" t="n"/>
      <c r="E14" s="72" t="n"/>
      <c r="F14" s="72" t="n"/>
      <c r="G14" s="72" t="n"/>
      <c r="H14" s="112" t="n"/>
      <c r="I14" s="72" t="n"/>
      <c r="J14" s="73" t="n"/>
      <c r="K14" s="89" t="n"/>
      <c r="L14" s="74" t="n"/>
      <c r="M14" s="108" t="n"/>
      <c r="N14" s="68">
        <f>IF(AND(H14="",J14=""),"",ForecastTotal+IF(L14="Approved",0,IF(J14="",0,J14)))</f>
        <v/>
      </c>
      <c r="O14" s="75">
        <f>IF(N14="","",ContAmt-MAX(0,N14-WorkBudget))</f>
        <v/>
      </c>
      <c r="P14" s="120">
        <f>IF(OR(N14="",ForecastEnd=""),"",ForecastEnd+IF(L14="Approved",0,IF(K14="",0,K14)))</f>
        <v/>
      </c>
      <c r="Q14" s="121">
        <f>IF(OR(N14="",WorkBudget=0),"",N14/WorkBudget-1)</f>
        <v/>
      </c>
      <c r="R14" s="79">
        <f>IF(N14="","",IF(N14&lt;=WorkBudget,0,IF(N14&lt;=TotalBudget,1,2)))</f>
        <v/>
      </c>
      <c r="S14" s="111">
        <f>IF(AND(OR(H14&lt;&gt;"",J14&lt;&gt;""),OR(L14="Pending",L14=""),C14&lt;&gt;""),C14+3,"")</f>
        <v/>
      </c>
      <c r="T14" s="79">
        <f>IF(S14="","",IF(AsOf&gt;S14,1,2))</f>
        <v/>
      </c>
      <c r="U14" s="79">
        <f>IF(T14="","","Decide on change order "&amp;B14&amp;": "&amp;H14&amp;" (+"&amp;CurSym&amp;" "&amp;FIXED(IF(J14="",0,J14),0)&amp;")")</f>
        <v/>
      </c>
    </row>
    <row r="15" ht="24" customHeight="1">
      <c r="B15" s="74" t="n"/>
      <c r="C15" s="108" t="n"/>
      <c r="D15" s="72" t="n"/>
      <c r="E15" s="72" t="n"/>
      <c r="F15" s="72" t="n"/>
      <c r="G15" s="72" t="n"/>
      <c r="H15" s="112" t="n"/>
      <c r="I15" s="72" t="n"/>
      <c r="J15" s="73" t="n"/>
      <c r="K15" s="89" t="n"/>
      <c r="L15" s="74" t="n"/>
      <c r="M15" s="108" t="n"/>
      <c r="N15" s="68">
        <f>IF(AND(H15="",J15=""),"",ForecastTotal+IF(L15="Approved",0,IF(J15="",0,J15)))</f>
        <v/>
      </c>
      <c r="O15" s="75">
        <f>IF(N15="","",ContAmt-MAX(0,N15-WorkBudget))</f>
        <v/>
      </c>
      <c r="P15" s="120">
        <f>IF(OR(N15="",ForecastEnd=""),"",ForecastEnd+IF(L15="Approved",0,IF(K15="",0,K15)))</f>
        <v/>
      </c>
      <c r="Q15" s="121">
        <f>IF(OR(N15="",WorkBudget=0),"",N15/WorkBudget-1)</f>
        <v/>
      </c>
      <c r="R15" s="79">
        <f>IF(N15="","",IF(N15&lt;=WorkBudget,0,IF(N15&lt;=TotalBudget,1,2)))</f>
        <v/>
      </c>
      <c r="S15" s="111">
        <f>IF(AND(OR(H15&lt;&gt;"",J15&lt;&gt;""),OR(L15="Pending",L15=""),C15&lt;&gt;""),C15+3,"")</f>
        <v/>
      </c>
      <c r="T15" s="79">
        <f>IF(S15="","",IF(AsOf&gt;S15,1,2))</f>
        <v/>
      </c>
      <c r="U15" s="79">
        <f>IF(T15="","","Decide on change order "&amp;B15&amp;": "&amp;H15&amp;" (+"&amp;CurSym&amp;" "&amp;FIXED(IF(J15="",0,J15),0)&amp;")")</f>
        <v/>
      </c>
    </row>
    <row r="16" ht="24" customHeight="1">
      <c r="B16" s="74" t="n"/>
      <c r="C16" s="108" t="n"/>
      <c r="D16" s="72" t="n"/>
      <c r="E16" s="72" t="n"/>
      <c r="F16" s="72" t="n"/>
      <c r="G16" s="72" t="n"/>
      <c r="H16" s="112" t="n"/>
      <c r="I16" s="72" t="n"/>
      <c r="J16" s="73" t="n"/>
      <c r="K16" s="89" t="n"/>
      <c r="L16" s="74" t="n"/>
      <c r="M16" s="108" t="n"/>
      <c r="N16" s="68">
        <f>IF(AND(H16="",J16=""),"",ForecastTotal+IF(L16="Approved",0,IF(J16="",0,J16)))</f>
        <v/>
      </c>
      <c r="O16" s="75">
        <f>IF(N16="","",ContAmt-MAX(0,N16-WorkBudget))</f>
        <v/>
      </c>
      <c r="P16" s="120">
        <f>IF(OR(N16="",ForecastEnd=""),"",ForecastEnd+IF(L16="Approved",0,IF(K16="",0,K16)))</f>
        <v/>
      </c>
      <c r="Q16" s="121">
        <f>IF(OR(N16="",WorkBudget=0),"",N16/WorkBudget-1)</f>
        <v/>
      </c>
      <c r="R16" s="79">
        <f>IF(N16="","",IF(N16&lt;=WorkBudget,0,IF(N16&lt;=TotalBudget,1,2)))</f>
        <v/>
      </c>
      <c r="S16" s="111">
        <f>IF(AND(OR(H16&lt;&gt;"",J16&lt;&gt;""),OR(L16="Pending",L16=""),C16&lt;&gt;""),C16+3,"")</f>
        <v/>
      </c>
      <c r="T16" s="79">
        <f>IF(S16="","",IF(AsOf&gt;S16,1,2))</f>
        <v/>
      </c>
      <c r="U16" s="79">
        <f>IF(T16="","","Decide on change order "&amp;B16&amp;": "&amp;H16&amp;" (+"&amp;CurSym&amp;" "&amp;FIXED(IF(J16="",0,J16),0)&amp;")")</f>
        <v/>
      </c>
    </row>
    <row r="17" ht="24" customHeight="1">
      <c r="B17" s="74" t="n"/>
      <c r="C17" s="108" t="n"/>
      <c r="D17" s="72" t="n"/>
      <c r="E17" s="72" t="n"/>
      <c r="F17" s="72" t="n"/>
      <c r="G17" s="72" t="n"/>
      <c r="H17" s="112" t="n"/>
      <c r="I17" s="72" t="n"/>
      <c r="J17" s="73" t="n"/>
      <c r="K17" s="89" t="n"/>
      <c r="L17" s="74" t="n"/>
      <c r="M17" s="108" t="n"/>
      <c r="N17" s="68">
        <f>IF(AND(H17="",J17=""),"",ForecastTotal+IF(L17="Approved",0,IF(J17="",0,J17)))</f>
        <v/>
      </c>
      <c r="O17" s="75">
        <f>IF(N17="","",ContAmt-MAX(0,N17-WorkBudget))</f>
        <v/>
      </c>
      <c r="P17" s="120">
        <f>IF(OR(N17="",ForecastEnd=""),"",ForecastEnd+IF(L17="Approved",0,IF(K17="",0,K17)))</f>
        <v/>
      </c>
      <c r="Q17" s="121">
        <f>IF(OR(N17="",WorkBudget=0),"",N17/WorkBudget-1)</f>
        <v/>
      </c>
      <c r="R17" s="79">
        <f>IF(N17="","",IF(N17&lt;=WorkBudget,0,IF(N17&lt;=TotalBudget,1,2)))</f>
        <v/>
      </c>
      <c r="S17" s="111">
        <f>IF(AND(OR(H17&lt;&gt;"",J17&lt;&gt;""),OR(L17="Pending",L17=""),C17&lt;&gt;""),C17+3,"")</f>
        <v/>
      </c>
      <c r="T17" s="79">
        <f>IF(S17="","",IF(AsOf&gt;S17,1,2))</f>
        <v/>
      </c>
      <c r="U17" s="79">
        <f>IF(T17="","","Decide on change order "&amp;B17&amp;": "&amp;H17&amp;" (+"&amp;CurSym&amp;" "&amp;FIXED(IF(J17="",0,J17),0)&amp;")")</f>
        <v/>
      </c>
    </row>
    <row r="18" ht="24" customHeight="1">
      <c r="B18" s="74" t="n"/>
      <c r="C18" s="108" t="n"/>
      <c r="D18" s="72" t="n"/>
      <c r="E18" s="72" t="n"/>
      <c r="F18" s="72" t="n"/>
      <c r="G18" s="72" t="n"/>
      <c r="H18" s="112" t="n"/>
      <c r="I18" s="72" t="n"/>
      <c r="J18" s="73" t="n"/>
      <c r="K18" s="89" t="n"/>
      <c r="L18" s="74" t="n"/>
      <c r="M18" s="108" t="n"/>
      <c r="N18" s="68">
        <f>IF(AND(H18="",J18=""),"",ForecastTotal+IF(L18="Approved",0,IF(J18="",0,J18)))</f>
        <v/>
      </c>
      <c r="O18" s="75">
        <f>IF(N18="","",ContAmt-MAX(0,N18-WorkBudget))</f>
        <v/>
      </c>
      <c r="P18" s="120">
        <f>IF(OR(N18="",ForecastEnd=""),"",ForecastEnd+IF(L18="Approved",0,IF(K18="",0,K18)))</f>
        <v/>
      </c>
      <c r="Q18" s="121">
        <f>IF(OR(N18="",WorkBudget=0),"",N18/WorkBudget-1)</f>
        <v/>
      </c>
      <c r="R18" s="79">
        <f>IF(N18="","",IF(N18&lt;=WorkBudget,0,IF(N18&lt;=TotalBudget,1,2)))</f>
        <v/>
      </c>
      <c r="S18" s="111">
        <f>IF(AND(OR(H18&lt;&gt;"",J18&lt;&gt;""),OR(L18="Pending",L18=""),C18&lt;&gt;""),C18+3,"")</f>
        <v/>
      </c>
      <c r="T18" s="79">
        <f>IF(S18="","",IF(AsOf&gt;S18,1,2))</f>
        <v/>
      </c>
      <c r="U18" s="79">
        <f>IF(T18="","","Decide on change order "&amp;B18&amp;": "&amp;H18&amp;" (+"&amp;CurSym&amp;" "&amp;FIXED(IF(J18="",0,J18),0)&amp;")")</f>
        <v/>
      </c>
    </row>
    <row r="19" ht="24" customHeight="1">
      <c r="B19" s="74" t="n"/>
      <c r="C19" s="108" t="n"/>
      <c r="D19" s="72" t="n"/>
      <c r="E19" s="72" t="n"/>
      <c r="F19" s="72" t="n"/>
      <c r="G19" s="72" t="n"/>
      <c r="H19" s="112" t="n"/>
      <c r="I19" s="72" t="n"/>
      <c r="J19" s="73" t="n"/>
      <c r="K19" s="89" t="n"/>
      <c r="L19" s="74" t="n"/>
      <c r="M19" s="108" t="n"/>
      <c r="N19" s="68">
        <f>IF(AND(H19="",J19=""),"",ForecastTotal+IF(L19="Approved",0,IF(J19="",0,J19)))</f>
        <v/>
      </c>
      <c r="O19" s="75">
        <f>IF(N19="","",ContAmt-MAX(0,N19-WorkBudget))</f>
        <v/>
      </c>
      <c r="P19" s="120">
        <f>IF(OR(N19="",ForecastEnd=""),"",ForecastEnd+IF(L19="Approved",0,IF(K19="",0,K19)))</f>
        <v/>
      </c>
      <c r="Q19" s="121">
        <f>IF(OR(N19="",WorkBudget=0),"",N19/WorkBudget-1)</f>
        <v/>
      </c>
      <c r="R19" s="79">
        <f>IF(N19="","",IF(N19&lt;=WorkBudget,0,IF(N19&lt;=TotalBudget,1,2)))</f>
        <v/>
      </c>
      <c r="S19" s="111">
        <f>IF(AND(OR(H19&lt;&gt;"",J19&lt;&gt;""),OR(L19="Pending",L19=""),C19&lt;&gt;""),C19+3,"")</f>
        <v/>
      </c>
      <c r="T19" s="79">
        <f>IF(S19="","",IF(AsOf&gt;S19,1,2))</f>
        <v/>
      </c>
      <c r="U19" s="79">
        <f>IF(T19="","","Decide on change order "&amp;B19&amp;": "&amp;H19&amp;" (+"&amp;CurSym&amp;" "&amp;FIXED(IF(J19="",0,J19),0)&amp;")")</f>
        <v/>
      </c>
    </row>
    <row r="20" ht="24" customHeight="1">
      <c r="B20" s="74" t="n"/>
      <c r="C20" s="108" t="n"/>
      <c r="D20" s="72" t="n"/>
      <c r="E20" s="72" t="n"/>
      <c r="F20" s="72" t="n"/>
      <c r="G20" s="72" t="n"/>
      <c r="H20" s="112" t="n"/>
      <c r="I20" s="72" t="n"/>
      <c r="J20" s="73" t="n"/>
      <c r="K20" s="89" t="n"/>
      <c r="L20" s="74" t="n"/>
      <c r="M20" s="108" t="n"/>
      <c r="N20" s="68">
        <f>IF(AND(H20="",J20=""),"",ForecastTotal+IF(L20="Approved",0,IF(J20="",0,J20)))</f>
        <v/>
      </c>
      <c r="O20" s="75">
        <f>IF(N20="","",ContAmt-MAX(0,N20-WorkBudget))</f>
        <v/>
      </c>
      <c r="P20" s="120">
        <f>IF(OR(N20="",ForecastEnd=""),"",ForecastEnd+IF(L20="Approved",0,IF(K20="",0,K20)))</f>
        <v/>
      </c>
      <c r="Q20" s="121">
        <f>IF(OR(N20="",WorkBudget=0),"",N20/WorkBudget-1)</f>
        <v/>
      </c>
      <c r="R20" s="79">
        <f>IF(N20="","",IF(N20&lt;=WorkBudget,0,IF(N20&lt;=TotalBudget,1,2)))</f>
        <v/>
      </c>
      <c r="S20" s="111">
        <f>IF(AND(OR(H20&lt;&gt;"",J20&lt;&gt;""),OR(L20="Pending",L20=""),C20&lt;&gt;""),C20+3,"")</f>
        <v/>
      </c>
      <c r="T20" s="79">
        <f>IF(S20="","",IF(AsOf&gt;S20,1,2))</f>
        <v/>
      </c>
      <c r="U20" s="79">
        <f>IF(T20="","","Decide on change order "&amp;B20&amp;": "&amp;H20&amp;" (+"&amp;CurSym&amp;" "&amp;FIXED(IF(J20="",0,J20),0)&amp;")")</f>
        <v/>
      </c>
    </row>
    <row r="21" ht="24" customHeight="1">
      <c r="B21" s="74" t="n"/>
      <c r="C21" s="108" t="n"/>
      <c r="D21" s="72" t="n"/>
      <c r="E21" s="72" t="n"/>
      <c r="F21" s="72" t="n"/>
      <c r="G21" s="72" t="n"/>
      <c r="H21" s="112" t="n"/>
      <c r="I21" s="72" t="n"/>
      <c r="J21" s="73" t="n"/>
      <c r="K21" s="89" t="n"/>
      <c r="L21" s="74" t="n"/>
      <c r="M21" s="108" t="n"/>
      <c r="N21" s="68">
        <f>IF(AND(H21="",J21=""),"",ForecastTotal+IF(L21="Approved",0,IF(J21="",0,J21)))</f>
        <v/>
      </c>
      <c r="O21" s="75">
        <f>IF(N21="","",ContAmt-MAX(0,N21-WorkBudget))</f>
        <v/>
      </c>
      <c r="P21" s="120">
        <f>IF(OR(N21="",ForecastEnd=""),"",ForecastEnd+IF(L21="Approved",0,IF(K21="",0,K21)))</f>
        <v/>
      </c>
      <c r="Q21" s="121">
        <f>IF(OR(N21="",WorkBudget=0),"",N21/WorkBudget-1)</f>
        <v/>
      </c>
      <c r="R21" s="79">
        <f>IF(N21="","",IF(N21&lt;=WorkBudget,0,IF(N21&lt;=TotalBudget,1,2)))</f>
        <v/>
      </c>
      <c r="S21" s="111">
        <f>IF(AND(OR(H21&lt;&gt;"",J21&lt;&gt;""),OR(L21="Pending",L21=""),C21&lt;&gt;""),C21+3,"")</f>
        <v/>
      </c>
      <c r="T21" s="79">
        <f>IF(S21="","",IF(AsOf&gt;S21,1,2))</f>
        <v/>
      </c>
      <c r="U21" s="79">
        <f>IF(T21="","","Decide on change order "&amp;B21&amp;": "&amp;H21&amp;" (+"&amp;CurSym&amp;" "&amp;FIXED(IF(J21="",0,J21),0)&amp;")")</f>
        <v/>
      </c>
    </row>
    <row r="22" ht="24" customHeight="1">
      <c r="B22" s="74" t="n"/>
      <c r="C22" s="108" t="n"/>
      <c r="D22" s="72" t="n"/>
      <c r="E22" s="72" t="n"/>
      <c r="F22" s="72" t="n"/>
      <c r="G22" s="72" t="n"/>
      <c r="H22" s="112" t="n"/>
      <c r="I22" s="72" t="n"/>
      <c r="J22" s="73" t="n"/>
      <c r="K22" s="89" t="n"/>
      <c r="L22" s="74" t="n"/>
      <c r="M22" s="108" t="n"/>
      <c r="N22" s="68">
        <f>IF(AND(H22="",J22=""),"",ForecastTotal+IF(L22="Approved",0,IF(J22="",0,J22)))</f>
        <v/>
      </c>
      <c r="O22" s="75">
        <f>IF(N22="","",ContAmt-MAX(0,N22-WorkBudget))</f>
        <v/>
      </c>
      <c r="P22" s="120">
        <f>IF(OR(N22="",ForecastEnd=""),"",ForecastEnd+IF(L22="Approved",0,IF(K22="",0,K22)))</f>
        <v/>
      </c>
      <c r="Q22" s="121">
        <f>IF(OR(N22="",WorkBudget=0),"",N22/WorkBudget-1)</f>
        <v/>
      </c>
      <c r="R22" s="79">
        <f>IF(N22="","",IF(N22&lt;=WorkBudget,0,IF(N22&lt;=TotalBudget,1,2)))</f>
        <v/>
      </c>
      <c r="S22" s="111">
        <f>IF(AND(OR(H22&lt;&gt;"",J22&lt;&gt;""),OR(L22="Pending",L22=""),C22&lt;&gt;""),C22+3,"")</f>
        <v/>
      </c>
      <c r="T22" s="79">
        <f>IF(S22="","",IF(AsOf&gt;S22,1,2))</f>
        <v/>
      </c>
      <c r="U22" s="79">
        <f>IF(T22="","","Decide on change order "&amp;B22&amp;": "&amp;H22&amp;" (+"&amp;CurSym&amp;" "&amp;FIXED(IF(J22="",0,J22),0)&amp;")")</f>
        <v/>
      </c>
    </row>
    <row r="23" ht="24" customHeight="1">
      <c r="B23" s="74" t="n"/>
      <c r="C23" s="108" t="n"/>
      <c r="D23" s="72" t="n"/>
      <c r="E23" s="72" t="n"/>
      <c r="F23" s="72" t="n"/>
      <c r="G23" s="72" t="n"/>
      <c r="H23" s="112" t="n"/>
      <c r="I23" s="72" t="n"/>
      <c r="J23" s="73" t="n"/>
      <c r="K23" s="89" t="n"/>
      <c r="L23" s="74" t="n"/>
      <c r="M23" s="108" t="n"/>
      <c r="N23" s="68">
        <f>IF(AND(H23="",J23=""),"",ForecastTotal+IF(L23="Approved",0,IF(J23="",0,J23)))</f>
        <v/>
      </c>
      <c r="O23" s="75">
        <f>IF(N23="","",ContAmt-MAX(0,N23-WorkBudget))</f>
        <v/>
      </c>
      <c r="P23" s="120">
        <f>IF(OR(N23="",ForecastEnd=""),"",ForecastEnd+IF(L23="Approved",0,IF(K23="",0,K23)))</f>
        <v/>
      </c>
      <c r="Q23" s="121">
        <f>IF(OR(N23="",WorkBudget=0),"",N23/WorkBudget-1)</f>
        <v/>
      </c>
      <c r="R23" s="79">
        <f>IF(N23="","",IF(N23&lt;=WorkBudget,0,IF(N23&lt;=TotalBudget,1,2)))</f>
        <v/>
      </c>
      <c r="S23" s="111">
        <f>IF(AND(OR(H23&lt;&gt;"",J23&lt;&gt;""),OR(L23="Pending",L23=""),C23&lt;&gt;""),C23+3,"")</f>
        <v/>
      </c>
      <c r="T23" s="79">
        <f>IF(S23="","",IF(AsOf&gt;S23,1,2))</f>
        <v/>
      </c>
      <c r="U23" s="79">
        <f>IF(T23="","","Decide on change order "&amp;B23&amp;": "&amp;H23&amp;" (+"&amp;CurSym&amp;" "&amp;FIXED(IF(J23="",0,J23),0)&amp;")")</f>
        <v/>
      </c>
    </row>
    <row r="24" ht="24" customHeight="1">
      <c r="B24" s="74" t="n"/>
      <c r="C24" s="108" t="n"/>
      <c r="D24" s="72" t="n"/>
      <c r="E24" s="72" t="n"/>
      <c r="F24" s="72" t="n"/>
      <c r="G24" s="72" t="n"/>
      <c r="H24" s="112" t="n"/>
      <c r="I24" s="72" t="n"/>
      <c r="J24" s="73" t="n"/>
      <c r="K24" s="89" t="n"/>
      <c r="L24" s="74" t="n"/>
      <c r="M24" s="108" t="n"/>
      <c r="N24" s="68">
        <f>IF(AND(H24="",J24=""),"",ForecastTotal+IF(L24="Approved",0,IF(J24="",0,J24)))</f>
        <v/>
      </c>
      <c r="O24" s="75">
        <f>IF(N24="","",ContAmt-MAX(0,N24-WorkBudget))</f>
        <v/>
      </c>
      <c r="P24" s="120">
        <f>IF(OR(N24="",ForecastEnd=""),"",ForecastEnd+IF(L24="Approved",0,IF(K24="",0,K24)))</f>
        <v/>
      </c>
      <c r="Q24" s="121">
        <f>IF(OR(N24="",WorkBudget=0),"",N24/WorkBudget-1)</f>
        <v/>
      </c>
      <c r="R24" s="79">
        <f>IF(N24="","",IF(N24&lt;=WorkBudget,0,IF(N24&lt;=TotalBudget,1,2)))</f>
        <v/>
      </c>
      <c r="S24" s="111">
        <f>IF(AND(OR(H24&lt;&gt;"",J24&lt;&gt;""),OR(L24="Pending",L24=""),C24&lt;&gt;""),C24+3,"")</f>
        <v/>
      </c>
      <c r="T24" s="79">
        <f>IF(S24="","",IF(AsOf&gt;S24,1,2))</f>
        <v/>
      </c>
      <c r="U24" s="79">
        <f>IF(T24="","","Decide on change order "&amp;B24&amp;": "&amp;H24&amp;" (+"&amp;CurSym&amp;" "&amp;FIXED(IF(J24="",0,J24),0)&amp;")")</f>
        <v/>
      </c>
    </row>
    <row r="25" ht="24" customHeight="1">
      <c r="B25" s="74" t="n"/>
      <c r="C25" s="108" t="n"/>
      <c r="D25" s="72" t="n"/>
      <c r="E25" s="72" t="n"/>
      <c r="F25" s="72" t="n"/>
      <c r="G25" s="72" t="n"/>
      <c r="H25" s="112" t="n"/>
      <c r="I25" s="72" t="n"/>
      <c r="J25" s="73" t="n"/>
      <c r="K25" s="89" t="n"/>
      <c r="L25" s="74" t="n"/>
      <c r="M25" s="108" t="n"/>
      <c r="N25" s="68">
        <f>IF(AND(H25="",J25=""),"",ForecastTotal+IF(L25="Approved",0,IF(J25="",0,J25)))</f>
        <v/>
      </c>
      <c r="O25" s="75">
        <f>IF(N25="","",ContAmt-MAX(0,N25-WorkBudget))</f>
        <v/>
      </c>
      <c r="P25" s="120">
        <f>IF(OR(N25="",ForecastEnd=""),"",ForecastEnd+IF(L25="Approved",0,IF(K25="",0,K25)))</f>
        <v/>
      </c>
      <c r="Q25" s="121">
        <f>IF(OR(N25="",WorkBudget=0),"",N25/WorkBudget-1)</f>
        <v/>
      </c>
      <c r="R25" s="79">
        <f>IF(N25="","",IF(N25&lt;=WorkBudget,0,IF(N25&lt;=TotalBudget,1,2)))</f>
        <v/>
      </c>
      <c r="S25" s="111">
        <f>IF(AND(OR(H25&lt;&gt;"",J25&lt;&gt;""),OR(L25="Pending",L25=""),C25&lt;&gt;""),C25+3,"")</f>
        <v/>
      </c>
      <c r="T25" s="79">
        <f>IF(S25="","",IF(AsOf&gt;S25,1,2))</f>
        <v/>
      </c>
      <c r="U25" s="79">
        <f>IF(T25="","","Decide on change order "&amp;B25&amp;": "&amp;H25&amp;" (+"&amp;CurSym&amp;" "&amp;FIXED(IF(J25="",0,J25),0)&amp;")")</f>
        <v/>
      </c>
    </row>
    <row r="26" ht="24" customHeight="1">
      <c r="B26" s="74" t="n"/>
      <c r="C26" s="108" t="n"/>
      <c r="D26" s="72" t="n"/>
      <c r="E26" s="72" t="n"/>
      <c r="F26" s="72" t="n"/>
      <c r="G26" s="72" t="n"/>
      <c r="H26" s="112" t="n"/>
      <c r="I26" s="72" t="n"/>
      <c r="J26" s="73" t="n"/>
      <c r="K26" s="89" t="n"/>
      <c r="L26" s="74" t="n"/>
      <c r="M26" s="108" t="n"/>
      <c r="N26" s="68">
        <f>IF(AND(H26="",J26=""),"",ForecastTotal+IF(L26="Approved",0,IF(J26="",0,J26)))</f>
        <v/>
      </c>
      <c r="O26" s="75">
        <f>IF(N26="","",ContAmt-MAX(0,N26-WorkBudget))</f>
        <v/>
      </c>
      <c r="P26" s="120">
        <f>IF(OR(N26="",ForecastEnd=""),"",ForecastEnd+IF(L26="Approved",0,IF(K26="",0,K26)))</f>
        <v/>
      </c>
      <c r="Q26" s="121">
        <f>IF(OR(N26="",WorkBudget=0),"",N26/WorkBudget-1)</f>
        <v/>
      </c>
      <c r="R26" s="79">
        <f>IF(N26="","",IF(N26&lt;=WorkBudget,0,IF(N26&lt;=TotalBudget,1,2)))</f>
        <v/>
      </c>
      <c r="S26" s="111">
        <f>IF(AND(OR(H26&lt;&gt;"",J26&lt;&gt;""),OR(L26="Pending",L26=""),C26&lt;&gt;""),C26+3,"")</f>
        <v/>
      </c>
      <c r="T26" s="79">
        <f>IF(S26="","",IF(AsOf&gt;S26,1,2))</f>
        <v/>
      </c>
      <c r="U26" s="79">
        <f>IF(T26="","","Decide on change order "&amp;B26&amp;": "&amp;H26&amp;" (+"&amp;CurSym&amp;" "&amp;FIXED(IF(J26="",0,J26),0)&amp;")")</f>
        <v/>
      </c>
    </row>
    <row r="27" ht="24" customHeight="1">
      <c r="B27" s="74" t="n"/>
      <c r="C27" s="108" t="n"/>
      <c r="D27" s="72" t="n"/>
      <c r="E27" s="72" t="n"/>
      <c r="F27" s="72" t="n"/>
      <c r="G27" s="72" t="n"/>
      <c r="H27" s="112" t="n"/>
      <c r="I27" s="72" t="n"/>
      <c r="J27" s="73" t="n"/>
      <c r="K27" s="89" t="n"/>
      <c r="L27" s="74" t="n"/>
      <c r="M27" s="108" t="n"/>
      <c r="N27" s="68">
        <f>IF(AND(H27="",J27=""),"",ForecastTotal+IF(L27="Approved",0,IF(J27="",0,J27)))</f>
        <v/>
      </c>
      <c r="O27" s="75">
        <f>IF(N27="","",ContAmt-MAX(0,N27-WorkBudget))</f>
        <v/>
      </c>
      <c r="P27" s="120">
        <f>IF(OR(N27="",ForecastEnd=""),"",ForecastEnd+IF(L27="Approved",0,IF(K27="",0,K27)))</f>
        <v/>
      </c>
      <c r="Q27" s="121">
        <f>IF(OR(N27="",WorkBudget=0),"",N27/WorkBudget-1)</f>
        <v/>
      </c>
      <c r="R27" s="79">
        <f>IF(N27="","",IF(N27&lt;=WorkBudget,0,IF(N27&lt;=TotalBudget,1,2)))</f>
        <v/>
      </c>
      <c r="S27" s="111">
        <f>IF(AND(OR(H27&lt;&gt;"",J27&lt;&gt;""),OR(L27="Pending",L27=""),C27&lt;&gt;""),C27+3,"")</f>
        <v/>
      </c>
      <c r="T27" s="79">
        <f>IF(S27="","",IF(AsOf&gt;S27,1,2))</f>
        <v/>
      </c>
      <c r="U27" s="79">
        <f>IF(T27="","","Decide on change order "&amp;B27&amp;": "&amp;H27&amp;" (+"&amp;CurSym&amp;" "&amp;FIXED(IF(J27="",0,J27),0)&amp;")")</f>
        <v/>
      </c>
    </row>
    <row r="28" ht="24" customHeight="1">
      <c r="B28" s="74" t="n"/>
      <c r="C28" s="108" t="n"/>
      <c r="D28" s="72" t="n"/>
      <c r="E28" s="72" t="n"/>
      <c r="F28" s="72" t="n"/>
      <c r="G28" s="72" t="n"/>
      <c r="H28" s="112" t="n"/>
      <c r="I28" s="72" t="n"/>
      <c r="J28" s="73" t="n"/>
      <c r="K28" s="89" t="n"/>
      <c r="L28" s="74" t="n"/>
      <c r="M28" s="108" t="n"/>
      <c r="N28" s="68">
        <f>IF(AND(H28="",J28=""),"",ForecastTotal+IF(L28="Approved",0,IF(J28="",0,J28)))</f>
        <v/>
      </c>
      <c r="O28" s="75">
        <f>IF(N28="","",ContAmt-MAX(0,N28-WorkBudget))</f>
        <v/>
      </c>
      <c r="P28" s="120">
        <f>IF(OR(N28="",ForecastEnd=""),"",ForecastEnd+IF(L28="Approved",0,IF(K28="",0,K28)))</f>
        <v/>
      </c>
      <c r="Q28" s="121">
        <f>IF(OR(N28="",WorkBudget=0),"",N28/WorkBudget-1)</f>
        <v/>
      </c>
      <c r="R28" s="79">
        <f>IF(N28="","",IF(N28&lt;=WorkBudget,0,IF(N28&lt;=TotalBudget,1,2)))</f>
        <v/>
      </c>
      <c r="S28" s="111">
        <f>IF(AND(OR(H28&lt;&gt;"",J28&lt;&gt;""),OR(L28="Pending",L28=""),C28&lt;&gt;""),C28+3,"")</f>
        <v/>
      </c>
      <c r="T28" s="79">
        <f>IF(S28="","",IF(AsOf&gt;S28,1,2))</f>
        <v/>
      </c>
      <c r="U28" s="79">
        <f>IF(T28="","","Decide on change order "&amp;B28&amp;": "&amp;H28&amp;" (+"&amp;CurSym&amp;" "&amp;FIXED(IF(J28="",0,J28),0)&amp;")")</f>
        <v/>
      </c>
    </row>
    <row r="29" ht="24" customHeight="1">
      <c r="B29" s="74" t="n"/>
      <c r="C29" s="108" t="n"/>
      <c r="D29" s="72" t="n"/>
      <c r="E29" s="72" t="n"/>
      <c r="F29" s="72" t="n"/>
      <c r="G29" s="72" t="n"/>
      <c r="H29" s="112" t="n"/>
      <c r="I29" s="72" t="n"/>
      <c r="J29" s="73" t="n"/>
      <c r="K29" s="89" t="n"/>
      <c r="L29" s="74" t="n"/>
      <c r="M29" s="108" t="n"/>
      <c r="N29" s="68">
        <f>IF(AND(H29="",J29=""),"",ForecastTotal+IF(L29="Approved",0,IF(J29="",0,J29)))</f>
        <v/>
      </c>
      <c r="O29" s="75">
        <f>IF(N29="","",ContAmt-MAX(0,N29-WorkBudget))</f>
        <v/>
      </c>
      <c r="P29" s="120">
        <f>IF(OR(N29="",ForecastEnd=""),"",ForecastEnd+IF(L29="Approved",0,IF(K29="",0,K29)))</f>
        <v/>
      </c>
      <c r="Q29" s="121">
        <f>IF(OR(N29="",WorkBudget=0),"",N29/WorkBudget-1)</f>
        <v/>
      </c>
      <c r="R29" s="79">
        <f>IF(N29="","",IF(N29&lt;=WorkBudget,0,IF(N29&lt;=TotalBudget,1,2)))</f>
        <v/>
      </c>
      <c r="S29" s="111">
        <f>IF(AND(OR(H29&lt;&gt;"",J29&lt;&gt;""),OR(L29="Pending",L29=""),C29&lt;&gt;""),C29+3,"")</f>
        <v/>
      </c>
      <c r="T29" s="79">
        <f>IF(S29="","",IF(AsOf&gt;S29,1,2))</f>
        <v/>
      </c>
      <c r="U29" s="79">
        <f>IF(T29="","","Decide on change order "&amp;B29&amp;": "&amp;H29&amp;" (+"&amp;CurSym&amp;" "&amp;FIXED(IF(J29="",0,J29),0)&amp;")")</f>
        <v/>
      </c>
    </row>
    <row r="30" ht="24" customHeight="1">
      <c r="B30" s="74" t="n"/>
      <c r="C30" s="108" t="n"/>
      <c r="D30" s="72" t="n"/>
      <c r="E30" s="72" t="n"/>
      <c r="F30" s="72" t="n"/>
      <c r="G30" s="72" t="n"/>
      <c r="H30" s="112" t="n"/>
      <c r="I30" s="72" t="n"/>
      <c r="J30" s="73" t="n"/>
      <c r="K30" s="89" t="n"/>
      <c r="L30" s="74" t="n"/>
      <c r="M30" s="108" t="n"/>
      <c r="N30" s="68">
        <f>IF(AND(H30="",J30=""),"",ForecastTotal+IF(L30="Approved",0,IF(J30="",0,J30)))</f>
        <v/>
      </c>
      <c r="O30" s="75">
        <f>IF(N30="","",ContAmt-MAX(0,N30-WorkBudget))</f>
        <v/>
      </c>
      <c r="P30" s="120">
        <f>IF(OR(N30="",ForecastEnd=""),"",ForecastEnd+IF(L30="Approved",0,IF(K30="",0,K30)))</f>
        <v/>
      </c>
      <c r="Q30" s="121">
        <f>IF(OR(N30="",WorkBudget=0),"",N30/WorkBudget-1)</f>
        <v/>
      </c>
      <c r="R30" s="79">
        <f>IF(N30="","",IF(N30&lt;=WorkBudget,0,IF(N30&lt;=TotalBudget,1,2)))</f>
        <v/>
      </c>
      <c r="S30" s="111">
        <f>IF(AND(OR(H30&lt;&gt;"",J30&lt;&gt;""),OR(L30="Pending",L30=""),C30&lt;&gt;""),C30+3,"")</f>
        <v/>
      </c>
      <c r="T30" s="79">
        <f>IF(S30="","",IF(AsOf&gt;S30,1,2))</f>
        <v/>
      </c>
      <c r="U30" s="79">
        <f>IF(T30="","","Decide on change order "&amp;B30&amp;": "&amp;H30&amp;" (+"&amp;CurSym&amp;" "&amp;FIXED(IF(J30="",0,J30),0)&amp;")")</f>
        <v/>
      </c>
    </row>
    <row r="31" ht="24" customHeight="1">
      <c r="B31" s="74" t="n"/>
      <c r="C31" s="108" t="n"/>
      <c r="D31" s="72" t="n"/>
      <c r="E31" s="72" t="n"/>
      <c r="F31" s="72" t="n"/>
      <c r="G31" s="72" t="n"/>
      <c r="H31" s="112" t="n"/>
      <c r="I31" s="72" t="n"/>
      <c r="J31" s="73" t="n"/>
      <c r="K31" s="89" t="n"/>
      <c r="L31" s="74" t="n"/>
      <c r="M31" s="108" t="n"/>
      <c r="N31" s="68">
        <f>IF(AND(H31="",J31=""),"",ForecastTotal+IF(L31="Approved",0,IF(J31="",0,J31)))</f>
        <v/>
      </c>
      <c r="O31" s="75">
        <f>IF(N31="","",ContAmt-MAX(0,N31-WorkBudget))</f>
        <v/>
      </c>
      <c r="P31" s="120">
        <f>IF(OR(N31="",ForecastEnd=""),"",ForecastEnd+IF(L31="Approved",0,IF(K31="",0,K31)))</f>
        <v/>
      </c>
      <c r="Q31" s="121">
        <f>IF(OR(N31="",WorkBudget=0),"",N31/WorkBudget-1)</f>
        <v/>
      </c>
      <c r="R31" s="79">
        <f>IF(N31="","",IF(N31&lt;=WorkBudget,0,IF(N31&lt;=TotalBudget,1,2)))</f>
        <v/>
      </c>
      <c r="S31" s="111">
        <f>IF(AND(OR(H31&lt;&gt;"",J31&lt;&gt;""),OR(L31="Pending",L31=""),C31&lt;&gt;""),C31+3,"")</f>
        <v/>
      </c>
      <c r="T31" s="79">
        <f>IF(S31="","",IF(AsOf&gt;S31,1,2))</f>
        <v/>
      </c>
      <c r="U31" s="79">
        <f>IF(T31="","","Decide on change order "&amp;B31&amp;": "&amp;H31&amp;" (+"&amp;CurSym&amp;" "&amp;FIXED(IF(J31="",0,J31),0)&amp;")")</f>
        <v/>
      </c>
    </row>
    <row r="32" ht="24" customHeight="1">
      <c r="B32" s="74" t="n"/>
      <c r="C32" s="108" t="n"/>
      <c r="D32" s="72" t="n"/>
      <c r="E32" s="72" t="n"/>
      <c r="F32" s="72" t="n"/>
      <c r="G32" s="72" t="n"/>
      <c r="H32" s="112" t="n"/>
      <c r="I32" s="72" t="n"/>
      <c r="J32" s="73" t="n"/>
      <c r="K32" s="89" t="n"/>
      <c r="L32" s="74" t="n"/>
      <c r="M32" s="108" t="n"/>
      <c r="N32" s="68">
        <f>IF(AND(H32="",J32=""),"",ForecastTotal+IF(L32="Approved",0,IF(J32="",0,J32)))</f>
        <v/>
      </c>
      <c r="O32" s="75">
        <f>IF(N32="","",ContAmt-MAX(0,N32-WorkBudget))</f>
        <v/>
      </c>
      <c r="P32" s="120">
        <f>IF(OR(N32="",ForecastEnd=""),"",ForecastEnd+IF(L32="Approved",0,IF(K32="",0,K32)))</f>
        <v/>
      </c>
      <c r="Q32" s="121">
        <f>IF(OR(N32="",WorkBudget=0),"",N32/WorkBudget-1)</f>
        <v/>
      </c>
      <c r="R32" s="79">
        <f>IF(N32="","",IF(N32&lt;=WorkBudget,0,IF(N32&lt;=TotalBudget,1,2)))</f>
        <v/>
      </c>
      <c r="S32" s="111">
        <f>IF(AND(OR(H32&lt;&gt;"",J32&lt;&gt;""),OR(L32="Pending",L32=""),C32&lt;&gt;""),C32+3,"")</f>
        <v/>
      </c>
      <c r="T32" s="79">
        <f>IF(S32="","",IF(AsOf&gt;S32,1,2))</f>
        <v/>
      </c>
      <c r="U32" s="79">
        <f>IF(T32="","","Decide on change order "&amp;B32&amp;": "&amp;H32&amp;" (+"&amp;CurSym&amp;" "&amp;FIXED(IF(J32="",0,J32),0)&amp;")")</f>
        <v/>
      </c>
    </row>
    <row r="33" ht="24" customHeight="1">
      <c r="B33" s="74" t="n"/>
      <c r="C33" s="108" t="n"/>
      <c r="D33" s="72" t="n"/>
      <c r="E33" s="72" t="n"/>
      <c r="F33" s="72" t="n"/>
      <c r="G33" s="72" t="n"/>
      <c r="H33" s="112" t="n"/>
      <c r="I33" s="72" t="n"/>
      <c r="J33" s="73" t="n"/>
      <c r="K33" s="89" t="n"/>
      <c r="L33" s="74" t="n"/>
      <c r="M33" s="108" t="n"/>
      <c r="N33" s="68">
        <f>IF(AND(H33="",J33=""),"",ForecastTotal+IF(L33="Approved",0,IF(J33="",0,J33)))</f>
        <v/>
      </c>
      <c r="O33" s="75">
        <f>IF(N33="","",ContAmt-MAX(0,N33-WorkBudget))</f>
        <v/>
      </c>
      <c r="P33" s="120">
        <f>IF(OR(N33="",ForecastEnd=""),"",ForecastEnd+IF(L33="Approved",0,IF(K33="",0,K33)))</f>
        <v/>
      </c>
      <c r="Q33" s="121">
        <f>IF(OR(N33="",WorkBudget=0),"",N33/WorkBudget-1)</f>
        <v/>
      </c>
      <c r="R33" s="79">
        <f>IF(N33="","",IF(N33&lt;=WorkBudget,0,IF(N33&lt;=TotalBudget,1,2)))</f>
        <v/>
      </c>
      <c r="S33" s="111">
        <f>IF(AND(OR(H33&lt;&gt;"",J33&lt;&gt;""),OR(L33="Pending",L33=""),C33&lt;&gt;""),C33+3,"")</f>
        <v/>
      </c>
      <c r="T33" s="79">
        <f>IF(S33="","",IF(AsOf&gt;S33,1,2))</f>
        <v/>
      </c>
      <c r="U33" s="79">
        <f>IF(T33="","","Decide on change order "&amp;B33&amp;": "&amp;H33&amp;" (+"&amp;CurSym&amp;" "&amp;FIXED(IF(J33="",0,J33),0)&amp;")")</f>
        <v/>
      </c>
    </row>
    <row r="34" ht="24" customHeight="1">
      <c r="B34" s="74" t="n"/>
      <c r="C34" s="108" t="n"/>
      <c r="D34" s="72" t="n"/>
      <c r="E34" s="72" t="n"/>
      <c r="F34" s="72" t="n"/>
      <c r="G34" s="72" t="n"/>
      <c r="H34" s="112" t="n"/>
      <c r="I34" s="72" t="n"/>
      <c r="J34" s="73" t="n"/>
      <c r="K34" s="89" t="n"/>
      <c r="L34" s="74" t="n"/>
      <c r="M34" s="108" t="n"/>
      <c r="N34" s="68">
        <f>IF(AND(H34="",J34=""),"",ForecastTotal+IF(L34="Approved",0,IF(J34="",0,J34)))</f>
        <v/>
      </c>
      <c r="O34" s="75">
        <f>IF(N34="","",ContAmt-MAX(0,N34-WorkBudget))</f>
        <v/>
      </c>
      <c r="P34" s="120">
        <f>IF(OR(N34="",ForecastEnd=""),"",ForecastEnd+IF(L34="Approved",0,IF(K34="",0,K34)))</f>
        <v/>
      </c>
      <c r="Q34" s="121">
        <f>IF(OR(N34="",WorkBudget=0),"",N34/WorkBudget-1)</f>
        <v/>
      </c>
      <c r="R34" s="79">
        <f>IF(N34="","",IF(N34&lt;=WorkBudget,0,IF(N34&lt;=TotalBudget,1,2)))</f>
        <v/>
      </c>
      <c r="S34" s="111">
        <f>IF(AND(OR(H34&lt;&gt;"",J34&lt;&gt;""),OR(L34="Pending",L34=""),C34&lt;&gt;""),C34+3,"")</f>
        <v/>
      </c>
      <c r="T34" s="79">
        <f>IF(S34="","",IF(AsOf&gt;S34,1,2))</f>
        <v/>
      </c>
      <c r="U34" s="79">
        <f>IF(T34="","","Decide on change order "&amp;B34&amp;": "&amp;H34&amp;" (+"&amp;CurSym&amp;" "&amp;FIXED(IF(J34="",0,J34),0)&amp;")")</f>
        <v/>
      </c>
    </row>
    <row r="35" ht="24" customHeight="1">
      <c r="B35" s="74" t="n"/>
      <c r="C35" s="108" t="n"/>
      <c r="D35" s="72" t="n"/>
      <c r="E35" s="72" t="n"/>
      <c r="F35" s="72" t="n"/>
      <c r="G35" s="72" t="n"/>
      <c r="H35" s="112" t="n"/>
      <c r="I35" s="72" t="n"/>
      <c r="J35" s="73" t="n"/>
      <c r="K35" s="89" t="n"/>
      <c r="L35" s="74" t="n"/>
      <c r="M35" s="108" t="n"/>
      <c r="N35" s="68">
        <f>IF(AND(H35="",J35=""),"",ForecastTotal+IF(L35="Approved",0,IF(J35="",0,J35)))</f>
        <v/>
      </c>
      <c r="O35" s="75">
        <f>IF(N35="","",ContAmt-MAX(0,N35-WorkBudget))</f>
        <v/>
      </c>
      <c r="P35" s="120">
        <f>IF(OR(N35="",ForecastEnd=""),"",ForecastEnd+IF(L35="Approved",0,IF(K35="",0,K35)))</f>
        <v/>
      </c>
      <c r="Q35" s="121">
        <f>IF(OR(N35="",WorkBudget=0),"",N35/WorkBudget-1)</f>
        <v/>
      </c>
      <c r="R35" s="79">
        <f>IF(N35="","",IF(N35&lt;=WorkBudget,0,IF(N35&lt;=TotalBudget,1,2)))</f>
        <v/>
      </c>
      <c r="S35" s="111">
        <f>IF(AND(OR(H35&lt;&gt;"",J35&lt;&gt;""),OR(L35="Pending",L35=""),C35&lt;&gt;""),C35+3,"")</f>
        <v/>
      </c>
      <c r="T35" s="79">
        <f>IF(S35="","",IF(AsOf&gt;S35,1,2))</f>
        <v/>
      </c>
      <c r="U35" s="79">
        <f>IF(T35="","","Decide on change order "&amp;B35&amp;": "&amp;H35&amp;" (+"&amp;CurSym&amp;" "&amp;FIXED(IF(J35="",0,J35),0)&amp;")")</f>
        <v/>
      </c>
    </row>
    <row r="36" ht="24" customHeight="1">
      <c r="B36" s="74" t="n"/>
      <c r="C36" s="108" t="n"/>
      <c r="D36" s="72" t="n"/>
      <c r="E36" s="72" t="n"/>
      <c r="F36" s="72" t="n"/>
      <c r="G36" s="72" t="n"/>
      <c r="H36" s="112" t="n"/>
      <c r="I36" s="72" t="n"/>
      <c r="J36" s="73" t="n"/>
      <c r="K36" s="89" t="n"/>
      <c r="L36" s="74" t="n"/>
      <c r="M36" s="108" t="n"/>
      <c r="N36" s="68">
        <f>IF(AND(H36="",J36=""),"",ForecastTotal+IF(L36="Approved",0,IF(J36="",0,J36)))</f>
        <v/>
      </c>
      <c r="O36" s="75">
        <f>IF(N36="","",ContAmt-MAX(0,N36-WorkBudget))</f>
        <v/>
      </c>
      <c r="P36" s="120">
        <f>IF(OR(N36="",ForecastEnd=""),"",ForecastEnd+IF(L36="Approved",0,IF(K36="",0,K36)))</f>
        <v/>
      </c>
      <c r="Q36" s="121">
        <f>IF(OR(N36="",WorkBudget=0),"",N36/WorkBudget-1)</f>
        <v/>
      </c>
      <c r="R36" s="79">
        <f>IF(N36="","",IF(N36&lt;=WorkBudget,0,IF(N36&lt;=TotalBudget,1,2)))</f>
        <v/>
      </c>
      <c r="S36" s="111">
        <f>IF(AND(OR(H36&lt;&gt;"",J36&lt;&gt;""),OR(L36="Pending",L36=""),C36&lt;&gt;""),C36+3,"")</f>
        <v/>
      </c>
      <c r="T36" s="79">
        <f>IF(S36="","",IF(AsOf&gt;S36,1,2))</f>
        <v/>
      </c>
      <c r="U36" s="79">
        <f>IF(T36="","","Decide on change order "&amp;B36&amp;": "&amp;H36&amp;" (+"&amp;CurSym&amp;" "&amp;FIXED(IF(J36="",0,J36),0)&amp;")")</f>
        <v/>
      </c>
    </row>
    <row r="37" ht="24" customHeight="1">
      <c r="B37" s="74" t="n"/>
      <c r="C37" s="108" t="n"/>
      <c r="D37" s="72" t="n"/>
      <c r="E37" s="72" t="n"/>
      <c r="F37" s="72" t="n"/>
      <c r="G37" s="72" t="n"/>
      <c r="H37" s="112" t="n"/>
      <c r="I37" s="72" t="n"/>
      <c r="J37" s="73" t="n"/>
      <c r="K37" s="89" t="n"/>
      <c r="L37" s="74" t="n"/>
      <c r="M37" s="108" t="n"/>
      <c r="N37" s="68">
        <f>IF(AND(H37="",J37=""),"",ForecastTotal+IF(L37="Approved",0,IF(J37="",0,J37)))</f>
        <v/>
      </c>
      <c r="O37" s="75">
        <f>IF(N37="","",ContAmt-MAX(0,N37-WorkBudget))</f>
        <v/>
      </c>
      <c r="P37" s="120">
        <f>IF(OR(N37="",ForecastEnd=""),"",ForecastEnd+IF(L37="Approved",0,IF(K37="",0,K37)))</f>
        <v/>
      </c>
      <c r="Q37" s="121">
        <f>IF(OR(N37="",WorkBudget=0),"",N37/WorkBudget-1)</f>
        <v/>
      </c>
      <c r="R37" s="79">
        <f>IF(N37="","",IF(N37&lt;=WorkBudget,0,IF(N37&lt;=TotalBudget,1,2)))</f>
        <v/>
      </c>
      <c r="S37" s="111">
        <f>IF(AND(OR(H37&lt;&gt;"",J37&lt;&gt;""),OR(L37="Pending",L37=""),C37&lt;&gt;""),C37+3,"")</f>
        <v/>
      </c>
      <c r="T37" s="79">
        <f>IF(S37="","",IF(AsOf&gt;S37,1,2))</f>
        <v/>
      </c>
      <c r="U37" s="79">
        <f>IF(T37="","","Decide on change order "&amp;B37&amp;": "&amp;H37&amp;" (+"&amp;CurSym&amp;" "&amp;FIXED(IF(J37="",0,J37),0)&amp;")")</f>
        <v/>
      </c>
    </row>
    <row r="38" ht="24" customHeight="1">
      <c r="B38" s="74" t="n"/>
      <c r="C38" s="108" t="n"/>
      <c r="D38" s="72" t="n"/>
      <c r="E38" s="72" t="n"/>
      <c r="F38" s="72" t="n"/>
      <c r="G38" s="72" t="n"/>
      <c r="H38" s="112" t="n"/>
      <c r="I38" s="72" t="n"/>
      <c r="J38" s="73" t="n"/>
      <c r="K38" s="89" t="n"/>
      <c r="L38" s="74" t="n"/>
      <c r="M38" s="108" t="n"/>
      <c r="N38" s="68">
        <f>IF(AND(H38="",J38=""),"",ForecastTotal+IF(L38="Approved",0,IF(J38="",0,J38)))</f>
        <v/>
      </c>
      <c r="O38" s="75">
        <f>IF(N38="","",ContAmt-MAX(0,N38-WorkBudget))</f>
        <v/>
      </c>
      <c r="P38" s="120">
        <f>IF(OR(N38="",ForecastEnd=""),"",ForecastEnd+IF(L38="Approved",0,IF(K38="",0,K38)))</f>
        <v/>
      </c>
      <c r="Q38" s="121">
        <f>IF(OR(N38="",WorkBudget=0),"",N38/WorkBudget-1)</f>
        <v/>
      </c>
      <c r="R38" s="79">
        <f>IF(N38="","",IF(N38&lt;=WorkBudget,0,IF(N38&lt;=TotalBudget,1,2)))</f>
        <v/>
      </c>
      <c r="S38" s="111">
        <f>IF(AND(OR(H38&lt;&gt;"",J38&lt;&gt;""),OR(L38="Pending",L38=""),C38&lt;&gt;""),C38+3,"")</f>
        <v/>
      </c>
      <c r="T38" s="79">
        <f>IF(S38="","",IF(AsOf&gt;S38,1,2))</f>
        <v/>
      </c>
      <c r="U38" s="79">
        <f>IF(T38="","","Decide on change order "&amp;B38&amp;": "&amp;H38&amp;" (+"&amp;CurSym&amp;" "&amp;FIXED(IF(J38="",0,J38),0)&amp;")")</f>
        <v/>
      </c>
    </row>
    <row r="39" ht="24" customHeight="1">
      <c r="B39" s="74" t="n"/>
      <c r="C39" s="108" t="n"/>
      <c r="D39" s="72" t="n"/>
      <c r="E39" s="72" t="n"/>
      <c r="F39" s="72" t="n"/>
      <c r="G39" s="72" t="n"/>
      <c r="H39" s="112" t="n"/>
      <c r="I39" s="72" t="n"/>
      <c r="J39" s="73" t="n"/>
      <c r="K39" s="89" t="n"/>
      <c r="L39" s="74" t="n"/>
      <c r="M39" s="108" t="n"/>
      <c r="N39" s="68">
        <f>IF(AND(H39="",J39=""),"",ForecastTotal+IF(L39="Approved",0,IF(J39="",0,J39)))</f>
        <v/>
      </c>
      <c r="O39" s="75">
        <f>IF(N39="","",ContAmt-MAX(0,N39-WorkBudget))</f>
        <v/>
      </c>
      <c r="P39" s="120">
        <f>IF(OR(N39="",ForecastEnd=""),"",ForecastEnd+IF(L39="Approved",0,IF(K39="",0,K39)))</f>
        <v/>
      </c>
      <c r="Q39" s="121">
        <f>IF(OR(N39="",WorkBudget=0),"",N39/WorkBudget-1)</f>
        <v/>
      </c>
      <c r="R39" s="79">
        <f>IF(N39="","",IF(N39&lt;=WorkBudget,0,IF(N39&lt;=TotalBudget,1,2)))</f>
        <v/>
      </c>
      <c r="S39" s="111">
        <f>IF(AND(OR(H39&lt;&gt;"",J39&lt;&gt;""),OR(L39="Pending",L39=""),C39&lt;&gt;""),C39+3,"")</f>
        <v/>
      </c>
      <c r="T39" s="79">
        <f>IF(S39="","",IF(AsOf&gt;S39,1,2))</f>
        <v/>
      </c>
      <c r="U39" s="79">
        <f>IF(T39="","","Decide on change order "&amp;B39&amp;": "&amp;H39&amp;" (+"&amp;CurSym&amp;" "&amp;FIXED(IF(J39="",0,J39),0)&amp;")")</f>
        <v/>
      </c>
    </row>
    <row r="40" ht="24" customHeight="1">
      <c r="B40" s="74" t="n"/>
      <c r="C40" s="108" t="n"/>
      <c r="D40" s="72" t="n"/>
      <c r="E40" s="72" t="n"/>
      <c r="F40" s="72" t="n"/>
      <c r="G40" s="72" t="n"/>
      <c r="H40" s="112" t="n"/>
      <c r="I40" s="72" t="n"/>
      <c r="J40" s="73" t="n"/>
      <c r="K40" s="89" t="n"/>
      <c r="L40" s="74" t="n"/>
      <c r="M40" s="108" t="n"/>
      <c r="N40" s="68">
        <f>IF(AND(H40="",J40=""),"",ForecastTotal+IF(L40="Approved",0,IF(J40="",0,J40)))</f>
        <v/>
      </c>
      <c r="O40" s="75">
        <f>IF(N40="","",ContAmt-MAX(0,N40-WorkBudget))</f>
        <v/>
      </c>
      <c r="P40" s="120">
        <f>IF(OR(N40="",ForecastEnd=""),"",ForecastEnd+IF(L40="Approved",0,IF(K40="",0,K40)))</f>
        <v/>
      </c>
      <c r="Q40" s="121">
        <f>IF(OR(N40="",WorkBudget=0),"",N40/WorkBudget-1)</f>
        <v/>
      </c>
      <c r="R40" s="79">
        <f>IF(N40="","",IF(N40&lt;=WorkBudget,0,IF(N40&lt;=TotalBudget,1,2)))</f>
        <v/>
      </c>
      <c r="S40" s="111">
        <f>IF(AND(OR(H40&lt;&gt;"",J40&lt;&gt;""),OR(L40="Pending",L40=""),C40&lt;&gt;""),C40+3,"")</f>
        <v/>
      </c>
      <c r="T40" s="79">
        <f>IF(S40="","",IF(AsOf&gt;S40,1,2))</f>
        <v/>
      </c>
      <c r="U40" s="79">
        <f>IF(T40="","","Decide on change order "&amp;B40&amp;": "&amp;H40&amp;" (+"&amp;CurSym&amp;" "&amp;FIXED(IF(J40="",0,J40),0)&amp;")")</f>
        <v/>
      </c>
    </row>
    <row r="41" ht="24" customHeight="1">
      <c r="B41" s="74" t="n"/>
      <c r="C41" s="108" t="n"/>
      <c r="D41" s="72" t="n"/>
      <c r="E41" s="72" t="n"/>
      <c r="F41" s="72" t="n"/>
      <c r="G41" s="72" t="n"/>
      <c r="H41" s="112" t="n"/>
      <c r="I41" s="72" t="n"/>
      <c r="J41" s="73" t="n"/>
      <c r="K41" s="89" t="n"/>
      <c r="L41" s="74" t="n"/>
      <c r="M41" s="108" t="n"/>
      <c r="N41" s="68">
        <f>IF(AND(H41="",J41=""),"",ForecastTotal+IF(L41="Approved",0,IF(J41="",0,J41)))</f>
        <v/>
      </c>
      <c r="O41" s="75">
        <f>IF(N41="","",ContAmt-MAX(0,N41-WorkBudget))</f>
        <v/>
      </c>
      <c r="P41" s="120">
        <f>IF(OR(N41="",ForecastEnd=""),"",ForecastEnd+IF(L41="Approved",0,IF(K41="",0,K41)))</f>
        <v/>
      </c>
      <c r="Q41" s="121">
        <f>IF(OR(N41="",WorkBudget=0),"",N41/WorkBudget-1)</f>
        <v/>
      </c>
      <c r="R41" s="79">
        <f>IF(N41="","",IF(N41&lt;=WorkBudget,0,IF(N41&lt;=TotalBudget,1,2)))</f>
        <v/>
      </c>
      <c r="S41" s="111">
        <f>IF(AND(OR(H41&lt;&gt;"",J41&lt;&gt;""),OR(L41="Pending",L41=""),C41&lt;&gt;""),C41+3,"")</f>
        <v/>
      </c>
      <c r="T41" s="79">
        <f>IF(S41="","",IF(AsOf&gt;S41,1,2))</f>
        <v/>
      </c>
      <c r="U41" s="79">
        <f>IF(T41="","","Decide on change order "&amp;B41&amp;": "&amp;H41&amp;" (+"&amp;CurSym&amp;" "&amp;FIXED(IF(J41="",0,J41),0)&amp;")")</f>
        <v/>
      </c>
    </row>
    <row r="42" ht="24" customHeight="1">
      <c r="B42" s="74" t="n"/>
      <c r="C42" s="108" t="n"/>
      <c r="D42" s="72" t="n"/>
      <c r="E42" s="72" t="n"/>
      <c r="F42" s="72" t="n"/>
      <c r="G42" s="72" t="n"/>
      <c r="H42" s="112" t="n"/>
      <c r="I42" s="72" t="n"/>
      <c r="J42" s="73" t="n"/>
      <c r="K42" s="89" t="n"/>
      <c r="L42" s="74" t="n"/>
      <c r="M42" s="108" t="n"/>
      <c r="N42" s="68">
        <f>IF(AND(H42="",J42=""),"",ForecastTotal+IF(L42="Approved",0,IF(J42="",0,J42)))</f>
        <v/>
      </c>
      <c r="O42" s="75">
        <f>IF(N42="","",ContAmt-MAX(0,N42-WorkBudget))</f>
        <v/>
      </c>
      <c r="P42" s="120">
        <f>IF(OR(N42="",ForecastEnd=""),"",ForecastEnd+IF(L42="Approved",0,IF(K42="",0,K42)))</f>
        <v/>
      </c>
      <c r="Q42" s="121">
        <f>IF(OR(N42="",WorkBudget=0),"",N42/WorkBudget-1)</f>
        <v/>
      </c>
      <c r="R42" s="79">
        <f>IF(N42="","",IF(N42&lt;=WorkBudget,0,IF(N42&lt;=TotalBudget,1,2)))</f>
        <v/>
      </c>
      <c r="S42" s="111">
        <f>IF(AND(OR(H42&lt;&gt;"",J42&lt;&gt;""),OR(L42="Pending",L42=""),C42&lt;&gt;""),C42+3,"")</f>
        <v/>
      </c>
      <c r="T42" s="79">
        <f>IF(S42="","",IF(AsOf&gt;S42,1,2))</f>
        <v/>
      </c>
      <c r="U42" s="79">
        <f>IF(T42="","","Decide on change order "&amp;B42&amp;": "&amp;H42&amp;" (+"&amp;CurSym&amp;" "&amp;FIXED(IF(J42="",0,J42),0)&amp;")")</f>
        <v/>
      </c>
    </row>
    <row r="43" ht="24" customHeight="1">
      <c r="B43" s="74" t="n"/>
      <c r="C43" s="108" t="n"/>
      <c r="D43" s="72" t="n"/>
      <c r="E43" s="72" t="n"/>
      <c r="F43" s="72" t="n"/>
      <c r="G43" s="72" t="n"/>
      <c r="H43" s="112" t="n"/>
      <c r="I43" s="72" t="n"/>
      <c r="J43" s="73" t="n"/>
      <c r="K43" s="89" t="n"/>
      <c r="L43" s="74" t="n"/>
      <c r="M43" s="108" t="n"/>
      <c r="N43" s="68">
        <f>IF(AND(H43="",J43=""),"",ForecastTotal+IF(L43="Approved",0,IF(J43="",0,J43)))</f>
        <v/>
      </c>
      <c r="O43" s="75">
        <f>IF(N43="","",ContAmt-MAX(0,N43-WorkBudget))</f>
        <v/>
      </c>
      <c r="P43" s="120">
        <f>IF(OR(N43="",ForecastEnd=""),"",ForecastEnd+IF(L43="Approved",0,IF(K43="",0,K43)))</f>
        <v/>
      </c>
      <c r="Q43" s="121">
        <f>IF(OR(N43="",WorkBudget=0),"",N43/WorkBudget-1)</f>
        <v/>
      </c>
      <c r="R43" s="79">
        <f>IF(N43="","",IF(N43&lt;=WorkBudget,0,IF(N43&lt;=TotalBudget,1,2)))</f>
        <v/>
      </c>
      <c r="S43" s="111">
        <f>IF(AND(OR(H43&lt;&gt;"",J43&lt;&gt;""),OR(L43="Pending",L43=""),C43&lt;&gt;""),C43+3,"")</f>
        <v/>
      </c>
      <c r="T43" s="79">
        <f>IF(S43="","",IF(AsOf&gt;S43,1,2))</f>
        <v/>
      </c>
      <c r="U43" s="79">
        <f>IF(T43="","","Decide on change order "&amp;B43&amp;": "&amp;H43&amp;" (+"&amp;CurSym&amp;" "&amp;FIXED(IF(J43="",0,J43),0)&amp;")")</f>
        <v/>
      </c>
    </row>
    <row r="44" ht="24" customHeight="1">
      <c r="B44" s="74" t="n"/>
      <c r="C44" s="108" t="n"/>
      <c r="D44" s="72" t="n"/>
      <c r="E44" s="72" t="n"/>
      <c r="F44" s="72" t="n"/>
      <c r="G44" s="72" t="n"/>
      <c r="H44" s="112" t="n"/>
      <c r="I44" s="72" t="n"/>
      <c r="J44" s="73" t="n"/>
      <c r="K44" s="89" t="n"/>
      <c r="L44" s="74" t="n"/>
      <c r="M44" s="108" t="n"/>
      <c r="N44" s="68">
        <f>IF(AND(H44="",J44=""),"",ForecastTotal+IF(L44="Approved",0,IF(J44="",0,J44)))</f>
        <v/>
      </c>
      <c r="O44" s="75">
        <f>IF(N44="","",ContAmt-MAX(0,N44-WorkBudget))</f>
        <v/>
      </c>
      <c r="P44" s="120">
        <f>IF(OR(N44="",ForecastEnd=""),"",ForecastEnd+IF(L44="Approved",0,IF(K44="",0,K44)))</f>
        <v/>
      </c>
      <c r="Q44" s="121">
        <f>IF(OR(N44="",WorkBudget=0),"",N44/WorkBudget-1)</f>
        <v/>
      </c>
      <c r="R44" s="79">
        <f>IF(N44="","",IF(N44&lt;=WorkBudget,0,IF(N44&lt;=TotalBudget,1,2)))</f>
        <v/>
      </c>
      <c r="S44" s="111">
        <f>IF(AND(OR(H44&lt;&gt;"",J44&lt;&gt;""),OR(L44="Pending",L44=""),C44&lt;&gt;""),C44+3,"")</f>
        <v/>
      </c>
      <c r="T44" s="79">
        <f>IF(S44="","",IF(AsOf&gt;S44,1,2))</f>
        <v/>
      </c>
      <c r="U44" s="79">
        <f>IF(T44="","","Decide on change order "&amp;B44&amp;": "&amp;H44&amp;" (+"&amp;CurSym&amp;" "&amp;FIXED(IF(J44="",0,J44),0)&amp;")")</f>
        <v/>
      </c>
    </row>
    <row r="45" ht="24" customHeight="1">
      <c r="B45" s="74" t="n"/>
      <c r="C45" s="108" t="n"/>
      <c r="D45" s="72" t="n"/>
      <c r="E45" s="72" t="n"/>
      <c r="F45" s="72" t="n"/>
      <c r="G45" s="72" t="n"/>
      <c r="H45" s="112" t="n"/>
      <c r="I45" s="72" t="n"/>
      <c r="J45" s="73" t="n"/>
      <c r="K45" s="89" t="n"/>
      <c r="L45" s="74" t="n"/>
      <c r="M45" s="108" t="n"/>
      <c r="N45" s="68">
        <f>IF(AND(H45="",J45=""),"",ForecastTotal+IF(L45="Approved",0,IF(J45="",0,J45)))</f>
        <v/>
      </c>
      <c r="O45" s="75">
        <f>IF(N45="","",ContAmt-MAX(0,N45-WorkBudget))</f>
        <v/>
      </c>
      <c r="P45" s="120">
        <f>IF(OR(N45="",ForecastEnd=""),"",ForecastEnd+IF(L45="Approved",0,IF(K45="",0,K45)))</f>
        <v/>
      </c>
      <c r="Q45" s="121">
        <f>IF(OR(N45="",WorkBudget=0),"",N45/WorkBudget-1)</f>
        <v/>
      </c>
      <c r="R45" s="79">
        <f>IF(N45="","",IF(N45&lt;=WorkBudget,0,IF(N45&lt;=TotalBudget,1,2)))</f>
        <v/>
      </c>
      <c r="S45" s="111">
        <f>IF(AND(OR(H45&lt;&gt;"",J45&lt;&gt;""),OR(L45="Pending",L45=""),C45&lt;&gt;""),C45+3,"")</f>
        <v/>
      </c>
      <c r="T45" s="79">
        <f>IF(S45="","",IF(AsOf&gt;S45,1,2))</f>
        <v/>
      </c>
      <c r="U45" s="79">
        <f>IF(T45="","","Decide on change order "&amp;B45&amp;": "&amp;H45&amp;" (+"&amp;CurSym&amp;" "&amp;FIXED(IF(J45="",0,J45),0)&amp;")")</f>
        <v/>
      </c>
    </row>
    <row r="46" ht="24" customHeight="1">
      <c r="B46" s="74" t="n"/>
      <c r="C46" s="108" t="n"/>
      <c r="D46" s="72" t="n"/>
      <c r="E46" s="72" t="n"/>
      <c r="F46" s="72" t="n"/>
      <c r="G46" s="72" t="n"/>
      <c r="H46" s="112" t="n"/>
      <c r="I46" s="72" t="n"/>
      <c r="J46" s="73" t="n"/>
      <c r="K46" s="89" t="n"/>
      <c r="L46" s="74" t="n"/>
      <c r="M46" s="108" t="n"/>
      <c r="N46" s="68">
        <f>IF(AND(H46="",J46=""),"",ForecastTotal+IF(L46="Approved",0,IF(J46="",0,J46)))</f>
        <v/>
      </c>
      <c r="O46" s="75">
        <f>IF(N46="","",ContAmt-MAX(0,N46-WorkBudget))</f>
        <v/>
      </c>
      <c r="P46" s="120">
        <f>IF(OR(N46="",ForecastEnd=""),"",ForecastEnd+IF(L46="Approved",0,IF(K46="",0,K46)))</f>
        <v/>
      </c>
      <c r="Q46" s="121">
        <f>IF(OR(N46="",WorkBudget=0),"",N46/WorkBudget-1)</f>
        <v/>
      </c>
      <c r="R46" s="79">
        <f>IF(N46="","",IF(N46&lt;=WorkBudget,0,IF(N46&lt;=TotalBudget,1,2)))</f>
        <v/>
      </c>
      <c r="S46" s="111">
        <f>IF(AND(OR(H46&lt;&gt;"",J46&lt;&gt;""),OR(L46="Pending",L46=""),C46&lt;&gt;""),C46+3,"")</f>
        <v/>
      </c>
      <c r="T46" s="79">
        <f>IF(S46="","",IF(AsOf&gt;S46,1,2))</f>
        <v/>
      </c>
      <c r="U46" s="79">
        <f>IF(T46="","","Decide on change order "&amp;B46&amp;": "&amp;H46&amp;" (+"&amp;CurSym&amp;" "&amp;FIXED(IF(J46="",0,J46),0)&amp;")")</f>
        <v/>
      </c>
    </row>
    <row r="47" ht="24" customHeight="1">
      <c r="B47" s="74" t="n"/>
      <c r="C47" s="108" t="n"/>
      <c r="D47" s="72" t="n"/>
      <c r="E47" s="72" t="n"/>
      <c r="F47" s="72" t="n"/>
      <c r="G47" s="72" t="n"/>
      <c r="H47" s="112" t="n"/>
      <c r="I47" s="72" t="n"/>
      <c r="J47" s="73" t="n"/>
      <c r="K47" s="89" t="n"/>
      <c r="L47" s="74" t="n"/>
      <c r="M47" s="108" t="n"/>
      <c r="N47" s="68">
        <f>IF(AND(H47="",J47=""),"",ForecastTotal+IF(L47="Approved",0,IF(J47="",0,J47)))</f>
        <v/>
      </c>
      <c r="O47" s="75">
        <f>IF(N47="","",ContAmt-MAX(0,N47-WorkBudget))</f>
        <v/>
      </c>
      <c r="P47" s="120">
        <f>IF(OR(N47="",ForecastEnd=""),"",ForecastEnd+IF(L47="Approved",0,IF(K47="",0,K47)))</f>
        <v/>
      </c>
      <c r="Q47" s="121">
        <f>IF(OR(N47="",WorkBudget=0),"",N47/WorkBudget-1)</f>
        <v/>
      </c>
      <c r="R47" s="79">
        <f>IF(N47="","",IF(N47&lt;=WorkBudget,0,IF(N47&lt;=TotalBudget,1,2)))</f>
        <v/>
      </c>
      <c r="S47" s="111">
        <f>IF(AND(OR(H47&lt;&gt;"",J47&lt;&gt;""),OR(L47="Pending",L47=""),C47&lt;&gt;""),C47+3,"")</f>
        <v/>
      </c>
      <c r="T47" s="79">
        <f>IF(S47="","",IF(AsOf&gt;S47,1,2))</f>
        <v/>
      </c>
      <c r="U47" s="79">
        <f>IF(T47="","","Decide on change order "&amp;B47&amp;": "&amp;H47&amp;" (+"&amp;CurSym&amp;" "&amp;FIXED(IF(J47="",0,J47),0)&amp;")")</f>
        <v/>
      </c>
    </row>
    <row r="48" ht="24" customHeight="1">
      <c r="B48" s="74" t="n"/>
      <c r="C48" s="108" t="n"/>
      <c r="D48" s="72" t="n"/>
      <c r="E48" s="72" t="n"/>
      <c r="F48" s="72" t="n"/>
      <c r="G48" s="72" t="n"/>
      <c r="H48" s="112" t="n"/>
      <c r="I48" s="72" t="n"/>
      <c r="J48" s="73" t="n"/>
      <c r="K48" s="89" t="n"/>
      <c r="L48" s="74" t="n"/>
      <c r="M48" s="108" t="n"/>
      <c r="N48" s="68">
        <f>IF(AND(H48="",J48=""),"",ForecastTotal+IF(L48="Approved",0,IF(J48="",0,J48)))</f>
        <v/>
      </c>
      <c r="O48" s="75">
        <f>IF(N48="","",ContAmt-MAX(0,N48-WorkBudget))</f>
        <v/>
      </c>
      <c r="P48" s="120">
        <f>IF(OR(N48="",ForecastEnd=""),"",ForecastEnd+IF(L48="Approved",0,IF(K48="",0,K48)))</f>
        <v/>
      </c>
      <c r="Q48" s="121">
        <f>IF(OR(N48="",WorkBudget=0),"",N48/WorkBudget-1)</f>
        <v/>
      </c>
      <c r="R48" s="79">
        <f>IF(N48="","",IF(N48&lt;=WorkBudget,0,IF(N48&lt;=TotalBudget,1,2)))</f>
        <v/>
      </c>
      <c r="S48" s="111">
        <f>IF(AND(OR(H48&lt;&gt;"",J48&lt;&gt;""),OR(L48="Pending",L48=""),C48&lt;&gt;""),C48+3,"")</f>
        <v/>
      </c>
      <c r="T48" s="79">
        <f>IF(S48="","",IF(AsOf&gt;S48,1,2))</f>
        <v/>
      </c>
      <c r="U48" s="79">
        <f>IF(T48="","","Decide on change order "&amp;B48&amp;": "&amp;H48&amp;" (+"&amp;CurSym&amp;" "&amp;FIXED(IF(J48="",0,J48),0)&amp;")")</f>
        <v/>
      </c>
    </row>
    <row r="49" ht="24" customHeight="1">
      <c r="B49" s="74" t="n"/>
      <c r="C49" s="108" t="n"/>
      <c r="D49" s="72" t="n"/>
      <c r="E49" s="72" t="n"/>
      <c r="F49" s="72" t="n"/>
      <c r="G49" s="72" t="n"/>
      <c r="H49" s="112" t="n"/>
      <c r="I49" s="72" t="n"/>
      <c r="J49" s="73" t="n"/>
      <c r="K49" s="89" t="n"/>
      <c r="L49" s="74" t="n"/>
      <c r="M49" s="108" t="n"/>
      <c r="N49" s="68">
        <f>IF(AND(H49="",J49=""),"",ForecastTotal+IF(L49="Approved",0,IF(J49="",0,J49)))</f>
        <v/>
      </c>
      <c r="O49" s="75">
        <f>IF(N49="","",ContAmt-MAX(0,N49-WorkBudget))</f>
        <v/>
      </c>
      <c r="P49" s="120">
        <f>IF(OR(N49="",ForecastEnd=""),"",ForecastEnd+IF(L49="Approved",0,IF(K49="",0,K49)))</f>
        <v/>
      </c>
      <c r="Q49" s="121">
        <f>IF(OR(N49="",WorkBudget=0),"",N49/WorkBudget-1)</f>
        <v/>
      </c>
      <c r="R49" s="79">
        <f>IF(N49="","",IF(N49&lt;=WorkBudget,0,IF(N49&lt;=TotalBudget,1,2)))</f>
        <v/>
      </c>
      <c r="S49" s="111">
        <f>IF(AND(OR(H49&lt;&gt;"",J49&lt;&gt;""),OR(L49="Pending",L49=""),C49&lt;&gt;""),C49+3,"")</f>
        <v/>
      </c>
      <c r="T49" s="79">
        <f>IF(S49="","",IF(AsOf&gt;S49,1,2))</f>
        <v/>
      </c>
      <c r="U49" s="79">
        <f>IF(T49="","","Decide on change order "&amp;B49&amp;": "&amp;H49&amp;" (+"&amp;CurSym&amp;" "&amp;FIXED(IF(J49="",0,J49),0)&amp;")")</f>
        <v/>
      </c>
    </row>
    <row r="50" ht="24" customHeight="1">
      <c r="B50" s="74" t="n"/>
      <c r="C50" s="108" t="n"/>
      <c r="D50" s="72" t="n"/>
      <c r="E50" s="72" t="n"/>
      <c r="F50" s="72" t="n"/>
      <c r="G50" s="72" t="n"/>
      <c r="H50" s="112" t="n"/>
      <c r="I50" s="72" t="n"/>
      <c r="J50" s="73" t="n"/>
      <c r="K50" s="89" t="n"/>
      <c r="L50" s="74" t="n"/>
      <c r="M50" s="108" t="n"/>
      <c r="N50" s="68">
        <f>IF(AND(H50="",J50=""),"",ForecastTotal+IF(L50="Approved",0,IF(J50="",0,J50)))</f>
        <v/>
      </c>
      <c r="O50" s="75">
        <f>IF(N50="","",ContAmt-MAX(0,N50-WorkBudget))</f>
        <v/>
      </c>
      <c r="P50" s="120">
        <f>IF(OR(N50="",ForecastEnd=""),"",ForecastEnd+IF(L50="Approved",0,IF(K50="",0,K50)))</f>
        <v/>
      </c>
      <c r="Q50" s="121">
        <f>IF(OR(N50="",WorkBudget=0),"",N50/WorkBudget-1)</f>
        <v/>
      </c>
      <c r="R50" s="79">
        <f>IF(N50="","",IF(N50&lt;=WorkBudget,0,IF(N50&lt;=TotalBudget,1,2)))</f>
        <v/>
      </c>
      <c r="S50" s="111">
        <f>IF(AND(OR(H50&lt;&gt;"",J50&lt;&gt;""),OR(L50="Pending",L50=""),C50&lt;&gt;""),C50+3,"")</f>
        <v/>
      </c>
      <c r="T50" s="79">
        <f>IF(S50="","",IF(AsOf&gt;S50,1,2))</f>
        <v/>
      </c>
      <c r="U50" s="79">
        <f>IF(T50="","","Decide on change order "&amp;B50&amp;": "&amp;H50&amp;" (+"&amp;CurSym&amp;" "&amp;FIXED(IF(J50="",0,J50),0)&amp;")")</f>
        <v/>
      </c>
    </row>
    <row r="51" ht="24" customHeight="1">
      <c r="B51" s="74" t="n"/>
      <c r="C51" s="108" t="n"/>
      <c r="D51" s="72" t="n"/>
      <c r="E51" s="72" t="n"/>
      <c r="F51" s="72" t="n"/>
      <c r="G51" s="72" t="n"/>
      <c r="H51" s="112" t="n"/>
      <c r="I51" s="72" t="n"/>
      <c r="J51" s="73" t="n"/>
      <c r="K51" s="89" t="n"/>
      <c r="L51" s="74" t="n"/>
      <c r="M51" s="108" t="n"/>
      <c r="N51" s="68">
        <f>IF(AND(H51="",J51=""),"",ForecastTotal+IF(L51="Approved",0,IF(J51="",0,J51)))</f>
        <v/>
      </c>
      <c r="O51" s="75">
        <f>IF(N51="","",ContAmt-MAX(0,N51-WorkBudget))</f>
        <v/>
      </c>
      <c r="P51" s="120">
        <f>IF(OR(N51="",ForecastEnd=""),"",ForecastEnd+IF(L51="Approved",0,IF(K51="",0,K51)))</f>
        <v/>
      </c>
      <c r="Q51" s="121">
        <f>IF(OR(N51="",WorkBudget=0),"",N51/WorkBudget-1)</f>
        <v/>
      </c>
      <c r="R51" s="79">
        <f>IF(N51="","",IF(N51&lt;=WorkBudget,0,IF(N51&lt;=TotalBudget,1,2)))</f>
        <v/>
      </c>
      <c r="S51" s="111">
        <f>IF(AND(OR(H51&lt;&gt;"",J51&lt;&gt;""),OR(L51="Pending",L51=""),C51&lt;&gt;""),C51+3,"")</f>
        <v/>
      </c>
      <c r="T51" s="79">
        <f>IF(S51="","",IF(AsOf&gt;S51,1,2))</f>
        <v/>
      </c>
      <c r="U51" s="79">
        <f>IF(T51="","","Decide on change order "&amp;B51&amp;": "&amp;H51&amp;" (+"&amp;CurSym&amp;" "&amp;FIXED(IF(J51="",0,J51),0)&amp;")")</f>
        <v/>
      </c>
    </row>
    <row r="52" ht="24" customHeight="1">
      <c r="B52" s="74" t="n"/>
      <c r="C52" s="108" t="n"/>
      <c r="D52" s="72" t="n"/>
      <c r="E52" s="72" t="n"/>
      <c r="F52" s="72" t="n"/>
      <c r="G52" s="72" t="n"/>
      <c r="H52" s="112" t="n"/>
      <c r="I52" s="72" t="n"/>
      <c r="J52" s="73" t="n"/>
      <c r="K52" s="89" t="n"/>
      <c r="L52" s="74" t="n"/>
      <c r="M52" s="108" t="n"/>
      <c r="N52" s="68">
        <f>IF(AND(H52="",J52=""),"",ForecastTotal+IF(L52="Approved",0,IF(J52="",0,J52)))</f>
        <v/>
      </c>
      <c r="O52" s="75">
        <f>IF(N52="","",ContAmt-MAX(0,N52-WorkBudget))</f>
        <v/>
      </c>
      <c r="P52" s="120">
        <f>IF(OR(N52="",ForecastEnd=""),"",ForecastEnd+IF(L52="Approved",0,IF(K52="",0,K52)))</f>
        <v/>
      </c>
      <c r="Q52" s="121">
        <f>IF(OR(N52="",WorkBudget=0),"",N52/WorkBudget-1)</f>
        <v/>
      </c>
      <c r="R52" s="79">
        <f>IF(N52="","",IF(N52&lt;=WorkBudget,0,IF(N52&lt;=TotalBudget,1,2)))</f>
        <v/>
      </c>
      <c r="S52" s="111">
        <f>IF(AND(OR(H52&lt;&gt;"",J52&lt;&gt;""),OR(L52="Pending",L52=""),C52&lt;&gt;""),C52+3,"")</f>
        <v/>
      </c>
      <c r="T52" s="79">
        <f>IF(S52="","",IF(AsOf&gt;S52,1,2))</f>
        <v/>
      </c>
      <c r="U52" s="79">
        <f>IF(T52="","","Decide on change order "&amp;B52&amp;": "&amp;H52&amp;" (+"&amp;CurSym&amp;" "&amp;FIXED(IF(J52="",0,J52),0)&amp;")")</f>
        <v/>
      </c>
    </row>
    <row r="53" ht="24" customHeight="1">
      <c r="B53" s="74" t="n"/>
      <c r="C53" s="108" t="n"/>
      <c r="D53" s="72" t="n"/>
      <c r="E53" s="72" t="n"/>
      <c r="F53" s="72" t="n"/>
      <c r="G53" s="72" t="n"/>
      <c r="H53" s="112" t="n"/>
      <c r="I53" s="72" t="n"/>
      <c r="J53" s="73" t="n"/>
      <c r="K53" s="89" t="n"/>
      <c r="L53" s="74" t="n"/>
      <c r="M53" s="108" t="n"/>
      <c r="N53" s="68">
        <f>IF(AND(H53="",J53=""),"",ForecastTotal+IF(L53="Approved",0,IF(J53="",0,J53)))</f>
        <v/>
      </c>
      <c r="O53" s="75">
        <f>IF(N53="","",ContAmt-MAX(0,N53-WorkBudget))</f>
        <v/>
      </c>
      <c r="P53" s="120">
        <f>IF(OR(N53="",ForecastEnd=""),"",ForecastEnd+IF(L53="Approved",0,IF(K53="",0,K53)))</f>
        <v/>
      </c>
      <c r="Q53" s="121">
        <f>IF(OR(N53="",WorkBudget=0),"",N53/WorkBudget-1)</f>
        <v/>
      </c>
      <c r="R53" s="79">
        <f>IF(N53="","",IF(N53&lt;=WorkBudget,0,IF(N53&lt;=TotalBudget,1,2)))</f>
        <v/>
      </c>
      <c r="S53" s="111">
        <f>IF(AND(OR(H53&lt;&gt;"",J53&lt;&gt;""),OR(L53="Pending",L53=""),C53&lt;&gt;""),C53+3,"")</f>
        <v/>
      </c>
      <c r="T53" s="79">
        <f>IF(S53="","",IF(AsOf&gt;S53,1,2))</f>
        <v/>
      </c>
      <c r="U53" s="79">
        <f>IF(T53="","","Decide on change order "&amp;B53&amp;": "&amp;H53&amp;" (+"&amp;CurSym&amp;" "&amp;FIXED(IF(J53="",0,J53),0)&amp;")")</f>
        <v/>
      </c>
    </row>
    <row r="54" ht="24" customHeight="1">
      <c r="B54" s="74" t="n"/>
      <c r="C54" s="108" t="n"/>
      <c r="D54" s="72" t="n"/>
      <c r="E54" s="72" t="n"/>
      <c r="F54" s="72" t="n"/>
      <c r="G54" s="72" t="n"/>
      <c r="H54" s="112" t="n"/>
      <c r="I54" s="72" t="n"/>
      <c r="J54" s="73" t="n"/>
      <c r="K54" s="89" t="n"/>
      <c r="L54" s="74" t="n"/>
      <c r="M54" s="108" t="n"/>
      <c r="N54" s="68">
        <f>IF(AND(H54="",J54=""),"",ForecastTotal+IF(L54="Approved",0,IF(J54="",0,J54)))</f>
        <v/>
      </c>
      <c r="O54" s="75">
        <f>IF(N54="","",ContAmt-MAX(0,N54-WorkBudget))</f>
        <v/>
      </c>
      <c r="P54" s="120">
        <f>IF(OR(N54="",ForecastEnd=""),"",ForecastEnd+IF(L54="Approved",0,IF(K54="",0,K54)))</f>
        <v/>
      </c>
      <c r="Q54" s="121">
        <f>IF(OR(N54="",WorkBudget=0),"",N54/WorkBudget-1)</f>
        <v/>
      </c>
      <c r="R54" s="79">
        <f>IF(N54="","",IF(N54&lt;=WorkBudget,0,IF(N54&lt;=TotalBudget,1,2)))</f>
        <v/>
      </c>
      <c r="S54" s="111">
        <f>IF(AND(OR(H54&lt;&gt;"",J54&lt;&gt;""),OR(L54="Pending",L54=""),C54&lt;&gt;""),C54+3,"")</f>
        <v/>
      </c>
      <c r="T54" s="79">
        <f>IF(S54="","",IF(AsOf&gt;S54,1,2))</f>
        <v/>
      </c>
      <c r="U54" s="79">
        <f>IF(T54="","","Decide on change order "&amp;B54&amp;": "&amp;H54&amp;" (+"&amp;CurSym&amp;" "&amp;FIXED(IF(J54="",0,J54),0)&amp;")")</f>
        <v/>
      </c>
    </row>
    <row r="55" ht="24" customHeight="1">
      <c r="B55" s="74" t="n"/>
      <c r="C55" s="108" t="n"/>
      <c r="D55" s="72" t="n"/>
      <c r="E55" s="72" t="n"/>
      <c r="F55" s="72" t="n"/>
      <c r="G55" s="72" t="n"/>
      <c r="H55" s="112" t="n"/>
      <c r="I55" s="72" t="n"/>
      <c r="J55" s="73" t="n"/>
      <c r="K55" s="89" t="n"/>
      <c r="L55" s="74" t="n"/>
      <c r="M55" s="108" t="n"/>
      <c r="N55" s="68">
        <f>IF(AND(H55="",J55=""),"",ForecastTotal+IF(L55="Approved",0,IF(J55="",0,J55)))</f>
        <v/>
      </c>
      <c r="O55" s="75">
        <f>IF(N55="","",ContAmt-MAX(0,N55-WorkBudget))</f>
        <v/>
      </c>
      <c r="P55" s="120">
        <f>IF(OR(N55="",ForecastEnd=""),"",ForecastEnd+IF(L55="Approved",0,IF(K55="",0,K55)))</f>
        <v/>
      </c>
      <c r="Q55" s="121">
        <f>IF(OR(N55="",WorkBudget=0),"",N55/WorkBudget-1)</f>
        <v/>
      </c>
      <c r="R55" s="79">
        <f>IF(N55="","",IF(N55&lt;=WorkBudget,0,IF(N55&lt;=TotalBudget,1,2)))</f>
        <v/>
      </c>
      <c r="S55" s="111">
        <f>IF(AND(OR(H55&lt;&gt;"",J55&lt;&gt;""),OR(L55="Pending",L55=""),C55&lt;&gt;""),C55+3,"")</f>
        <v/>
      </c>
      <c r="T55" s="79">
        <f>IF(S55="","",IF(AsOf&gt;S55,1,2))</f>
        <v/>
      </c>
      <c r="U55" s="79">
        <f>IF(T55="","","Decide on change order "&amp;B55&amp;": "&amp;H55&amp;" (+"&amp;CurSym&amp;" "&amp;FIXED(IF(J55="",0,J55),0)&amp;")")</f>
        <v/>
      </c>
    </row>
    <row r="56" ht="24" customHeight="1">
      <c r="B56" s="74" t="n"/>
      <c r="C56" s="108" t="n"/>
      <c r="D56" s="72" t="n"/>
      <c r="E56" s="72" t="n"/>
      <c r="F56" s="72" t="n"/>
      <c r="G56" s="72" t="n"/>
      <c r="H56" s="112" t="n"/>
      <c r="I56" s="72" t="n"/>
      <c r="J56" s="73" t="n"/>
      <c r="K56" s="89" t="n"/>
      <c r="L56" s="74" t="n"/>
      <c r="M56" s="108" t="n"/>
      <c r="N56" s="68">
        <f>IF(AND(H56="",J56=""),"",ForecastTotal+IF(L56="Approved",0,IF(J56="",0,J56)))</f>
        <v/>
      </c>
      <c r="O56" s="75">
        <f>IF(N56="","",ContAmt-MAX(0,N56-WorkBudget))</f>
        <v/>
      </c>
      <c r="P56" s="120">
        <f>IF(OR(N56="",ForecastEnd=""),"",ForecastEnd+IF(L56="Approved",0,IF(K56="",0,K56)))</f>
        <v/>
      </c>
      <c r="Q56" s="121">
        <f>IF(OR(N56="",WorkBudget=0),"",N56/WorkBudget-1)</f>
        <v/>
      </c>
      <c r="R56" s="79">
        <f>IF(N56="","",IF(N56&lt;=WorkBudget,0,IF(N56&lt;=TotalBudget,1,2)))</f>
        <v/>
      </c>
      <c r="S56" s="111">
        <f>IF(AND(OR(H56&lt;&gt;"",J56&lt;&gt;""),OR(L56="Pending",L56=""),C56&lt;&gt;""),C56+3,"")</f>
        <v/>
      </c>
      <c r="T56" s="79">
        <f>IF(S56="","",IF(AsOf&gt;S56,1,2))</f>
        <v/>
      </c>
      <c r="U56" s="79">
        <f>IF(T56="","","Decide on change order "&amp;B56&amp;": "&amp;H56&amp;" (+"&amp;CurSym&amp;" "&amp;FIXED(IF(J56="",0,J56),0)&amp;")")</f>
        <v/>
      </c>
    </row>
    <row r="57" ht="24" customHeight="1">
      <c r="B57" s="74" t="n"/>
      <c r="C57" s="108" t="n"/>
      <c r="D57" s="72" t="n"/>
      <c r="E57" s="72" t="n"/>
      <c r="F57" s="72" t="n"/>
      <c r="G57" s="72" t="n"/>
      <c r="H57" s="112" t="n"/>
      <c r="I57" s="72" t="n"/>
      <c r="J57" s="73" t="n"/>
      <c r="K57" s="89" t="n"/>
      <c r="L57" s="74" t="n"/>
      <c r="M57" s="108" t="n"/>
      <c r="N57" s="68">
        <f>IF(AND(H57="",J57=""),"",ForecastTotal+IF(L57="Approved",0,IF(J57="",0,J57)))</f>
        <v/>
      </c>
      <c r="O57" s="75">
        <f>IF(N57="","",ContAmt-MAX(0,N57-WorkBudget))</f>
        <v/>
      </c>
      <c r="P57" s="120">
        <f>IF(OR(N57="",ForecastEnd=""),"",ForecastEnd+IF(L57="Approved",0,IF(K57="",0,K57)))</f>
        <v/>
      </c>
      <c r="Q57" s="121">
        <f>IF(OR(N57="",WorkBudget=0),"",N57/WorkBudget-1)</f>
        <v/>
      </c>
      <c r="R57" s="79">
        <f>IF(N57="","",IF(N57&lt;=WorkBudget,0,IF(N57&lt;=TotalBudget,1,2)))</f>
        <v/>
      </c>
      <c r="S57" s="111">
        <f>IF(AND(OR(H57&lt;&gt;"",J57&lt;&gt;""),OR(L57="Pending",L57=""),C57&lt;&gt;""),C57+3,"")</f>
        <v/>
      </c>
      <c r="T57" s="79">
        <f>IF(S57="","",IF(AsOf&gt;S57,1,2))</f>
        <v/>
      </c>
      <c r="U57" s="79">
        <f>IF(T57="","","Decide on change order "&amp;B57&amp;": "&amp;H57&amp;" (+"&amp;CurSym&amp;" "&amp;FIXED(IF(J57="",0,J57),0)&amp;")")</f>
        <v/>
      </c>
    </row>
    <row r="58" ht="24" customHeight="1">
      <c r="B58" s="74" t="n"/>
      <c r="C58" s="108" t="n"/>
      <c r="D58" s="72" t="n"/>
      <c r="E58" s="72" t="n"/>
      <c r="F58" s="72" t="n"/>
      <c r="G58" s="72" t="n"/>
      <c r="H58" s="112" t="n"/>
      <c r="I58" s="72" t="n"/>
      <c r="J58" s="73" t="n"/>
      <c r="K58" s="89" t="n"/>
      <c r="L58" s="74" t="n"/>
      <c r="M58" s="108" t="n"/>
      <c r="N58" s="68">
        <f>IF(AND(H58="",J58=""),"",ForecastTotal+IF(L58="Approved",0,IF(J58="",0,J58)))</f>
        <v/>
      </c>
      <c r="O58" s="75">
        <f>IF(N58="","",ContAmt-MAX(0,N58-WorkBudget))</f>
        <v/>
      </c>
      <c r="P58" s="120">
        <f>IF(OR(N58="",ForecastEnd=""),"",ForecastEnd+IF(L58="Approved",0,IF(K58="",0,K58)))</f>
        <v/>
      </c>
      <c r="Q58" s="121">
        <f>IF(OR(N58="",WorkBudget=0),"",N58/WorkBudget-1)</f>
        <v/>
      </c>
      <c r="R58" s="79">
        <f>IF(N58="","",IF(N58&lt;=WorkBudget,0,IF(N58&lt;=TotalBudget,1,2)))</f>
        <v/>
      </c>
      <c r="S58" s="111">
        <f>IF(AND(OR(H58&lt;&gt;"",J58&lt;&gt;""),OR(L58="Pending",L58=""),C58&lt;&gt;""),C58+3,"")</f>
        <v/>
      </c>
      <c r="T58" s="79">
        <f>IF(S58="","",IF(AsOf&gt;S58,1,2))</f>
        <v/>
      </c>
      <c r="U58" s="79">
        <f>IF(T58="","","Decide on change order "&amp;B58&amp;": "&amp;H58&amp;" (+"&amp;CurSym&amp;" "&amp;FIXED(IF(J58="",0,J58),0)&amp;")")</f>
        <v/>
      </c>
    </row>
    <row r="59" ht="24" customHeight="1">
      <c r="B59" s="74" t="n"/>
      <c r="C59" s="108" t="n"/>
      <c r="D59" s="72" t="n"/>
      <c r="E59" s="72" t="n"/>
      <c r="F59" s="72" t="n"/>
      <c r="G59" s="72" t="n"/>
      <c r="H59" s="112" t="n"/>
      <c r="I59" s="72" t="n"/>
      <c r="J59" s="73" t="n"/>
      <c r="K59" s="89" t="n"/>
      <c r="L59" s="74" t="n"/>
      <c r="M59" s="108" t="n"/>
      <c r="N59" s="68">
        <f>IF(AND(H59="",J59=""),"",ForecastTotal+IF(L59="Approved",0,IF(J59="",0,J59)))</f>
        <v/>
      </c>
      <c r="O59" s="75">
        <f>IF(N59="","",ContAmt-MAX(0,N59-WorkBudget))</f>
        <v/>
      </c>
      <c r="P59" s="120">
        <f>IF(OR(N59="",ForecastEnd=""),"",ForecastEnd+IF(L59="Approved",0,IF(K59="",0,K59)))</f>
        <v/>
      </c>
      <c r="Q59" s="121">
        <f>IF(OR(N59="",WorkBudget=0),"",N59/WorkBudget-1)</f>
        <v/>
      </c>
      <c r="R59" s="79">
        <f>IF(N59="","",IF(N59&lt;=WorkBudget,0,IF(N59&lt;=TotalBudget,1,2)))</f>
        <v/>
      </c>
      <c r="S59" s="111">
        <f>IF(AND(OR(H59&lt;&gt;"",J59&lt;&gt;""),OR(L59="Pending",L59=""),C59&lt;&gt;""),C59+3,"")</f>
        <v/>
      </c>
      <c r="T59" s="79">
        <f>IF(S59="","",IF(AsOf&gt;S59,1,2))</f>
        <v/>
      </c>
      <c r="U59" s="79">
        <f>IF(T59="","","Decide on change order "&amp;B59&amp;": "&amp;H59&amp;" (+"&amp;CurSym&amp;" "&amp;FIXED(IF(J59="",0,J59),0)&amp;")")</f>
        <v/>
      </c>
    </row>
    <row r="60" ht="24" customHeight="1">
      <c r="B60" s="74" t="n"/>
      <c r="C60" s="108" t="n"/>
      <c r="D60" s="72" t="n"/>
      <c r="E60" s="72" t="n"/>
      <c r="F60" s="72" t="n"/>
      <c r="G60" s="72" t="n"/>
      <c r="H60" s="112" t="n"/>
      <c r="I60" s="72" t="n"/>
      <c r="J60" s="73" t="n"/>
      <c r="K60" s="89" t="n"/>
      <c r="L60" s="74" t="n"/>
      <c r="M60" s="108" t="n"/>
      <c r="N60" s="68">
        <f>IF(AND(H60="",J60=""),"",ForecastTotal+IF(L60="Approved",0,IF(J60="",0,J60)))</f>
        <v/>
      </c>
      <c r="O60" s="75">
        <f>IF(N60="","",ContAmt-MAX(0,N60-WorkBudget))</f>
        <v/>
      </c>
      <c r="P60" s="120">
        <f>IF(OR(N60="",ForecastEnd=""),"",ForecastEnd+IF(L60="Approved",0,IF(K60="",0,K60)))</f>
        <v/>
      </c>
      <c r="Q60" s="121">
        <f>IF(OR(N60="",WorkBudget=0),"",N60/WorkBudget-1)</f>
        <v/>
      </c>
      <c r="R60" s="79">
        <f>IF(N60="","",IF(N60&lt;=WorkBudget,0,IF(N60&lt;=TotalBudget,1,2)))</f>
        <v/>
      </c>
      <c r="S60" s="111">
        <f>IF(AND(OR(H60&lt;&gt;"",J60&lt;&gt;""),OR(L60="Pending",L60=""),C60&lt;&gt;""),C60+3,"")</f>
        <v/>
      </c>
      <c r="T60" s="79">
        <f>IF(S60="","",IF(AsOf&gt;S60,1,2))</f>
        <v/>
      </c>
      <c r="U60" s="79">
        <f>IF(T60="","","Decide on change order "&amp;B60&amp;": "&amp;H60&amp;" (+"&amp;CurSym&amp;" "&amp;FIXED(IF(J60="",0,J60),0)&amp;")")</f>
        <v/>
      </c>
    </row>
    <row r="61" ht="24" customHeight="1">
      <c r="B61" s="74" t="n"/>
      <c r="C61" s="108" t="n"/>
      <c r="D61" s="72" t="n"/>
      <c r="E61" s="72" t="n"/>
      <c r="F61" s="72" t="n"/>
      <c r="G61" s="72" t="n"/>
      <c r="H61" s="112" t="n"/>
      <c r="I61" s="72" t="n"/>
      <c r="J61" s="73" t="n"/>
      <c r="K61" s="89" t="n"/>
      <c r="L61" s="74" t="n"/>
      <c r="M61" s="108" t="n"/>
      <c r="N61" s="68">
        <f>IF(AND(H61="",J61=""),"",ForecastTotal+IF(L61="Approved",0,IF(J61="",0,J61)))</f>
        <v/>
      </c>
      <c r="O61" s="75">
        <f>IF(N61="","",ContAmt-MAX(0,N61-WorkBudget))</f>
        <v/>
      </c>
      <c r="P61" s="120">
        <f>IF(OR(N61="",ForecastEnd=""),"",ForecastEnd+IF(L61="Approved",0,IF(K61="",0,K61)))</f>
        <v/>
      </c>
      <c r="Q61" s="121">
        <f>IF(OR(N61="",WorkBudget=0),"",N61/WorkBudget-1)</f>
        <v/>
      </c>
      <c r="R61" s="79">
        <f>IF(N61="","",IF(N61&lt;=WorkBudget,0,IF(N61&lt;=TotalBudget,1,2)))</f>
        <v/>
      </c>
      <c r="S61" s="111">
        <f>IF(AND(OR(H61&lt;&gt;"",J61&lt;&gt;""),OR(L61="Pending",L61=""),C61&lt;&gt;""),C61+3,"")</f>
        <v/>
      </c>
      <c r="T61" s="79">
        <f>IF(S61="","",IF(AsOf&gt;S61,1,2))</f>
        <v/>
      </c>
      <c r="U61" s="79">
        <f>IF(T61="","","Decide on change order "&amp;B61&amp;": "&amp;H61&amp;" (+"&amp;CurSym&amp;" "&amp;FIXED(IF(J61="",0,J61),0)&amp;")")</f>
        <v/>
      </c>
    </row>
    <row r="62" ht="24" customHeight="1">
      <c r="B62" s="74" t="n"/>
      <c r="C62" s="108" t="n"/>
      <c r="D62" s="72" t="n"/>
      <c r="E62" s="72" t="n"/>
      <c r="F62" s="72" t="n"/>
      <c r="G62" s="72" t="n"/>
      <c r="H62" s="112" t="n"/>
      <c r="I62" s="72" t="n"/>
      <c r="J62" s="73" t="n"/>
      <c r="K62" s="89" t="n"/>
      <c r="L62" s="74" t="n"/>
      <c r="M62" s="108" t="n"/>
      <c r="N62" s="68">
        <f>IF(AND(H62="",J62=""),"",ForecastTotal+IF(L62="Approved",0,IF(J62="",0,J62)))</f>
        <v/>
      </c>
      <c r="O62" s="75">
        <f>IF(N62="","",ContAmt-MAX(0,N62-WorkBudget))</f>
        <v/>
      </c>
      <c r="P62" s="120">
        <f>IF(OR(N62="",ForecastEnd=""),"",ForecastEnd+IF(L62="Approved",0,IF(K62="",0,K62)))</f>
        <v/>
      </c>
      <c r="Q62" s="121">
        <f>IF(OR(N62="",WorkBudget=0),"",N62/WorkBudget-1)</f>
        <v/>
      </c>
      <c r="R62" s="79">
        <f>IF(N62="","",IF(N62&lt;=WorkBudget,0,IF(N62&lt;=TotalBudget,1,2)))</f>
        <v/>
      </c>
      <c r="S62" s="111">
        <f>IF(AND(OR(H62&lt;&gt;"",J62&lt;&gt;""),OR(L62="Pending",L62=""),C62&lt;&gt;""),C62+3,"")</f>
        <v/>
      </c>
      <c r="T62" s="79">
        <f>IF(S62="","",IF(AsOf&gt;S62,1,2))</f>
        <v/>
      </c>
      <c r="U62" s="79">
        <f>IF(T62="","","Decide on change order "&amp;B62&amp;": "&amp;H62&amp;" (+"&amp;CurSym&amp;" "&amp;FIXED(IF(J62="",0,J62),0)&amp;")")</f>
        <v/>
      </c>
    </row>
    <row r="63" ht="24" customHeight="1">
      <c r="B63" s="74" t="n"/>
      <c r="C63" s="108" t="n"/>
      <c r="D63" s="72" t="n"/>
      <c r="E63" s="72" t="n"/>
      <c r="F63" s="72" t="n"/>
      <c r="G63" s="72" t="n"/>
      <c r="H63" s="112" t="n"/>
      <c r="I63" s="72" t="n"/>
      <c r="J63" s="73" t="n"/>
      <c r="K63" s="89" t="n"/>
      <c r="L63" s="74" t="n"/>
      <c r="M63" s="108" t="n"/>
      <c r="N63" s="68">
        <f>IF(AND(H63="",J63=""),"",ForecastTotal+IF(L63="Approved",0,IF(J63="",0,J63)))</f>
        <v/>
      </c>
      <c r="O63" s="75">
        <f>IF(N63="","",ContAmt-MAX(0,N63-WorkBudget))</f>
        <v/>
      </c>
      <c r="P63" s="120">
        <f>IF(OR(N63="",ForecastEnd=""),"",ForecastEnd+IF(L63="Approved",0,IF(K63="",0,K63)))</f>
        <v/>
      </c>
      <c r="Q63" s="121">
        <f>IF(OR(N63="",WorkBudget=0),"",N63/WorkBudget-1)</f>
        <v/>
      </c>
      <c r="R63" s="79">
        <f>IF(N63="","",IF(N63&lt;=WorkBudget,0,IF(N63&lt;=TotalBudget,1,2)))</f>
        <v/>
      </c>
      <c r="S63" s="111">
        <f>IF(AND(OR(H63&lt;&gt;"",J63&lt;&gt;""),OR(L63="Pending",L63=""),C63&lt;&gt;""),C63+3,"")</f>
        <v/>
      </c>
      <c r="T63" s="79">
        <f>IF(S63="","",IF(AsOf&gt;S63,1,2))</f>
        <v/>
      </c>
      <c r="U63" s="79">
        <f>IF(T63="","","Decide on change order "&amp;B63&amp;": "&amp;H63&amp;" (+"&amp;CurSym&amp;" "&amp;FIXED(IF(J63="",0,J63),0)&amp;")")</f>
        <v/>
      </c>
    </row>
    <row r="64" ht="24" customHeight="1">
      <c r="B64" s="74" t="n"/>
      <c r="C64" s="108" t="n"/>
      <c r="D64" s="72" t="n"/>
      <c r="E64" s="72" t="n"/>
      <c r="F64" s="72" t="n"/>
      <c r="G64" s="72" t="n"/>
      <c r="H64" s="112" t="n"/>
      <c r="I64" s="72" t="n"/>
      <c r="J64" s="73" t="n"/>
      <c r="K64" s="89" t="n"/>
      <c r="L64" s="74" t="n"/>
      <c r="M64" s="108" t="n"/>
      <c r="N64" s="68">
        <f>IF(AND(H64="",J64=""),"",ForecastTotal+IF(L64="Approved",0,IF(J64="",0,J64)))</f>
        <v/>
      </c>
      <c r="O64" s="75">
        <f>IF(N64="","",ContAmt-MAX(0,N64-WorkBudget))</f>
        <v/>
      </c>
      <c r="P64" s="120">
        <f>IF(OR(N64="",ForecastEnd=""),"",ForecastEnd+IF(L64="Approved",0,IF(K64="",0,K64)))</f>
        <v/>
      </c>
      <c r="Q64" s="121">
        <f>IF(OR(N64="",WorkBudget=0),"",N64/WorkBudget-1)</f>
        <v/>
      </c>
      <c r="R64" s="79">
        <f>IF(N64="","",IF(N64&lt;=WorkBudget,0,IF(N64&lt;=TotalBudget,1,2)))</f>
        <v/>
      </c>
      <c r="S64" s="111">
        <f>IF(AND(OR(H64&lt;&gt;"",J64&lt;&gt;""),OR(L64="Pending",L64=""),C64&lt;&gt;""),C64+3,"")</f>
        <v/>
      </c>
      <c r="T64" s="79">
        <f>IF(S64="","",IF(AsOf&gt;S64,1,2))</f>
        <v/>
      </c>
      <c r="U64" s="79">
        <f>IF(T64="","","Decide on change order "&amp;B64&amp;": "&amp;H64&amp;" (+"&amp;CurSym&amp;" "&amp;FIXED(IF(J64="",0,J64),0)&amp;")")</f>
        <v/>
      </c>
    </row>
    <row r="65" ht="24" customHeight="1">
      <c r="B65" s="74" t="n"/>
      <c r="C65" s="108" t="n"/>
      <c r="D65" s="72" t="n"/>
      <c r="E65" s="72" t="n"/>
      <c r="F65" s="72" t="n"/>
      <c r="G65" s="72" t="n"/>
      <c r="H65" s="112" t="n"/>
      <c r="I65" s="72" t="n"/>
      <c r="J65" s="73" t="n"/>
      <c r="K65" s="89" t="n"/>
      <c r="L65" s="74" t="n"/>
      <c r="M65" s="108" t="n"/>
      <c r="N65" s="68">
        <f>IF(AND(H65="",J65=""),"",ForecastTotal+IF(L65="Approved",0,IF(J65="",0,J65)))</f>
        <v/>
      </c>
      <c r="O65" s="75">
        <f>IF(N65="","",ContAmt-MAX(0,N65-WorkBudget))</f>
        <v/>
      </c>
      <c r="P65" s="120">
        <f>IF(OR(N65="",ForecastEnd=""),"",ForecastEnd+IF(L65="Approved",0,IF(K65="",0,K65)))</f>
        <v/>
      </c>
      <c r="Q65" s="121">
        <f>IF(OR(N65="",WorkBudget=0),"",N65/WorkBudget-1)</f>
        <v/>
      </c>
      <c r="R65" s="79">
        <f>IF(N65="","",IF(N65&lt;=WorkBudget,0,IF(N65&lt;=TotalBudget,1,2)))</f>
        <v/>
      </c>
      <c r="S65" s="111">
        <f>IF(AND(OR(H65&lt;&gt;"",J65&lt;&gt;""),OR(L65="Pending",L65=""),C65&lt;&gt;""),C65+3,"")</f>
        <v/>
      </c>
      <c r="T65" s="79">
        <f>IF(S65="","",IF(AsOf&gt;S65,1,2))</f>
        <v/>
      </c>
      <c r="U65" s="79">
        <f>IF(T65="","","Decide on change order "&amp;B65&amp;": "&amp;H65&amp;" (+"&amp;CurSym&amp;" "&amp;FIXED(IF(J65="",0,J65),0)&amp;")")</f>
        <v/>
      </c>
    </row>
    <row r="66" ht="24" customHeight="1">
      <c r="B66" s="74" t="n"/>
      <c r="C66" s="108" t="n"/>
      <c r="D66" s="72" t="n"/>
      <c r="E66" s="72" t="n"/>
      <c r="F66" s="72" t="n"/>
      <c r="G66" s="72" t="n"/>
      <c r="H66" s="112" t="n"/>
      <c r="I66" s="72" t="n"/>
      <c r="J66" s="73" t="n"/>
      <c r="K66" s="89" t="n"/>
      <c r="L66" s="74" t="n"/>
      <c r="M66" s="108" t="n"/>
      <c r="N66" s="68">
        <f>IF(AND(H66="",J66=""),"",ForecastTotal+IF(L66="Approved",0,IF(J66="",0,J66)))</f>
        <v/>
      </c>
      <c r="O66" s="75">
        <f>IF(N66="","",ContAmt-MAX(0,N66-WorkBudget))</f>
        <v/>
      </c>
      <c r="P66" s="120">
        <f>IF(OR(N66="",ForecastEnd=""),"",ForecastEnd+IF(L66="Approved",0,IF(K66="",0,K66)))</f>
        <v/>
      </c>
      <c r="Q66" s="121">
        <f>IF(OR(N66="",WorkBudget=0),"",N66/WorkBudget-1)</f>
        <v/>
      </c>
      <c r="R66" s="79">
        <f>IF(N66="","",IF(N66&lt;=WorkBudget,0,IF(N66&lt;=TotalBudget,1,2)))</f>
        <v/>
      </c>
      <c r="S66" s="111">
        <f>IF(AND(OR(H66&lt;&gt;"",J66&lt;&gt;""),OR(L66="Pending",L66=""),C66&lt;&gt;""),C66+3,"")</f>
        <v/>
      </c>
      <c r="T66" s="79">
        <f>IF(S66="","",IF(AsOf&gt;S66,1,2))</f>
        <v/>
      </c>
      <c r="U66" s="79">
        <f>IF(T66="","","Decide on change order "&amp;B66&amp;": "&amp;H66&amp;" (+"&amp;CurSym&amp;" "&amp;FIXED(IF(J66="",0,J66),0)&amp;")")</f>
        <v/>
      </c>
    </row>
    <row r="67" ht="24" customHeight="1">
      <c r="B67" s="74" t="n"/>
      <c r="C67" s="108" t="n"/>
      <c r="D67" s="72" t="n"/>
      <c r="E67" s="72" t="n"/>
      <c r="F67" s="72" t="n"/>
      <c r="G67" s="72" t="n"/>
      <c r="H67" s="112" t="n"/>
      <c r="I67" s="72" t="n"/>
      <c r="J67" s="73" t="n"/>
      <c r="K67" s="89" t="n"/>
      <c r="L67" s="74" t="n"/>
      <c r="M67" s="108" t="n"/>
      <c r="N67" s="68">
        <f>IF(AND(H67="",J67=""),"",ForecastTotal+IF(L67="Approved",0,IF(J67="",0,J67)))</f>
        <v/>
      </c>
      <c r="O67" s="75">
        <f>IF(N67="","",ContAmt-MAX(0,N67-WorkBudget))</f>
        <v/>
      </c>
      <c r="P67" s="120">
        <f>IF(OR(N67="",ForecastEnd=""),"",ForecastEnd+IF(L67="Approved",0,IF(K67="",0,K67)))</f>
        <v/>
      </c>
      <c r="Q67" s="121">
        <f>IF(OR(N67="",WorkBudget=0),"",N67/WorkBudget-1)</f>
        <v/>
      </c>
      <c r="R67" s="79">
        <f>IF(N67="","",IF(N67&lt;=WorkBudget,0,IF(N67&lt;=TotalBudget,1,2)))</f>
        <v/>
      </c>
      <c r="S67" s="111">
        <f>IF(AND(OR(H67&lt;&gt;"",J67&lt;&gt;""),OR(L67="Pending",L67=""),C67&lt;&gt;""),C67+3,"")</f>
        <v/>
      </c>
      <c r="T67" s="79">
        <f>IF(S67="","",IF(AsOf&gt;S67,1,2))</f>
        <v/>
      </c>
      <c r="U67" s="79">
        <f>IF(T67="","","Decide on change order "&amp;B67&amp;": "&amp;H67&amp;" (+"&amp;CurSym&amp;" "&amp;FIXED(IF(J67="",0,J67),0)&amp;")")</f>
        <v/>
      </c>
    </row>
    <row r="68" ht="24" customHeight="1">
      <c r="B68" s="74" t="n"/>
      <c r="C68" s="108" t="n"/>
      <c r="D68" s="72" t="n"/>
      <c r="E68" s="72" t="n"/>
      <c r="F68" s="72" t="n"/>
      <c r="G68" s="72" t="n"/>
      <c r="H68" s="112" t="n"/>
      <c r="I68" s="72" t="n"/>
      <c r="J68" s="73" t="n"/>
      <c r="K68" s="89" t="n"/>
      <c r="L68" s="74" t="n"/>
      <c r="M68" s="108" t="n"/>
      <c r="N68" s="68">
        <f>IF(AND(H68="",J68=""),"",ForecastTotal+IF(L68="Approved",0,IF(J68="",0,J68)))</f>
        <v/>
      </c>
      <c r="O68" s="75">
        <f>IF(N68="","",ContAmt-MAX(0,N68-WorkBudget))</f>
        <v/>
      </c>
      <c r="P68" s="120">
        <f>IF(OR(N68="",ForecastEnd=""),"",ForecastEnd+IF(L68="Approved",0,IF(K68="",0,K68)))</f>
        <v/>
      </c>
      <c r="Q68" s="121">
        <f>IF(OR(N68="",WorkBudget=0),"",N68/WorkBudget-1)</f>
        <v/>
      </c>
      <c r="R68" s="79">
        <f>IF(N68="","",IF(N68&lt;=WorkBudget,0,IF(N68&lt;=TotalBudget,1,2)))</f>
        <v/>
      </c>
      <c r="S68" s="111">
        <f>IF(AND(OR(H68&lt;&gt;"",J68&lt;&gt;""),OR(L68="Pending",L68=""),C68&lt;&gt;""),C68+3,"")</f>
        <v/>
      </c>
      <c r="T68" s="79">
        <f>IF(S68="","",IF(AsOf&gt;S68,1,2))</f>
        <v/>
      </c>
      <c r="U68" s="79">
        <f>IF(T68="","","Decide on change order "&amp;B68&amp;": "&amp;H68&amp;" (+"&amp;CurSym&amp;" "&amp;FIXED(IF(J68="",0,J68),0)&amp;")")</f>
        <v/>
      </c>
    </row>
    <row r="69" ht="24" customHeight="1">
      <c r="B69" s="74" t="n"/>
      <c r="C69" s="108" t="n"/>
      <c r="D69" s="72" t="n"/>
      <c r="E69" s="72" t="n"/>
      <c r="F69" s="72" t="n"/>
      <c r="G69" s="72" t="n"/>
      <c r="H69" s="112" t="n"/>
      <c r="I69" s="72" t="n"/>
      <c r="J69" s="73" t="n"/>
      <c r="K69" s="89" t="n"/>
      <c r="L69" s="74" t="n"/>
      <c r="M69" s="108" t="n"/>
      <c r="N69" s="68">
        <f>IF(AND(H69="",J69=""),"",ForecastTotal+IF(L69="Approved",0,IF(J69="",0,J69)))</f>
        <v/>
      </c>
      <c r="O69" s="75">
        <f>IF(N69="","",ContAmt-MAX(0,N69-WorkBudget))</f>
        <v/>
      </c>
      <c r="P69" s="120">
        <f>IF(OR(N69="",ForecastEnd=""),"",ForecastEnd+IF(L69="Approved",0,IF(K69="",0,K69)))</f>
        <v/>
      </c>
      <c r="Q69" s="121">
        <f>IF(OR(N69="",WorkBudget=0),"",N69/WorkBudget-1)</f>
        <v/>
      </c>
      <c r="R69" s="79">
        <f>IF(N69="","",IF(N69&lt;=WorkBudget,0,IF(N69&lt;=TotalBudget,1,2)))</f>
        <v/>
      </c>
      <c r="S69" s="111">
        <f>IF(AND(OR(H69&lt;&gt;"",J69&lt;&gt;""),OR(L69="Pending",L69=""),C69&lt;&gt;""),C69+3,"")</f>
        <v/>
      </c>
      <c r="T69" s="79">
        <f>IF(S69="","",IF(AsOf&gt;S69,1,2))</f>
        <v/>
      </c>
      <c r="U69" s="79">
        <f>IF(T69="","","Decide on change order "&amp;B69&amp;": "&amp;H69&amp;" (+"&amp;CurSym&amp;" "&amp;FIXED(IF(J69="",0,J69),0)&amp;")")</f>
        <v/>
      </c>
    </row>
    <row r="70" ht="24" customHeight="1">
      <c r="B70" s="74" t="n"/>
      <c r="C70" s="108" t="n"/>
      <c r="D70" s="72" t="n"/>
      <c r="E70" s="72" t="n"/>
      <c r="F70" s="72" t="n"/>
      <c r="G70" s="72" t="n"/>
      <c r="H70" s="112" t="n"/>
      <c r="I70" s="72" t="n"/>
      <c r="J70" s="73" t="n"/>
      <c r="K70" s="89" t="n"/>
      <c r="L70" s="74" t="n"/>
      <c r="M70" s="108" t="n"/>
      <c r="N70" s="68">
        <f>IF(AND(H70="",J70=""),"",ForecastTotal+IF(L70="Approved",0,IF(J70="",0,J70)))</f>
        <v/>
      </c>
      <c r="O70" s="75">
        <f>IF(N70="","",ContAmt-MAX(0,N70-WorkBudget))</f>
        <v/>
      </c>
      <c r="P70" s="120">
        <f>IF(OR(N70="",ForecastEnd=""),"",ForecastEnd+IF(L70="Approved",0,IF(K70="",0,K70)))</f>
        <v/>
      </c>
      <c r="Q70" s="121">
        <f>IF(OR(N70="",WorkBudget=0),"",N70/WorkBudget-1)</f>
        <v/>
      </c>
      <c r="R70" s="79">
        <f>IF(N70="","",IF(N70&lt;=WorkBudget,0,IF(N70&lt;=TotalBudget,1,2)))</f>
        <v/>
      </c>
      <c r="S70" s="111">
        <f>IF(AND(OR(H70&lt;&gt;"",J70&lt;&gt;""),OR(L70="Pending",L70=""),C70&lt;&gt;""),C70+3,"")</f>
        <v/>
      </c>
      <c r="T70" s="79">
        <f>IF(S70="","",IF(AsOf&gt;S70,1,2))</f>
        <v/>
      </c>
      <c r="U70" s="79">
        <f>IF(T70="","","Decide on change order "&amp;B70&amp;": "&amp;H70&amp;" (+"&amp;CurSym&amp;" "&amp;FIXED(IF(J70="",0,J70),0)&amp;")")</f>
        <v/>
      </c>
    </row>
    <row r="71" ht="24" customHeight="1">
      <c r="B71" s="74" t="n"/>
      <c r="C71" s="108" t="n"/>
      <c r="D71" s="72" t="n"/>
      <c r="E71" s="72" t="n"/>
      <c r="F71" s="72" t="n"/>
      <c r="G71" s="72" t="n"/>
      <c r="H71" s="112" t="n"/>
      <c r="I71" s="72" t="n"/>
      <c r="J71" s="73" t="n"/>
      <c r="K71" s="89" t="n"/>
      <c r="L71" s="74" t="n"/>
      <c r="M71" s="108" t="n"/>
      <c r="N71" s="68">
        <f>IF(AND(H71="",J71=""),"",ForecastTotal+IF(L71="Approved",0,IF(J71="",0,J71)))</f>
        <v/>
      </c>
      <c r="O71" s="75">
        <f>IF(N71="","",ContAmt-MAX(0,N71-WorkBudget))</f>
        <v/>
      </c>
      <c r="P71" s="120">
        <f>IF(OR(N71="",ForecastEnd=""),"",ForecastEnd+IF(L71="Approved",0,IF(K71="",0,K71)))</f>
        <v/>
      </c>
      <c r="Q71" s="121">
        <f>IF(OR(N71="",WorkBudget=0),"",N71/WorkBudget-1)</f>
        <v/>
      </c>
      <c r="R71" s="79">
        <f>IF(N71="","",IF(N71&lt;=WorkBudget,0,IF(N71&lt;=TotalBudget,1,2)))</f>
        <v/>
      </c>
      <c r="S71" s="111">
        <f>IF(AND(OR(H71&lt;&gt;"",J71&lt;&gt;""),OR(L71="Pending",L71=""),C71&lt;&gt;""),C71+3,"")</f>
        <v/>
      </c>
      <c r="T71" s="79">
        <f>IF(S71="","",IF(AsOf&gt;S71,1,2))</f>
        <v/>
      </c>
      <c r="U71" s="79">
        <f>IF(T71="","","Decide on change order "&amp;B71&amp;": "&amp;H71&amp;" (+"&amp;CurSym&amp;" "&amp;FIXED(IF(J71="",0,J71),0)&amp;")")</f>
        <v/>
      </c>
    </row>
    <row r="72" ht="24" customHeight="1">
      <c r="B72" s="74" t="n"/>
      <c r="C72" s="108" t="n"/>
      <c r="D72" s="72" t="n"/>
      <c r="E72" s="72" t="n"/>
      <c r="F72" s="72" t="n"/>
      <c r="G72" s="72" t="n"/>
      <c r="H72" s="112" t="n"/>
      <c r="I72" s="72" t="n"/>
      <c r="J72" s="73" t="n"/>
      <c r="K72" s="89" t="n"/>
      <c r="L72" s="74" t="n"/>
      <c r="M72" s="108" t="n"/>
      <c r="N72" s="68">
        <f>IF(AND(H72="",J72=""),"",ForecastTotal+IF(L72="Approved",0,IF(J72="",0,J72)))</f>
        <v/>
      </c>
      <c r="O72" s="75">
        <f>IF(N72="","",ContAmt-MAX(0,N72-WorkBudget))</f>
        <v/>
      </c>
      <c r="P72" s="120">
        <f>IF(OR(N72="",ForecastEnd=""),"",ForecastEnd+IF(L72="Approved",0,IF(K72="",0,K72)))</f>
        <v/>
      </c>
      <c r="Q72" s="121">
        <f>IF(OR(N72="",WorkBudget=0),"",N72/WorkBudget-1)</f>
        <v/>
      </c>
      <c r="R72" s="79">
        <f>IF(N72="","",IF(N72&lt;=WorkBudget,0,IF(N72&lt;=TotalBudget,1,2)))</f>
        <v/>
      </c>
      <c r="S72" s="111">
        <f>IF(AND(OR(H72&lt;&gt;"",J72&lt;&gt;""),OR(L72="Pending",L72=""),C72&lt;&gt;""),C72+3,"")</f>
        <v/>
      </c>
      <c r="T72" s="79">
        <f>IF(S72="","",IF(AsOf&gt;S72,1,2))</f>
        <v/>
      </c>
      <c r="U72" s="79">
        <f>IF(T72="","","Decide on change order "&amp;B72&amp;": "&amp;H72&amp;" (+"&amp;CurSym&amp;" "&amp;FIXED(IF(J72="",0,J72),0)&amp;")")</f>
        <v/>
      </c>
    </row>
    <row r="73" ht="24" customHeight="1">
      <c r="B73" s="74" t="n"/>
      <c r="C73" s="108" t="n"/>
      <c r="D73" s="72" t="n"/>
      <c r="E73" s="72" t="n"/>
      <c r="F73" s="72" t="n"/>
      <c r="G73" s="72" t="n"/>
      <c r="H73" s="112" t="n"/>
      <c r="I73" s="72" t="n"/>
      <c r="J73" s="73" t="n"/>
      <c r="K73" s="89" t="n"/>
      <c r="L73" s="74" t="n"/>
      <c r="M73" s="108" t="n"/>
      <c r="N73" s="68">
        <f>IF(AND(H73="",J73=""),"",ForecastTotal+IF(L73="Approved",0,IF(J73="",0,J73)))</f>
        <v/>
      </c>
      <c r="O73" s="75">
        <f>IF(N73="","",ContAmt-MAX(0,N73-WorkBudget))</f>
        <v/>
      </c>
      <c r="P73" s="120">
        <f>IF(OR(N73="",ForecastEnd=""),"",ForecastEnd+IF(L73="Approved",0,IF(K73="",0,K73)))</f>
        <v/>
      </c>
      <c r="Q73" s="121">
        <f>IF(OR(N73="",WorkBudget=0),"",N73/WorkBudget-1)</f>
        <v/>
      </c>
      <c r="R73" s="79">
        <f>IF(N73="","",IF(N73&lt;=WorkBudget,0,IF(N73&lt;=TotalBudget,1,2)))</f>
        <v/>
      </c>
      <c r="S73" s="111">
        <f>IF(AND(OR(H73&lt;&gt;"",J73&lt;&gt;""),OR(L73="Pending",L73=""),C73&lt;&gt;""),C73+3,"")</f>
        <v/>
      </c>
      <c r="T73" s="79">
        <f>IF(S73="","",IF(AsOf&gt;S73,1,2))</f>
        <v/>
      </c>
      <c r="U73" s="79">
        <f>IF(T73="","","Decide on change order "&amp;B73&amp;": "&amp;H73&amp;" (+"&amp;CurSym&amp;" "&amp;FIXED(IF(J73="",0,J73),0)&amp;")")</f>
        <v/>
      </c>
    </row>
    <row r="74" ht="24" customHeight="1">
      <c r="B74" s="74" t="n"/>
      <c r="C74" s="108" t="n"/>
      <c r="D74" s="72" t="n"/>
      <c r="E74" s="72" t="n"/>
      <c r="F74" s="72" t="n"/>
      <c r="G74" s="72" t="n"/>
      <c r="H74" s="112" t="n"/>
      <c r="I74" s="72" t="n"/>
      <c r="J74" s="73" t="n"/>
      <c r="K74" s="89" t="n"/>
      <c r="L74" s="74" t="n"/>
      <c r="M74" s="108" t="n"/>
      <c r="N74" s="68">
        <f>IF(AND(H74="",J74=""),"",ForecastTotal+IF(L74="Approved",0,IF(J74="",0,J74)))</f>
        <v/>
      </c>
      <c r="O74" s="75">
        <f>IF(N74="","",ContAmt-MAX(0,N74-WorkBudget))</f>
        <v/>
      </c>
      <c r="P74" s="120">
        <f>IF(OR(N74="",ForecastEnd=""),"",ForecastEnd+IF(L74="Approved",0,IF(K74="",0,K74)))</f>
        <v/>
      </c>
      <c r="Q74" s="121">
        <f>IF(OR(N74="",WorkBudget=0),"",N74/WorkBudget-1)</f>
        <v/>
      </c>
      <c r="R74" s="79">
        <f>IF(N74="","",IF(N74&lt;=WorkBudget,0,IF(N74&lt;=TotalBudget,1,2)))</f>
        <v/>
      </c>
      <c r="S74" s="111">
        <f>IF(AND(OR(H74&lt;&gt;"",J74&lt;&gt;""),OR(L74="Pending",L74=""),C74&lt;&gt;""),C74+3,"")</f>
        <v/>
      </c>
      <c r="T74" s="79">
        <f>IF(S74="","",IF(AsOf&gt;S74,1,2))</f>
        <v/>
      </c>
      <c r="U74" s="79">
        <f>IF(T74="","","Decide on change order "&amp;B74&amp;": "&amp;H74&amp;" (+"&amp;CurSym&amp;" "&amp;FIXED(IF(J74="",0,J74),0)&amp;")")</f>
        <v/>
      </c>
    </row>
    <row r="75" ht="24" customHeight="1">
      <c r="B75" s="74" t="n"/>
      <c r="C75" s="108" t="n"/>
      <c r="D75" s="72" t="n"/>
      <c r="E75" s="72" t="n"/>
      <c r="F75" s="72" t="n"/>
      <c r="G75" s="72" t="n"/>
      <c r="H75" s="112" t="n"/>
      <c r="I75" s="72" t="n"/>
      <c r="J75" s="73" t="n"/>
      <c r="K75" s="89" t="n"/>
      <c r="L75" s="74" t="n"/>
      <c r="M75" s="108" t="n"/>
      <c r="N75" s="68">
        <f>IF(AND(H75="",J75=""),"",ForecastTotal+IF(L75="Approved",0,IF(J75="",0,J75)))</f>
        <v/>
      </c>
      <c r="O75" s="75">
        <f>IF(N75="","",ContAmt-MAX(0,N75-WorkBudget))</f>
        <v/>
      </c>
      <c r="P75" s="120">
        <f>IF(OR(N75="",ForecastEnd=""),"",ForecastEnd+IF(L75="Approved",0,IF(K75="",0,K75)))</f>
        <v/>
      </c>
      <c r="Q75" s="121">
        <f>IF(OR(N75="",WorkBudget=0),"",N75/WorkBudget-1)</f>
        <v/>
      </c>
      <c r="R75" s="79">
        <f>IF(N75="","",IF(N75&lt;=WorkBudget,0,IF(N75&lt;=TotalBudget,1,2)))</f>
        <v/>
      </c>
      <c r="S75" s="111">
        <f>IF(AND(OR(H75&lt;&gt;"",J75&lt;&gt;""),OR(L75="Pending",L75=""),C75&lt;&gt;""),C75+3,"")</f>
        <v/>
      </c>
      <c r="T75" s="79">
        <f>IF(S75="","",IF(AsOf&gt;S75,1,2))</f>
        <v/>
      </c>
      <c r="U75" s="79">
        <f>IF(T75="","","Decide on change order "&amp;B75&amp;": "&amp;H75&amp;" (+"&amp;CurSym&amp;" "&amp;FIXED(IF(J75="",0,J75),0)&amp;")")</f>
        <v/>
      </c>
    </row>
    <row r="76" ht="24" customHeight="1">
      <c r="B76" s="74" t="n"/>
      <c r="C76" s="108" t="n"/>
      <c r="D76" s="72" t="n"/>
      <c r="E76" s="72" t="n"/>
      <c r="F76" s="72" t="n"/>
      <c r="G76" s="72" t="n"/>
      <c r="H76" s="112" t="n"/>
      <c r="I76" s="72" t="n"/>
      <c r="J76" s="73" t="n"/>
      <c r="K76" s="89" t="n"/>
      <c r="L76" s="74" t="n"/>
      <c r="M76" s="108" t="n"/>
      <c r="N76" s="68">
        <f>IF(AND(H76="",J76=""),"",ForecastTotal+IF(L76="Approved",0,IF(J76="",0,J76)))</f>
        <v/>
      </c>
      <c r="O76" s="75">
        <f>IF(N76="","",ContAmt-MAX(0,N76-WorkBudget))</f>
        <v/>
      </c>
      <c r="P76" s="120">
        <f>IF(OR(N76="",ForecastEnd=""),"",ForecastEnd+IF(L76="Approved",0,IF(K76="",0,K76)))</f>
        <v/>
      </c>
      <c r="Q76" s="121">
        <f>IF(OR(N76="",WorkBudget=0),"",N76/WorkBudget-1)</f>
        <v/>
      </c>
      <c r="R76" s="79">
        <f>IF(N76="","",IF(N76&lt;=WorkBudget,0,IF(N76&lt;=TotalBudget,1,2)))</f>
        <v/>
      </c>
      <c r="S76" s="111">
        <f>IF(AND(OR(H76&lt;&gt;"",J76&lt;&gt;""),OR(L76="Pending",L76=""),C76&lt;&gt;""),C76+3,"")</f>
        <v/>
      </c>
      <c r="T76" s="79">
        <f>IF(S76="","",IF(AsOf&gt;S76,1,2))</f>
        <v/>
      </c>
      <c r="U76" s="79">
        <f>IF(T76="","","Decide on change order "&amp;B76&amp;": "&amp;H76&amp;" (+"&amp;CurSym&amp;" "&amp;FIXED(IF(J76="",0,J76),0)&amp;")")</f>
        <v/>
      </c>
    </row>
    <row r="77" ht="24" customHeight="1">
      <c r="B77" s="74" t="n"/>
      <c r="C77" s="108" t="n"/>
      <c r="D77" s="72" t="n"/>
      <c r="E77" s="72" t="n"/>
      <c r="F77" s="72" t="n"/>
      <c r="G77" s="72" t="n"/>
      <c r="H77" s="112" t="n"/>
      <c r="I77" s="72" t="n"/>
      <c r="J77" s="73" t="n"/>
      <c r="K77" s="89" t="n"/>
      <c r="L77" s="74" t="n"/>
      <c r="M77" s="108" t="n"/>
      <c r="N77" s="68">
        <f>IF(AND(H77="",J77=""),"",ForecastTotal+IF(L77="Approved",0,IF(J77="",0,J77)))</f>
        <v/>
      </c>
      <c r="O77" s="75">
        <f>IF(N77="","",ContAmt-MAX(0,N77-WorkBudget))</f>
        <v/>
      </c>
      <c r="P77" s="120">
        <f>IF(OR(N77="",ForecastEnd=""),"",ForecastEnd+IF(L77="Approved",0,IF(K77="",0,K77)))</f>
        <v/>
      </c>
      <c r="Q77" s="121">
        <f>IF(OR(N77="",WorkBudget=0),"",N77/WorkBudget-1)</f>
        <v/>
      </c>
      <c r="R77" s="79">
        <f>IF(N77="","",IF(N77&lt;=WorkBudget,0,IF(N77&lt;=TotalBudget,1,2)))</f>
        <v/>
      </c>
      <c r="S77" s="111">
        <f>IF(AND(OR(H77&lt;&gt;"",J77&lt;&gt;""),OR(L77="Pending",L77=""),C77&lt;&gt;""),C77+3,"")</f>
        <v/>
      </c>
      <c r="T77" s="79">
        <f>IF(S77="","",IF(AsOf&gt;S77,1,2))</f>
        <v/>
      </c>
      <c r="U77" s="79">
        <f>IF(T77="","","Decide on change order "&amp;B77&amp;": "&amp;H77&amp;" (+"&amp;CurSym&amp;" "&amp;FIXED(IF(J77="",0,J77),0)&amp;")")</f>
        <v/>
      </c>
    </row>
    <row r="78" ht="24" customHeight="1">
      <c r="B78" s="74" t="n"/>
      <c r="C78" s="108" t="n"/>
      <c r="D78" s="72" t="n"/>
      <c r="E78" s="72" t="n"/>
      <c r="F78" s="72" t="n"/>
      <c r="G78" s="72" t="n"/>
      <c r="H78" s="112" t="n"/>
      <c r="I78" s="72" t="n"/>
      <c r="J78" s="73" t="n"/>
      <c r="K78" s="89" t="n"/>
      <c r="L78" s="74" t="n"/>
      <c r="M78" s="108" t="n"/>
      <c r="N78" s="68">
        <f>IF(AND(H78="",J78=""),"",ForecastTotal+IF(L78="Approved",0,IF(J78="",0,J78)))</f>
        <v/>
      </c>
      <c r="O78" s="75">
        <f>IF(N78="","",ContAmt-MAX(0,N78-WorkBudget))</f>
        <v/>
      </c>
      <c r="P78" s="120">
        <f>IF(OR(N78="",ForecastEnd=""),"",ForecastEnd+IF(L78="Approved",0,IF(K78="",0,K78)))</f>
        <v/>
      </c>
      <c r="Q78" s="121">
        <f>IF(OR(N78="",WorkBudget=0),"",N78/WorkBudget-1)</f>
        <v/>
      </c>
      <c r="R78" s="79">
        <f>IF(N78="","",IF(N78&lt;=WorkBudget,0,IF(N78&lt;=TotalBudget,1,2)))</f>
        <v/>
      </c>
      <c r="S78" s="111">
        <f>IF(AND(OR(H78&lt;&gt;"",J78&lt;&gt;""),OR(L78="Pending",L78=""),C78&lt;&gt;""),C78+3,"")</f>
        <v/>
      </c>
      <c r="T78" s="79">
        <f>IF(S78="","",IF(AsOf&gt;S78,1,2))</f>
        <v/>
      </c>
      <c r="U78" s="79">
        <f>IF(T78="","","Decide on change order "&amp;B78&amp;": "&amp;H78&amp;" (+"&amp;CurSym&amp;" "&amp;FIXED(IF(J78="",0,J78),0)&amp;")")</f>
        <v/>
      </c>
    </row>
    <row r="79" ht="24" customHeight="1">
      <c r="B79" s="74" t="n"/>
      <c r="C79" s="108" t="n"/>
      <c r="D79" s="72" t="n"/>
      <c r="E79" s="72" t="n"/>
      <c r="F79" s="72" t="n"/>
      <c r="G79" s="72" t="n"/>
      <c r="H79" s="112" t="n"/>
      <c r="I79" s="72" t="n"/>
      <c r="J79" s="73" t="n"/>
      <c r="K79" s="89" t="n"/>
      <c r="L79" s="74" t="n"/>
      <c r="M79" s="108" t="n"/>
      <c r="N79" s="68">
        <f>IF(AND(H79="",J79=""),"",ForecastTotal+IF(L79="Approved",0,IF(J79="",0,J79)))</f>
        <v/>
      </c>
      <c r="O79" s="75">
        <f>IF(N79="","",ContAmt-MAX(0,N79-WorkBudget))</f>
        <v/>
      </c>
      <c r="P79" s="120">
        <f>IF(OR(N79="",ForecastEnd=""),"",ForecastEnd+IF(L79="Approved",0,IF(K79="",0,K79)))</f>
        <v/>
      </c>
      <c r="Q79" s="121">
        <f>IF(OR(N79="",WorkBudget=0),"",N79/WorkBudget-1)</f>
        <v/>
      </c>
      <c r="R79" s="79">
        <f>IF(N79="","",IF(N79&lt;=WorkBudget,0,IF(N79&lt;=TotalBudget,1,2)))</f>
        <v/>
      </c>
      <c r="S79" s="111">
        <f>IF(AND(OR(H79&lt;&gt;"",J79&lt;&gt;""),OR(L79="Pending",L79=""),C79&lt;&gt;""),C79+3,"")</f>
        <v/>
      </c>
      <c r="T79" s="79">
        <f>IF(S79="","",IF(AsOf&gt;S79,1,2))</f>
        <v/>
      </c>
      <c r="U79" s="79">
        <f>IF(T79="","","Decide on change order "&amp;B79&amp;": "&amp;H79&amp;" (+"&amp;CurSym&amp;" "&amp;FIXED(IF(J79="",0,J79),0)&amp;")")</f>
        <v/>
      </c>
    </row>
    <row r="80" ht="24" customHeight="1">
      <c r="B80" s="74" t="n"/>
      <c r="C80" s="108" t="n"/>
      <c r="D80" s="72" t="n"/>
      <c r="E80" s="72" t="n"/>
      <c r="F80" s="72" t="n"/>
      <c r="G80" s="72" t="n"/>
      <c r="H80" s="112" t="n"/>
      <c r="I80" s="72" t="n"/>
      <c r="J80" s="73" t="n"/>
      <c r="K80" s="89" t="n"/>
      <c r="L80" s="74" t="n"/>
      <c r="M80" s="108" t="n"/>
      <c r="N80" s="68">
        <f>IF(AND(H80="",J80=""),"",ForecastTotal+IF(L80="Approved",0,IF(J80="",0,J80)))</f>
        <v/>
      </c>
      <c r="O80" s="75">
        <f>IF(N80="","",ContAmt-MAX(0,N80-WorkBudget))</f>
        <v/>
      </c>
      <c r="P80" s="120">
        <f>IF(OR(N80="",ForecastEnd=""),"",ForecastEnd+IF(L80="Approved",0,IF(K80="",0,K80)))</f>
        <v/>
      </c>
      <c r="Q80" s="121">
        <f>IF(OR(N80="",WorkBudget=0),"",N80/WorkBudget-1)</f>
        <v/>
      </c>
      <c r="R80" s="79">
        <f>IF(N80="","",IF(N80&lt;=WorkBudget,0,IF(N80&lt;=TotalBudget,1,2)))</f>
        <v/>
      </c>
      <c r="S80" s="111">
        <f>IF(AND(OR(H80&lt;&gt;"",J80&lt;&gt;""),OR(L80="Pending",L80=""),C80&lt;&gt;""),C80+3,"")</f>
        <v/>
      </c>
      <c r="T80" s="79">
        <f>IF(S80="","",IF(AsOf&gt;S80,1,2))</f>
        <v/>
      </c>
      <c r="U80" s="79">
        <f>IF(T80="","","Decide on change order "&amp;B80&amp;": "&amp;H80&amp;" (+"&amp;CurSym&amp;" "&amp;FIXED(IF(J80="",0,J80),0)&amp;")")</f>
        <v/>
      </c>
    </row>
    <row r="81" ht="24" customHeight="1">
      <c r="B81" s="74" t="n"/>
      <c r="C81" s="108" t="n"/>
      <c r="D81" s="72" t="n"/>
      <c r="E81" s="72" t="n"/>
      <c r="F81" s="72" t="n"/>
      <c r="G81" s="72" t="n"/>
      <c r="H81" s="112" t="n"/>
      <c r="I81" s="72" t="n"/>
      <c r="J81" s="73" t="n"/>
      <c r="K81" s="89" t="n"/>
      <c r="L81" s="74" t="n"/>
      <c r="M81" s="108" t="n"/>
      <c r="N81" s="68">
        <f>IF(AND(H81="",J81=""),"",ForecastTotal+IF(L81="Approved",0,IF(J81="",0,J81)))</f>
        <v/>
      </c>
      <c r="O81" s="75">
        <f>IF(N81="","",ContAmt-MAX(0,N81-WorkBudget))</f>
        <v/>
      </c>
      <c r="P81" s="120">
        <f>IF(OR(N81="",ForecastEnd=""),"",ForecastEnd+IF(L81="Approved",0,IF(K81="",0,K81)))</f>
        <v/>
      </c>
      <c r="Q81" s="121">
        <f>IF(OR(N81="",WorkBudget=0),"",N81/WorkBudget-1)</f>
        <v/>
      </c>
      <c r="R81" s="79">
        <f>IF(N81="","",IF(N81&lt;=WorkBudget,0,IF(N81&lt;=TotalBudget,1,2)))</f>
        <v/>
      </c>
      <c r="S81" s="111">
        <f>IF(AND(OR(H81&lt;&gt;"",J81&lt;&gt;""),OR(L81="Pending",L81=""),C81&lt;&gt;""),C81+3,"")</f>
        <v/>
      </c>
      <c r="T81" s="79">
        <f>IF(S81="","",IF(AsOf&gt;S81,1,2))</f>
        <v/>
      </c>
      <c r="U81" s="79">
        <f>IF(T81="","","Decide on change order "&amp;B81&amp;": "&amp;H81&amp;" (+"&amp;CurSym&amp;" "&amp;FIXED(IF(J81="",0,J81),0)&amp;")")</f>
        <v/>
      </c>
    </row>
    <row r="82" ht="24" customHeight="1">
      <c r="B82" s="74" t="n"/>
      <c r="C82" s="108" t="n"/>
      <c r="D82" s="72" t="n"/>
      <c r="E82" s="72" t="n"/>
      <c r="F82" s="72" t="n"/>
      <c r="G82" s="72" t="n"/>
      <c r="H82" s="112" t="n"/>
      <c r="I82" s="72" t="n"/>
      <c r="J82" s="73" t="n"/>
      <c r="K82" s="89" t="n"/>
      <c r="L82" s="74" t="n"/>
      <c r="M82" s="108" t="n"/>
      <c r="N82" s="68">
        <f>IF(AND(H82="",J82=""),"",ForecastTotal+IF(L82="Approved",0,IF(J82="",0,J82)))</f>
        <v/>
      </c>
      <c r="O82" s="75">
        <f>IF(N82="","",ContAmt-MAX(0,N82-WorkBudget))</f>
        <v/>
      </c>
      <c r="P82" s="120">
        <f>IF(OR(N82="",ForecastEnd=""),"",ForecastEnd+IF(L82="Approved",0,IF(K82="",0,K82)))</f>
        <v/>
      </c>
      <c r="Q82" s="121">
        <f>IF(OR(N82="",WorkBudget=0),"",N82/WorkBudget-1)</f>
        <v/>
      </c>
      <c r="R82" s="79">
        <f>IF(N82="","",IF(N82&lt;=WorkBudget,0,IF(N82&lt;=TotalBudget,1,2)))</f>
        <v/>
      </c>
      <c r="S82" s="111">
        <f>IF(AND(OR(H82&lt;&gt;"",J82&lt;&gt;""),OR(L82="Pending",L82=""),C82&lt;&gt;""),C82+3,"")</f>
        <v/>
      </c>
      <c r="T82" s="79">
        <f>IF(S82="","",IF(AsOf&gt;S82,1,2))</f>
        <v/>
      </c>
      <c r="U82" s="79">
        <f>IF(T82="","","Decide on change order "&amp;B82&amp;": "&amp;H82&amp;" (+"&amp;CurSym&amp;" "&amp;FIXED(IF(J82="",0,J82),0)&amp;")")</f>
        <v/>
      </c>
    </row>
    <row r="83" ht="24" customHeight="1">
      <c r="B83" s="74" t="n"/>
      <c r="C83" s="108" t="n"/>
      <c r="D83" s="72" t="n"/>
      <c r="E83" s="72" t="n"/>
      <c r="F83" s="72" t="n"/>
      <c r="G83" s="72" t="n"/>
      <c r="H83" s="112" t="n"/>
      <c r="I83" s="72" t="n"/>
      <c r="J83" s="73" t="n"/>
      <c r="K83" s="89" t="n"/>
      <c r="L83" s="74" t="n"/>
      <c r="M83" s="108" t="n"/>
      <c r="N83" s="68">
        <f>IF(AND(H83="",J83=""),"",ForecastTotal+IF(L83="Approved",0,IF(J83="",0,J83)))</f>
        <v/>
      </c>
      <c r="O83" s="75">
        <f>IF(N83="","",ContAmt-MAX(0,N83-WorkBudget))</f>
        <v/>
      </c>
      <c r="P83" s="120">
        <f>IF(OR(N83="",ForecastEnd=""),"",ForecastEnd+IF(L83="Approved",0,IF(K83="",0,K83)))</f>
        <v/>
      </c>
      <c r="Q83" s="121">
        <f>IF(OR(N83="",WorkBudget=0),"",N83/WorkBudget-1)</f>
        <v/>
      </c>
      <c r="R83" s="79">
        <f>IF(N83="","",IF(N83&lt;=WorkBudget,0,IF(N83&lt;=TotalBudget,1,2)))</f>
        <v/>
      </c>
      <c r="S83" s="111">
        <f>IF(AND(OR(H83&lt;&gt;"",J83&lt;&gt;""),OR(L83="Pending",L83=""),C83&lt;&gt;""),C83+3,"")</f>
        <v/>
      </c>
      <c r="T83" s="79">
        <f>IF(S83="","",IF(AsOf&gt;S83,1,2))</f>
        <v/>
      </c>
      <c r="U83" s="79">
        <f>IF(T83="","","Decide on change order "&amp;B83&amp;": "&amp;H83&amp;" (+"&amp;CurSym&amp;" "&amp;FIXED(IF(J83="",0,J83),0)&amp;")")</f>
        <v/>
      </c>
    </row>
    <row r="84" ht="24" customHeight="1">
      <c r="B84" s="74" t="n"/>
      <c r="C84" s="108" t="n"/>
      <c r="D84" s="72" t="n"/>
      <c r="E84" s="72" t="n"/>
      <c r="F84" s="72" t="n"/>
      <c r="G84" s="72" t="n"/>
      <c r="H84" s="112" t="n"/>
      <c r="I84" s="72" t="n"/>
      <c r="J84" s="73" t="n"/>
      <c r="K84" s="89" t="n"/>
      <c r="L84" s="74" t="n"/>
      <c r="M84" s="108" t="n"/>
      <c r="N84" s="68">
        <f>IF(AND(H84="",J84=""),"",ForecastTotal+IF(L84="Approved",0,IF(J84="",0,J84)))</f>
        <v/>
      </c>
      <c r="O84" s="75">
        <f>IF(N84="","",ContAmt-MAX(0,N84-WorkBudget))</f>
        <v/>
      </c>
      <c r="P84" s="120">
        <f>IF(OR(N84="",ForecastEnd=""),"",ForecastEnd+IF(L84="Approved",0,IF(K84="",0,K84)))</f>
        <v/>
      </c>
      <c r="Q84" s="121">
        <f>IF(OR(N84="",WorkBudget=0),"",N84/WorkBudget-1)</f>
        <v/>
      </c>
      <c r="R84" s="79">
        <f>IF(N84="","",IF(N84&lt;=WorkBudget,0,IF(N84&lt;=TotalBudget,1,2)))</f>
        <v/>
      </c>
      <c r="S84" s="111">
        <f>IF(AND(OR(H84&lt;&gt;"",J84&lt;&gt;""),OR(L84="Pending",L84=""),C84&lt;&gt;""),C84+3,"")</f>
        <v/>
      </c>
      <c r="T84" s="79">
        <f>IF(S84="","",IF(AsOf&gt;S84,1,2))</f>
        <v/>
      </c>
      <c r="U84" s="79">
        <f>IF(T84="","","Decide on change order "&amp;B84&amp;": "&amp;H84&amp;" (+"&amp;CurSym&amp;" "&amp;FIXED(IF(J84="",0,J84),0)&amp;")")</f>
        <v/>
      </c>
    </row>
    <row r="85" ht="24" customHeight="1">
      <c r="B85" s="74" t="n"/>
      <c r="C85" s="108" t="n"/>
      <c r="D85" s="72" t="n"/>
      <c r="E85" s="72" t="n"/>
      <c r="F85" s="72" t="n"/>
      <c r="G85" s="72" t="n"/>
      <c r="H85" s="112" t="n"/>
      <c r="I85" s="72" t="n"/>
      <c r="J85" s="73" t="n"/>
      <c r="K85" s="89" t="n"/>
      <c r="L85" s="74" t="n"/>
      <c r="M85" s="108" t="n"/>
      <c r="N85" s="68">
        <f>IF(AND(H85="",J85=""),"",ForecastTotal+IF(L85="Approved",0,IF(J85="",0,J85)))</f>
        <v/>
      </c>
      <c r="O85" s="75">
        <f>IF(N85="","",ContAmt-MAX(0,N85-WorkBudget))</f>
        <v/>
      </c>
      <c r="P85" s="120">
        <f>IF(OR(N85="",ForecastEnd=""),"",ForecastEnd+IF(L85="Approved",0,IF(K85="",0,K85)))</f>
        <v/>
      </c>
      <c r="Q85" s="121">
        <f>IF(OR(N85="",WorkBudget=0),"",N85/WorkBudget-1)</f>
        <v/>
      </c>
      <c r="R85" s="79">
        <f>IF(N85="","",IF(N85&lt;=WorkBudget,0,IF(N85&lt;=TotalBudget,1,2)))</f>
        <v/>
      </c>
      <c r="S85" s="111">
        <f>IF(AND(OR(H85&lt;&gt;"",J85&lt;&gt;""),OR(L85="Pending",L85=""),C85&lt;&gt;""),C85+3,"")</f>
        <v/>
      </c>
      <c r="T85" s="79">
        <f>IF(S85="","",IF(AsOf&gt;S85,1,2))</f>
        <v/>
      </c>
      <c r="U85" s="79">
        <f>IF(T85="","","Decide on change order "&amp;B85&amp;": "&amp;H85&amp;" (+"&amp;CurSym&amp;" "&amp;FIXED(IF(J85="",0,J85),0)&amp;")")</f>
        <v/>
      </c>
    </row>
    <row r="86" ht="24" customHeight="1">
      <c r="B86" s="74" t="n"/>
      <c r="C86" s="108" t="n"/>
      <c r="D86" s="72" t="n"/>
      <c r="E86" s="72" t="n"/>
      <c r="F86" s="72" t="n"/>
      <c r="G86" s="72" t="n"/>
      <c r="H86" s="112" t="n"/>
      <c r="I86" s="72" t="n"/>
      <c r="J86" s="73" t="n"/>
      <c r="K86" s="89" t="n"/>
      <c r="L86" s="74" t="n"/>
      <c r="M86" s="108" t="n"/>
      <c r="N86" s="68">
        <f>IF(AND(H86="",J86=""),"",ForecastTotal+IF(L86="Approved",0,IF(J86="",0,J86)))</f>
        <v/>
      </c>
      <c r="O86" s="75">
        <f>IF(N86="","",ContAmt-MAX(0,N86-WorkBudget))</f>
        <v/>
      </c>
      <c r="P86" s="120">
        <f>IF(OR(N86="",ForecastEnd=""),"",ForecastEnd+IF(L86="Approved",0,IF(K86="",0,K86)))</f>
        <v/>
      </c>
      <c r="Q86" s="121">
        <f>IF(OR(N86="",WorkBudget=0),"",N86/WorkBudget-1)</f>
        <v/>
      </c>
      <c r="R86" s="79">
        <f>IF(N86="","",IF(N86&lt;=WorkBudget,0,IF(N86&lt;=TotalBudget,1,2)))</f>
        <v/>
      </c>
      <c r="S86" s="111">
        <f>IF(AND(OR(H86&lt;&gt;"",J86&lt;&gt;""),OR(L86="Pending",L86=""),C86&lt;&gt;""),C86+3,"")</f>
        <v/>
      </c>
      <c r="T86" s="79">
        <f>IF(S86="","",IF(AsOf&gt;S86,1,2))</f>
        <v/>
      </c>
      <c r="U86" s="79">
        <f>IF(T86="","","Decide on change order "&amp;B86&amp;": "&amp;H86&amp;" (+"&amp;CurSym&amp;" "&amp;FIXED(IF(J86="",0,J86),0)&amp;")")</f>
        <v/>
      </c>
    </row>
    <row r="87" ht="24" customHeight="1">
      <c r="B87" s="74" t="n"/>
      <c r="C87" s="108" t="n"/>
      <c r="D87" s="72" t="n"/>
      <c r="E87" s="72" t="n"/>
      <c r="F87" s="72" t="n"/>
      <c r="G87" s="72" t="n"/>
      <c r="H87" s="112" t="n"/>
      <c r="I87" s="72" t="n"/>
      <c r="J87" s="73" t="n"/>
      <c r="K87" s="89" t="n"/>
      <c r="L87" s="74" t="n"/>
      <c r="M87" s="108" t="n"/>
      <c r="N87" s="68">
        <f>IF(AND(H87="",J87=""),"",ForecastTotal+IF(L87="Approved",0,IF(J87="",0,J87)))</f>
        <v/>
      </c>
      <c r="O87" s="75">
        <f>IF(N87="","",ContAmt-MAX(0,N87-WorkBudget))</f>
        <v/>
      </c>
      <c r="P87" s="120">
        <f>IF(OR(N87="",ForecastEnd=""),"",ForecastEnd+IF(L87="Approved",0,IF(K87="",0,K87)))</f>
        <v/>
      </c>
      <c r="Q87" s="121">
        <f>IF(OR(N87="",WorkBudget=0),"",N87/WorkBudget-1)</f>
        <v/>
      </c>
      <c r="R87" s="79">
        <f>IF(N87="","",IF(N87&lt;=WorkBudget,0,IF(N87&lt;=TotalBudget,1,2)))</f>
        <v/>
      </c>
      <c r="S87" s="111">
        <f>IF(AND(OR(H87&lt;&gt;"",J87&lt;&gt;""),OR(L87="Pending",L87=""),C87&lt;&gt;""),C87+3,"")</f>
        <v/>
      </c>
      <c r="T87" s="79">
        <f>IF(S87="","",IF(AsOf&gt;S87,1,2))</f>
        <v/>
      </c>
      <c r="U87" s="79">
        <f>IF(T87="","","Decide on change order "&amp;B87&amp;": "&amp;H87&amp;" (+"&amp;CurSym&amp;" "&amp;FIXED(IF(J87="",0,J87),0)&amp;")")</f>
        <v/>
      </c>
    </row>
    <row r="88" ht="24" customHeight="1">
      <c r="B88" s="74" t="n"/>
      <c r="C88" s="108" t="n"/>
      <c r="D88" s="72" t="n"/>
      <c r="E88" s="72" t="n"/>
      <c r="F88" s="72" t="n"/>
      <c r="G88" s="72" t="n"/>
      <c r="H88" s="112" t="n"/>
      <c r="I88" s="72" t="n"/>
      <c r="J88" s="73" t="n"/>
      <c r="K88" s="89" t="n"/>
      <c r="L88" s="74" t="n"/>
      <c r="M88" s="108" t="n"/>
      <c r="N88" s="68">
        <f>IF(AND(H88="",J88=""),"",ForecastTotal+IF(L88="Approved",0,IF(J88="",0,J88)))</f>
        <v/>
      </c>
      <c r="O88" s="75">
        <f>IF(N88="","",ContAmt-MAX(0,N88-WorkBudget))</f>
        <v/>
      </c>
      <c r="P88" s="120">
        <f>IF(OR(N88="",ForecastEnd=""),"",ForecastEnd+IF(L88="Approved",0,IF(K88="",0,K88)))</f>
        <v/>
      </c>
      <c r="Q88" s="121">
        <f>IF(OR(N88="",WorkBudget=0),"",N88/WorkBudget-1)</f>
        <v/>
      </c>
      <c r="R88" s="79">
        <f>IF(N88="","",IF(N88&lt;=WorkBudget,0,IF(N88&lt;=TotalBudget,1,2)))</f>
        <v/>
      </c>
      <c r="S88" s="111">
        <f>IF(AND(OR(H88&lt;&gt;"",J88&lt;&gt;""),OR(L88="Pending",L88=""),C88&lt;&gt;""),C88+3,"")</f>
        <v/>
      </c>
      <c r="T88" s="79">
        <f>IF(S88="","",IF(AsOf&gt;S88,1,2))</f>
        <v/>
      </c>
      <c r="U88" s="79">
        <f>IF(T88="","","Decide on change order "&amp;B88&amp;": "&amp;H88&amp;" (+"&amp;CurSym&amp;" "&amp;FIXED(IF(J88="",0,J88),0)&amp;")")</f>
        <v/>
      </c>
    </row>
    <row r="89" ht="24" customHeight="1">
      <c r="B89" s="74" t="n"/>
      <c r="C89" s="108" t="n"/>
      <c r="D89" s="72" t="n"/>
      <c r="E89" s="72" t="n"/>
      <c r="F89" s="72" t="n"/>
      <c r="G89" s="72" t="n"/>
      <c r="H89" s="112" t="n"/>
      <c r="I89" s="72" t="n"/>
      <c r="J89" s="73" t="n"/>
      <c r="K89" s="89" t="n"/>
      <c r="L89" s="74" t="n"/>
      <c r="M89" s="108" t="n"/>
      <c r="N89" s="68">
        <f>IF(AND(H89="",J89=""),"",ForecastTotal+IF(L89="Approved",0,IF(J89="",0,J89)))</f>
        <v/>
      </c>
      <c r="O89" s="75">
        <f>IF(N89="","",ContAmt-MAX(0,N89-WorkBudget))</f>
        <v/>
      </c>
      <c r="P89" s="120">
        <f>IF(OR(N89="",ForecastEnd=""),"",ForecastEnd+IF(L89="Approved",0,IF(K89="",0,K89)))</f>
        <v/>
      </c>
      <c r="Q89" s="121">
        <f>IF(OR(N89="",WorkBudget=0),"",N89/WorkBudget-1)</f>
        <v/>
      </c>
      <c r="R89" s="79">
        <f>IF(N89="","",IF(N89&lt;=WorkBudget,0,IF(N89&lt;=TotalBudget,1,2)))</f>
        <v/>
      </c>
      <c r="S89" s="111">
        <f>IF(AND(OR(H89&lt;&gt;"",J89&lt;&gt;""),OR(L89="Pending",L89=""),C89&lt;&gt;""),C89+3,"")</f>
        <v/>
      </c>
      <c r="T89" s="79">
        <f>IF(S89="","",IF(AsOf&gt;S89,1,2))</f>
        <v/>
      </c>
      <c r="U89" s="79">
        <f>IF(T89="","","Decide on change order "&amp;B89&amp;": "&amp;H89&amp;" (+"&amp;CurSym&amp;" "&amp;FIXED(IF(J89="",0,J89),0)&amp;")")</f>
        <v/>
      </c>
    </row>
    <row r="90" ht="24" customHeight="1">
      <c r="B90" s="74" t="n"/>
      <c r="C90" s="108" t="n"/>
      <c r="D90" s="72" t="n"/>
      <c r="E90" s="72" t="n"/>
      <c r="F90" s="72" t="n"/>
      <c r="G90" s="72" t="n"/>
      <c r="H90" s="112" t="n"/>
      <c r="I90" s="72" t="n"/>
      <c r="J90" s="73" t="n"/>
      <c r="K90" s="89" t="n"/>
      <c r="L90" s="74" t="n"/>
      <c r="M90" s="108" t="n"/>
      <c r="N90" s="68">
        <f>IF(AND(H90="",J90=""),"",ForecastTotal+IF(L90="Approved",0,IF(J90="",0,J90)))</f>
        <v/>
      </c>
      <c r="O90" s="75">
        <f>IF(N90="","",ContAmt-MAX(0,N90-WorkBudget))</f>
        <v/>
      </c>
      <c r="P90" s="120">
        <f>IF(OR(N90="",ForecastEnd=""),"",ForecastEnd+IF(L90="Approved",0,IF(K90="",0,K90)))</f>
        <v/>
      </c>
      <c r="Q90" s="121">
        <f>IF(OR(N90="",WorkBudget=0),"",N90/WorkBudget-1)</f>
        <v/>
      </c>
      <c r="R90" s="79">
        <f>IF(N90="","",IF(N90&lt;=WorkBudget,0,IF(N90&lt;=TotalBudget,1,2)))</f>
        <v/>
      </c>
      <c r="S90" s="111">
        <f>IF(AND(OR(H90&lt;&gt;"",J90&lt;&gt;""),OR(L90="Pending",L90=""),C90&lt;&gt;""),C90+3,"")</f>
        <v/>
      </c>
      <c r="T90" s="79">
        <f>IF(S90="","",IF(AsOf&gt;S90,1,2))</f>
        <v/>
      </c>
      <c r="U90" s="79">
        <f>IF(T90="","","Decide on change order "&amp;B90&amp;": "&amp;H90&amp;" (+"&amp;CurSym&amp;" "&amp;FIXED(IF(J90="",0,J90),0)&amp;")")</f>
        <v/>
      </c>
    </row>
    <row r="91" ht="24" customHeight="1">
      <c r="B91" s="74" t="n"/>
      <c r="C91" s="108" t="n"/>
      <c r="D91" s="72" t="n"/>
      <c r="E91" s="72" t="n"/>
      <c r="F91" s="72" t="n"/>
      <c r="G91" s="72" t="n"/>
      <c r="H91" s="112" t="n"/>
      <c r="I91" s="72" t="n"/>
      <c r="J91" s="73" t="n"/>
      <c r="K91" s="89" t="n"/>
      <c r="L91" s="74" t="n"/>
      <c r="M91" s="108" t="n"/>
      <c r="N91" s="68">
        <f>IF(AND(H91="",J91=""),"",ForecastTotal+IF(L91="Approved",0,IF(J91="",0,J91)))</f>
        <v/>
      </c>
      <c r="O91" s="75">
        <f>IF(N91="","",ContAmt-MAX(0,N91-WorkBudget))</f>
        <v/>
      </c>
      <c r="P91" s="120">
        <f>IF(OR(N91="",ForecastEnd=""),"",ForecastEnd+IF(L91="Approved",0,IF(K91="",0,K91)))</f>
        <v/>
      </c>
      <c r="Q91" s="121">
        <f>IF(OR(N91="",WorkBudget=0),"",N91/WorkBudget-1)</f>
        <v/>
      </c>
      <c r="R91" s="79">
        <f>IF(N91="","",IF(N91&lt;=WorkBudget,0,IF(N91&lt;=TotalBudget,1,2)))</f>
        <v/>
      </c>
      <c r="S91" s="111">
        <f>IF(AND(OR(H91&lt;&gt;"",J91&lt;&gt;""),OR(L91="Pending",L91=""),C91&lt;&gt;""),C91+3,"")</f>
        <v/>
      </c>
      <c r="T91" s="79">
        <f>IF(S91="","",IF(AsOf&gt;S91,1,2))</f>
        <v/>
      </c>
      <c r="U91" s="79">
        <f>IF(T91="","","Decide on change order "&amp;B91&amp;": "&amp;H91&amp;" (+"&amp;CurSym&amp;" "&amp;FIXED(IF(J91="",0,J91),0)&amp;")")</f>
        <v/>
      </c>
    </row>
    <row r="92" ht="24" customHeight="1">
      <c r="B92" s="74" t="n"/>
      <c r="C92" s="108" t="n"/>
      <c r="D92" s="72" t="n"/>
      <c r="E92" s="72" t="n"/>
      <c r="F92" s="72" t="n"/>
      <c r="G92" s="72" t="n"/>
      <c r="H92" s="112" t="n"/>
      <c r="I92" s="72" t="n"/>
      <c r="J92" s="73" t="n"/>
      <c r="K92" s="89" t="n"/>
      <c r="L92" s="74" t="n"/>
      <c r="M92" s="108" t="n"/>
      <c r="N92" s="68">
        <f>IF(AND(H92="",J92=""),"",ForecastTotal+IF(L92="Approved",0,IF(J92="",0,J92)))</f>
        <v/>
      </c>
      <c r="O92" s="75">
        <f>IF(N92="","",ContAmt-MAX(0,N92-WorkBudget))</f>
        <v/>
      </c>
      <c r="P92" s="120">
        <f>IF(OR(N92="",ForecastEnd=""),"",ForecastEnd+IF(L92="Approved",0,IF(K92="",0,K92)))</f>
        <v/>
      </c>
      <c r="Q92" s="121">
        <f>IF(OR(N92="",WorkBudget=0),"",N92/WorkBudget-1)</f>
        <v/>
      </c>
      <c r="R92" s="79">
        <f>IF(N92="","",IF(N92&lt;=WorkBudget,0,IF(N92&lt;=TotalBudget,1,2)))</f>
        <v/>
      </c>
      <c r="S92" s="111">
        <f>IF(AND(OR(H92&lt;&gt;"",J92&lt;&gt;""),OR(L92="Pending",L92=""),C92&lt;&gt;""),C92+3,"")</f>
        <v/>
      </c>
      <c r="T92" s="79">
        <f>IF(S92="","",IF(AsOf&gt;S92,1,2))</f>
        <v/>
      </c>
      <c r="U92" s="79">
        <f>IF(T92="","","Decide on change order "&amp;B92&amp;": "&amp;H92&amp;" (+"&amp;CurSym&amp;" "&amp;FIXED(IF(J92="",0,J92),0)&amp;")")</f>
        <v/>
      </c>
    </row>
    <row r="93" ht="24" customHeight="1">
      <c r="B93" s="74" t="n"/>
      <c r="C93" s="108" t="n"/>
      <c r="D93" s="72" t="n"/>
      <c r="E93" s="72" t="n"/>
      <c r="F93" s="72" t="n"/>
      <c r="G93" s="72" t="n"/>
      <c r="H93" s="112" t="n"/>
      <c r="I93" s="72" t="n"/>
      <c r="J93" s="73" t="n"/>
      <c r="K93" s="89" t="n"/>
      <c r="L93" s="74" t="n"/>
      <c r="M93" s="108" t="n"/>
      <c r="N93" s="68">
        <f>IF(AND(H93="",J93=""),"",ForecastTotal+IF(L93="Approved",0,IF(J93="",0,J93)))</f>
        <v/>
      </c>
      <c r="O93" s="75">
        <f>IF(N93="","",ContAmt-MAX(0,N93-WorkBudget))</f>
        <v/>
      </c>
      <c r="P93" s="120">
        <f>IF(OR(N93="",ForecastEnd=""),"",ForecastEnd+IF(L93="Approved",0,IF(K93="",0,K93)))</f>
        <v/>
      </c>
      <c r="Q93" s="121">
        <f>IF(OR(N93="",WorkBudget=0),"",N93/WorkBudget-1)</f>
        <v/>
      </c>
      <c r="R93" s="79">
        <f>IF(N93="","",IF(N93&lt;=WorkBudget,0,IF(N93&lt;=TotalBudget,1,2)))</f>
        <v/>
      </c>
      <c r="S93" s="111">
        <f>IF(AND(OR(H93&lt;&gt;"",J93&lt;&gt;""),OR(L93="Pending",L93=""),C93&lt;&gt;""),C93+3,"")</f>
        <v/>
      </c>
      <c r="T93" s="79">
        <f>IF(S93="","",IF(AsOf&gt;S93,1,2))</f>
        <v/>
      </c>
      <c r="U93" s="79">
        <f>IF(T93="","","Decide on change order "&amp;B93&amp;": "&amp;H93&amp;" (+"&amp;CurSym&amp;" "&amp;FIXED(IF(J93="",0,J93),0)&amp;")")</f>
        <v/>
      </c>
    </row>
    <row r="94" ht="24" customHeight="1">
      <c r="B94" s="74" t="n"/>
      <c r="C94" s="108" t="n"/>
      <c r="D94" s="72" t="n"/>
      <c r="E94" s="72" t="n"/>
      <c r="F94" s="72" t="n"/>
      <c r="G94" s="72" t="n"/>
      <c r="H94" s="112" t="n"/>
      <c r="I94" s="72" t="n"/>
      <c r="J94" s="73" t="n"/>
      <c r="K94" s="89" t="n"/>
      <c r="L94" s="74" t="n"/>
      <c r="M94" s="108" t="n"/>
      <c r="N94" s="68">
        <f>IF(AND(H94="",J94=""),"",ForecastTotal+IF(L94="Approved",0,IF(J94="",0,J94)))</f>
        <v/>
      </c>
      <c r="O94" s="75">
        <f>IF(N94="","",ContAmt-MAX(0,N94-WorkBudget))</f>
        <v/>
      </c>
      <c r="P94" s="120">
        <f>IF(OR(N94="",ForecastEnd=""),"",ForecastEnd+IF(L94="Approved",0,IF(K94="",0,K94)))</f>
        <v/>
      </c>
      <c r="Q94" s="121">
        <f>IF(OR(N94="",WorkBudget=0),"",N94/WorkBudget-1)</f>
        <v/>
      </c>
      <c r="R94" s="79">
        <f>IF(N94="","",IF(N94&lt;=WorkBudget,0,IF(N94&lt;=TotalBudget,1,2)))</f>
        <v/>
      </c>
      <c r="S94" s="111">
        <f>IF(AND(OR(H94&lt;&gt;"",J94&lt;&gt;""),OR(L94="Pending",L94=""),C94&lt;&gt;""),C94+3,"")</f>
        <v/>
      </c>
      <c r="T94" s="79">
        <f>IF(S94="","",IF(AsOf&gt;S94,1,2))</f>
        <v/>
      </c>
      <c r="U94" s="79">
        <f>IF(T94="","","Decide on change order "&amp;B94&amp;": "&amp;H94&amp;" (+"&amp;CurSym&amp;" "&amp;FIXED(IF(J94="",0,J94),0)&amp;")")</f>
        <v/>
      </c>
    </row>
    <row r="95" ht="24" customHeight="1">
      <c r="B95" s="74" t="n"/>
      <c r="C95" s="108" t="n"/>
      <c r="D95" s="72" t="n"/>
      <c r="E95" s="72" t="n"/>
      <c r="F95" s="72" t="n"/>
      <c r="G95" s="72" t="n"/>
      <c r="H95" s="112" t="n"/>
      <c r="I95" s="72" t="n"/>
      <c r="J95" s="73" t="n"/>
      <c r="K95" s="89" t="n"/>
      <c r="L95" s="74" t="n"/>
      <c r="M95" s="108" t="n"/>
      <c r="N95" s="68">
        <f>IF(AND(H95="",J95=""),"",ForecastTotal+IF(L95="Approved",0,IF(J95="",0,J95)))</f>
        <v/>
      </c>
      <c r="O95" s="75">
        <f>IF(N95="","",ContAmt-MAX(0,N95-WorkBudget))</f>
        <v/>
      </c>
      <c r="P95" s="120">
        <f>IF(OR(N95="",ForecastEnd=""),"",ForecastEnd+IF(L95="Approved",0,IF(K95="",0,K95)))</f>
        <v/>
      </c>
      <c r="Q95" s="121">
        <f>IF(OR(N95="",WorkBudget=0),"",N95/WorkBudget-1)</f>
        <v/>
      </c>
      <c r="R95" s="79">
        <f>IF(N95="","",IF(N95&lt;=WorkBudget,0,IF(N95&lt;=TotalBudget,1,2)))</f>
        <v/>
      </c>
      <c r="S95" s="111">
        <f>IF(AND(OR(H95&lt;&gt;"",J95&lt;&gt;""),OR(L95="Pending",L95=""),C95&lt;&gt;""),C95+3,"")</f>
        <v/>
      </c>
      <c r="T95" s="79">
        <f>IF(S95="","",IF(AsOf&gt;S95,1,2))</f>
        <v/>
      </c>
      <c r="U95" s="79">
        <f>IF(T95="","","Decide on change order "&amp;B95&amp;": "&amp;H95&amp;" (+"&amp;CurSym&amp;" "&amp;FIXED(IF(J95="",0,J95),0)&amp;")")</f>
        <v/>
      </c>
    </row>
    <row r="96" ht="24" customHeight="1">
      <c r="B96" s="74" t="n"/>
      <c r="C96" s="108" t="n"/>
      <c r="D96" s="72" t="n"/>
      <c r="E96" s="72" t="n"/>
      <c r="F96" s="72" t="n"/>
      <c r="G96" s="72" t="n"/>
      <c r="H96" s="112" t="n"/>
      <c r="I96" s="72" t="n"/>
      <c r="J96" s="73" t="n"/>
      <c r="K96" s="89" t="n"/>
      <c r="L96" s="74" t="n"/>
      <c r="M96" s="108" t="n"/>
      <c r="N96" s="68">
        <f>IF(AND(H96="",J96=""),"",ForecastTotal+IF(L96="Approved",0,IF(J96="",0,J96)))</f>
        <v/>
      </c>
      <c r="O96" s="75">
        <f>IF(N96="","",ContAmt-MAX(0,N96-WorkBudget))</f>
        <v/>
      </c>
      <c r="P96" s="120">
        <f>IF(OR(N96="",ForecastEnd=""),"",ForecastEnd+IF(L96="Approved",0,IF(K96="",0,K96)))</f>
        <v/>
      </c>
      <c r="Q96" s="121">
        <f>IF(OR(N96="",WorkBudget=0),"",N96/WorkBudget-1)</f>
        <v/>
      </c>
      <c r="R96" s="79">
        <f>IF(N96="","",IF(N96&lt;=WorkBudget,0,IF(N96&lt;=TotalBudget,1,2)))</f>
        <v/>
      </c>
      <c r="S96" s="111">
        <f>IF(AND(OR(H96&lt;&gt;"",J96&lt;&gt;""),OR(L96="Pending",L96=""),C96&lt;&gt;""),C96+3,"")</f>
        <v/>
      </c>
      <c r="T96" s="79">
        <f>IF(S96="","",IF(AsOf&gt;S96,1,2))</f>
        <v/>
      </c>
      <c r="U96" s="79">
        <f>IF(T96="","","Decide on change order "&amp;B96&amp;": "&amp;H96&amp;" (+"&amp;CurSym&amp;" "&amp;FIXED(IF(J96="",0,J96),0)&amp;")")</f>
        <v/>
      </c>
    </row>
    <row r="97" ht="24" customHeight="1">
      <c r="B97" s="74" t="n"/>
      <c r="C97" s="108" t="n"/>
      <c r="D97" s="72" t="n"/>
      <c r="E97" s="72" t="n"/>
      <c r="F97" s="72" t="n"/>
      <c r="G97" s="72" t="n"/>
      <c r="H97" s="112" t="n"/>
      <c r="I97" s="72" t="n"/>
      <c r="J97" s="73" t="n"/>
      <c r="K97" s="89" t="n"/>
      <c r="L97" s="74" t="n"/>
      <c r="M97" s="108" t="n"/>
      <c r="N97" s="68">
        <f>IF(AND(H97="",J97=""),"",ForecastTotal+IF(L97="Approved",0,IF(J97="",0,J97)))</f>
        <v/>
      </c>
      <c r="O97" s="75">
        <f>IF(N97="","",ContAmt-MAX(0,N97-WorkBudget))</f>
        <v/>
      </c>
      <c r="P97" s="120">
        <f>IF(OR(N97="",ForecastEnd=""),"",ForecastEnd+IF(L97="Approved",0,IF(K97="",0,K97)))</f>
        <v/>
      </c>
      <c r="Q97" s="121">
        <f>IF(OR(N97="",WorkBudget=0),"",N97/WorkBudget-1)</f>
        <v/>
      </c>
      <c r="R97" s="79">
        <f>IF(N97="","",IF(N97&lt;=WorkBudget,0,IF(N97&lt;=TotalBudget,1,2)))</f>
        <v/>
      </c>
      <c r="S97" s="111">
        <f>IF(AND(OR(H97&lt;&gt;"",J97&lt;&gt;""),OR(L97="Pending",L97=""),C97&lt;&gt;""),C97+3,"")</f>
        <v/>
      </c>
      <c r="T97" s="79">
        <f>IF(S97="","",IF(AsOf&gt;S97,1,2))</f>
        <v/>
      </c>
      <c r="U97" s="79">
        <f>IF(T97="","","Decide on change order "&amp;B97&amp;": "&amp;H97&amp;" (+"&amp;CurSym&amp;" "&amp;FIXED(IF(J97="",0,J97),0)&amp;")")</f>
        <v/>
      </c>
    </row>
    <row r="98" ht="24" customHeight="1">
      <c r="B98" s="74" t="n"/>
      <c r="C98" s="108" t="n"/>
      <c r="D98" s="72" t="n"/>
      <c r="E98" s="72" t="n"/>
      <c r="F98" s="72" t="n"/>
      <c r="G98" s="72" t="n"/>
      <c r="H98" s="112" t="n"/>
      <c r="I98" s="72" t="n"/>
      <c r="J98" s="73" t="n"/>
      <c r="K98" s="89" t="n"/>
      <c r="L98" s="74" t="n"/>
      <c r="M98" s="108" t="n"/>
      <c r="N98" s="68">
        <f>IF(AND(H98="",J98=""),"",ForecastTotal+IF(L98="Approved",0,IF(J98="",0,J98)))</f>
        <v/>
      </c>
      <c r="O98" s="75">
        <f>IF(N98="","",ContAmt-MAX(0,N98-WorkBudget))</f>
        <v/>
      </c>
      <c r="P98" s="120">
        <f>IF(OR(N98="",ForecastEnd=""),"",ForecastEnd+IF(L98="Approved",0,IF(K98="",0,K98)))</f>
        <v/>
      </c>
      <c r="Q98" s="121">
        <f>IF(OR(N98="",WorkBudget=0),"",N98/WorkBudget-1)</f>
        <v/>
      </c>
      <c r="R98" s="79">
        <f>IF(N98="","",IF(N98&lt;=WorkBudget,0,IF(N98&lt;=TotalBudget,1,2)))</f>
        <v/>
      </c>
      <c r="S98" s="111">
        <f>IF(AND(OR(H98&lt;&gt;"",J98&lt;&gt;""),OR(L98="Pending",L98=""),C98&lt;&gt;""),C98+3,"")</f>
        <v/>
      </c>
      <c r="T98" s="79">
        <f>IF(S98="","",IF(AsOf&gt;S98,1,2))</f>
        <v/>
      </c>
      <c r="U98" s="79">
        <f>IF(T98="","","Decide on change order "&amp;B98&amp;": "&amp;H98&amp;" (+"&amp;CurSym&amp;" "&amp;FIXED(IF(J98="",0,J98),0)&amp;")")</f>
        <v/>
      </c>
    </row>
    <row r="99" ht="24" customHeight="1">
      <c r="B99" s="74" t="n"/>
      <c r="C99" s="108" t="n"/>
      <c r="D99" s="72" t="n"/>
      <c r="E99" s="72" t="n"/>
      <c r="F99" s="72" t="n"/>
      <c r="G99" s="72" t="n"/>
      <c r="H99" s="112" t="n"/>
      <c r="I99" s="72" t="n"/>
      <c r="J99" s="73" t="n"/>
      <c r="K99" s="89" t="n"/>
      <c r="L99" s="74" t="n"/>
      <c r="M99" s="108" t="n"/>
      <c r="N99" s="68">
        <f>IF(AND(H99="",J99=""),"",ForecastTotal+IF(L99="Approved",0,IF(J99="",0,J99)))</f>
        <v/>
      </c>
      <c r="O99" s="75">
        <f>IF(N99="","",ContAmt-MAX(0,N99-WorkBudget))</f>
        <v/>
      </c>
      <c r="P99" s="120">
        <f>IF(OR(N99="",ForecastEnd=""),"",ForecastEnd+IF(L99="Approved",0,IF(K99="",0,K99)))</f>
        <v/>
      </c>
      <c r="Q99" s="121">
        <f>IF(OR(N99="",WorkBudget=0),"",N99/WorkBudget-1)</f>
        <v/>
      </c>
      <c r="R99" s="79">
        <f>IF(N99="","",IF(N99&lt;=WorkBudget,0,IF(N99&lt;=TotalBudget,1,2)))</f>
        <v/>
      </c>
      <c r="S99" s="111">
        <f>IF(AND(OR(H99&lt;&gt;"",J99&lt;&gt;""),OR(L99="Pending",L99=""),C99&lt;&gt;""),C99+3,"")</f>
        <v/>
      </c>
      <c r="T99" s="79">
        <f>IF(S99="","",IF(AsOf&gt;S99,1,2))</f>
        <v/>
      </c>
      <c r="U99" s="79">
        <f>IF(T99="","","Decide on change order "&amp;B99&amp;": "&amp;H99&amp;" (+"&amp;CurSym&amp;" "&amp;FIXED(IF(J99="",0,J99),0)&amp;")")</f>
        <v/>
      </c>
    </row>
    <row r="100" ht="24" customHeight="1">
      <c r="B100" s="74" t="n"/>
      <c r="C100" s="108" t="n"/>
      <c r="D100" s="72" t="n"/>
      <c r="E100" s="72" t="n"/>
      <c r="F100" s="72" t="n"/>
      <c r="G100" s="72" t="n"/>
      <c r="H100" s="112" t="n"/>
      <c r="I100" s="72" t="n"/>
      <c r="J100" s="73" t="n"/>
      <c r="K100" s="89" t="n"/>
      <c r="L100" s="74" t="n"/>
      <c r="M100" s="108" t="n"/>
      <c r="N100" s="68">
        <f>IF(AND(H100="",J100=""),"",ForecastTotal+IF(L100="Approved",0,IF(J100="",0,J100)))</f>
        <v/>
      </c>
      <c r="O100" s="75">
        <f>IF(N100="","",ContAmt-MAX(0,N100-WorkBudget))</f>
        <v/>
      </c>
      <c r="P100" s="120">
        <f>IF(OR(N100="",ForecastEnd=""),"",ForecastEnd+IF(L100="Approved",0,IF(K100="",0,K100)))</f>
        <v/>
      </c>
      <c r="Q100" s="121">
        <f>IF(OR(N100="",WorkBudget=0),"",N100/WorkBudget-1)</f>
        <v/>
      </c>
      <c r="R100" s="79">
        <f>IF(N100="","",IF(N100&lt;=WorkBudget,0,IF(N100&lt;=TotalBudget,1,2)))</f>
        <v/>
      </c>
      <c r="S100" s="111">
        <f>IF(AND(OR(H100&lt;&gt;"",J100&lt;&gt;""),OR(L100="Pending",L100=""),C100&lt;&gt;""),C100+3,"")</f>
        <v/>
      </c>
      <c r="T100" s="79">
        <f>IF(S100="","",IF(AsOf&gt;S100,1,2))</f>
        <v/>
      </c>
      <c r="U100" s="79">
        <f>IF(T100="","","Decide on change order "&amp;B100&amp;": "&amp;H100&amp;" (+"&amp;CurSym&amp;" "&amp;FIXED(IF(J100="",0,J100),0)&amp;")")</f>
        <v/>
      </c>
    </row>
    <row r="101" ht="24" customHeight="1">
      <c r="B101" s="74" t="n"/>
      <c r="C101" s="108" t="n"/>
      <c r="D101" s="72" t="n"/>
      <c r="E101" s="72" t="n"/>
      <c r="F101" s="72" t="n"/>
      <c r="G101" s="72" t="n"/>
      <c r="H101" s="112" t="n"/>
      <c r="I101" s="72" t="n"/>
      <c r="J101" s="73" t="n"/>
      <c r="K101" s="89" t="n"/>
      <c r="L101" s="74" t="n"/>
      <c r="M101" s="108" t="n"/>
      <c r="N101" s="68">
        <f>IF(AND(H101="",J101=""),"",ForecastTotal+IF(L101="Approved",0,IF(J101="",0,J101)))</f>
        <v/>
      </c>
      <c r="O101" s="75">
        <f>IF(N101="","",ContAmt-MAX(0,N101-WorkBudget))</f>
        <v/>
      </c>
      <c r="P101" s="120">
        <f>IF(OR(N101="",ForecastEnd=""),"",ForecastEnd+IF(L101="Approved",0,IF(K101="",0,K101)))</f>
        <v/>
      </c>
      <c r="Q101" s="121">
        <f>IF(OR(N101="",WorkBudget=0),"",N101/WorkBudget-1)</f>
        <v/>
      </c>
      <c r="R101" s="79">
        <f>IF(N101="","",IF(N101&lt;=WorkBudget,0,IF(N101&lt;=TotalBudget,1,2)))</f>
        <v/>
      </c>
      <c r="S101" s="111">
        <f>IF(AND(OR(H101&lt;&gt;"",J101&lt;&gt;""),OR(L101="Pending",L101=""),C101&lt;&gt;""),C101+3,"")</f>
        <v/>
      </c>
      <c r="T101" s="79">
        <f>IF(S101="","",IF(AsOf&gt;S101,1,2))</f>
        <v/>
      </c>
      <c r="U101" s="79">
        <f>IF(T101="","","Decide on change order "&amp;B101&amp;": "&amp;H101&amp;" (+"&amp;CurSym&amp;" "&amp;FIXED(IF(J101="",0,J101),0)&amp;")")</f>
        <v/>
      </c>
    </row>
    <row r="102" ht="24" customHeight="1">
      <c r="B102" s="74" t="n"/>
      <c r="C102" s="108" t="n"/>
      <c r="D102" s="72" t="n"/>
      <c r="E102" s="72" t="n"/>
      <c r="F102" s="72" t="n"/>
      <c r="G102" s="72" t="n"/>
      <c r="H102" s="112" t="n"/>
      <c r="I102" s="72" t="n"/>
      <c r="J102" s="73" t="n"/>
      <c r="K102" s="89" t="n"/>
      <c r="L102" s="74" t="n"/>
      <c r="M102" s="108" t="n"/>
      <c r="N102" s="68">
        <f>IF(AND(H102="",J102=""),"",ForecastTotal+IF(L102="Approved",0,IF(J102="",0,J102)))</f>
        <v/>
      </c>
      <c r="O102" s="75">
        <f>IF(N102="","",ContAmt-MAX(0,N102-WorkBudget))</f>
        <v/>
      </c>
      <c r="P102" s="120">
        <f>IF(OR(N102="",ForecastEnd=""),"",ForecastEnd+IF(L102="Approved",0,IF(K102="",0,K102)))</f>
        <v/>
      </c>
      <c r="Q102" s="121">
        <f>IF(OR(N102="",WorkBudget=0),"",N102/WorkBudget-1)</f>
        <v/>
      </c>
      <c r="R102" s="79">
        <f>IF(N102="","",IF(N102&lt;=WorkBudget,0,IF(N102&lt;=TotalBudget,1,2)))</f>
        <v/>
      </c>
      <c r="S102" s="111">
        <f>IF(AND(OR(H102&lt;&gt;"",J102&lt;&gt;""),OR(L102="Pending",L102=""),C102&lt;&gt;""),C102+3,"")</f>
        <v/>
      </c>
      <c r="T102" s="79">
        <f>IF(S102="","",IF(AsOf&gt;S102,1,2))</f>
        <v/>
      </c>
      <c r="U102" s="79">
        <f>IF(T102="","","Decide on change order "&amp;B102&amp;": "&amp;H102&amp;" (+"&amp;CurSym&amp;" "&amp;FIXED(IF(J102="",0,J102),0)&amp;")")</f>
        <v/>
      </c>
    </row>
    <row r="103" ht="24" customHeight="1">
      <c r="B103" s="74" t="n"/>
      <c r="C103" s="108" t="n"/>
      <c r="D103" s="72" t="n"/>
      <c r="E103" s="72" t="n"/>
      <c r="F103" s="72" t="n"/>
      <c r="G103" s="72" t="n"/>
      <c r="H103" s="112" t="n"/>
      <c r="I103" s="72" t="n"/>
      <c r="J103" s="73" t="n"/>
      <c r="K103" s="89" t="n"/>
      <c r="L103" s="74" t="n"/>
      <c r="M103" s="108" t="n"/>
      <c r="N103" s="68">
        <f>IF(AND(H103="",J103=""),"",ForecastTotal+IF(L103="Approved",0,IF(J103="",0,J103)))</f>
        <v/>
      </c>
      <c r="O103" s="75">
        <f>IF(N103="","",ContAmt-MAX(0,N103-WorkBudget))</f>
        <v/>
      </c>
      <c r="P103" s="120">
        <f>IF(OR(N103="",ForecastEnd=""),"",ForecastEnd+IF(L103="Approved",0,IF(K103="",0,K103)))</f>
        <v/>
      </c>
      <c r="Q103" s="121">
        <f>IF(OR(N103="",WorkBudget=0),"",N103/WorkBudget-1)</f>
        <v/>
      </c>
      <c r="R103" s="79">
        <f>IF(N103="","",IF(N103&lt;=WorkBudget,0,IF(N103&lt;=TotalBudget,1,2)))</f>
        <v/>
      </c>
      <c r="S103" s="111">
        <f>IF(AND(OR(H103&lt;&gt;"",J103&lt;&gt;""),OR(L103="Pending",L103=""),C103&lt;&gt;""),C103+3,"")</f>
        <v/>
      </c>
      <c r="T103" s="79">
        <f>IF(S103="","",IF(AsOf&gt;S103,1,2))</f>
        <v/>
      </c>
      <c r="U103" s="79">
        <f>IF(T103="","","Decide on change order "&amp;B103&amp;": "&amp;H103&amp;" (+"&amp;CurSym&amp;" "&amp;FIXED(IF(J103="",0,J103),0)&amp;")")</f>
        <v/>
      </c>
    </row>
    <row r="104" ht="24" customHeight="1">
      <c r="B104" s="74" t="n"/>
      <c r="C104" s="108" t="n"/>
      <c r="D104" s="72" t="n"/>
      <c r="E104" s="72" t="n"/>
      <c r="F104" s="72" t="n"/>
      <c r="G104" s="72" t="n"/>
      <c r="H104" s="112" t="n"/>
      <c r="I104" s="72" t="n"/>
      <c r="J104" s="73" t="n"/>
      <c r="K104" s="89" t="n"/>
      <c r="L104" s="74" t="n"/>
      <c r="M104" s="108" t="n"/>
      <c r="N104" s="68">
        <f>IF(AND(H104="",J104=""),"",ForecastTotal+IF(L104="Approved",0,IF(J104="",0,J104)))</f>
        <v/>
      </c>
      <c r="O104" s="75">
        <f>IF(N104="","",ContAmt-MAX(0,N104-WorkBudget))</f>
        <v/>
      </c>
      <c r="P104" s="120">
        <f>IF(OR(N104="",ForecastEnd=""),"",ForecastEnd+IF(L104="Approved",0,IF(K104="",0,K104)))</f>
        <v/>
      </c>
      <c r="Q104" s="121">
        <f>IF(OR(N104="",WorkBudget=0),"",N104/WorkBudget-1)</f>
        <v/>
      </c>
      <c r="R104" s="79">
        <f>IF(N104="","",IF(N104&lt;=WorkBudget,0,IF(N104&lt;=TotalBudget,1,2)))</f>
        <v/>
      </c>
      <c r="S104" s="111">
        <f>IF(AND(OR(H104&lt;&gt;"",J104&lt;&gt;""),OR(L104="Pending",L104=""),C104&lt;&gt;""),C104+3,"")</f>
        <v/>
      </c>
      <c r="T104" s="79">
        <f>IF(S104="","",IF(AsOf&gt;S104,1,2))</f>
        <v/>
      </c>
      <c r="U104" s="79">
        <f>IF(T104="","","Decide on change order "&amp;B104&amp;": "&amp;H104&amp;" (+"&amp;CurSym&amp;" "&amp;FIXED(IF(J104="",0,J104),0)&amp;")")</f>
        <v/>
      </c>
    </row>
    <row r="105" ht="24" customHeight="1">
      <c r="B105" s="74" t="n"/>
      <c r="C105" s="108" t="n"/>
      <c r="D105" s="72" t="n"/>
      <c r="E105" s="72" t="n"/>
      <c r="F105" s="72" t="n"/>
      <c r="G105" s="72" t="n"/>
      <c r="H105" s="112" t="n"/>
      <c r="I105" s="72" t="n"/>
      <c r="J105" s="73" t="n"/>
      <c r="K105" s="89" t="n"/>
      <c r="L105" s="74" t="n"/>
      <c r="M105" s="108" t="n"/>
      <c r="N105" s="68">
        <f>IF(AND(H105="",J105=""),"",ForecastTotal+IF(L105="Approved",0,IF(J105="",0,J105)))</f>
        <v/>
      </c>
      <c r="O105" s="75">
        <f>IF(N105="","",ContAmt-MAX(0,N105-WorkBudget))</f>
        <v/>
      </c>
      <c r="P105" s="120">
        <f>IF(OR(N105="",ForecastEnd=""),"",ForecastEnd+IF(L105="Approved",0,IF(K105="",0,K105)))</f>
        <v/>
      </c>
      <c r="Q105" s="121">
        <f>IF(OR(N105="",WorkBudget=0),"",N105/WorkBudget-1)</f>
        <v/>
      </c>
      <c r="R105" s="79">
        <f>IF(N105="","",IF(N105&lt;=WorkBudget,0,IF(N105&lt;=TotalBudget,1,2)))</f>
        <v/>
      </c>
      <c r="S105" s="111">
        <f>IF(AND(OR(H105&lt;&gt;"",J105&lt;&gt;""),OR(L105="Pending",L105=""),C105&lt;&gt;""),C105+3,"")</f>
        <v/>
      </c>
      <c r="T105" s="79">
        <f>IF(S105="","",IF(AsOf&gt;S105,1,2))</f>
        <v/>
      </c>
      <c r="U105" s="79">
        <f>IF(T105="","","Decide on change order "&amp;B105&amp;": "&amp;H105&amp;" (+"&amp;CurSym&amp;" "&amp;FIXED(IF(J105="",0,J105),0)&amp;")")</f>
        <v/>
      </c>
    </row>
    <row r="106" ht="24" customHeight="1">
      <c r="B106" s="74" t="n"/>
      <c r="C106" s="108" t="n"/>
      <c r="D106" s="72" t="n"/>
      <c r="E106" s="72" t="n"/>
      <c r="F106" s="72" t="n"/>
      <c r="G106" s="72" t="n"/>
      <c r="H106" s="112" t="n"/>
      <c r="I106" s="72" t="n"/>
      <c r="J106" s="73" t="n"/>
      <c r="K106" s="89" t="n"/>
      <c r="L106" s="74" t="n"/>
      <c r="M106" s="108" t="n"/>
      <c r="N106" s="68">
        <f>IF(AND(H106="",J106=""),"",ForecastTotal+IF(L106="Approved",0,IF(J106="",0,J106)))</f>
        <v/>
      </c>
      <c r="O106" s="75">
        <f>IF(N106="","",ContAmt-MAX(0,N106-WorkBudget))</f>
        <v/>
      </c>
      <c r="P106" s="120">
        <f>IF(OR(N106="",ForecastEnd=""),"",ForecastEnd+IF(L106="Approved",0,IF(K106="",0,K106)))</f>
        <v/>
      </c>
      <c r="Q106" s="121">
        <f>IF(OR(N106="",WorkBudget=0),"",N106/WorkBudget-1)</f>
        <v/>
      </c>
      <c r="R106" s="79">
        <f>IF(N106="","",IF(N106&lt;=WorkBudget,0,IF(N106&lt;=TotalBudget,1,2)))</f>
        <v/>
      </c>
      <c r="S106" s="111">
        <f>IF(AND(OR(H106&lt;&gt;"",J106&lt;&gt;""),OR(L106="Pending",L106=""),C106&lt;&gt;""),C106+3,"")</f>
        <v/>
      </c>
      <c r="T106" s="79">
        <f>IF(S106="","",IF(AsOf&gt;S106,1,2))</f>
        <v/>
      </c>
      <c r="U106" s="79">
        <f>IF(T106="","","Decide on change order "&amp;B106&amp;": "&amp;H106&amp;" (+"&amp;CurSym&amp;" "&amp;FIXED(IF(J106="",0,J106),0)&amp;")")</f>
        <v/>
      </c>
    </row>
  </sheetData>
  <sheetProtection selectLockedCells="1" selectUnlockedCells="0" sheet="1" objects="0" insertRows="1" insertHyperlinks="1" autoFilter="1" scenarios="0" formatColumns="0" deleteColumns="1" insertColumns="1" pivotTables="1" deleteRows="1" formatCells="1" formatRows="0" sort="1" password="CD61"/>
  <mergeCells count="1">
    <mergeCell ref="B4:Q4"/>
  </mergeCells>
  <conditionalFormatting sqref="N7:Q106">
    <cfRule type="expression" priority="1" dxfId="0" stopIfTrue="0">
      <formula>$R7=2</formula>
    </cfRule>
    <cfRule type="expression" priority="2" dxfId="2" stopIfTrue="0">
      <formula>$R7=1</formula>
    </cfRule>
    <cfRule type="expression" priority="3" dxfId="3" stopIfTrue="0">
      <formula>$R7=0</formula>
    </cfRule>
  </conditionalFormatting>
  <conditionalFormatting sqref="L7:L106">
    <cfRule type="expression" priority="4" dxfId="2" stopIfTrue="0">
      <formula>L7="Pending"</formula>
    </cfRule>
    <cfRule type="expression" priority="5" dxfId="3" stopIfTrue="0">
      <formula>L7="Approved"</formula>
    </cfRule>
    <cfRule type="expression" priority="6" dxfId="7" stopIfTrue="0">
      <formula>L7="Rejected"</formula>
    </cfRule>
  </conditionalFormatting>
  <dataValidations count="6">
    <dataValidation sqref="D7:D106" showDropDown="0" showInputMessage="0" showErrorMessage="1" allowBlank="1" errorTitle="Renovation OS" error="Please pick a value from the dropdown list." type="list">
      <formula1>='Lists'!$F$2:$F$6</formula1>
    </dataValidation>
    <dataValidation sqref="E7:E106" showDropDown="0" showInputMessage="0" showErrorMessage="1" allowBlank="1" errorTitle="Renovation OS" error="This name is not in the list. Keep it anyway?" type="list" errorStyle="warning">
      <formula1>='Lists'!$X$2:$X$31</formula1>
    </dataValidation>
    <dataValidation sqref="F7:F106" showDropDown="0" showInputMessage="0" showErrorMessage="1" allowBlank="1" errorTitle="Renovation OS" error="Please pick a value from the dropdown list." type="list">
      <formula1>='Lists'!$V$2:$V$31</formula1>
    </dataValidation>
    <dataValidation sqref="G7:G106" showDropDown="0" showInputMessage="0" showErrorMessage="1" allowBlank="1" errorTitle="Renovation OS" error="Please pick a value from the dropdown list." type="list">
      <formula1>='Lists'!$W$2:$W$12</formula1>
    </dataValidation>
    <dataValidation sqref="I7:I106" showDropDown="0" showInputMessage="0" showErrorMessage="1" allowBlank="1" errorTitle="Renovation OS" error="Please pick a value from the dropdown list." type="list">
      <formula1>='Lists'!$E$2:$E$6</formula1>
    </dataValidation>
    <dataValidation sqref="L7:L106" showDropDown="0" showInputMessage="0" showErrorMessage="1" allowBlank="1" errorTitle="Renovation OS" error="Please pick a value from the dropdown list." type="list">
      <formula1>='Lists'!$D$2:$D$4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E07B00"/>
    <outlinePr summaryBelow="1" summaryRight="1"/>
    <pageSetUpPr/>
  </sheetPr>
  <dimension ref="A1:BW156"/>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5" customWidth="1" min="3" max="3"/>
    <col width="30" customWidth="1" min="4" max="4"/>
    <col width="14" customWidth="1" min="5" max="5"/>
    <col width="20" customWidth="1" min="6" max="6"/>
    <col width="9" customWidth="1" min="7" max="7"/>
    <col width="10" customWidth="1" min="8" max="8"/>
    <col width="12" customWidth="1" min="9" max="9"/>
    <col width="12" customWidth="1" min="10" max="10"/>
    <col width="8" customWidth="1" min="11" max="11"/>
    <col width="12" customWidth="1" min="12" max="12"/>
    <col width="12" customWidth="1" min="13" max="13"/>
    <col width="12" customWidth="1" min="14" max="14"/>
    <col width="9"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width="2" customWidth="1" min="23" max="23"/>
    <col width="3.3" customWidth="1" min="24" max="24"/>
    <col width="3.3" customWidth="1" min="25" max="25"/>
    <col width="3.3" customWidth="1" min="26" max="26"/>
    <col width="3.3" customWidth="1" min="27" max="27"/>
    <col width="3.3" customWidth="1" min="28" max="28"/>
    <col width="3.3" customWidth="1" min="29" max="29"/>
    <col width="3.3" customWidth="1" min="30" max="30"/>
    <col width="3.3" customWidth="1" min="31" max="31"/>
    <col width="3.3" customWidth="1" min="32" max="32"/>
    <col width="3.3" customWidth="1" min="33" max="33"/>
    <col width="3.3" customWidth="1" min="34" max="34"/>
    <col width="3.3" customWidth="1" min="35" max="35"/>
    <col width="3.3" customWidth="1" min="36" max="36"/>
    <col width="3.3" customWidth="1" min="37" max="37"/>
    <col width="3.3" customWidth="1" min="38" max="38"/>
    <col width="3.3" customWidth="1" min="39" max="39"/>
    <col width="3.3" customWidth="1" min="40" max="40"/>
    <col width="3.3" customWidth="1" min="41" max="41"/>
    <col width="3.3" customWidth="1" min="42" max="42"/>
    <col width="3.3" customWidth="1" min="43" max="43"/>
    <col width="3.3" customWidth="1" min="44" max="44"/>
    <col width="3.3" customWidth="1" min="45" max="45"/>
    <col width="3.3" customWidth="1" min="46" max="46"/>
    <col width="3.3" customWidth="1" min="47" max="47"/>
    <col width="3.3" customWidth="1" min="48" max="48"/>
    <col width="3.3" customWidth="1" min="49" max="49"/>
    <col width="3.3" customWidth="1" min="50" max="50"/>
    <col width="3.3" customWidth="1" min="51" max="51"/>
    <col width="3.3" customWidth="1" min="52" max="52"/>
    <col width="3.3" customWidth="1" min="53" max="53"/>
    <col width="3.3" customWidth="1" min="54" max="54"/>
    <col width="3.3" customWidth="1" min="55" max="55"/>
    <col width="3.3" customWidth="1" min="56" max="56"/>
    <col width="3.3" customWidth="1" min="57" max="57"/>
    <col width="3.3" customWidth="1" min="58" max="58"/>
    <col width="3.3" customWidth="1" min="59" max="59"/>
    <col width="3.3" customWidth="1" min="60" max="60"/>
    <col width="3.3" customWidth="1" min="61" max="61"/>
    <col width="3.3" customWidth="1" min="62" max="62"/>
    <col width="3.3" customWidth="1" min="63" max="63"/>
    <col width="3.3" customWidth="1" min="64" max="64"/>
    <col width="3.3" customWidth="1" min="65" max="65"/>
    <col width="3.3" customWidth="1" min="66" max="66"/>
    <col width="3.3" customWidth="1" min="67" max="67"/>
    <col width="3.3" customWidth="1" min="68" max="68"/>
    <col width="3.3" customWidth="1" min="69" max="69"/>
    <col width="3.3" customWidth="1" min="70" max="70"/>
    <col width="3.3" customWidth="1" min="71" max="71"/>
    <col width="3.3" customWidth="1" min="72" max="72"/>
    <col width="3.3" customWidth="1" min="73" max="73"/>
    <col width="3.3" customWidth="1" min="74" max="74"/>
    <col width="3.3" customWidth="1" min="75" max="75"/>
  </cols>
  <sheetData>
    <row r="1" ht="36" customHeight="1">
      <c r="B1" s="1" t="inlineStr">
        <is>
          <t>📅 Timeline</t>
        </is>
      </c>
    </row>
    <row r="2" ht="20" customHeight="1">
      <c r="B2" s="2" t="inlineStr">
        <is>
          <t>What this tab does: tasks with durations and dependencies → start/end dates, late warnings and a 52-week Gantt chart. Forecast finish feeds the Dashboard.</t>
        </is>
      </c>
    </row>
    <row r="3">
      <c r="B3" s="3" t="inlineStr">
        <is>
          <t>© 2026 Hang Nguyen — Renovation OS. Licensed to the original purchaser for personal use only. Do not share, copy, resell or redistribute.</t>
        </is>
      </c>
    </row>
    <row r="4" ht="26" customHeight="1">
      <c r="C4" s="85" t="inlineStr">
        <is>
          <t>Forecast finish</t>
        </is>
      </c>
      <c r="D4" s="122">
        <f>IF(COUNT(L7:L156)=0,"",MAX(L7:L156))</f>
        <v/>
      </c>
      <c r="E4" s="85" t="inlineStr">
        <is>
          <t>Target move-in</t>
        </is>
      </c>
      <c r="G4" s="123">
        <f>IF(TargetEnd="","",TargetEnd)</f>
        <v/>
      </c>
      <c r="H4" s="63" t="n"/>
      <c r="I4" s="13">
        <f>IF(OR(ForecastEnd="",TargetEnd=""),"",IF(ForecastEnd&gt;TargetEnd,"🔴 "&amp;(ForecastEnd-TargetEnd)&amp;" days late",IF(ForecastEnd=TargetEnd,"🟢 on target","🟢 "&amp;(TargetEnd-ForecastEnd)&amp;" days early")))</f>
        <v/>
      </c>
      <c r="R4" s="84">
        <f>AsOf</f>
        <v/>
      </c>
      <c r="X4" s="8" t="inlineStr">
        <is>
          <t>Gantt: teal = planned · grey = done · red = late · yellow column = this week</t>
        </is>
      </c>
    </row>
    <row r="5"/>
    <row r="6" ht="48" customHeight="1">
      <c r="B6" s="52" t="inlineStr">
        <is>
          <t>ID</t>
        </is>
      </c>
      <c r="C6" s="52" t="inlineStr">
        <is>
          <t>Phase</t>
        </is>
      </c>
      <c r="D6" s="52" t="inlineStr">
        <is>
          <t>Task</t>
        </is>
      </c>
      <c r="E6" s="52" t="inlineStr">
        <is>
          <t>Room</t>
        </is>
      </c>
      <c r="F6" s="52" t="inlineStr">
        <is>
          <t>Contractor</t>
        </is>
      </c>
      <c r="G6" s="52" t="inlineStr">
        <is>
          <t>Duration (days)</t>
        </is>
      </c>
      <c r="H6" s="52" t="inlineStr">
        <is>
          <t>Predecessor ID</t>
        </is>
      </c>
      <c r="I6" s="52" t="inlineStr">
        <is>
          <t>Earliest start (optional)</t>
        </is>
      </c>
      <c r="J6" s="52" t="inlineStr">
        <is>
          <t>Start</t>
        </is>
      </c>
      <c r="K6" s="52" t="inlineStr">
        <is>
          <t>Delay (days)</t>
        </is>
      </c>
      <c r="L6" s="52" t="inlineStr">
        <is>
          <t>End</t>
        </is>
      </c>
      <c r="M6" s="52" t="inlineStr">
        <is>
          <t>Status</t>
        </is>
      </c>
      <c r="N6" s="52" t="inlineStr">
        <is>
          <t>Done date</t>
        </is>
      </c>
      <c r="O6" s="52" t="inlineStr">
        <is>
          <t>Affects N tasks</t>
        </is>
      </c>
      <c r="P6" s="52" t="inlineStr">
        <is>
          <t>Flag</t>
        </is>
      </c>
      <c r="Q6" s="71" t="inlineStr">
        <is>
          <t>code</t>
        </is>
      </c>
      <c r="R6" s="71" t="inlineStr">
        <is>
          <t>first</t>
        </is>
      </c>
      <c r="S6" s="71" t="inlineStr">
        <is>
          <t>okey</t>
        </is>
      </c>
      <c r="T6" s="71" t="inlineStr">
        <is>
          <t>due</t>
        </is>
      </c>
      <c r="U6" s="71" t="inlineStr">
        <is>
          <t>pri</t>
        </is>
      </c>
      <c r="V6" s="71" t="inlineStr">
        <is>
          <t>text</t>
        </is>
      </c>
      <c r="X6" s="124">
        <f>IF(ProjStart="","",ProjStart-IF(WeekStart="Sunday",WEEKDAY(ProjStart,1)-1,WEEKDAY(ProjStart,3)))</f>
        <v/>
      </c>
      <c r="Y6" s="124">
        <f>IF(X6="","",X6+7)</f>
        <v/>
      </c>
      <c r="Z6" s="124">
        <f>IF(Y6="","",Y6+7)</f>
        <v/>
      </c>
      <c r="AA6" s="124">
        <f>IF(Z6="","",Z6+7)</f>
        <v/>
      </c>
      <c r="AB6" s="124">
        <f>IF(AA6="","",AA6+7)</f>
        <v/>
      </c>
      <c r="AC6" s="124">
        <f>IF(AB6="","",AB6+7)</f>
        <v/>
      </c>
      <c r="AD6" s="124">
        <f>IF(AC6="","",AC6+7)</f>
        <v/>
      </c>
      <c r="AE6" s="124">
        <f>IF(AD6="","",AD6+7)</f>
        <v/>
      </c>
      <c r="AF6" s="124">
        <f>IF(AE6="","",AE6+7)</f>
        <v/>
      </c>
      <c r="AG6" s="124">
        <f>IF(AF6="","",AF6+7)</f>
        <v/>
      </c>
      <c r="AH6" s="124">
        <f>IF(AG6="","",AG6+7)</f>
        <v/>
      </c>
      <c r="AI6" s="124">
        <f>IF(AH6="","",AH6+7)</f>
        <v/>
      </c>
      <c r="AJ6" s="124">
        <f>IF(AI6="","",AI6+7)</f>
        <v/>
      </c>
      <c r="AK6" s="124">
        <f>IF(AJ6="","",AJ6+7)</f>
        <v/>
      </c>
      <c r="AL6" s="124">
        <f>IF(AK6="","",AK6+7)</f>
        <v/>
      </c>
      <c r="AM6" s="124">
        <f>IF(AL6="","",AL6+7)</f>
        <v/>
      </c>
      <c r="AN6" s="124">
        <f>IF(AM6="","",AM6+7)</f>
        <v/>
      </c>
      <c r="AO6" s="124">
        <f>IF(AN6="","",AN6+7)</f>
        <v/>
      </c>
      <c r="AP6" s="124">
        <f>IF(AO6="","",AO6+7)</f>
        <v/>
      </c>
      <c r="AQ6" s="124">
        <f>IF(AP6="","",AP6+7)</f>
        <v/>
      </c>
      <c r="AR6" s="124">
        <f>IF(AQ6="","",AQ6+7)</f>
        <v/>
      </c>
      <c r="AS6" s="124">
        <f>IF(AR6="","",AR6+7)</f>
        <v/>
      </c>
      <c r="AT6" s="124">
        <f>IF(AS6="","",AS6+7)</f>
        <v/>
      </c>
      <c r="AU6" s="124">
        <f>IF(AT6="","",AT6+7)</f>
        <v/>
      </c>
      <c r="AV6" s="124">
        <f>IF(AU6="","",AU6+7)</f>
        <v/>
      </c>
      <c r="AW6" s="124">
        <f>IF(AV6="","",AV6+7)</f>
        <v/>
      </c>
      <c r="AX6" s="124">
        <f>IF(AW6="","",AW6+7)</f>
        <v/>
      </c>
      <c r="AY6" s="124">
        <f>IF(AX6="","",AX6+7)</f>
        <v/>
      </c>
      <c r="AZ6" s="124">
        <f>IF(AY6="","",AY6+7)</f>
        <v/>
      </c>
      <c r="BA6" s="124">
        <f>IF(AZ6="","",AZ6+7)</f>
        <v/>
      </c>
      <c r="BB6" s="124">
        <f>IF(BA6="","",BA6+7)</f>
        <v/>
      </c>
      <c r="BC6" s="124">
        <f>IF(BB6="","",BB6+7)</f>
        <v/>
      </c>
      <c r="BD6" s="124">
        <f>IF(BC6="","",BC6+7)</f>
        <v/>
      </c>
      <c r="BE6" s="124">
        <f>IF(BD6="","",BD6+7)</f>
        <v/>
      </c>
      <c r="BF6" s="124">
        <f>IF(BE6="","",BE6+7)</f>
        <v/>
      </c>
      <c r="BG6" s="124">
        <f>IF(BF6="","",BF6+7)</f>
        <v/>
      </c>
      <c r="BH6" s="124">
        <f>IF(BG6="","",BG6+7)</f>
        <v/>
      </c>
      <c r="BI6" s="124">
        <f>IF(BH6="","",BH6+7)</f>
        <v/>
      </c>
      <c r="BJ6" s="124">
        <f>IF(BI6="","",BI6+7)</f>
        <v/>
      </c>
      <c r="BK6" s="124">
        <f>IF(BJ6="","",BJ6+7)</f>
        <v/>
      </c>
      <c r="BL6" s="124">
        <f>IF(BK6="","",BK6+7)</f>
        <v/>
      </c>
      <c r="BM6" s="124">
        <f>IF(BL6="","",BL6+7)</f>
        <v/>
      </c>
      <c r="BN6" s="124">
        <f>IF(BM6="","",BM6+7)</f>
        <v/>
      </c>
      <c r="BO6" s="124">
        <f>IF(BN6="","",BN6+7)</f>
        <v/>
      </c>
      <c r="BP6" s="124">
        <f>IF(BO6="","",BO6+7)</f>
        <v/>
      </c>
      <c r="BQ6" s="124">
        <f>IF(BP6="","",BP6+7)</f>
        <v/>
      </c>
      <c r="BR6" s="124">
        <f>IF(BQ6="","",BQ6+7)</f>
        <v/>
      </c>
      <c r="BS6" s="124">
        <f>IF(BR6="","",BR6+7)</f>
        <v/>
      </c>
      <c r="BT6" s="124">
        <f>IF(BS6="","",BS6+7)</f>
        <v/>
      </c>
      <c r="BU6" s="124">
        <f>IF(BT6="","",BT6+7)</f>
        <v/>
      </c>
      <c r="BV6" s="124">
        <f>IF(BU6="","",BU6+7)</f>
        <v/>
      </c>
      <c r="BW6" s="124">
        <f>IF(BV6="","",BV6+7)</f>
        <v/>
      </c>
    </row>
    <row r="7" ht="20" customHeight="1">
      <c r="B7" s="125" t="n">
        <v>1</v>
      </c>
      <c r="C7" s="72" t="inlineStr">
        <is>
          <t>Pre-construction</t>
        </is>
      </c>
      <c r="D7" s="72" t="inlineStr">
        <is>
          <t>Design &amp; plans</t>
        </is>
      </c>
      <c r="E7" s="72" t="inlineStr">
        <is>
          <t>Whole house</t>
        </is>
      </c>
      <c r="F7" s="72" t="inlineStr">
        <is>
          <t>GreenPlan Architects</t>
        </is>
      </c>
      <c r="G7" s="89" t="n">
        <v>21</v>
      </c>
      <c r="H7" s="89" t="n"/>
      <c r="I7" s="108" t="n"/>
      <c r="J7" s="126">
        <f>IF(OR(D7="",ProjStart=""),"",MAX(ProjStart,IF(I7&lt;&gt;"",I7,0),IF(H7="",0,IFERROR(INDEX($L$6:L6,MATCH(H7,$B$6:B6,0))+1,0))))</f>
        <v/>
      </c>
      <c r="K7" s="89" t="n"/>
      <c r="L7" s="126">
        <f>IF(J7="","",J7+MAX(1,G7)+IF(K7="",0,K7)-1)</f>
        <v/>
      </c>
      <c r="M7" s="72" t="inlineStr">
        <is>
          <t>Done</t>
        </is>
      </c>
      <c r="N7" s="108" t="n">
        <v>46101</v>
      </c>
      <c r="O7" s="127">
        <f>IF(D7="","",COUNTIF($H$7:$H$156,B7))</f>
        <v/>
      </c>
      <c r="P7" s="78">
        <f>IF(D7="","",IF(AND(H7&lt;&gt;"",H7&gt;=B7),"⚠️ Predecessor must be above",IF(M7="Done","✓ Done",IF(Q7=3,"🔴 Late",IF(M7="In progress","In progress","")))))</f>
        <v/>
      </c>
      <c r="Q7" s="79">
        <f>IF(OR(D7="",L7=""),"",IF(M7="Done",2,IF(AsOf&gt;L7,3,1)))</f>
        <v/>
      </c>
      <c r="R7" s="79">
        <f>IF(OR(E7="",F7=""),0,IF(COUNTIFS($E$7:E7,E7,$F$7:F7,F7)=1,1,0))</f>
        <v/>
      </c>
      <c r="S7" s="79">
        <f>IF(R7=1,E7&amp;"|"&amp;SUMIFS($R$7:R7,$E$7:E7,E7),"")</f>
        <v/>
      </c>
      <c r="T7" s="111">
        <f>IF(Q7="","",IF(Q7=3,L7,IF(OR(M7="Not started",M7=""),J7,"")))</f>
        <v/>
      </c>
      <c r="U7" s="79">
        <f>IF(T7="","",IF(Q7=3,1,IF(T7="","",IF(T7&lt;AsOf,1,IF(T7&lt;=AsOf+AlertDays,2,IF(T7&lt;=AsOf+2*AlertDays,3,""))))))</f>
        <v/>
      </c>
      <c r="V7" s="79">
        <f>IF(U7="","",IF(Q7=3,"Late task: "&amp;D7,IF(T7&lt;AsOf,"Should have started: ","Starts soon: ")&amp;D7)&amp;IF(F7="",""," — "&amp;F7))</f>
        <v/>
      </c>
      <c r="X7" s="128" t="n"/>
      <c r="Y7" s="128" t="n"/>
      <c r="Z7" s="128" t="n"/>
      <c r="AA7" s="128" t="n"/>
      <c r="AB7" s="128" t="n"/>
      <c r="AC7" s="128" t="n"/>
      <c r="AD7" s="128" t="n"/>
      <c r="AE7" s="128" t="n"/>
      <c r="AF7" s="128" t="n"/>
      <c r="AG7" s="128" t="n"/>
      <c r="AH7" s="128" t="n"/>
      <c r="AI7" s="128" t="n"/>
      <c r="AJ7" s="128" t="n"/>
      <c r="AK7" s="128" t="n"/>
      <c r="AL7" s="128" t="n"/>
      <c r="AM7" s="128" t="n"/>
      <c r="AN7" s="128" t="n"/>
      <c r="AO7" s="128" t="n"/>
      <c r="AP7" s="128" t="n"/>
      <c r="AQ7" s="128" t="n"/>
      <c r="AR7" s="128" t="n"/>
      <c r="AS7" s="128" t="n"/>
      <c r="AT7" s="128" t="n"/>
      <c r="AU7" s="128" t="n"/>
      <c r="AV7" s="128" t="n"/>
      <c r="AW7" s="128" t="n"/>
      <c r="AX7" s="128" t="n"/>
      <c r="AY7" s="128" t="n"/>
      <c r="AZ7" s="128" t="n"/>
      <c r="BA7" s="128" t="n"/>
      <c r="BB7" s="128" t="n"/>
      <c r="BC7" s="128" t="n"/>
      <c r="BD7" s="128" t="n"/>
      <c r="BE7" s="128" t="n"/>
      <c r="BF7" s="128" t="n"/>
      <c r="BG7" s="128" t="n"/>
      <c r="BH7" s="128" t="n"/>
      <c r="BI7" s="128" t="n"/>
      <c r="BJ7" s="128" t="n"/>
      <c r="BK7" s="128" t="n"/>
      <c r="BL7" s="128" t="n"/>
      <c r="BM7" s="128" t="n"/>
      <c r="BN7" s="128" t="n"/>
      <c r="BO7" s="128" t="n"/>
      <c r="BP7" s="128" t="n"/>
      <c r="BQ7" s="128" t="n"/>
      <c r="BR7" s="128" t="n"/>
      <c r="BS7" s="128" t="n"/>
      <c r="BT7" s="128" t="n"/>
      <c r="BU7" s="128" t="n"/>
      <c r="BV7" s="128" t="n"/>
      <c r="BW7" s="128" t="n"/>
    </row>
    <row r="8" ht="20" customHeight="1">
      <c r="B8" s="125" t="n">
        <v>2</v>
      </c>
      <c r="C8" s="72" t="inlineStr">
        <is>
          <t>Pre-construction</t>
        </is>
      </c>
      <c r="D8" s="72" t="inlineStr">
        <is>
          <t>Building permit</t>
        </is>
      </c>
      <c r="E8" s="72" t="inlineStr">
        <is>
          <t>Whole house</t>
        </is>
      </c>
      <c r="F8" s="72" t="inlineStr">
        <is>
          <t>GreenPlan Architects</t>
        </is>
      </c>
      <c r="G8" s="89" t="n">
        <v>28</v>
      </c>
      <c r="H8" s="89" t="n">
        <v>1</v>
      </c>
      <c r="I8" s="108" t="n"/>
      <c r="J8" s="126">
        <f>IF(OR(D8="",ProjStart=""),"",MAX(ProjStart,IF(I8&lt;&gt;"",I8,0),IF(H8="",0,IFERROR(INDEX($L$6:L7,MATCH(H8,$B$6:B7,0))+1,0))))</f>
        <v/>
      </c>
      <c r="K8" s="89" t="n"/>
      <c r="L8" s="126">
        <f>IF(J8="","",J8+MAX(1,G8)+IF(K8="",0,K8)-1)</f>
        <v/>
      </c>
      <c r="M8" s="72" t="inlineStr">
        <is>
          <t>Done</t>
        </is>
      </c>
      <c r="N8" s="108" t="n">
        <v>46129</v>
      </c>
      <c r="O8" s="127">
        <f>IF(D8="","",COUNTIF($H$7:$H$156,B8))</f>
        <v/>
      </c>
      <c r="P8" s="78">
        <f>IF(D8="","",IF(AND(H8&lt;&gt;"",H8&gt;=B8),"⚠️ Predecessor must be above",IF(M8="Done","✓ Done",IF(Q8=3,"🔴 Late",IF(M8="In progress","In progress","")))))</f>
        <v/>
      </c>
      <c r="Q8" s="79">
        <f>IF(OR(D8="",L8=""),"",IF(M8="Done",2,IF(AsOf&gt;L8,3,1)))</f>
        <v/>
      </c>
      <c r="R8" s="79">
        <f>IF(OR(E8="",F8=""),0,IF(COUNTIFS($E$7:E8,E8,$F$7:F8,F8)=1,1,0))</f>
        <v/>
      </c>
      <c r="S8" s="79">
        <f>IF(R8=1,E8&amp;"|"&amp;SUMIFS($R$7:R8,$E$7:E8,E8),"")</f>
        <v/>
      </c>
      <c r="T8" s="111">
        <f>IF(Q8="","",IF(Q8=3,L8,IF(OR(M8="Not started",M8=""),J8,"")))</f>
        <v/>
      </c>
      <c r="U8" s="79">
        <f>IF(T8="","",IF(Q8=3,1,IF(T8="","",IF(T8&lt;AsOf,1,IF(T8&lt;=AsOf+AlertDays,2,IF(T8&lt;=AsOf+2*AlertDays,3,""))))))</f>
        <v/>
      </c>
      <c r="V8" s="79">
        <f>IF(U8="","",IF(Q8=3,"Late task: "&amp;D8,IF(T8&lt;AsOf,"Should have started: ","Starts soon: ")&amp;D8)&amp;IF(F8="",""," — "&amp;F8))</f>
        <v/>
      </c>
      <c r="X8" s="128" t="n"/>
      <c r="Y8" s="128" t="n"/>
      <c r="Z8" s="128" t="n"/>
      <c r="AA8" s="128" t="n"/>
      <c r="AB8" s="128" t="n"/>
      <c r="AC8" s="128" t="n"/>
      <c r="AD8" s="128" t="n"/>
      <c r="AE8" s="128" t="n"/>
      <c r="AF8" s="128" t="n"/>
      <c r="AG8" s="128" t="n"/>
      <c r="AH8" s="128" t="n"/>
      <c r="AI8" s="128" t="n"/>
      <c r="AJ8" s="128" t="n"/>
      <c r="AK8" s="128" t="n"/>
      <c r="AL8" s="128" t="n"/>
      <c r="AM8" s="128" t="n"/>
      <c r="AN8" s="128" t="n"/>
      <c r="AO8" s="128" t="n"/>
      <c r="AP8" s="128" t="n"/>
      <c r="AQ8" s="128" t="n"/>
      <c r="AR8" s="128" t="n"/>
      <c r="AS8" s="128" t="n"/>
      <c r="AT8" s="128" t="n"/>
      <c r="AU8" s="128" t="n"/>
      <c r="AV8" s="128" t="n"/>
      <c r="AW8" s="128" t="n"/>
      <c r="AX8" s="128" t="n"/>
      <c r="AY8" s="128" t="n"/>
      <c r="AZ8" s="128" t="n"/>
      <c r="BA8" s="128" t="n"/>
      <c r="BB8" s="128" t="n"/>
      <c r="BC8" s="128" t="n"/>
      <c r="BD8" s="128" t="n"/>
      <c r="BE8" s="128" t="n"/>
      <c r="BF8" s="128" t="n"/>
      <c r="BG8" s="128" t="n"/>
      <c r="BH8" s="128" t="n"/>
      <c r="BI8" s="128" t="n"/>
      <c r="BJ8" s="128" t="n"/>
      <c r="BK8" s="128" t="n"/>
      <c r="BL8" s="128" t="n"/>
      <c r="BM8" s="128" t="n"/>
      <c r="BN8" s="128" t="n"/>
      <c r="BO8" s="128" t="n"/>
      <c r="BP8" s="128" t="n"/>
      <c r="BQ8" s="128" t="n"/>
      <c r="BR8" s="128" t="n"/>
      <c r="BS8" s="128" t="n"/>
      <c r="BT8" s="128" t="n"/>
      <c r="BU8" s="128" t="n"/>
      <c r="BV8" s="128" t="n"/>
      <c r="BW8" s="128" t="n"/>
    </row>
    <row r="9" ht="20" customHeight="1">
      <c r="B9" s="125" t="n">
        <v>3</v>
      </c>
      <c r="C9" s="72" t="inlineStr">
        <is>
          <t>Pre-construction</t>
        </is>
      </c>
      <c r="D9" s="72" t="inlineStr">
        <is>
          <t>Contractor selection</t>
        </is>
      </c>
      <c r="E9" s="72" t="inlineStr">
        <is>
          <t>Whole house</t>
        </is>
      </c>
      <c r="F9" s="72" t="n"/>
      <c r="G9" s="89" t="n">
        <v>14</v>
      </c>
      <c r="H9" s="89" t="n">
        <v>1</v>
      </c>
      <c r="I9" s="108" t="n"/>
      <c r="J9" s="126">
        <f>IF(OR(D9="",ProjStart=""),"",MAX(ProjStart,IF(I9&lt;&gt;"",I9,0),IF(H9="",0,IFERROR(INDEX($L$6:L8,MATCH(H9,$B$6:B8,0))+1,0))))</f>
        <v/>
      </c>
      <c r="K9" s="89" t="n"/>
      <c r="L9" s="126">
        <f>IF(J9="","",J9+MAX(1,G9)+IF(K9="",0,K9)-1)</f>
        <v/>
      </c>
      <c r="M9" s="72" t="inlineStr">
        <is>
          <t>Done</t>
        </is>
      </c>
      <c r="N9" s="108" t="n">
        <v>46115</v>
      </c>
      <c r="O9" s="127">
        <f>IF(D9="","",COUNTIF($H$7:$H$156,B9))</f>
        <v/>
      </c>
      <c r="P9" s="78">
        <f>IF(D9="","",IF(AND(H9&lt;&gt;"",H9&gt;=B9),"⚠️ Predecessor must be above",IF(M9="Done","✓ Done",IF(Q9=3,"🔴 Late",IF(M9="In progress","In progress","")))))</f>
        <v/>
      </c>
      <c r="Q9" s="79">
        <f>IF(OR(D9="",L9=""),"",IF(M9="Done",2,IF(AsOf&gt;L9,3,1)))</f>
        <v/>
      </c>
      <c r="R9" s="79">
        <f>IF(OR(E9="",F9=""),0,IF(COUNTIFS($E$7:E9,E9,$F$7:F9,F9)=1,1,0))</f>
        <v/>
      </c>
      <c r="S9" s="79">
        <f>IF(R9=1,E9&amp;"|"&amp;SUMIFS($R$7:R9,$E$7:E9,E9),"")</f>
        <v/>
      </c>
      <c r="T9" s="111">
        <f>IF(Q9="","",IF(Q9=3,L9,IF(OR(M9="Not started",M9=""),J9,"")))</f>
        <v/>
      </c>
      <c r="U9" s="79">
        <f>IF(T9="","",IF(Q9=3,1,IF(T9="","",IF(T9&lt;AsOf,1,IF(T9&lt;=AsOf+AlertDays,2,IF(T9&lt;=AsOf+2*AlertDays,3,""))))))</f>
        <v/>
      </c>
      <c r="V9" s="79">
        <f>IF(U9="","",IF(Q9=3,"Late task: "&amp;D9,IF(T9&lt;AsOf,"Should have started: ","Starts soon: ")&amp;D9)&amp;IF(F9="",""," — "&amp;F9))</f>
        <v/>
      </c>
      <c r="X9" s="128" t="n"/>
      <c r="Y9" s="128" t="n"/>
      <c r="Z9" s="128" t="n"/>
      <c r="AA9" s="128" t="n"/>
      <c r="AB9" s="128" t="n"/>
      <c r="AC9" s="128" t="n"/>
      <c r="AD9" s="128" t="n"/>
      <c r="AE9" s="128" t="n"/>
      <c r="AF9" s="128" t="n"/>
      <c r="AG9" s="128" t="n"/>
      <c r="AH9" s="128" t="n"/>
      <c r="AI9" s="128" t="n"/>
      <c r="AJ9" s="128" t="n"/>
      <c r="AK9" s="128" t="n"/>
      <c r="AL9" s="128" t="n"/>
      <c r="AM9" s="128" t="n"/>
      <c r="AN9" s="128" t="n"/>
      <c r="AO9" s="128" t="n"/>
      <c r="AP9" s="128" t="n"/>
      <c r="AQ9" s="128" t="n"/>
      <c r="AR9" s="128" t="n"/>
      <c r="AS9" s="128" t="n"/>
      <c r="AT9" s="128" t="n"/>
      <c r="AU9" s="128" t="n"/>
      <c r="AV9" s="128" t="n"/>
      <c r="AW9" s="128" t="n"/>
      <c r="AX9" s="128" t="n"/>
      <c r="AY9" s="128" t="n"/>
      <c r="AZ9" s="128" t="n"/>
      <c r="BA9" s="128" t="n"/>
      <c r="BB9" s="128" t="n"/>
      <c r="BC9" s="128" t="n"/>
      <c r="BD9" s="128" t="n"/>
      <c r="BE9" s="128" t="n"/>
      <c r="BF9" s="128" t="n"/>
      <c r="BG9" s="128" t="n"/>
      <c r="BH9" s="128" t="n"/>
      <c r="BI9" s="128" t="n"/>
      <c r="BJ9" s="128" t="n"/>
      <c r="BK9" s="128" t="n"/>
      <c r="BL9" s="128" t="n"/>
      <c r="BM9" s="128" t="n"/>
      <c r="BN9" s="128" t="n"/>
      <c r="BO9" s="128" t="n"/>
      <c r="BP9" s="128" t="n"/>
      <c r="BQ9" s="128" t="n"/>
      <c r="BR9" s="128" t="n"/>
      <c r="BS9" s="128" t="n"/>
      <c r="BT9" s="128" t="n"/>
      <c r="BU9" s="128" t="n"/>
      <c r="BV9" s="128" t="n"/>
      <c r="BW9" s="128" t="n"/>
    </row>
    <row r="10" ht="20" customHeight="1">
      <c r="B10" s="125" t="n">
        <v>4</v>
      </c>
      <c r="C10" s="72" t="inlineStr">
        <is>
          <t>Pre-construction</t>
        </is>
      </c>
      <c r="D10" s="72" t="inlineStr">
        <is>
          <t>Order long-lead items</t>
        </is>
      </c>
      <c r="E10" s="72" t="inlineStr">
        <is>
          <t>Whole house</t>
        </is>
      </c>
      <c r="F10" s="72" t="n"/>
      <c r="G10" s="89" t="n">
        <v>7</v>
      </c>
      <c r="H10" s="89" t="n">
        <v>3</v>
      </c>
      <c r="I10" s="108" t="n"/>
      <c r="J10" s="126">
        <f>IF(OR(D10="",ProjStart=""),"",MAX(ProjStart,IF(I10&lt;&gt;"",I10,0),IF(H10="",0,IFERROR(INDEX($L$6:L9,MATCH(H10,$B$6:B9,0))+1,0))))</f>
        <v/>
      </c>
      <c r="K10" s="89" t="n"/>
      <c r="L10" s="126">
        <f>IF(J10="","",J10+MAX(1,G10)+IF(K10="",0,K10)-1)</f>
        <v/>
      </c>
      <c r="M10" s="72" t="inlineStr">
        <is>
          <t>Done</t>
        </is>
      </c>
      <c r="N10" s="108" t="n">
        <v>46122</v>
      </c>
      <c r="O10" s="127">
        <f>IF(D10="","",COUNTIF($H$7:$H$156,B10))</f>
        <v/>
      </c>
      <c r="P10" s="78">
        <f>IF(D10="","",IF(AND(H10&lt;&gt;"",H10&gt;=B10),"⚠️ Predecessor must be above",IF(M10="Done","✓ Done",IF(Q10=3,"🔴 Late",IF(M10="In progress","In progress","")))))</f>
        <v/>
      </c>
      <c r="Q10" s="79">
        <f>IF(OR(D10="",L10=""),"",IF(M10="Done",2,IF(AsOf&gt;L10,3,1)))</f>
        <v/>
      </c>
      <c r="R10" s="79">
        <f>IF(OR(E10="",F10=""),0,IF(COUNTIFS($E$7:E10,E10,$F$7:F10,F10)=1,1,0))</f>
        <v/>
      </c>
      <c r="S10" s="79">
        <f>IF(R10=1,E10&amp;"|"&amp;SUMIFS($R$7:R10,$E$7:E10,E10),"")</f>
        <v/>
      </c>
      <c r="T10" s="111">
        <f>IF(Q10="","",IF(Q10=3,L10,IF(OR(M10="Not started",M10=""),J10,"")))</f>
        <v/>
      </c>
      <c r="U10" s="79">
        <f>IF(T10="","",IF(Q10=3,1,IF(T10="","",IF(T10&lt;AsOf,1,IF(T10&lt;=AsOf+AlertDays,2,IF(T10&lt;=AsOf+2*AlertDays,3,""))))))</f>
        <v/>
      </c>
      <c r="V10" s="79">
        <f>IF(U10="","",IF(Q10=3,"Late task: "&amp;D10,IF(T10&lt;AsOf,"Should have started: ","Starts soon: ")&amp;D10)&amp;IF(F10="",""," — "&amp;F10))</f>
        <v/>
      </c>
      <c r="X10" s="128" t="n"/>
      <c r="Y10" s="128" t="n"/>
      <c r="Z10" s="128" t="n"/>
      <c r="AA10" s="128" t="n"/>
      <c r="AB10" s="128" t="n"/>
      <c r="AC10" s="128" t="n"/>
      <c r="AD10" s="128" t="n"/>
      <c r="AE10" s="128" t="n"/>
      <c r="AF10" s="128" t="n"/>
      <c r="AG10" s="128" t="n"/>
      <c r="AH10" s="128" t="n"/>
      <c r="AI10" s="128" t="n"/>
      <c r="AJ10" s="128" t="n"/>
      <c r="AK10" s="128" t="n"/>
      <c r="AL10" s="128" t="n"/>
      <c r="AM10" s="128" t="n"/>
      <c r="AN10" s="128" t="n"/>
      <c r="AO10" s="128" t="n"/>
      <c r="AP10" s="128" t="n"/>
      <c r="AQ10" s="128" t="n"/>
      <c r="AR10" s="128" t="n"/>
      <c r="AS10" s="128" t="n"/>
      <c r="AT10" s="128" t="n"/>
      <c r="AU10" s="128" t="n"/>
      <c r="AV10" s="128" t="n"/>
      <c r="AW10" s="128" t="n"/>
      <c r="AX10" s="128" t="n"/>
      <c r="AY10" s="128" t="n"/>
      <c r="AZ10" s="128" t="n"/>
      <c r="BA10" s="128" t="n"/>
      <c r="BB10" s="128" t="n"/>
      <c r="BC10" s="128" t="n"/>
      <c r="BD10" s="128" t="n"/>
      <c r="BE10" s="128" t="n"/>
      <c r="BF10" s="128" t="n"/>
      <c r="BG10" s="128" t="n"/>
      <c r="BH10" s="128" t="n"/>
      <c r="BI10" s="128" t="n"/>
      <c r="BJ10" s="128" t="n"/>
      <c r="BK10" s="128" t="n"/>
      <c r="BL10" s="128" t="n"/>
      <c r="BM10" s="128" t="n"/>
      <c r="BN10" s="128" t="n"/>
      <c r="BO10" s="128" t="n"/>
      <c r="BP10" s="128" t="n"/>
      <c r="BQ10" s="128" t="n"/>
      <c r="BR10" s="128" t="n"/>
      <c r="BS10" s="128" t="n"/>
      <c r="BT10" s="128" t="n"/>
      <c r="BU10" s="128" t="n"/>
      <c r="BV10" s="128" t="n"/>
      <c r="BW10" s="128" t="n"/>
    </row>
    <row r="11" ht="20" customHeight="1">
      <c r="B11" s="125" t="n">
        <v>5</v>
      </c>
      <c r="C11" s="72" t="inlineStr">
        <is>
          <t>Construction</t>
        </is>
      </c>
      <c r="D11" s="72" t="inlineStr">
        <is>
          <t>Demolition &amp; strip-out</t>
        </is>
      </c>
      <c r="E11" s="72" t="inlineStr">
        <is>
          <t>Whole house</t>
        </is>
      </c>
      <c r="F11" s="72" t="inlineStr">
        <is>
          <t>Hansen Demolition</t>
        </is>
      </c>
      <c r="G11" s="89" t="n">
        <v>10</v>
      </c>
      <c r="H11" s="89" t="n">
        <v>2</v>
      </c>
      <c r="I11" s="108" t="n"/>
      <c r="J11" s="126">
        <f>IF(OR(D11="",ProjStart=""),"",MAX(ProjStart,IF(I11&lt;&gt;"",I11,0),IF(H11="",0,IFERROR(INDEX($L$6:L10,MATCH(H11,$B$6:B10,0))+1,0))))</f>
        <v/>
      </c>
      <c r="K11" s="89" t="n"/>
      <c r="L11" s="126">
        <f>IF(J11="","",J11+MAX(1,G11)+IF(K11="",0,K11)-1)</f>
        <v/>
      </c>
      <c r="M11" s="72" t="inlineStr">
        <is>
          <t>Done</t>
        </is>
      </c>
      <c r="N11" s="108" t="n">
        <v>46141</v>
      </c>
      <c r="O11" s="127">
        <f>IF(D11="","",COUNTIF($H$7:$H$156,B11))</f>
        <v/>
      </c>
      <c r="P11" s="78">
        <f>IF(D11="","",IF(AND(H11&lt;&gt;"",H11&gt;=B11),"⚠️ Predecessor must be above",IF(M11="Done","✓ Done",IF(Q11=3,"🔴 Late",IF(M11="In progress","In progress","")))))</f>
        <v/>
      </c>
      <c r="Q11" s="79">
        <f>IF(OR(D11="",L11=""),"",IF(M11="Done",2,IF(AsOf&gt;L11,3,1)))</f>
        <v/>
      </c>
      <c r="R11" s="79">
        <f>IF(OR(E11="",F11=""),0,IF(COUNTIFS($E$7:E11,E11,$F$7:F11,F11)=1,1,0))</f>
        <v/>
      </c>
      <c r="S11" s="79">
        <f>IF(R11=1,E11&amp;"|"&amp;SUMIFS($R$7:R11,$E$7:E11,E11),"")</f>
        <v/>
      </c>
      <c r="T11" s="111">
        <f>IF(Q11="","",IF(Q11=3,L11,IF(OR(M11="Not started",M11=""),J11,"")))</f>
        <v/>
      </c>
      <c r="U11" s="79">
        <f>IF(T11="","",IF(Q11=3,1,IF(T11="","",IF(T11&lt;AsOf,1,IF(T11&lt;=AsOf+AlertDays,2,IF(T11&lt;=AsOf+2*AlertDays,3,""))))))</f>
        <v/>
      </c>
      <c r="V11" s="79">
        <f>IF(U11="","",IF(Q11=3,"Late task: "&amp;D11,IF(T11&lt;AsOf,"Should have started: ","Starts soon: ")&amp;D11)&amp;IF(F11="",""," — "&amp;F11))</f>
        <v/>
      </c>
      <c r="X11" s="128" t="n"/>
      <c r="Y11" s="128" t="n"/>
      <c r="Z11" s="128" t="n"/>
      <c r="AA11" s="128" t="n"/>
      <c r="AB11" s="128" t="n"/>
      <c r="AC11" s="128" t="n"/>
      <c r="AD11" s="128" t="n"/>
      <c r="AE11" s="128" t="n"/>
      <c r="AF11" s="128" t="n"/>
      <c r="AG11" s="128" t="n"/>
      <c r="AH11" s="128" t="n"/>
      <c r="AI11" s="128" t="n"/>
      <c r="AJ11" s="128" t="n"/>
      <c r="AK11" s="128" t="n"/>
      <c r="AL11" s="128" t="n"/>
      <c r="AM11" s="128" t="n"/>
      <c r="AN11" s="128" t="n"/>
      <c r="AO11" s="128" t="n"/>
      <c r="AP11" s="128" t="n"/>
      <c r="AQ11" s="128" t="n"/>
      <c r="AR11" s="128" t="n"/>
      <c r="AS11" s="128" t="n"/>
      <c r="AT11" s="128" t="n"/>
      <c r="AU11" s="128" t="n"/>
      <c r="AV11" s="128" t="n"/>
      <c r="AW11" s="128" t="n"/>
      <c r="AX11" s="128" t="n"/>
      <c r="AY11" s="128" t="n"/>
      <c r="AZ11" s="128" t="n"/>
      <c r="BA11" s="128" t="n"/>
      <c r="BB11" s="128" t="n"/>
      <c r="BC11" s="128" t="n"/>
      <c r="BD11" s="128" t="n"/>
      <c r="BE11" s="128" t="n"/>
      <c r="BF11" s="128" t="n"/>
      <c r="BG11" s="128" t="n"/>
      <c r="BH11" s="128" t="n"/>
      <c r="BI11" s="128" t="n"/>
      <c r="BJ11" s="128" t="n"/>
      <c r="BK11" s="128" t="n"/>
      <c r="BL11" s="128" t="n"/>
      <c r="BM11" s="128" t="n"/>
      <c r="BN11" s="128" t="n"/>
      <c r="BO11" s="128" t="n"/>
      <c r="BP11" s="128" t="n"/>
      <c r="BQ11" s="128" t="n"/>
      <c r="BR11" s="128" t="n"/>
      <c r="BS11" s="128" t="n"/>
      <c r="BT11" s="128" t="n"/>
      <c r="BU11" s="128" t="n"/>
      <c r="BV11" s="128" t="n"/>
      <c r="BW11" s="128" t="n"/>
    </row>
    <row r="12" ht="20" customHeight="1">
      <c r="B12" s="125" t="n">
        <v>6</v>
      </c>
      <c r="C12" s="72" t="inlineStr">
        <is>
          <t>Construction</t>
        </is>
      </c>
      <c r="D12" s="72" t="inlineStr">
        <is>
          <t>Structural beam &amp; walls</t>
        </is>
      </c>
      <c r="E12" s="72" t="inlineStr">
        <is>
          <t>Living room</t>
        </is>
      </c>
      <c r="F12" s="72" t="inlineStr">
        <is>
          <t>Solid Structures Ltd</t>
        </is>
      </c>
      <c r="G12" s="89" t="n">
        <v>12</v>
      </c>
      <c r="H12" s="89" t="n">
        <v>5</v>
      </c>
      <c r="I12" s="108" t="n"/>
      <c r="J12" s="126">
        <f>IF(OR(D12="",ProjStart=""),"",MAX(ProjStart,IF(I12&lt;&gt;"",I12,0),IF(H12="",0,IFERROR(INDEX($L$6:L11,MATCH(H12,$B$6:B11,0))+1,0))))</f>
        <v/>
      </c>
      <c r="K12" s="89" t="n"/>
      <c r="L12" s="126">
        <f>IF(J12="","",J12+MAX(1,G12)+IF(K12="",0,K12)-1)</f>
        <v/>
      </c>
      <c r="M12" s="72" t="inlineStr">
        <is>
          <t>Done</t>
        </is>
      </c>
      <c r="N12" s="108" t="n">
        <v>46153</v>
      </c>
      <c r="O12" s="127">
        <f>IF(D12="","",COUNTIF($H$7:$H$156,B12))</f>
        <v/>
      </c>
      <c r="P12" s="78">
        <f>IF(D12="","",IF(AND(H12&lt;&gt;"",H12&gt;=B12),"⚠️ Predecessor must be above",IF(M12="Done","✓ Done",IF(Q12=3,"🔴 Late",IF(M12="In progress","In progress","")))))</f>
        <v/>
      </c>
      <c r="Q12" s="79">
        <f>IF(OR(D12="",L12=""),"",IF(M12="Done",2,IF(AsOf&gt;L12,3,1)))</f>
        <v/>
      </c>
      <c r="R12" s="79">
        <f>IF(OR(E12="",F12=""),0,IF(COUNTIFS($E$7:E12,E12,$F$7:F12,F12)=1,1,0))</f>
        <v/>
      </c>
      <c r="S12" s="79">
        <f>IF(R12=1,E12&amp;"|"&amp;SUMIFS($R$7:R12,$E$7:E12,E12),"")</f>
        <v/>
      </c>
      <c r="T12" s="111">
        <f>IF(Q12="","",IF(Q12=3,L12,IF(OR(M12="Not started",M12=""),J12,"")))</f>
        <v/>
      </c>
      <c r="U12" s="79">
        <f>IF(T12="","",IF(Q12=3,1,IF(T12="","",IF(T12&lt;AsOf,1,IF(T12&lt;=AsOf+AlertDays,2,IF(T12&lt;=AsOf+2*AlertDays,3,""))))))</f>
        <v/>
      </c>
      <c r="V12" s="79">
        <f>IF(U12="","",IF(Q12=3,"Late task: "&amp;D12,IF(T12&lt;AsOf,"Should have started: ","Starts soon: ")&amp;D12)&amp;IF(F12="",""," — "&amp;F12))</f>
        <v/>
      </c>
      <c r="X12" s="128" t="n"/>
      <c r="Y12" s="128" t="n"/>
      <c r="Z12" s="128" t="n"/>
      <c r="AA12" s="128" t="n"/>
      <c r="AB12" s="128" t="n"/>
      <c r="AC12" s="128" t="n"/>
      <c r="AD12" s="128" t="n"/>
      <c r="AE12" s="128" t="n"/>
      <c r="AF12" s="128" t="n"/>
      <c r="AG12" s="128" t="n"/>
      <c r="AH12" s="128" t="n"/>
      <c r="AI12" s="128" t="n"/>
      <c r="AJ12" s="128" t="n"/>
      <c r="AK12" s="128" t="n"/>
      <c r="AL12" s="128" t="n"/>
      <c r="AM12" s="128" t="n"/>
      <c r="AN12" s="128" t="n"/>
      <c r="AO12" s="128" t="n"/>
      <c r="AP12" s="128" t="n"/>
      <c r="AQ12" s="128" t="n"/>
      <c r="AR12" s="128" t="n"/>
      <c r="AS12" s="128" t="n"/>
      <c r="AT12" s="128" t="n"/>
      <c r="AU12" s="128" t="n"/>
      <c r="AV12" s="128" t="n"/>
      <c r="AW12" s="128" t="n"/>
      <c r="AX12" s="128" t="n"/>
      <c r="AY12" s="128" t="n"/>
      <c r="AZ12" s="128" t="n"/>
      <c r="BA12" s="128" t="n"/>
      <c r="BB12" s="128" t="n"/>
      <c r="BC12" s="128" t="n"/>
      <c r="BD12" s="128" t="n"/>
      <c r="BE12" s="128" t="n"/>
      <c r="BF12" s="128" t="n"/>
      <c r="BG12" s="128" t="n"/>
      <c r="BH12" s="128" t="n"/>
      <c r="BI12" s="128" t="n"/>
      <c r="BJ12" s="128" t="n"/>
      <c r="BK12" s="128" t="n"/>
      <c r="BL12" s="128" t="n"/>
      <c r="BM12" s="128" t="n"/>
      <c r="BN12" s="128" t="n"/>
      <c r="BO12" s="128" t="n"/>
      <c r="BP12" s="128" t="n"/>
      <c r="BQ12" s="128" t="n"/>
      <c r="BR12" s="128" t="n"/>
      <c r="BS12" s="128" t="n"/>
      <c r="BT12" s="128" t="n"/>
      <c r="BU12" s="128" t="n"/>
      <c r="BV12" s="128" t="n"/>
      <c r="BW12" s="128" t="n"/>
    </row>
    <row r="13" ht="20" customHeight="1">
      <c r="B13" s="125" t="n">
        <v>7</v>
      </c>
      <c r="C13" s="72" t="inlineStr">
        <is>
          <t>Construction</t>
        </is>
      </c>
      <c r="D13" s="72" t="inlineStr">
        <is>
          <t>Windows &amp; doors</t>
        </is>
      </c>
      <c r="E13" s="72" t="inlineStr">
        <is>
          <t>Whole house</t>
        </is>
      </c>
      <c r="F13" s="72" t="inlineStr">
        <is>
          <t>ClearView Windows</t>
        </is>
      </c>
      <c r="G13" s="89" t="n">
        <v>8</v>
      </c>
      <c r="H13" s="89" t="n">
        <v>5</v>
      </c>
      <c r="I13" s="108" t="n"/>
      <c r="J13" s="126">
        <f>IF(OR(D13="",ProjStart=""),"",MAX(ProjStart,IF(I13&lt;&gt;"",I13,0),IF(H13="",0,IFERROR(INDEX($L$6:L12,MATCH(H13,$B$6:B12,0))+1,0))))</f>
        <v/>
      </c>
      <c r="K13" s="89" t="n"/>
      <c r="L13" s="126">
        <f>IF(J13="","",J13+MAX(1,G13)+IF(K13="",0,K13)-1)</f>
        <v/>
      </c>
      <c r="M13" s="72" t="inlineStr">
        <is>
          <t>Done</t>
        </is>
      </c>
      <c r="N13" s="108" t="n">
        <v>46150</v>
      </c>
      <c r="O13" s="127">
        <f>IF(D13="","",COUNTIF($H$7:$H$156,B13))</f>
        <v/>
      </c>
      <c r="P13" s="78">
        <f>IF(D13="","",IF(AND(H13&lt;&gt;"",H13&gt;=B13),"⚠️ Predecessor must be above",IF(M13="Done","✓ Done",IF(Q13=3,"🔴 Late",IF(M13="In progress","In progress","")))))</f>
        <v/>
      </c>
      <c r="Q13" s="79">
        <f>IF(OR(D13="",L13=""),"",IF(M13="Done",2,IF(AsOf&gt;L13,3,1)))</f>
        <v/>
      </c>
      <c r="R13" s="79">
        <f>IF(OR(E13="",F13=""),0,IF(COUNTIFS($E$7:E13,E13,$F$7:F13,F13)=1,1,0))</f>
        <v/>
      </c>
      <c r="S13" s="79">
        <f>IF(R13=1,E13&amp;"|"&amp;SUMIFS($R$7:R13,$E$7:E13,E13),"")</f>
        <v/>
      </c>
      <c r="T13" s="111">
        <f>IF(Q13="","",IF(Q13=3,L13,IF(OR(M13="Not started",M13=""),J13,"")))</f>
        <v/>
      </c>
      <c r="U13" s="79">
        <f>IF(T13="","",IF(Q13=3,1,IF(T13="","",IF(T13&lt;AsOf,1,IF(T13&lt;=AsOf+AlertDays,2,IF(T13&lt;=AsOf+2*AlertDays,3,""))))))</f>
        <v/>
      </c>
      <c r="V13" s="79">
        <f>IF(U13="","",IF(Q13=3,"Late task: "&amp;D13,IF(T13&lt;AsOf,"Should have started: ","Starts soon: ")&amp;D13)&amp;IF(F13="",""," — "&amp;F13))</f>
        <v/>
      </c>
      <c r="X13" s="128" t="n"/>
      <c r="Y13" s="128" t="n"/>
      <c r="Z13" s="128" t="n"/>
      <c r="AA13" s="128" t="n"/>
      <c r="AB13" s="128" t="n"/>
      <c r="AC13" s="128" t="n"/>
      <c r="AD13" s="128" t="n"/>
      <c r="AE13" s="128" t="n"/>
      <c r="AF13" s="128" t="n"/>
      <c r="AG13" s="128" t="n"/>
      <c r="AH13" s="128" t="n"/>
      <c r="AI13" s="128" t="n"/>
      <c r="AJ13" s="128" t="n"/>
      <c r="AK13" s="128" t="n"/>
      <c r="AL13" s="128" t="n"/>
      <c r="AM13" s="128" t="n"/>
      <c r="AN13" s="128" t="n"/>
      <c r="AO13" s="128" t="n"/>
      <c r="AP13" s="128" t="n"/>
      <c r="AQ13" s="128" t="n"/>
      <c r="AR13" s="128" t="n"/>
      <c r="AS13" s="128" t="n"/>
      <c r="AT13" s="128" t="n"/>
      <c r="AU13" s="128" t="n"/>
      <c r="AV13" s="128" t="n"/>
      <c r="AW13" s="128" t="n"/>
      <c r="AX13" s="128" t="n"/>
      <c r="AY13" s="128" t="n"/>
      <c r="AZ13" s="128" t="n"/>
      <c r="BA13" s="128" t="n"/>
      <c r="BB13" s="128" t="n"/>
      <c r="BC13" s="128" t="n"/>
      <c r="BD13" s="128" t="n"/>
      <c r="BE13" s="128" t="n"/>
      <c r="BF13" s="128" t="n"/>
      <c r="BG13" s="128" t="n"/>
      <c r="BH13" s="128" t="n"/>
      <c r="BI13" s="128" t="n"/>
      <c r="BJ13" s="128" t="n"/>
      <c r="BK13" s="128" t="n"/>
      <c r="BL13" s="128" t="n"/>
      <c r="BM13" s="128" t="n"/>
      <c r="BN13" s="128" t="n"/>
      <c r="BO13" s="128" t="n"/>
      <c r="BP13" s="128" t="n"/>
      <c r="BQ13" s="128" t="n"/>
      <c r="BR13" s="128" t="n"/>
      <c r="BS13" s="128" t="n"/>
      <c r="BT13" s="128" t="n"/>
      <c r="BU13" s="128" t="n"/>
      <c r="BV13" s="128" t="n"/>
      <c r="BW13" s="128" t="n"/>
    </row>
    <row r="14" ht="20" customHeight="1">
      <c r="B14" s="125" t="n">
        <v>8</v>
      </c>
      <c r="C14" s="72" t="inlineStr">
        <is>
          <t>Construction</t>
        </is>
      </c>
      <c r="D14" s="72" t="inlineStr">
        <is>
          <t>Plumbing rough-in</t>
        </is>
      </c>
      <c r="E14" s="72" t="inlineStr">
        <is>
          <t>Bathroom 1</t>
        </is>
      </c>
      <c r="F14" s="72" t="inlineStr">
        <is>
          <t>FlowRight Plumbing</t>
        </is>
      </c>
      <c r="G14" s="89" t="n">
        <v>14</v>
      </c>
      <c r="H14" s="89" t="n">
        <v>6</v>
      </c>
      <c r="I14" s="108" t="n"/>
      <c r="J14" s="126">
        <f>IF(OR(D14="",ProjStart=""),"",MAX(ProjStart,IF(I14&lt;&gt;"",I14,0),IF(H14="",0,IFERROR(INDEX($L$6:L13,MATCH(H14,$B$6:B13,0))+1,0))))</f>
        <v/>
      </c>
      <c r="K14" s="89" t="n">
        <v>11</v>
      </c>
      <c r="L14" s="126">
        <f>IF(J14="","",J14+MAX(1,G14)+IF(K14="",0,K14)-1)</f>
        <v/>
      </c>
      <c r="M14" s="72" t="inlineStr">
        <is>
          <t>In progress</t>
        </is>
      </c>
      <c r="N14" s="108" t="n"/>
      <c r="O14" s="127">
        <f>IF(D14="","",COUNTIF($H$7:$H$156,B14))</f>
        <v/>
      </c>
      <c r="P14" s="78">
        <f>IF(D14="","",IF(AND(H14&lt;&gt;"",H14&gt;=B14),"⚠️ Predecessor must be above",IF(M14="Done","✓ Done",IF(Q14=3,"🔴 Late",IF(M14="In progress","In progress","")))))</f>
        <v/>
      </c>
      <c r="Q14" s="79">
        <f>IF(OR(D14="",L14=""),"",IF(M14="Done",2,IF(AsOf&gt;L14,3,1)))</f>
        <v/>
      </c>
      <c r="R14" s="79">
        <f>IF(OR(E14="",F14=""),0,IF(COUNTIFS($E$7:E14,E14,$F$7:F14,F14)=1,1,0))</f>
        <v/>
      </c>
      <c r="S14" s="79">
        <f>IF(R14=1,E14&amp;"|"&amp;SUMIFS($R$7:R14,$E$7:E14,E14),"")</f>
        <v/>
      </c>
      <c r="T14" s="111">
        <f>IF(Q14="","",IF(Q14=3,L14,IF(OR(M14="Not started",M14=""),J14,"")))</f>
        <v/>
      </c>
      <c r="U14" s="79">
        <f>IF(T14="","",IF(Q14=3,1,IF(T14="","",IF(T14&lt;AsOf,1,IF(T14&lt;=AsOf+AlertDays,2,IF(T14&lt;=AsOf+2*AlertDays,3,""))))))</f>
        <v/>
      </c>
      <c r="V14" s="79">
        <f>IF(U14="","",IF(Q14=3,"Late task: "&amp;D14,IF(T14&lt;AsOf,"Should have started: ","Starts soon: ")&amp;D14)&amp;IF(F14="",""," — "&amp;F14))</f>
        <v/>
      </c>
      <c r="X14" s="128" t="n"/>
      <c r="Y14" s="128" t="n"/>
      <c r="Z14" s="128" t="n"/>
      <c r="AA14" s="128" t="n"/>
      <c r="AB14" s="128" t="n"/>
      <c r="AC14" s="128" t="n"/>
      <c r="AD14" s="128" t="n"/>
      <c r="AE14" s="128" t="n"/>
      <c r="AF14" s="128" t="n"/>
      <c r="AG14" s="128" t="n"/>
      <c r="AH14" s="128" t="n"/>
      <c r="AI14" s="128" t="n"/>
      <c r="AJ14" s="128" t="n"/>
      <c r="AK14" s="128" t="n"/>
      <c r="AL14" s="128" t="n"/>
      <c r="AM14" s="128" t="n"/>
      <c r="AN14" s="128" t="n"/>
      <c r="AO14" s="128" t="n"/>
      <c r="AP14" s="128" t="n"/>
      <c r="AQ14" s="128" t="n"/>
      <c r="AR14" s="128" t="n"/>
      <c r="AS14" s="128" t="n"/>
      <c r="AT14" s="128" t="n"/>
      <c r="AU14" s="128" t="n"/>
      <c r="AV14" s="128" t="n"/>
      <c r="AW14" s="128" t="n"/>
      <c r="AX14" s="128" t="n"/>
      <c r="AY14" s="128" t="n"/>
      <c r="AZ14" s="128" t="n"/>
      <c r="BA14" s="128" t="n"/>
      <c r="BB14" s="128" t="n"/>
      <c r="BC14" s="128" t="n"/>
      <c r="BD14" s="128" t="n"/>
      <c r="BE14" s="128" t="n"/>
      <c r="BF14" s="128" t="n"/>
      <c r="BG14" s="128" t="n"/>
      <c r="BH14" s="128" t="n"/>
      <c r="BI14" s="128" t="n"/>
      <c r="BJ14" s="128" t="n"/>
      <c r="BK14" s="128" t="n"/>
      <c r="BL14" s="128" t="n"/>
      <c r="BM14" s="128" t="n"/>
      <c r="BN14" s="128" t="n"/>
      <c r="BO14" s="128" t="n"/>
      <c r="BP14" s="128" t="n"/>
      <c r="BQ14" s="128" t="n"/>
      <c r="BR14" s="128" t="n"/>
      <c r="BS14" s="128" t="n"/>
      <c r="BT14" s="128" t="n"/>
      <c r="BU14" s="128" t="n"/>
      <c r="BV14" s="128" t="n"/>
      <c r="BW14" s="128" t="n"/>
    </row>
    <row r="15" ht="20" customHeight="1">
      <c r="B15" s="125" t="n">
        <v>9</v>
      </c>
      <c r="C15" s="72" t="inlineStr">
        <is>
          <t>Construction</t>
        </is>
      </c>
      <c r="D15" s="72" t="inlineStr">
        <is>
          <t>Electrical rough-in</t>
        </is>
      </c>
      <c r="E15" s="72" t="inlineStr">
        <is>
          <t>Whole house</t>
        </is>
      </c>
      <c r="F15" s="72" t="inlineStr">
        <is>
          <t>Bright Spark Electric</t>
        </is>
      </c>
      <c r="G15" s="89" t="n">
        <v>28</v>
      </c>
      <c r="H15" s="89" t="n">
        <v>6</v>
      </c>
      <c r="I15" s="108" t="n"/>
      <c r="J15" s="126">
        <f>IF(OR(D15="",ProjStart=""),"",MAX(ProjStart,IF(I15&lt;&gt;"",I15,0),IF(H15="",0,IFERROR(INDEX($L$6:L14,MATCH(H15,$B$6:B14,0))+1,0))))</f>
        <v/>
      </c>
      <c r="K15" s="89" t="n">
        <v>7</v>
      </c>
      <c r="L15" s="126">
        <f>IF(J15="","",J15+MAX(1,G15)+IF(K15="",0,K15)-1)</f>
        <v/>
      </c>
      <c r="M15" s="72" t="inlineStr">
        <is>
          <t>In progress</t>
        </is>
      </c>
      <c r="N15" s="108" t="n"/>
      <c r="O15" s="127">
        <f>IF(D15="","",COUNTIF($H$7:$H$156,B15))</f>
        <v/>
      </c>
      <c r="P15" s="78">
        <f>IF(D15="","",IF(AND(H15&lt;&gt;"",H15&gt;=B15),"⚠️ Predecessor must be above",IF(M15="Done","✓ Done",IF(Q15=3,"🔴 Late",IF(M15="In progress","In progress","")))))</f>
        <v/>
      </c>
      <c r="Q15" s="79">
        <f>IF(OR(D15="",L15=""),"",IF(M15="Done",2,IF(AsOf&gt;L15,3,1)))</f>
        <v/>
      </c>
      <c r="R15" s="79">
        <f>IF(OR(E15="",F15=""),0,IF(COUNTIFS($E$7:E15,E15,$F$7:F15,F15)=1,1,0))</f>
        <v/>
      </c>
      <c r="S15" s="79">
        <f>IF(R15=1,E15&amp;"|"&amp;SUMIFS($R$7:R15,$E$7:E15,E15),"")</f>
        <v/>
      </c>
      <c r="T15" s="111">
        <f>IF(Q15="","",IF(Q15=3,L15,IF(OR(M15="Not started",M15=""),J15,"")))</f>
        <v/>
      </c>
      <c r="U15" s="79">
        <f>IF(T15="","",IF(Q15=3,1,IF(T15="","",IF(T15&lt;AsOf,1,IF(T15&lt;=AsOf+AlertDays,2,IF(T15&lt;=AsOf+2*AlertDays,3,""))))))</f>
        <v/>
      </c>
      <c r="V15" s="79">
        <f>IF(U15="","",IF(Q15=3,"Late task: "&amp;D15,IF(T15&lt;AsOf,"Should have started: ","Starts soon: ")&amp;D15)&amp;IF(F15="",""," — "&amp;F15))</f>
        <v/>
      </c>
      <c r="X15" s="128" t="n"/>
      <c r="Y15" s="128" t="n"/>
      <c r="Z15" s="128" t="n"/>
      <c r="AA15" s="128" t="n"/>
      <c r="AB15" s="128" t="n"/>
      <c r="AC15" s="128" t="n"/>
      <c r="AD15" s="128" t="n"/>
      <c r="AE15" s="128" t="n"/>
      <c r="AF15" s="128" t="n"/>
      <c r="AG15" s="128" t="n"/>
      <c r="AH15" s="128" t="n"/>
      <c r="AI15" s="128" t="n"/>
      <c r="AJ15" s="128" t="n"/>
      <c r="AK15" s="128" t="n"/>
      <c r="AL15" s="128" t="n"/>
      <c r="AM15" s="128" t="n"/>
      <c r="AN15" s="128" t="n"/>
      <c r="AO15" s="128" t="n"/>
      <c r="AP15" s="128" t="n"/>
      <c r="AQ15" s="128" t="n"/>
      <c r="AR15" s="128" t="n"/>
      <c r="AS15" s="128" t="n"/>
      <c r="AT15" s="128" t="n"/>
      <c r="AU15" s="128" t="n"/>
      <c r="AV15" s="128" t="n"/>
      <c r="AW15" s="128" t="n"/>
      <c r="AX15" s="128" t="n"/>
      <c r="AY15" s="128" t="n"/>
      <c r="AZ15" s="128" t="n"/>
      <c r="BA15" s="128" t="n"/>
      <c r="BB15" s="128" t="n"/>
      <c r="BC15" s="128" t="n"/>
      <c r="BD15" s="128" t="n"/>
      <c r="BE15" s="128" t="n"/>
      <c r="BF15" s="128" t="n"/>
      <c r="BG15" s="128" t="n"/>
      <c r="BH15" s="128" t="n"/>
      <c r="BI15" s="128" t="n"/>
      <c r="BJ15" s="128" t="n"/>
      <c r="BK15" s="128" t="n"/>
      <c r="BL15" s="128" t="n"/>
      <c r="BM15" s="128" t="n"/>
      <c r="BN15" s="128" t="n"/>
      <c r="BO15" s="128" t="n"/>
      <c r="BP15" s="128" t="n"/>
      <c r="BQ15" s="128" t="n"/>
      <c r="BR15" s="128" t="n"/>
      <c r="BS15" s="128" t="n"/>
      <c r="BT15" s="128" t="n"/>
      <c r="BU15" s="128" t="n"/>
      <c r="BV15" s="128" t="n"/>
      <c r="BW15" s="128" t="n"/>
    </row>
    <row r="16" ht="20" customHeight="1">
      <c r="B16" s="125" t="n">
        <v>10</v>
      </c>
      <c r="C16" s="72" t="inlineStr">
        <is>
          <t>Construction</t>
        </is>
      </c>
      <c r="D16" s="72" t="inlineStr">
        <is>
          <t>Heat pump &amp; ventilation</t>
        </is>
      </c>
      <c r="E16" s="72" t="inlineStr">
        <is>
          <t>Whole house</t>
        </is>
      </c>
      <c r="F16" s="72" t="inlineStr">
        <is>
          <t>ClimaHeat HVAC</t>
        </is>
      </c>
      <c r="G16" s="89" t="n">
        <v>10</v>
      </c>
      <c r="H16" s="89" t="n">
        <v>8</v>
      </c>
      <c r="I16" s="108" t="n"/>
      <c r="J16" s="126">
        <f>IF(OR(D16="",ProjStart=""),"",MAX(ProjStart,IF(I16&lt;&gt;"",I16,0),IF(H16="",0,IFERROR(INDEX($L$6:L15,MATCH(H16,$B$6:B15,0))+1,0))))</f>
        <v/>
      </c>
      <c r="K16" s="89" t="n"/>
      <c r="L16" s="126">
        <f>IF(J16="","",J16+MAX(1,G16)+IF(K16="",0,K16)-1)</f>
        <v/>
      </c>
      <c r="M16" s="72" t="inlineStr">
        <is>
          <t>Not started</t>
        </is>
      </c>
      <c r="N16" s="108" t="n"/>
      <c r="O16" s="127">
        <f>IF(D16="","",COUNTIF($H$7:$H$156,B16))</f>
        <v/>
      </c>
      <c r="P16" s="78">
        <f>IF(D16="","",IF(AND(H16&lt;&gt;"",H16&gt;=B16),"⚠️ Predecessor must be above",IF(M16="Done","✓ Done",IF(Q16=3,"🔴 Late",IF(M16="In progress","In progress","")))))</f>
        <v/>
      </c>
      <c r="Q16" s="79">
        <f>IF(OR(D16="",L16=""),"",IF(M16="Done",2,IF(AsOf&gt;L16,3,1)))</f>
        <v/>
      </c>
      <c r="R16" s="79">
        <f>IF(OR(E16="",F16=""),0,IF(COUNTIFS($E$7:E16,E16,$F$7:F16,F16)=1,1,0))</f>
        <v/>
      </c>
      <c r="S16" s="79">
        <f>IF(R16=1,E16&amp;"|"&amp;SUMIFS($R$7:R16,$E$7:E16,E16),"")</f>
        <v/>
      </c>
      <c r="T16" s="111">
        <f>IF(Q16="","",IF(Q16=3,L16,IF(OR(M16="Not started",M16=""),J16,"")))</f>
        <v/>
      </c>
      <c r="U16" s="79">
        <f>IF(T16="","",IF(Q16=3,1,IF(T16="","",IF(T16&lt;AsOf,1,IF(T16&lt;=AsOf+AlertDays,2,IF(T16&lt;=AsOf+2*AlertDays,3,""))))))</f>
        <v/>
      </c>
      <c r="V16" s="79">
        <f>IF(U16="","",IF(Q16=3,"Late task: "&amp;D16,IF(T16&lt;AsOf,"Should have started: ","Starts soon: ")&amp;D16)&amp;IF(F16="",""," — "&amp;F16))</f>
        <v/>
      </c>
      <c r="X16" s="128" t="n"/>
      <c r="Y16" s="128" t="n"/>
      <c r="Z16" s="128" t="n"/>
      <c r="AA16" s="128" t="n"/>
      <c r="AB16" s="128" t="n"/>
      <c r="AC16" s="128" t="n"/>
      <c r="AD16" s="128" t="n"/>
      <c r="AE16" s="128" t="n"/>
      <c r="AF16" s="128" t="n"/>
      <c r="AG16" s="128" t="n"/>
      <c r="AH16" s="128" t="n"/>
      <c r="AI16" s="128" t="n"/>
      <c r="AJ16" s="128" t="n"/>
      <c r="AK16" s="128" t="n"/>
      <c r="AL16" s="128" t="n"/>
      <c r="AM16" s="128" t="n"/>
      <c r="AN16" s="128" t="n"/>
      <c r="AO16" s="128" t="n"/>
      <c r="AP16" s="128" t="n"/>
      <c r="AQ16" s="128" t="n"/>
      <c r="AR16" s="128" t="n"/>
      <c r="AS16" s="128" t="n"/>
      <c r="AT16" s="128" t="n"/>
      <c r="AU16" s="128" t="n"/>
      <c r="AV16" s="128" t="n"/>
      <c r="AW16" s="128" t="n"/>
      <c r="AX16" s="128" t="n"/>
      <c r="AY16" s="128" t="n"/>
      <c r="AZ16" s="128" t="n"/>
      <c r="BA16" s="128" t="n"/>
      <c r="BB16" s="128" t="n"/>
      <c r="BC16" s="128" t="n"/>
      <c r="BD16" s="128" t="n"/>
      <c r="BE16" s="128" t="n"/>
      <c r="BF16" s="128" t="n"/>
      <c r="BG16" s="128" t="n"/>
      <c r="BH16" s="128" t="n"/>
      <c r="BI16" s="128" t="n"/>
      <c r="BJ16" s="128" t="n"/>
      <c r="BK16" s="128" t="n"/>
      <c r="BL16" s="128" t="n"/>
      <c r="BM16" s="128" t="n"/>
      <c r="BN16" s="128" t="n"/>
      <c r="BO16" s="128" t="n"/>
      <c r="BP16" s="128" t="n"/>
      <c r="BQ16" s="128" t="n"/>
      <c r="BR16" s="128" t="n"/>
      <c r="BS16" s="128" t="n"/>
      <c r="BT16" s="128" t="n"/>
      <c r="BU16" s="128" t="n"/>
      <c r="BV16" s="128" t="n"/>
      <c r="BW16" s="128" t="n"/>
    </row>
    <row r="17" ht="20" customHeight="1">
      <c r="B17" s="125" t="n">
        <v>11</v>
      </c>
      <c r="C17" s="72" t="inlineStr">
        <is>
          <t>Construction</t>
        </is>
      </c>
      <c r="D17" s="72" t="inlineStr">
        <is>
          <t>Rough-in inspection</t>
        </is>
      </c>
      <c r="E17" s="72" t="inlineStr">
        <is>
          <t>Whole house</t>
        </is>
      </c>
      <c r="F17" s="72" t="n"/>
      <c r="G17" s="89" t="n">
        <v>2</v>
      </c>
      <c r="H17" s="89" t="n">
        <v>9</v>
      </c>
      <c r="I17" s="108" t="n"/>
      <c r="J17" s="126">
        <f>IF(OR(D17="",ProjStart=""),"",MAX(ProjStart,IF(I17&lt;&gt;"",I17,0),IF(H17="",0,IFERROR(INDEX($L$6:L16,MATCH(H17,$B$6:B16,0))+1,0))))</f>
        <v/>
      </c>
      <c r="K17" s="89" t="n"/>
      <c r="L17" s="126">
        <f>IF(J17="","",J17+MAX(1,G17)+IF(K17="",0,K17)-1)</f>
        <v/>
      </c>
      <c r="M17" s="72" t="inlineStr">
        <is>
          <t>Not started</t>
        </is>
      </c>
      <c r="N17" s="108" t="n"/>
      <c r="O17" s="127">
        <f>IF(D17="","",COUNTIF($H$7:$H$156,B17))</f>
        <v/>
      </c>
      <c r="P17" s="78">
        <f>IF(D17="","",IF(AND(H17&lt;&gt;"",H17&gt;=B17),"⚠️ Predecessor must be above",IF(M17="Done","✓ Done",IF(Q17=3,"🔴 Late",IF(M17="In progress","In progress","")))))</f>
        <v/>
      </c>
      <c r="Q17" s="79">
        <f>IF(OR(D17="",L17=""),"",IF(M17="Done",2,IF(AsOf&gt;L17,3,1)))</f>
        <v/>
      </c>
      <c r="R17" s="79">
        <f>IF(OR(E17="",F17=""),0,IF(COUNTIFS($E$7:E17,E17,$F$7:F17,F17)=1,1,0))</f>
        <v/>
      </c>
      <c r="S17" s="79">
        <f>IF(R17=1,E17&amp;"|"&amp;SUMIFS($R$7:R17,$E$7:E17,E17),"")</f>
        <v/>
      </c>
      <c r="T17" s="111">
        <f>IF(Q17="","",IF(Q17=3,L17,IF(OR(M17="Not started",M17=""),J17,"")))</f>
        <v/>
      </c>
      <c r="U17" s="79">
        <f>IF(T17="","",IF(Q17=3,1,IF(T17="","",IF(T17&lt;AsOf,1,IF(T17&lt;=AsOf+AlertDays,2,IF(T17&lt;=AsOf+2*AlertDays,3,""))))))</f>
        <v/>
      </c>
      <c r="V17" s="79">
        <f>IF(U17="","",IF(Q17=3,"Late task: "&amp;D17,IF(T17&lt;AsOf,"Should have started: ","Starts soon: ")&amp;D17)&amp;IF(F17="",""," — "&amp;F17))</f>
        <v/>
      </c>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28" t="n"/>
      <c r="BJ17" s="128" t="n"/>
      <c r="BK17" s="128" t="n"/>
      <c r="BL17" s="128" t="n"/>
      <c r="BM17" s="128" t="n"/>
      <c r="BN17" s="128" t="n"/>
      <c r="BO17" s="128" t="n"/>
      <c r="BP17" s="128" t="n"/>
      <c r="BQ17" s="128" t="n"/>
      <c r="BR17" s="128" t="n"/>
      <c r="BS17" s="128" t="n"/>
      <c r="BT17" s="128" t="n"/>
      <c r="BU17" s="128" t="n"/>
      <c r="BV17" s="128" t="n"/>
      <c r="BW17" s="128" t="n"/>
    </row>
    <row r="18" ht="20" customHeight="1">
      <c r="B18" s="125" t="n">
        <v>12</v>
      </c>
      <c r="C18" s="72" t="inlineStr">
        <is>
          <t>Construction</t>
        </is>
      </c>
      <c r="D18" s="72" t="inlineStr">
        <is>
          <t>Insulation &amp; drywall</t>
        </is>
      </c>
      <c r="E18" s="72" t="inlineStr">
        <is>
          <t>Whole house</t>
        </is>
      </c>
      <c r="F18" s="72" t="inlineStr">
        <is>
          <t>Solid Structures Ltd</t>
        </is>
      </c>
      <c r="G18" s="89" t="n">
        <v>14</v>
      </c>
      <c r="H18" s="89" t="n">
        <v>11</v>
      </c>
      <c r="I18" s="108" t="n"/>
      <c r="J18" s="126">
        <f>IF(OR(D18="",ProjStart=""),"",MAX(ProjStart,IF(I18&lt;&gt;"",I18,0),IF(H18="",0,IFERROR(INDEX($L$6:L17,MATCH(H18,$B$6:B17,0))+1,0))))</f>
        <v/>
      </c>
      <c r="K18" s="89" t="n"/>
      <c r="L18" s="126">
        <f>IF(J18="","",J18+MAX(1,G18)+IF(K18="",0,K18)-1)</f>
        <v/>
      </c>
      <c r="M18" s="72" t="inlineStr">
        <is>
          <t>Not started</t>
        </is>
      </c>
      <c r="N18" s="108" t="n"/>
      <c r="O18" s="127">
        <f>IF(D18="","",COUNTIF($H$7:$H$156,B18))</f>
        <v/>
      </c>
      <c r="P18" s="78">
        <f>IF(D18="","",IF(AND(H18&lt;&gt;"",H18&gt;=B18),"⚠️ Predecessor must be above",IF(M18="Done","✓ Done",IF(Q18=3,"🔴 Late",IF(M18="In progress","In progress","")))))</f>
        <v/>
      </c>
      <c r="Q18" s="79">
        <f>IF(OR(D18="",L18=""),"",IF(M18="Done",2,IF(AsOf&gt;L18,3,1)))</f>
        <v/>
      </c>
      <c r="R18" s="79">
        <f>IF(OR(E18="",F18=""),0,IF(COUNTIFS($E$7:E18,E18,$F$7:F18,F18)=1,1,0))</f>
        <v/>
      </c>
      <c r="S18" s="79">
        <f>IF(R18=1,E18&amp;"|"&amp;SUMIFS($R$7:R18,$E$7:E18,E18),"")</f>
        <v/>
      </c>
      <c r="T18" s="111">
        <f>IF(Q18="","",IF(Q18=3,L18,IF(OR(M18="Not started",M18=""),J18,"")))</f>
        <v/>
      </c>
      <c r="U18" s="79">
        <f>IF(T18="","",IF(Q18=3,1,IF(T18="","",IF(T18&lt;AsOf,1,IF(T18&lt;=AsOf+AlertDays,2,IF(T18&lt;=AsOf+2*AlertDays,3,""))))))</f>
        <v/>
      </c>
      <c r="V18" s="79">
        <f>IF(U18="","",IF(Q18=3,"Late task: "&amp;D18,IF(T18&lt;AsOf,"Should have started: ","Starts soon: ")&amp;D18)&amp;IF(F18="",""," — "&amp;F18))</f>
        <v/>
      </c>
      <c r="X18" s="128" t="n"/>
      <c r="Y18" s="128" t="n"/>
      <c r="Z18" s="128" t="n"/>
      <c r="AA18" s="128" t="n"/>
      <c r="AB18" s="128" t="n"/>
      <c r="AC18" s="128" t="n"/>
      <c r="AD18" s="128" t="n"/>
      <c r="AE18" s="128" t="n"/>
      <c r="AF18" s="128" t="n"/>
      <c r="AG18" s="128" t="n"/>
      <c r="AH18" s="128" t="n"/>
      <c r="AI18" s="128" t="n"/>
      <c r="AJ18" s="128" t="n"/>
      <c r="AK18" s="128" t="n"/>
      <c r="AL18" s="128" t="n"/>
      <c r="AM18" s="128" t="n"/>
      <c r="AN18" s="128" t="n"/>
      <c r="AO18" s="128" t="n"/>
      <c r="AP18" s="128" t="n"/>
      <c r="AQ18" s="128" t="n"/>
      <c r="AR18" s="128" t="n"/>
      <c r="AS18" s="128" t="n"/>
      <c r="AT18" s="128" t="n"/>
      <c r="AU18" s="128" t="n"/>
      <c r="AV18" s="128" t="n"/>
      <c r="AW18" s="128" t="n"/>
      <c r="AX18" s="128" t="n"/>
      <c r="AY18" s="128" t="n"/>
      <c r="AZ18" s="128" t="n"/>
      <c r="BA18" s="128" t="n"/>
      <c r="BB18" s="128" t="n"/>
      <c r="BC18" s="128" t="n"/>
      <c r="BD18" s="128" t="n"/>
      <c r="BE18" s="128" t="n"/>
      <c r="BF18" s="128" t="n"/>
      <c r="BG18" s="128" t="n"/>
      <c r="BH18" s="128" t="n"/>
      <c r="BI18" s="128" t="n"/>
      <c r="BJ18" s="128" t="n"/>
      <c r="BK18" s="128" t="n"/>
      <c r="BL18" s="128" t="n"/>
      <c r="BM18" s="128" t="n"/>
      <c r="BN18" s="128" t="n"/>
      <c r="BO18" s="128" t="n"/>
      <c r="BP18" s="128" t="n"/>
      <c r="BQ18" s="128" t="n"/>
      <c r="BR18" s="128" t="n"/>
      <c r="BS18" s="128" t="n"/>
      <c r="BT18" s="128" t="n"/>
      <c r="BU18" s="128" t="n"/>
      <c r="BV18" s="128" t="n"/>
      <c r="BW18" s="128" t="n"/>
    </row>
    <row r="19" ht="20" customHeight="1">
      <c r="B19" s="125" t="n">
        <v>13</v>
      </c>
      <c r="C19" s="72" t="inlineStr">
        <is>
          <t>Construction</t>
        </is>
      </c>
      <c r="D19" s="72" t="inlineStr">
        <is>
          <t>Flooring</t>
        </is>
      </c>
      <c r="E19" s="72" t="inlineStr">
        <is>
          <t>Living room</t>
        </is>
      </c>
      <c r="F19" s="72" t="inlineStr">
        <is>
          <t>Oak &amp; Plank Flooring</t>
        </is>
      </c>
      <c r="G19" s="89" t="n">
        <v>10</v>
      </c>
      <c r="H19" s="89" t="n">
        <v>12</v>
      </c>
      <c r="I19" s="108" t="n"/>
      <c r="J19" s="126">
        <f>IF(OR(D19="",ProjStart=""),"",MAX(ProjStart,IF(I19&lt;&gt;"",I19,0),IF(H19="",0,IFERROR(INDEX($L$6:L18,MATCH(H19,$B$6:B18,0))+1,0))))</f>
        <v/>
      </c>
      <c r="K19" s="89" t="n"/>
      <c r="L19" s="126">
        <f>IF(J19="","",J19+MAX(1,G19)+IF(K19="",0,K19)-1)</f>
        <v/>
      </c>
      <c r="M19" s="72" t="inlineStr">
        <is>
          <t>Not started</t>
        </is>
      </c>
      <c r="N19" s="108" t="n"/>
      <c r="O19" s="127">
        <f>IF(D19="","",COUNTIF($H$7:$H$156,B19))</f>
        <v/>
      </c>
      <c r="P19" s="78">
        <f>IF(D19="","",IF(AND(H19&lt;&gt;"",H19&gt;=B19),"⚠️ Predecessor must be above",IF(M19="Done","✓ Done",IF(Q19=3,"🔴 Late",IF(M19="In progress","In progress","")))))</f>
        <v/>
      </c>
      <c r="Q19" s="79">
        <f>IF(OR(D19="",L19=""),"",IF(M19="Done",2,IF(AsOf&gt;L19,3,1)))</f>
        <v/>
      </c>
      <c r="R19" s="79">
        <f>IF(OR(E19="",F19=""),0,IF(COUNTIFS($E$7:E19,E19,$F$7:F19,F19)=1,1,0))</f>
        <v/>
      </c>
      <c r="S19" s="79">
        <f>IF(R19=1,E19&amp;"|"&amp;SUMIFS($R$7:R19,$E$7:E19,E19),"")</f>
        <v/>
      </c>
      <c r="T19" s="111">
        <f>IF(Q19="","",IF(Q19=3,L19,IF(OR(M19="Not started",M19=""),J19,"")))</f>
        <v/>
      </c>
      <c r="U19" s="79">
        <f>IF(T19="","",IF(Q19=3,1,IF(T19="","",IF(T19&lt;AsOf,1,IF(T19&lt;=AsOf+AlertDays,2,IF(T19&lt;=AsOf+2*AlertDays,3,""))))))</f>
        <v/>
      </c>
      <c r="V19" s="79">
        <f>IF(U19="","",IF(Q19=3,"Late task: "&amp;D19,IF(T19&lt;AsOf,"Should have started: ","Starts soon: ")&amp;D19)&amp;IF(F19="",""," — "&amp;F19))</f>
        <v/>
      </c>
      <c r="X19" s="128" t="n"/>
      <c r="Y19" s="128" t="n"/>
      <c r="Z19" s="128" t="n"/>
      <c r="AA19" s="128" t="n"/>
      <c r="AB19" s="128" t="n"/>
      <c r="AC19" s="128" t="n"/>
      <c r="AD19" s="128" t="n"/>
      <c r="AE19" s="128" t="n"/>
      <c r="AF19" s="128" t="n"/>
      <c r="AG19" s="128" t="n"/>
      <c r="AH19" s="128" t="n"/>
      <c r="AI19" s="128" t="n"/>
      <c r="AJ19" s="128" t="n"/>
      <c r="AK19" s="128" t="n"/>
      <c r="AL19" s="128" t="n"/>
      <c r="AM19" s="128" t="n"/>
      <c r="AN19" s="128" t="n"/>
      <c r="AO19" s="128" t="n"/>
      <c r="AP19" s="128" t="n"/>
      <c r="AQ19" s="128" t="n"/>
      <c r="AR19" s="128" t="n"/>
      <c r="AS19" s="128" t="n"/>
      <c r="AT19" s="128" t="n"/>
      <c r="AU19" s="128" t="n"/>
      <c r="AV19" s="128" t="n"/>
      <c r="AW19" s="128" t="n"/>
      <c r="AX19" s="128" t="n"/>
      <c r="AY19" s="128" t="n"/>
      <c r="AZ19" s="128" t="n"/>
      <c r="BA19" s="128" t="n"/>
      <c r="BB19" s="128" t="n"/>
      <c r="BC19" s="128" t="n"/>
      <c r="BD19" s="128" t="n"/>
      <c r="BE19" s="128" t="n"/>
      <c r="BF19" s="128" t="n"/>
      <c r="BG19" s="128" t="n"/>
      <c r="BH19" s="128" t="n"/>
      <c r="BI19" s="128" t="n"/>
      <c r="BJ19" s="128" t="n"/>
      <c r="BK19" s="128" t="n"/>
      <c r="BL19" s="128" t="n"/>
      <c r="BM19" s="128" t="n"/>
      <c r="BN19" s="128" t="n"/>
      <c r="BO19" s="128" t="n"/>
      <c r="BP19" s="128" t="n"/>
      <c r="BQ19" s="128" t="n"/>
      <c r="BR19" s="128" t="n"/>
      <c r="BS19" s="128" t="n"/>
      <c r="BT19" s="128" t="n"/>
      <c r="BU19" s="128" t="n"/>
      <c r="BV19" s="128" t="n"/>
      <c r="BW19" s="128" t="n"/>
    </row>
    <row r="20" ht="20" customHeight="1">
      <c r="B20" s="125" t="n">
        <v>14</v>
      </c>
      <c r="C20" s="72" t="inlineStr">
        <is>
          <t>Construction</t>
        </is>
      </c>
      <c r="D20" s="72" t="inlineStr">
        <is>
          <t>Kitchen installation</t>
        </is>
      </c>
      <c r="E20" s="72" t="inlineStr">
        <is>
          <t>Kitchen</t>
        </is>
      </c>
      <c r="F20" s="72" t="inlineStr">
        <is>
          <t>Nordic Kitchens</t>
        </is>
      </c>
      <c r="G20" s="89" t="n">
        <v>12</v>
      </c>
      <c r="H20" s="89" t="n">
        <v>12</v>
      </c>
      <c r="I20" s="108" t="n"/>
      <c r="J20" s="126">
        <f>IF(OR(D20="",ProjStart=""),"",MAX(ProjStart,IF(I20&lt;&gt;"",I20,0),IF(H20="",0,IFERROR(INDEX($L$6:L19,MATCH(H20,$B$6:B19,0))+1,0))))</f>
        <v/>
      </c>
      <c r="K20" s="89" t="n"/>
      <c r="L20" s="126">
        <f>IF(J20="","",J20+MAX(1,G20)+IF(K20="",0,K20)-1)</f>
        <v/>
      </c>
      <c r="M20" s="72" t="inlineStr">
        <is>
          <t>Not started</t>
        </is>
      </c>
      <c r="N20" s="108" t="n"/>
      <c r="O20" s="127">
        <f>IF(D20="","",COUNTIF($H$7:$H$156,B20))</f>
        <v/>
      </c>
      <c r="P20" s="78">
        <f>IF(D20="","",IF(AND(H20&lt;&gt;"",H20&gt;=B20),"⚠️ Predecessor must be above",IF(M20="Done","✓ Done",IF(Q20=3,"🔴 Late",IF(M20="In progress","In progress","")))))</f>
        <v/>
      </c>
      <c r="Q20" s="79">
        <f>IF(OR(D20="",L20=""),"",IF(M20="Done",2,IF(AsOf&gt;L20,3,1)))</f>
        <v/>
      </c>
      <c r="R20" s="79">
        <f>IF(OR(E20="",F20=""),0,IF(COUNTIFS($E$7:E20,E20,$F$7:F20,F20)=1,1,0))</f>
        <v/>
      </c>
      <c r="S20" s="79">
        <f>IF(R20=1,E20&amp;"|"&amp;SUMIFS($R$7:R20,$E$7:E20,E20),"")</f>
        <v/>
      </c>
      <c r="T20" s="111">
        <f>IF(Q20="","",IF(Q20=3,L20,IF(OR(M20="Not started",M20=""),J20,"")))</f>
        <v/>
      </c>
      <c r="U20" s="79">
        <f>IF(T20="","",IF(Q20=3,1,IF(T20="","",IF(T20&lt;AsOf,1,IF(T20&lt;=AsOf+AlertDays,2,IF(T20&lt;=AsOf+2*AlertDays,3,""))))))</f>
        <v/>
      </c>
      <c r="V20" s="79">
        <f>IF(U20="","",IF(Q20=3,"Late task: "&amp;D20,IF(T20&lt;AsOf,"Should have started: ","Starts soon: ")&amp;D20)&amp;IF(F20="",""," — "&amp;F20))</f>
        <v/>
      </c>
      <c r="X20" s="128" t="n"/>
      <c r="Y20" s="128" t="n"/>
      <c r="Z20" s="128" t="n"/>
      <c r="AA20" s="128" t="n"/>
      <c r="AB20" s="128" t="n"/>
      <c r="AC20" s="128" t="n"/>
      <c r="AD20" s="128" t="n"/>
      <c r="AE20" s="128" t="n"/>
      <c r="AF20" s="128" t="n"/>
      <c r="AG20" s="128" t="n"/>
      <c r="AH20" s="128" t="n"/>
      <c r="AI20" s="128" t="n"/>
      <c r="AJ20" s="128" t="n"/>
      <c r="AK20" s="128" t="n"/>
      <c r="AL20" s="128" t="n"/>
      <c r="AM20" s="128" t="n"/>
      <c r="AN20" s="128" t="n"/>
      <c r="AO20" s="128" t="n"/>
      <c r="AP20" s="128" t="n"/>
      <c r="AQ20" s="128" t="n"/>
      <c r="AR20" s="128" t="n"/>
      <c r="AS20" s="128" t="n"/>
      <c r="AT20" s="128" t="n"/>
      <c r="AU20" s="128" t="n"/>
      <c r="AV20" s="128" t="n"/>
      <c r="AW20" s="128" t="n"/>
      <c r="AX20" s="128" t="n"/>
      <c r="AY20" s="128" t="n"/>
      <c r="AZ20" s="128" t="n"/>
      <c r="BA20" s="128" t="n"/>
      <c r="BB20" s="128" t="n"/>
      <c r="BC20" s="128" t="n"/>
      <c r="BD20" s="128" t="n"/>
      <c r="BE20" s="128" t="n"/>
      <c r="BF20" s="128" t="n"/>
      <c r="BG20" s="128" t="n"/>
      <c r="BH20" s="128" t="n"/>
      <c r="BI20" s="128" t="n"/>
      <c r="BJ20" s="128" t="n"/>
      <c r="BK20" s="128" t="n"/>
      <c r="BL20" s="128" t="n"/>
      <c r="BM20" s="128" t="n"/>
      <c r="BN20" s="128" t="n"/>
      <c r="BO20" s="128" t="n"/>
      <c r="BP20" s="128" t="n"/>
      <c r="BQ20" s="128" t="n"/>
      <c r="BR20" s="128" t="n"/>
      <c r="BS20" s="128" t="n"/>
      <c r="BT20" s="128" t="n"/>
      <c r="BU20" s="128" t="n"/>
      <c r="BV20" s="128" t="n"/>
      <c r="BW20" s="128" t="n"/>
    </row>
    <row r="21" ht="20" customHeight="1">
      <c r="B21" s="125" t="n">
        <v>15</v>
      </c>
      <c r="C21" s="72" t="inlineStr">
        <is>
          <t>Construction</t>
        </is>
      </c>
      <c r="D21" s="72" t="inlineStr">
        <is>
          <t>Bathroom 1 fit-out</t>
        </is>
      </c>
      <c r="E21" s="72" t="inlineStr">
        <is>
          <t>Bathroom 1</t>
        </is>
      </c>
      <c r="F21" s="72" t="inlineStr">
        <is>
          <t>Aqua Bath Studio</t>
        </is>
      </c>
      <c r="G21" s="89" t="n">
        <v>15</v>
      </c>
      <c r="H21" s="89" t="n">
        <v>12</v>
      </c>
      <c r="I21" s="108" t="n"/>
      <c r="J21" s="126">
        <f>IF(OR(D21="",ProjStart=""),"",MAX(ProjStart,IF(I21&lt;&gt;"",I21,0),IF(H21="",0,IFERROR(INDEX($L$6:L20,MATCH(H21,$B$6:B20,0))+1,0))))</f>
        <v/>
      </c>
      <c r="K21" s="89" t="n"/>
      <c r="L21" s="126">
        <f>IF(J21="","",J21+MAX(1,G21)+IF(K21="",0,K21)-1)</f>
        <v/>
      </c>
      <c r="M21" s="72" t="inlineStr">
        <is>
          <t>Not started</t>
        </is>
      </c>
      <c r="N21" s="108" t="n"/>
      <c r="O21" s="127">
        <f>IF(D21="","",COUNTIF($H$7:$H$156,B21))</f>
        <v/>
      </c>
      <c r="P21" s="78">
        <f>IF(D21="","",IF(AND(H21&lt;&gt;"",H21&gt;=B21),"⚠️ Predecessor must be above",IF(M21="Done","✓ Done",IF(Q21=3,"🔴 Late",IF(M21="In progress","In progress","")))))</f>
        <v/>
      </c>
      <c r="Q21" s="79">
        <f>IF(OR(D21="",L21=""),"",IF(M21="Done",2,IF(AsOf&gt;L21,3,1)))</f>
        <v/>
      </c>
      <c r="R21" s="79">
        <f>IF(OR(E21="",F21=""),0,IF(COUNTIFS($E$7:E21,E21,$F$7:F21,F21)=1,1,0))</f>
        <v/>
      </c>
      <c r="S21" s="79">
        <f>IF(R21=1,E21&amp;"|"&amp;SUMIFS($R$7:R21,$E$7:E21,E21),"")</f>
        <v/>
      </c>
      <c r="T21" s="111">
        <f>IF(Q21="","",IF(Q21=3,L21,IF(OR(M21="Not started",M21=""),J21,"")))</f>
        <v/>
      </c>
      <c r="U21" s="79">
        <f>IF(T21="","",IF(Q21=3,1,IF(T21="","",IF(T21&lt;AsOf,1,IF(T21&lt;=AsOf+AlertDays,2,IF(T21&lt;=AsOf+2*AlertDays,3,""))))))</f>
        <v/>
      </c>
      <c r="V21" s="79">
        <f>IF(U21="","",IF(Q21=3,"Late task: "&amp;D21,IF(T21&lt;AsOf,"Should have started: ","Starts soon: ")&amp;D21)&amp;IF(F21="",""," — "&amp;F21))</f>
        <v/>
      </c>
      <c r="X21" s="128" t="n"/>
      <c r="Y21" s="128" t="n"/>
      <c r="Z21" s="128" t="n"/>
      <c r="AA21" s="128" t="n"/>
      <c r="AB21" s="128" t="n"/>
      <c r="AC21" s="128" t="n"/>
      <c r="AD21" s="128" t="n"/>
      <c r="AE21" s="128" t="n"/>
      <c r="AF21" s="128" t="n"/>
      <c r="AG21" s="128" t="n"/>
      <c r="AH21" s="128" t="n"/>
      <c r="AI21" s="128" t="n"/>
      <c r="AJ21" s="128" t="n"/>
      <c r="AK21" s="128" t="n"/>
      <c r="AL21" s="128" t="n"/>
      <c r="AM21" s="128" t="n"/>
      <c r="AN21" s="128" t="n"/>
      <c r="AO21" s="128" t="n"/>
      <c r="AP21" s="128" t="n"/>
      <c r="AQ21" s="128" t="n"/>
      <c r="AR21" s="128" t="n"/>
      <c r="AS21" s="128" t="n"/>
      <c r="AT21" s="128" t="n"/>
      <c r="AU21" s="128" t="n"/>
      <c r="AV21" s="128" t="n"/>
      <c r="AW21" s="128" t="n"/>
      <c r="AX21" s="128" t="n"/>
      <c r="AY21" s="128" t="n"/>
      <c r="AZ21" s="128" t="n"/>
      <c r="BA21" s="128" t="n"/>
      <c r="BB21" s="128" t="n"/>
      <c r="BC21" s="128" t="n"/>
      <c r="BD21" s="128" t="n"/>
      <c r="BE21" s="128" t="n"/>
      <c r="BF21" s="128" t="n"/>
      <c r="BG21" s="128" t="n"/>
      <c r="BH21" s="128" t="n"/>
      <c r="BI21" s="128" t="n"/>
      <c r="BJ21" s="128" t="n"/>
      <c r="BK21" s="128" t="n"/>
      <c r="BL21" s="128" t="n"/>
      <c r="BM21" s="128" t="n"/>
      <c r="BN21" s="128" t="n"/>
      <c r="BO21" s="128" t="n"/>
      <c r="BP21" s="128" t="n"/>
      <c r="BQ21" s="128" t="n"/>
      <c r="BR21" s="128" t="n"/>
      <c r="BS21" s="128" t="n"/>
      <c r="BT21" s="128" t="n"/>
      <c r="BU21" s="128" t="n"/>
      <c r="BV21" s="128" t="n"/>
      <c r="BW21" s="128" t="n"/>
    </row>
    <row r="22" ht="20" customHeight="1">
      <c r="B22" s="125" t="n">
        <v>16</v>
      </c>
      <c r="C22" s="72" t="inlineStr">
        <is>
          <t>Construction</t>
        </is>
      </c>
      <c r="D22" s="72" t="inlineStr">
        <is>
          <t>Bathroom 2 fit-out</t>
        </is>
      </c>
      <c r="E22" s="72" t="inlineStr">
        <is>
          <t>Bathroom 2</t>
        </is>
      </c>
      <c r="F22" s="72" t="inlineStr">
        <is>
          <t>Aqua Bath Studio</t>
        </is>
      </c>
      <c r="G22" s="89" t="n">
        <v>10</v>
      </c>
      <c r="H22" s="89" t="n">
        <v>15</v>
      </c>
      <c r="I22" s="108" t="n"/>
      <c r="J22" s="126">
        <f>IF(OR(D22="",ProjStart=""),"",MAX(ProjStart,IF(I22&lt;&gt;"",I22,0),IF(H22="",0,IFERROR(INDEX($L$6:L21,MATCH(H22,$B$6:B21,0))+1,0))))</f>
        <v/>
      </c>
      <c r="K22" s="89" t="n"/>
      <c r="L22" s="126">
        <f>IF(J22="","",J22+MAX(1,G22)+IF(K22="",0,K22)-1)</f>
        <v/>
      </c>
      <c r="M22" s="72" t="inlineStr">
        <is>
          <t>Not started</t>
        </is>
      </c>
      <c r="N22" s="108" t="n"/>
      <c r="O22" s="127">
        <f>IF(D22="","",COUNTIF($H$7:$H$156,B22))</f>
        <v/>
      </c>
      <c r="P22" s="78">
        <f>IF(D22="","",IF(AND(H22&lt;&gt;"",H22&gt;=B22),"⚠️ Predecessor must be above",IF(M22="Done","✓ Done",IF(Q22=3,"🔴 Late",IF(M22="In progress","In progress","")))))</f>
        <v/>
      </c>
      <c r="Q22" s="79">
        <f>IF(OR(D22="",L22=""),"",IF(M22="Done",2,IF(AsOf&gt;L22,3,1)))</f>
        <v/>
      </c>
      <c r="R22" s="79">
        <f>IF(OR(E22="",F22=""),0,IF(COUNTIFS($E$7:E22,E22,$F$7:F22,F22)=1,1,0))</f>
        <v/>
      </c>
      <c r="S22" s="79">
        <f>IF(R22=1,E22&amp;"|"&amp;SUMIFS($R$7:R22,$E$7:E22,E22),"")</f>
        <v/>
      </c>
      <c r="T22" s="111">
        <f>IF(Q22="","",IF(Q22=3,L22,IF(OR(M22="Not started",M22=""),J22,"")))</f>
        <v/>
      </c>
      <c r="U22" s="79">
        <f>IF(T22="","",IF(Q22=3,1,IF(T22="","",IF(T22&lt;AsOf,1,IF(T22&lt;=AsOf+AlertDays,2,IF(T22&lt;=AsOf+2*AlertDays,3,""))))))</f>
        <v/>
      </c>
      <c r="V22" s="79">
        <f>IF(U22="","",IF(Q22=3,"Late task: "&amp;D22,IF(T22&lt;AsOf,"Should have started: ","Starts soon: ")&amp;D22)&amp;IF(F22="",""," — "&amp;F22))</f>
        <v/>
      </c>
      <c r="X22" s="128" t="n"/>
      <c r="Y22" s="128" t="n"/>
      <c r="Z22" s="128" t="n"/>
      <c r="AA22" s="128" t="n"/>
      <c r="AB22" s="128" t="n"/>
      <c r="AC22" s="128" t="n"/>
      <c r="AD22" s="128" t="n"/>
      <c r="AE22" s="128" t="n"/>
      <c r="AF22" s="128" t="n"/>
      <c r="AG22" s="128" t="n"/>
      <c r="AH22" s="128" t="n"/>
      <c r="AI22" s="128" t="n"/>
      <c r="AJ22" s="128" t="n"/>
      <c r="AK22" s="128" t="n"/>
      <c r="AL22" s="128" t="n"/>
      <c r="AM22" s="128" t="n"/>
      <c r="AN22" s="128" t="n"/>
      <c r="AO22" s="128" t="n"/>
      <c r="AP22" s="128" t="n"/>
      <c r="AQ22" s="128" t="n"/>
      <c r="AR22" s="128" t="n"/>
      <c r="AS22" s="128" t="n"/>
      <c r="AT22" s="128" t="n"/>
      <c r="AU22" s="128" t="n"/>
      <c r="AV22" s="128" t="n"/>
      <c r="AW22" s="128" t="n"/>
      <c r="AX22" s="128" t="n"/>
      <c r="AY22" s="128" t="n"/>
      <c r="AZ22" s="128" t="n"/>
      <c r="BA22" s="128" t="n"/>
      <c r="BB22" s="128" t="n"/>
      <c r="BC22" s="128" t="n"/>
      <c r="BD22" s="128" t="n"/>
      <c r="BE22" s="128" t="n"/>
      <c r="BF22" s="128" t="n"/>
      <c r="BG22" s="128" t="n"/>
      <c r="BH22" s="128" t="n"/>
      <c r="BI22" s="128" t="n"/>
      <c r="BJ22" s="128" t="n"/>
      <c r="BK22" s="128" t="n"/>
      <c r="BL22" s="128" t="n"/>
      <c r="BM22" s="128" t="n"/>
      <c r="BN22" s="128" t="n"/>
      <c r="BO22" s="128" t="n"/>
      <c r="BP22" s="128" t="n"/>
      <c r="BQ22" s="128" t="n"/>
      <c r="BR22" s="128" t="n"/>
      <c r="BS22" s="128" t="n"/>
      <c r="BT22" s="128" t="n"/>
      <c r="BU22" s="128" t="n"/>
      <c r="BV22" s="128" t="n"/>
      <c r="BW22" s="128" t="n"/>
    </row>
    <row r="23" ht="20" customHeight="1">
      <c r="B23" s="125" t="n">
        <v>17</v>
      </c>
      <c r="C23" s="72" t="inlineStr">
        <is>
          <t>Construction</t>
        </is>
      </c>
      <c r="D23" s="72" t="inlineStr">
        <is>
          <t>Painting &amp; decorating</t>
        </is>
      </c>
      <c r="E23" s="72" t="inlineStr">
        <is>
          <t>Whole house</t>
        </is>
      </c>
      <c r="F23" s="72" t="inlineStr">
        <is>
          <t>Finish Line Painters</t>
        </is>
      </c>
      <c r="G23" s="89" t="n">
        <v>12</v>
      </c>
      <c r="H23" s="89" t="n">
        <v>16</v>
      </c>
      <c r="I23" s="108" t="n"/>
      <c r="J23" s="126">
        <f>IF(OR(D23="",ProjStart=""),"",MAX(ProjStart,IF(I23&lt;&gt;"",I23,0),IF(H23="",0,IFERROR(INDEX($L$6:L22,MATCH(H23,$B$6:B22,0))+1,0))))</f>
        <v/>
      </c>
      <c r="K23" s="89" t="n"/>
      <c r="L23" s="126">
        <f>IF(J23="","",J23+MAX(1,G23)+IF(K23="",0,K23)-1)</f>
        <v/>
      </c>
      <c r="M23" s="72" t="inlineStr">
        <is>
          <t>Not started</t>
        </is>
      </c>
      <c r="N23" s="108" t="n"/>
      <c r="O23" s="127">
        <f>IF(D23="","",COUNTIF($H$7:$H$156,B23))</f>
        <v/>
      </c>
      <c r="P23" s="78">
        <f>IF(D23="","",IF(AND(H23&lt;&gt;"",H23&gt;=B23),"⚠️ Predecessor must be above",IF(M23="Done","✓ Done",IF(Q23=3,"🔴 Late",IF(M23="In progress","In progress","")))))</f>
        <v/>
      </c>
      <c r="Q23" s="79">
        <f>IF(OR(D23="",L23=""),"",IF(M23="Done",2,IF(AsOf&gt;L23,3,1)))</f>
        <v/>
      </c>
      <c r="R23" s="79">
        <f>IF(OR(E23="",F23=""),0,IF(COUNTIFS($E$7:E23,E23,$F$7:F23,F23)=1,1,0))</f>
        <v/>
      </c>
      <c r="S23" s="79">
        <f>IF(R23=1,E23&amp;"|"&amp;SUMIFS($R$7:R23,$E$7:E23,E23),"")</f>
        <v/>
      </c>
      <c r="T23" s="111">
        <f>IF(Q23="","",IF(Q23=3,L23,IF(OR(M23="Not started",M23=""),J23,"")))</f>
        <v/>
      </c>
      <c r="U23" s="79">
        <f>IF(T23="","",IF(Q23=3,1,IF(T23="","",IF(T23&lt;AsOf,1,IF(T23&lt;=AsOf+AlertDays,2,IF(T23&lt;=AsOf+2*AlertDays,3,""))))))</f>
        <v/>
      </c>
      <c r="V23" s="79">
        <f>IF(U23="","",IF(Q23=3,"Late task: "&amp;D23,IF(T23&lt;AsOf,"Should have started: ","Starts soon: ")&amp;D23)&amp;IF(F23="",""," — "&amp;F23))</f>
        <v/>
      </c>
      <c r="X23" s="128" t="n"/>
      <c r="Y23" s="128" t="n"/>
      <c r="Z23" s="128" t="n"/>
      <c r="AA23" s="128" t="n"/>
      <c r="AB23" s="128" t="n"/>
      <c r="AC23" s="128" t="n"/>
      <c r="AD23" s="128" t="n"/>
      <c r="AE23" s="128" t="n"/>
      <c r="AF23" s="128" t="n"/>
      <c r="AG23" s="128" t="n"/>
      <c r="AH23" s="128" t="n"/>
      <c r="AI23" s="128" t="n"/>
      <c r="AJ23" s="128" t="n"/>
      <c r="AK23" s="128" t="n"/>
      <c r="AL23" s="128" t="n"/>
      <c r="AM23" s="128" t="n"/>
      <c r="AN23" s="128" t="n"/>
      <c r="AO23" s="128" t="n"/>
      <c r="AP23" s="128" t="n"/>
      <c r="AQ23" s="128" t="n"/>
      <c r="AR23" s="128" t="n"/>
      <c r="AS23" s="128" t="n"/>
      <c r="AT23" s="128" t="n"/>
      <c r="AU23" s="128" t="n"/>
      <c r="AV23" s="128" t="n"/>
      <c r="AW23" s="128" t="n"/>
      <c r="AX23" s="128" t="n"/>
      <c r="AY23" s="128" t="n"/>
      <c r="AZ23" s="128" t="n"/>
      <c r="BA23" s="128" t="n"/>
      <c r="BB23" s="128" t="n"/>
      <c r="BC23" s="128" t="n"/>
      <c r="BD23" s="128" t="n"/>
      <c r="BE23" s="128" t="n"/>
      <c r="BF23" s="128" t="n"/>
      <c r="BG23" s="128" t="n"/>
      <c r="BH23" s="128" t="n"/>
      <c r="BI23" s="128" t="n"/>
      <c r="BJ23" s="128" t="n"/>
      <c r="BK23" s="128" t="n"/>
      <c r="BL23" s="128" t="n"/>
      <c r="BM23" s="128" t="n"/>
      <c r="BN23" s="128" t="n"/>
      <c r="BO23" s="128" t="n"/>
      <c r="BP23" s="128" t="n"/>
      <c r="BQ23" s="128" t="n"/>
      <c r="BR23" s="128" t="n"/>
      <c r="BS23" s="128" t="n"/>
      <c r="BT23" s="128" t="n"/>
      <c r="BU23" s="128" t="n"/>
      <c r="BV23" s="128" t="n"/>
      <c r="BW23" s="128" t="n"/>
    </row>
    <row r="24" ht="20" customHeight="1">
      <c r="B24" s="125" t="n">
        <v>18</v>
      </c>
      <c r="C24" s="72" t="inlineStr">
        <is>
          <t>Construction</t>
        </is>
      </c>
      <c r="D24" s="72" t="inlineStr">
        <is>
          <t>Landscaping</t>
        </is>
      </c>
      <c r="E24" s="72" t="inlineStr">
        <is>
          <t>Exterior</t>
        </is>
      </c>
      <c r="F24" s="72" t="n"/>
      <c r="G24" s="89" t="n">
        <v>10</v>
      </c>
      <c r="H24" s="89" t="n">
        <v>7</v>
      </c>
      <c r="I24" s="108" t="n">
        <v>46223</v>
      </c>
      <c r="J24" s="126">
        <f>IF(OR(D24="",ProjStart=""),"",MAX(ProjStart,IF(I24&lt;&gt;"",I24,0),IF(H24="",0,IFERROR(INDEX($L$6:L23,MATCH(H24,$B$6:B23,0))+1,0))))</f>
        <v/>
      </c>
      <c r="K24" s="89" t="n"/>
      <c r="L24" s="126">
        <f>IF(J24="","",J24+MAX(1,G24)+IF(K24="",0,K24)-1)</f>
        <v/>
      </c>
      <c r="M24" s="72" t="inlineStr">
        <is>
          <t>Not started</t>
        </is>
      </c>
      <c r="N24" s="108" t="n"/>
      <c r="O24" s="127">
        <f>IF(D24="","",COUNTIF($H$7:$H$156,B24))</f>
        <v/>
      </c>
      <c r="P24" s="78">
        <f>IF(D24="","",IF(AND(H24&lt;&gt;"",H24&gt;=B24),"⚠️ Predecessor must be above",IF(M24="Done","✓ Done",IF(Q24=3,"🔴 Late",IF(M24="In progress","In progress","")))))</f>
        <v/>
      </c>
      <c r="Q24" s="79">
        <f>IF(OR(D24="",L24=""),"",IF(M24="Done",2,IF(AsOf&gt;L24,3,1)))</f>
        <v/>
      </c>
      <c r="R24" s="79">
        <f>IF(OR(E24="",F24=""),0,IF(COUNTIFS($E$7:E24,E24,$F$7:F24,F24)=1,1,0))</f>
        <v/>
      </c>
      <c r="S24" s="79">
        <f>IF(R24=1,E24&amp;"|"&amp;SUMIFS($R$7:R24,$E$7:E24,E24),"")</f>
        <v/>
      </c>
      <c r="T24" s="111">
        <f>IF(Q24="","",IF(Q24=3,L24,IF(OR(M24="Not started",M24=""),J24,"")))</f>
        <v/>
      </c>
      <c r="U24" s="79">
        <f>IF(T24="","",IF(Q24=3,1,IF(T24="","",IF(T24&lt;AsOf,1,IF(T24&lt;=AsOf+AlertDays,2,IF(T24&lt;=AsOf+2*AlertDays,3,""))))))</f>
        <v/>
      </c>
      <c r="V24" s="79">
        <f>IF(U24="","",IF(Q24=3,"Late task: "&amp;D24,IF(T24&lt;AsOf,"Should have started: ","Starts soon: ")&amp;D24)&amp;IF(F24="",""," — "&amp;F24))</f>
        <v/>
      </c>
      <c r="X24" s="128" t="n"/>
      <c r="Y24" s="128" t="n"/>
      <c r="Z24" s="128" t="n"/>
      <c r="AA24" s="128" t="n"/>
      <c r="AB24" s="128" t="n"/>
      <c r="AC24" s="128" t="n"/>
      <c r="AD24" s="128" t="n"/>
      <c r="AE24" s="128" t="n"/>
      <c r="AF24" s="128" t="n"/>
      <c r="AG24" s="128" t="n"/>
      <c r="AH24" s="128" t="n"/>
      <c r="AI24" s="128" t="n"/>
      <c r="AJ24" s="128" t="n"/>
      <c r="AK24" s="128" t="n"/>
      <c r="AL24" s="128" t="n"/>
      <c r="AM24" s="128" t="n"/>
      <c r="AN24" s="128" t="n"/>
      <c r="AO24" s="128" t="n"/>
      <c r="AP24" s="128" t="n"/>
      <c r="AQ24" s="128" t="n"/>
      <c r="AR24" s="128" t="n"/>
      <c r="AS24" s="128" t="n"/>
      <c r="AT24" s="128" t="n"/>
      <c r="AU24" s="128" t="n"/>
      <c r="AV24" s="128" t="n"/>
      <c r="AW24" s="128" t="n"/>
      <c r="AX24" s="128" t="n"/>
      <c r="AY24" s="128" t="n"/>
      <c r="AZ24" s="128" t="n"/>
      <c r="BA24" s="128" t="n"/>
      <c r="BB24" s="128" t="n"/>
      <c r="BC24" s="128" t="n"/>
      <c r="BD24" s="128" t="n"/>
      <c r="BE24" s="128" t="n"/>
      <c r="BF24" s="128" t="n"/>
      <c r="BG24" s="128" t="n"/>
      <c r="BH24" s="128" t="n"/>
      <c r="BI24" s="128" t="n"/>
      <c r="BJ24" s="128" t="n"/>
      <c r="BK24" s="128" t="n"/>
      <c r="BL24" s="128" t="n"/>
      <c r="BM24" s="128" t="n"/>
      <c r="BN24" s="128" t="n"/>
      <c r="BO24" s="128" t="n"/>
      <c r="BP24" s="128" t="n"/>
      <c r="BQ24" s="128" t="n"/>
      <c r="BR24" s="128" t="n"/>
      <c r="BS24" s="128" t="n"/>
      <c r="BT24" s="128" t="n"/>
      <c r="BU24" s="128" t="n"/>
      <c r="BV24" s="128" t="n"/>
      <c r="BW24" s="128" t="n"/>
    </row>
    <row r="25" ht="20" customHeight="1">
      <c r="B25" s="125" t="n">
        <v>19</v>
      </c>
      <c r="C25" s="72" t="inlineStr">
        <is>
          <t>Final</t>
        </is>
      </c>
      <c r="D25" s="72" t="inlineStr">
        <is>
          <t>Final electrical &amp; plumbing fixes</t>
        </is>
      </c>
      <c r="E25" s="72" t="inlineStr">
        <is>
          <t>Whole house</t>
        </is>
      </c>
      <c r="F25" s="72" t="inlineStr">
        <is>
          <t>Bright Spark Electric</t>
        </is>
      </c>
      <c r="G25" s="89" t="n">
        <v>5</v>
      </c>
      <c r="H25" s="89" t="n">
        <v>17</v>
      </c>
      <c r="I25" s="108" t="n"/>
      <c r="J25" s="126">
        <f>IF(OR(D25="",ProjStart=""),"",MAX(ProjStart,IF(I25&lt;&gt;"",I25,0),IF(H25="",0,IFERROR(INDEX($L$6:L24,MATCH(H25,$B$6:B24,0))+1,0))))</f>
        <v/>
      </c>
      <c r="K25" s="89" t="n"/>
      <c r="L25" s="126">
        <f>IF(J25="","",J25+MAX(1,G25)+IF(K25="",0,K25)-1)</f>
        <v/>
      </c>
      <c r="M25" s="72" t="inlineStr">
        <is>
          <t>Not started</t>
        </is>
      </c>
      <c r="N25" s="108" t="n"/>
      <c r="O25" s="127">
        <f>IF(D25="","",COUNTIF($H$7:$H$156,B25))</f>
        <v/>
      </c>
      <c r="P25" s="78">
        <f>IF(D25="","",IF(AND(H25&lt;&gt;"",H25&gt;=B25),"⚠️ Predecessor must be above",IF(M25="Done","✓ Done",IF(Q25=3,"🔴 Late",IF(M25="In progress","In progress","")))))</f>
        <v/>
      </c>
      <c r="Q25" s="79">
        <f>IF(OR(D25="",L25=""),"",IF(M25="Done",2,IF(AsOf&gt;L25,3,1)))</f>
        <v/>
      </c>
      <c r="R25" s="79">
        <f>IF(OR(E25="",F25=""),0,IF(COUNTIFS($E$7:E25,E25,$F$7:F25,F25)=1,1,0))</f>
        <v/>
      </c>
      <c r="S25" s="79">
        <f>IF(R25=1,E25&amp;"|"&amp;SUMIFS($R$7:R25,$E$7:E25,E25),"")</f>
        <v/>
      </c>
      <c r="T25" s="111">
        <f>IF(Q25="","",IF(Q25=3,L25,IF(OR(M25="Not started",M25=""),J25,"")))</f>
        <v/>
      </c>
      <c r="U25" s="79">
        <f>IF(T25="","",IF(Q25=3,1,IF(T25="","",IF(T25&lt;AsOf,1,IF(T25&lt;=AsOf+AlertDays,2,IF(T25&lt;=AsOf+2*AlertDays,3,""))))))</f>
        <v/>
      </c>
      <c r="V25" s="79">
        <f>IF(U25="","",IF(Q25=3,"Late task: "&amp;D25,IF(T25&lt;AsOf,"Should have started: ","Starts soon: ")&amp;D25)&amp;IF(F25="",""," — "&amp;F25))</f>
        <v/>
      </c>
      <c r="X25" s="128" t="n"/>
      <c r="Y25" s="128" t="n"/>
      <c r="Z25" s="128" t="n"/>
      <c r="AA25" s="128" t="n"/>
      <c r="AB25" s="128" t="n"/>
      <c r="AC25" s="128" t="n"/>
      <c r="AD25" s="128" t="n"/>
      <c r="AE25" s="128" t="n"/>
      <c r="AF25" s="128" t="n"/>
      <c r="AG25" s="128" t="n"/>
      <c r="AH25" s="128" t="n"/>
      <c r="AI25" s="128" t="n"/>
      <c r="AJ25" s="128" t="n"/>
      <c r="AK25" s="128" t="n"/>
      <c r="AL25" s="128" t="n"/>
      <c r="AM25" s="128" t="n"/>
      <c r="AN25" s="128" t="n"/>
      <c r="AO25" s="128" t="n"/>
      <c r="AP25" s="128" t="n"/>
      <c r="AQ25" s="128" t="n"/>
      <c r="AR25" s="128" t="n"/>
      <c r="AS25" s="128" t="n"/>
      <c r="AT25" s="128" t="n"/>
      <c r="AU25" s="128" t="n"/>
      <c r="AV25" s="128" t="n"/>
      <c r="AW25" s="128" t="n"/>
      <c r="AX25" s="128" t="n"/>
      <c r="AY25" s="128" t="n"/>
      <c r="AZ25" s="128" t="n"/>
      <c r="BA25" s="128" t="n"/>
      <c r="BB25" s="128" t="n"/>
      <c r="BC25" s="128" t="n"/>
      <c r="BD25" s="128" t="n"/>
      <c r="BE25" s="128" t="n"/>
      <c r="BF25" s="128" t="n"/>
      <c r="BG25" s="128" t="n"/>
      <c r="BH25" s="128" t="n"/>
      <c r="BI25" s="128" t="n"/>
      <c r="BJ25" s="128" t="n"/>
      <c r="BK25" s="128" t="n"/>
      <c r="BL25" s="128" t="n"/>
      <c r="BM25" s="128" t="n"/>
      <c r="BN25" s="128" t="n"/>
      <c r="BO25" s="128" t="n"/>
      <c r="BP25" s="128" t="n"/>
      <c r="BQ25" s="128" t="n"/>
      <c r="BR25" s="128" t="n"/>
      <c r="BS25" s="128" t="n"/>
      <c r="BT25" s="128" t="n"/>
      <c r="BU25" s="128" t="n"/>
      <c r="BV25" s="128" t="n"/>
      <c r="BW25" s="128" t="n"/>
    </row>
    <row r="26" ht="20" customHeight="1">
      <c r="B26" s="125" t="n">
        <v>20</v>
      </c>
      <c r="C26" s="72" t="inlineStr">
        <is>
          <t>Final</t>
        </is>
      </c>
      <c r="D26" s="72" t="inlineStr">
        <is>
          <t>Final inspection</t>
        </is>
      </c>
      <c r="E26" s="72" t="inlineStr">
        <is>
          <t>Whole house</t>
        </is>
      </c>
      <c r="F26" s="72" t="n"/>
      <c r="G26" s="89" t="n">
        <v>2</v>
      </c>
      <c r="H26" s="89" t="n">
        <v>19</v>
      </c>
      <c r="I26" s="108" t="n"/>
      <c r="J26" s="126">
        <f>IF(OR(D26="",ProjStart=""),"",MAX(ProjStart,IF(I26&lt;&gt;"",I26,0),IF(H26="",0,IFERROR(INDEX($L$6:L25,MATCH(H26,$B$6:B25,0))+1,0))))</f>
        <v/>
      </c>
      <c r="K26" s="89" t="n"/>
      <c r="L26" s="126">
        <f>IF(J26="","",J26+MAX(1,G26)+IF(K26="",0,K26)-1)</f>
        <v/>
      </c>
      <c r="M26" s="72" t="inlineStr">
        <is>
          <t>Not started</t>
        </is>
      </c>
      <c r="N26" s="108" t="n"/>
      <c r="O26" s="127">
        <f>IF(D26="","",COUNTIF($H$7:$H$156,B26))</f>
        <v/>
      </c>
      <c r="P26" s="78">
        <f>IF(D26="","",IF(AND(H26&lt;&gt;"",H26&gt;=B26),"⚠️ Predecessor must be above",IF(M26="Done","✓ Done",IF(Q26=3,"🔴 Late",IF(M26="In progress","In progress","")))))</f>
        <v/>
      </c>
      <c r="Q26" s="79">
        <f>IF(OR(D26="",L26=""),"",IF(M26="Done",2,IF(AsOf&gt;L26,3,1)))</f>
        <v/>
      </c>
      <c r="R26" s="79">
        <f>IF(OR(E26="",F26=""),0,IF(COUNTIFS($E$7:E26,E26,$F$7:F26,F26)=1,1,0))</f>
        <v/>
      </c>
      <c r="S26" s="79">
        <f>IF(R26=1,E26&amp;"|"&amp;SUMIFS($R$7:R26,$E$7:E26,E26),"")</f>
        <v/>
      </c>
      <c r="T26" s="111">
        <f>IF(Q26="","",IF(Q26=3,L26,IF(OR(M26="Not started",M26=""),J26,"")))</f>
        <v/>
      </c>
      <c r="U26" s="79">
        <f>IF(T26="","",IF(Q26=3,1,IF(T26="","",IF(T26&lt;AsOf,1,IF(T26&lt;=AsOf+AlertDays,2,IF(T26&lt;=AsOf+2*AlertDays,3,""))))))</f>
        <v/>
      </c>
      <c r="V26" s="79">
        <f>IF(U26="","",IF(Q26=3,"Late task: "&amp;D26,IF(T26&lt;AsOf,"Should have started: ","Starts soon: ")&amp;D26)&amp;IF(F26="",""," — "&amp;F26))</f>
        <v/>
      </c>
      <c r="X26" s="128" t="n"/>
      <c r="Y26" s="128" t="n"/>
      <c r="Z26" s="128" t="n"/>
      <c r="AA26" s="128" t="n"/>
      <c r="AB26" s="128" t="n"/>
      <c r="AC26" s="128" t="n"/>
      <c r="AD26" s="128" t="n"/>
      <c r="AE26" s="128" t="n"/>
      <c r="AF26" s="128" t="n"/>
      <c r="AG26" s="128" t="n"/>
      <c r="AH26" s="128" t="n"/>
      <c r="AI26" s="128" t="n"/>
      <c r="AJ26" s="128" t="n"/>
      <c r="AK26" s="128" t="n"/>
      <c r="AL26" s="128" t="n"/>
      <c r="AM26" s="128" t="n"/>
      <c r="AN26" s="128" t="n"/>
      <c r="AO26" s="128" t="n"/>
      <c r="AP26" s="128" t="n"/>
      <c r="AQ26" s="128" t="n"/>
      <c r="AR26" s="128" t="n"/>
      <c r="AS26" s="128" t="n"/>
      <c r="AT26" s="128" t="n"/>
      <c r="AU26" s="128" t="n"/>
      <c r="AV26" s="128" t="n"/>
      <c r="AW26" s="128" t="n"/>
      <c r="AX26" s="128" t="n"/>
      <c r="AY26" s="128" t="n"/>
      <c r="AZ26" s="128" t="n"/>
      <c r="BA26" s="128" t="n"/>
      <c r="BB26" s="128" t="n"/>
      <c r="BC26" s="128" t="n"/>
      <c r="BD26" s="128" t="n"/>
      <c r="BE26" s="128" t="n"/>
      <c r="BF26" s="128" t="n"/>
      <c r="BG26" s="128" t="n"/>
      <c r="BH26" s="128" t="n"/>
      <c r="BI26" s="128" t="n"/>
      <c r="BJ26" s="128" t="n"/>
      <c r="BK26" s="128" t="n"/>
      <c r="BL26" s="128" t="n"/>
      <c r="BM26" s="128" t="n"/>
      <c r="BN26" s="128" t="n"/>
      <c r="BO26" s="128" t="n"/>
      <c r="BP26" s="128" t="n"/>
      <c r="BQ26" s="128" t="n"/>
      <c r="BR26" s="128" t="n"/>
      <c r="BS26" s="128" t="n"/>
      <c r="BT26" s="128" t="n"/>
      <c r="BU26" s="128" t="n"/>
      <c r="BV26" s="128" t="n"/>
      <c r="BW26" s="128" t="n"/>
    </row>
    <row r="27" ht="20" customHeight="1">
      <c r="B27" s="125" t="n">
        <v>21</v>
      </c>
      <c r="C27" s="72" t="inlineStr">
        <is>
          <t>Final</t>
        </is>
      </c>
      <c r="D27" s="72" t="inlineStr">
        <is>
          <t>Punch list</t>
        </is>
      </c>
      <c r="E27" s="72" t="inlineStr">
        <is>
          <t>Whole house</t>
        </is>
      </c>
      <c r="F27" s="72" t="n"/>
      <c r="G27" s="89" t="n">
        <v>10</v>
      </c>
      <c r="H27" s="89" t="n">
        <v>20</v>
      </c>
      <c r="I27" s="108" t="n"/>
      <c r="J27" s="126">
        <f>IF(OR(D27="",ProjStart=""),"",MAX(ProjStart,IF(I27&lt;&gt;"",I27,0),IF(H27="",0,IFERROR(INDEX($L$6:L26,MATCH(H27,$B$6:B26,0))+1,0))))</f>
        <v/>
      </c>
      <c r="K27" s="89" t="n"/>
      <c r="L27" s="126">
        <f>IF(J27="","",J27+MAX(1,G27)+IF(K27="",0,K27)-1)</f>
        <v/>
      </c>
      <c r="M27" s="72" t="inlineStr">
        <is>
          <t>Not started</t>
        </is>
      </c>
      <c r="N27" s="108" t="n"/>
      <c r="O27" s="127">
        <f>IF(D27="","",COUNTIF($H$7:$H$156,B27))</f>
        <v/>
      </c>
      <c r="P27" s="78">
        <f>IF(D27="","",IF(AND(H27&lt;&gt;"",H27&gt;=B27),"⚠️ Predecessor must be above",IF(M27="Done","✓ Done",IF(Q27=3,"🔴 Late",IF(M27="In progress","In progress","")))))</f>
        <v/>
      </c>
      <c r="Q27" s="79">
        <f>IF(OR(D27="",L27=""),"",IF(M27="Done",2,IF(AsOf&gt;L27,3,1)))</f>
        <v/>
      </c>
      <c r="R27" s="79">
        <f>IF(OR(E27="",F27=""),0,IF(COUNTIFS($E$7:E27,E27,$F$7:F27,F27)=1,1,0))</f>
        <v/>
      </c>
      <c r="S27" s="79">
        <f>IF(R27=1,E27&amp;"|"&amp;SUMIFS($R$7:R27,$E$7:E27,E27),"")</f>
        <v/>
      </c>
      <c r="T27" s="111">
        <f>IF(Q27="","",IF(Q27=3,L27,IF(OR(M27="Not started",M27=""),J27,"")))</f>
        <v/>
      </c>
      <c r="U27" s="79">
        <f>IF(T27="","",IF(Q27=3,1,IF(T27="","",IF(T27&lt;AsOf,1,IF(T27&lt;=AsOf+AlertDays,2,IF(T27&lt;=AsOf+2*AlertDays,3,""))))))</f>
        <v/>
      </c>
      <c r="V27" s="79">
        <f>IF(U27="","",IF(Q27=3,"Late task: "&amp;D27,IF(T27&lt;AsOf,"Should have started: ","Starts soon: ")&amp;D27)&amp;IF(F27="",""," — "&amp;F27))</f>
        <v/>
      </c>
      <c r="X27" s="128" t="n"/>
      <c r="Y27" s="128" t="n"/>
      <c r="Z27" s="128" t="n"/>
      <c r="AA27" s="128" t="n"/>
      <c r="AB27" s="128" t="n"/>
      <c r="AC27" s="128" t="n"/>
      <c r="AD27" s="128" t="n"/>
      <c r="AE27" s="128" t="n"/>
      <c r="AF27" s="128" t="n"/>
      <c r="AG27" s="128" t="n"/>
      <c r="AH27" s="128" t="n"/>
      <c r="AI27" s="128" t="n"/>
      <c r="AJ27" s="128" t="n"/>
      <c r="AK27" s="128" t="n"/>
      <c r="AL27" s="128" t="n"/>
      <c r="AM27" s="128" t="n"/>
      <c r="AN27" s="128" t="n"/>
      <c r="AO27" s="128" t="n"/>
      <c r="AP27" s="128" t="n"/>
      <c r="AQ27" s="128" t="n"/>
      <c r="AR27" s="128" t="n"/>
      <c r="AS27" s="128" t="n"/>
      <c r="AT27" s="128" t="n"/>
      <c r="AU27" s="128" t="n"/>
      <c r="AV27" s="128" t="n"/>
      <c r="AW27" s="128" t="n"/>
      <c r="AX27" s="128" t="n"/>
      <c r="AY27" s="128" t="n"/>
      <c r="AZ27" s="128" t="n"/>
      <c r="BA27" s="128" t="n"/>
      <c r="BB27" s="128" t="n"/>
      <c r="BC27" s="128" t="n"/>
      <c r="BD27" s="128" t="n"/>
      <c r="BE27" s="128" t="n"/>
      <c r="BF27" s="128" t="n"/>
      <c r="BG27" s="128" t="n"/>
      <c r="BH27" s="128" t="n"/>
      <c r="BI27" s="128" t="n"/>
      <c r="BJ27" s="128" t="n"/>
      <c r="BK27" s="128" t="n"/>
      <c r="BL27" s="128" t="n"/>
      <c r="BM27" s="128" t="n"/>
      <c r="BN27" s="128" t="n"/>
      <c r="BO27" s="128" t="n"/>
      <c r="BP27" s="128" t="n"/>
      <c r="BQ27" s="128" t="n"/>
      <c r="BR27" s="128" t="n"/>
      <c r="BS27" s="128" t="n"/>
      <c r="BT27" s="128" t="n"/>
      <c r="BU27" s="128" t="n"/>
      <c r="BV27" s="128" t="n"/>
      <c r="BW27" s="128" t="n"/>
    </row>
    <row r="28" ht="20" customHeight="1">
      <c r="B28" s="125" t="n">
        <v>22</v>
      </c>
      <c r="C28" s="72" t="inlineStr">
        <is>
          <t>Final</t>
        </is>
      </c>
      <c r="D28" s="72" t="inlineStr">
        <is>
          <t>Cleaning</t>
        </is>
      </c>
      <c r="E28" s="72" t="inlineStr">
        <is>
          <t>Whole house</t>
        </is>
      </c>
      <c r="F28" s="72" t="n"/>
      <c r="G28" s="89" t="n">
        <v>3</v>
      </c>
      <c r="H28" s="89" t="n">
        <v>21</v>
      </c>
      <c r="I28" s="108" t="n"/>
      <c r="J28" s="126">
        <f>IF(OR(D28="",ProjStart=""),"",MAX(ProjStart,IF(I28&lt;&gt;"",I28,0),IF(H28="",0,IFERROR(INDEX($L$6:L27,MATCH(H28,$B$6:B27,0))+1,0))))</f>
        <v/>
      </c>
      <c r="K28" s="89" t="n"/>
      <c r="L28" s="126">
        <f>IF(J28="","",J28+MAX(1,G28)+IF(K28="",0,K28)-1)</f>
        <v/>
      </c>
      <c r="M28" s="72" t="inlineStr">
        <is>
          <t>Not started</t>
        </is>
      </c>
      <c r="N28" s="108" t="n"/>
      <c r="O28" s="127">
        <f>IF(D28="","",COUNTIF($H$7:$H$156,B28))</f>
        <v/>
      </c>
      <c r="P28" s="78">
        <f>IF(D28="","",IF(AND(H28&lt;&gt;"",H28&gt;=B28),"⚠️ Predecessor must be above",IF(M28="Done","✓ Done",IF(Q28=3,"🔴 Late",IF(M28="In progress","In progress","")))))</f>
        <v/>
      </c>
      <c r="Q28" s="79">
        <f>IF(OR(D28="",L28=""),"",IF(M28="Done",2,IF(AsOf&gt;L28,3,1)))</f>
        <v/>
      </c>
      <c r="R28" s="79">
        <f>IF(OR(E28="",F28=""),0,IF(COUNTIFS($E$7:E28,E28,$F$7:F28,F28)=1,1,0))</f>
        <v/>
      </c>
      <c r="S28" s="79">
        <f>IF(R28=1,E28&amp;"|"&amp;SUMIFS($R$7:R28,$E$7:E28,E28),"")</f>
        <v/>
      </c>
      <c r="T28" s="111">
        <f>IF(Q28="","",IF(Q28=3,L28,IF(OR(M28="Not started",M28=""),J28,"")))</f>
        <v/>
      </c>
      <c r="U28" s="79">
        <f>IF(T28="","",IF(Q28=3,1,IF(T28="","",IF(T28&lt;AsOf,1,IF(T28&lt;=AsOf+AlertDays,2,IF(T28&lt;=AsOf+2*AlertDays,3,""))))))</f>
        <v/>
      </c>
      <c r="V28" s="79">
        <f>IF(U28="","",IF(Q28=3,"Late task: "&amp;D28,IF(T28&lt;AsOf,"Should have started: ","Starts soon: ")&amp;D28)&amp;IF(F28="",""," — "&amp;F28))</f>
        <v/>
      </c>
      <c r="X28" s="128" t="n"/>
      <c r="Y28" s="128" t="n"/>
      <c r="Z28" s="128" t="n"/>
      <c r="AA28" s="128" t="n"/>
      <c r="AB28" s="128" t="n"/>
      <c r="AC28" s="128" t="n"/>
      <c r="AD28" s="128" t="n"/>
      <c r="AE28" s="128" t="n"/>
      <c r="AF28" s="128" t="n"/>
      <c r="AG28" s="128" t="n"/>
      <c r="AH28" s="128" t="n"/>
      <c r="AI28" s="128" t="n"/>
      <c r="AJ28" s="128" t="n"/>
      <c r="AK28" s="128" t="n"/>
      <c r="AL28" s="128" t="n"/>
      <c r="AM28" s="128" t="n"/>
      <c r="AN28" s="128" t="n"/>
      <c r="AO28" s="128" t="n"/>
      <c r="AP28" s="128" t="n"/>
      <c r="AQ28" s="128" t="n"/>
      <c r="AR28" s="128" t="n"/>
      <c r="AS28" s="128" t="n"/>
      <c r="AT28" s="128" t="n"/>
      <c r="AU28" s="128" t="n"/>
      <c r="AV28" s="128" t="n"/>
      <c r="AW28" s="128" t="n"/>
      <c r="AX28" s="128" t="n"/>
      <c r="AY28" s="128" t="n"/>
      <c r="AZ28" s="128" t="n"/>
      <c r="BA28" s="128" t="n"/>
      <c r="BB28" s="128" t="n"/>
      <c r="BC28" s="128" t="n"/>
      <c r="BD28" s="128" t="n"/>
      <c r="BE28" s="128" t="n"/>
      <c r="BF28" s="128" t="n"/>
      <c r="BG28" s="128" t="n"/>
      <c r="BH28" s="128" t="n"/>
      <c r="BI28" s="128" t="n"/>
      <c r="BJ28" s="128" t="n"/>
      <c r="BK28" s="128" t="n"/>
      <c r="BL28" s="128" t="n"/>
      <c r="BM28" s="128" t="n"/>
      <c r="BN28" s="128" t="n"/>
      <c r="BO28" s="128" t="n"/>
      <c r="BP28" s="128" t="n"/>
      <c r="BQ28" s="128" t="n"/>
      <c r="BR28" s="128" t="n"/>
      <c r="BS28" s="128" t="n"/>
      <c r="BT28" s="128" t="n"/>
      <c r="BU28" s="128" t="n"/>
      <c r="BV28" s="128" t="n"/>
      <c r="BW28" s="128" t="n"/>
    </row>
    <row r="29" ht="20" customHeight="1">
      <c r="B29" s="125" t="n">
        <v>23</v>
      </c>
      <c r="C29" s="72" t="inlineStr">
        <is>
          <t>Final</t>
        </is>
      </c>
      <c r="D29" s="72" t="inlineStr">
        <is>
          <t>Furniture &amp; move-in</t>
        </is>
      </c>
      <c r="E29" s="72" t="inlineStr">
        <is>
          <t>Whole house</t>
        </is>
      </c>
      <c r="F29" s="72" t="n"/>
      <c r="G29" s="89" t="n">
        <v>5</v>
      </c>
      <c r="H29" s="89" t="n">
        <v>22</v>
      </c>
      <c r="I29" s="108" t="n"/>
      <c r="J29" s="126">
        <f>IF(OR(D29="",ProjStart=""),"",MAX(ProjStart,IF(I29&lt;&gt;"",I29,0),IF(H29="",0,IFERROR(INDEX($L$6:L28,MATCH(H29,$B$6:B28,0))+1,0))))</f>
        <v/>
      </c>
      <c r="K29" s="89" t="n"/>
      <c r="L29" s="126">
        <f>IF(J29="","",J29+MAX(1,G29)+IF(K29="",0,K29)-1)</f>
        <v/>
      </c>
      <c r="M29" s="72" t="inlineStr">
        <is>
          <t>Not started</t>
        </is>
      </c>
      <c r="N29" s="108" t="n"/>
      <c r="O29" s="127">
        <f>IF(D29="","",COUNTIF($H$7:$H$156,B29))</f>
        <v/>
      </c>
      <c r="P29" s="78">
        <f>IF(D29="","",IF(AND(H29&lt;&gt;"",H29&gt;=B29),"⚠️ Predecessor must be above",IF(M29="Done","✓ Done",IF(Q29=3,"🔴 Late",IF(M29="In progress","In progress","")))))</f>
        <v/>
      </c>
      <c r="Q29" s="79">
        <f>IF(OR(D29="",L29=""),"",IF(M29="Done",2,IF(AsOf&gt;L29,3,1)))</f>
        <v/>
      </c>
      <c r="R29" s="79">
        <f>IF(OR(E29="",F29=""),0,IF(COUNTIFS($E$7:E29,E29,$F$7:F29,F29)=1,1,0))</f>
        <v/>
      </c>
      <c r="S29" s="79">
        <f>IF(R29=1,E29&amp;"|"&amp;SUMIFS($R$7:R29,$E$7:E29,E29),"")</f>
        <v/>
      </c>
      <c r="T29" s="111">
        <f>IF(Q29="","",IF(Q29=3,L29,IF(OR(M29="Not started",M29=""),J29,"")))</f>
        <v/>
      </c>
      <c r="U29" s="79">
        <f>IF(T29="","",IF(Q29=3,1,IF(T29="","",IF(T29&lt;AsOf,1,IF(T29&lt;=AsOf+AlertDays,2,IF(T29&lt;=AsOf+2*AlertDays,3,""))))))</f>
        <v/>
      </c>
      <c r="V29" s="79">
        <f>IF(U29="","",IF(Q29=3,"Late task: "&amp;D29,IF(T29&lt;AsOf,"Should have started: ","Starts soon: ")&amp;D29)&amp;IF(F29="",""," — "&amp;F29))</f>
        <v/>
      </c>
      <c r="X29" s="128" t="n"/>
      <c r="Y29" s="128" t="n"/>
      <c r="Z29" s="128" t="n"/>
      <c r="AA29" s="128" t="n"/>
      <c r="AB29" s="128" t="n"/>
      <c r="AC29" s="128" t="n"/>
      <c r="AD29" s="128" t="n"/>
      <c r="AE29" s="128" t="n"/>
      <c r="AF29" s="128" t="n"/>
      <c r="AG29" s="128" t="n"/>
      <c r="AH29" s="128" t="n"/>
      <c r="AI29" s="128" t="n"/>
      <c r="AJ29" s="128" t="n"/>
      <c r="AK29" s="128" t="n"/>
      <c r="AL29" s="128" t="n"/>
      <c r="AM29" s="128" t="n"/>
      <c r="AN29" s="128" t="n"/>
      <c r="AO29" s="128" t="n"/>
      <c r="AP29" s="128" t="n"/>
      <c r="AQ29" s="128" t="n"/>
      <c r="AR29" s="128" t="n"/>
      <c r="AS29" s="128" t="n"/>
      <c r="AT29" s="128" t="n"/>
      <c r="AU29" s="128" t="n"/>
      <c r="AV29" s="128" t="n"/>
      <c r="AW29" s="128" t="n"/>
      <c r="AX29" s="128" t="n"/>
      <c r="AY29" s="128" t="n"/>
      <c r="AZ29" s="128" t="n"/>
      <c r="BA29" s="128" t="n"/>
      <c r="BB29" s="128" t="n"/>
      <c r="BC29" s="128" t="n"/>
      <c r="BD29" s="128" t="n"/>
      <c r="BE29" s="128" t="n"/>
      <c r="BF29" s="128" t="n"/>
      <c r="BG29" s="128" t="n"/>
      <c r="BH29" s="128" t="n"/>
      <c r="BI29" s="128" t="n"/>
      <c r="BJ29" s="128" t="n"/>
      <c r="BK29" s="128" t="n"/>
      <c r="BL29" s="128" t="n"/>
      <c r="BM29" s="128" t="n"/>
      <c r="BN29" s="128" t="n"/>
      <c r="BO29" s="128" t="n"/>
      <c r="BP29" s="128" t="n"/>
      <c r="BQ29" s="128" t="n"/>
      <c r="BR29" s="128" t="n"/>
      <c r="BS29" s="128" t="n"/>
      <c r="BT29" s="128" t="n"/>
      <c r="BU29" s="128" t="n"/>
      <c r="BV29" s="128" t="n"/>
      <c r="BW29" s="128" t="n"/>
    </row>
    <row r="30" ht="20" customHeight="1">
      <c r="B30" s="125" t="n">
        <v>24</v>
      </c>
      <c r="C30" s="72" t="n"/>
      <c r="D30" s="72" t="n"/>
      <c r="E30" s="72" t="n"/>
      <c r="F30" s="72" t="n"/>
      <c r="G30" s="89" t="n"/>
      <c r="H30" s="89" t="n"/>
      <c r="I30" s="108" t="n"/>
      <c r="J30" s="126">
        <f>IF(OR(D30="",ProjStart=""),"",MAX(ProjStart,IF(I30&lt;&gt;"",I30,0),IF(H30="",0,IFERROR(INDEX($L$6:L29,MATCH(H30,$B$6:B29,0))+1,0))))</f>
        <v/>
      </c>
      <c r="K30" s="89" t="n"/>
      <c r="L30" s="126">
        <f>IF(J30="","",J30+MAX(1,G30)+IF(K30="",0,K30)-1)</f>
        <v/>
      </c>
      <c r="M30" s="72" t="n"/>
      <c r="N30" s="108" t="n"/>
      <c r="O30" s="127">
        <f>IF(D30="","",COUNTIF($H$7:$H$156,B30))</f>
        <v/>
      </c>
      <c r="P30" s="78">
        <f>IF(D30="","",IF(AND(H30&lt;&gt;"",H30&gt;=B30),"⚠️ Predecessor must be above",IF(M30="Done","✓ Done",IF(Q30=3,"🔴 Late",IF(M30="In progress","In progress","")))))</f>
        <v/>
      </c>
      <c r="Q30" s="79">
        <f>IF(OR(D30="",L30=""),"",IF(M30="Done",2,IF(AsOf&gt;L30,3,1)))</f>
        <v/>
      </c>
      <c r="R30" s="79">
        <f>IF(OR(E30="",F30=""),0,IF(COUNTIFS($E$7:E30,E30,$F$7:F30,F30)=1,1,0))</f>
        <v/>
      </c>
      <c r="S30" s="79">
        <f>IF(R30=1,E30&amp;"|"&amp;SUMIFS($R$7:R30,$E$7:E30,E30),"")</f>
        <v/>
      </c>
      <c r="T30" s="111">
        <f>IF(Q30="","",IF(Q30=3,L30,IF(OR(M30="Not started",M30=""),J30,"")))</f>
        <v/>
      </c>
      <c r="U30" s="79">
        <f>IF(T30="","",IF(Q30=3,1,IF(T30="","",IF(T30&lt;AsOf,1,IF(T30&lt;=AsOf+AlertDays,2,IF(T30&lt;=AsOf+2*AlertDays,3,""))))))</f>
        <v/>
      </c>
      <c r="V30" s="79">
        <f>IF(U30="","",IF(Q30=3,"Late task: "&amp;D30,IF(T30&lt;AsOf,"Should have started: ","Starts soon: ")&amp;D30)&amp;IF(F30="",""," — "&amp;F30))</f>
        <v/>
      </c>
      <c r="X30" s="128" t="n"/>
      <c r="Y30" s="128" t="n"/>
      <c r="Z30" s="128" t="n"/>
      <c r="AA30" s="128" t="n"/>
      <c r="AB30" s="128" t="n"/>
      <c r="AC30" s="128" t="n"/>
      <c r="AD30" s="128" t="n"/>
      <c r="AE30" s="128" t="n"/>
      <c r="AF30" s="128" t="n"/>
      <c r="AG30" s="128" t="n"/>
      <c r="AH30" s="128" t="n"/>
      <c r="AI30" s="128" t="n"/>
      <c r="AJ30" s="128" t="n"/>
      <c r="AK30" s="128" t="n"/>
      <c r="AL30" s="128" t="n"/>
      <c r="AM30" s="128" t="n"/>
      <c r="AN30" s="128" t="n"/>
      <c r="AO30" s="128" t="n"/>
      <c r="AP30" s="128" t="n"/>
      <c r="AQ30" s="128" t="n"/>
      <c r="AR30" s="128" t="n"/>
      <c r="AS30" s="128" t="n"/>
      <c r="AT30" s="128" t="n"/>
      <c r="AU30" s="128" t="n"/>
      <c r="AV30" s="128" t="n"/>
      <c r="AW30" s="128" t="n"/>
      <c r="AX30" s="128" t="n"/>
      <c r="AY30" s="128" t="n"/>
      <c r="AZ30" s="128" t="n"/>
      <c r="BA30" s="128" t="n"/>
      <c r="BB30" s="128" t="n"/>
      <c r="BC30" s="128" t="n"/>
      <c r="BD30" s="128" t="n"/>
      <c r="BE30" s="128" t="n"/>
      <c r="BF30" s="128" t="n"/>
      <c r="BG30" s="128" t="n"/>
      <c r="BH30" s="128" t="n"/>
      <c r="BI30" s="128" t="n"/>
      <c r="BJ30" s="128" t="n"/>
      <c r="BK30" s="128" t="n"/>
      <c r="BL30" s="128" t="n"/>
      <c r="BM30" s="128" t="n"/>
      <c r="BN30" s="128" t="n"/>
      <c r="BO30" s="128" t="n"/>
      <c r="BP30" s="128" t="n"/>
      <c r="BQ30" s="128" t="n"/>
      <c r="BR30" s="128" t="n"/>
      <c r="BS30" s="128" t="n"/>
      <c r="BT30" s="128" t="n"/>
      <c r="BU30" s="128" t="n"/>
      <c r="BV30" s="128" t="n"/>
      <c r="BW30" s="128" t="n"/>
    </row>
    <row r="31" ht="20" customHeight="1">
      <c r="B31" s="125" t="n">
        <v>25</v>
      </c>
      <c r="C31" s="72" t="n"/>
      <c r="D31" s="72" t="n"/>
      <c r="E31" s="72" t="n"/>
      <c r="F31" s="72" t="n"/>
      <c r="G31" s="89" t="n"/>
      <c r="H31" s="89" t="n"/>
      <c r="I31" s="108" t="n"/>
      <c r="J31" s="126">
        <f>IF(OR(D31="",ProjStart=""),"",MAX(ProjStart,IF(I31&lt;&gt;"",I31,0),IF(H31="",0,IFERROR(INDEX($L$6:L30,MATCH(H31,$B$6:B30,0))+1,0))))</f>
        <v/>
      </c>
      <c r="K31" s="89" t="n"/>
      <c r="L31" s="126">
        <f>IF(J31="","",J31+MAX(1,G31)+IF(K31="",0,K31)-1)</f>
        <v/>
      </c>
      <c r="M31" s="72" t="n"/>
      <c r="N31" s="108" t="n"/>
      <c r="O31" s="127">
        <f>IF(D31="","",COUNTIF($H$7:$H$156,B31))</f>
        <v/>
      </c>
      <c r="P31" s="78">
        <f>IF(D31="","",IF(AND(H31&lt;&gt;"",H31&gt;=B31),"⚠️ Predecessor must be above",IF(M31="Done","✓ Done",IF(Q31=3,"🔴 Late",IF(M31="In progress","In progress","")))))</f>
        <v/>
      </c>
      <c r="Q31" s="79">
        <f>IF(OR(D31="",L31=""),"",IF(M31="Done",2,IF(AsOf&gt;L31,3,1)))</f>
        <v/>
      </c>
      <c r="R31" s="79">
        <f>IF(OR(E31="",F31=""),0,IF(COUNTIFS($E$7:E31,E31,$F$7:F31,F31)=1,1,0))</f>
        <v/>
      </c>
      <c r="S31" s="79">
        <f>IF(R31=1,E31&amp;"|"&amp;SUMIFS($R$7:R31,$E$7:E31,E31),"")</f>
        <v/>
      </c>
      <c r="T31" s="111">
        <f>IF(Q31="","",IF(Q31=3,L31,IF(OR(M31="Not started",M31=""),J31,"")))</f>
        <v/>
      </c>
      <c r="U31" s="79">
        <f>IF(T31="","",IF(Q31=3,1,IF(T31="","",IF(T31&lt;AsOf,1,IF(T31&lt;=AsOf+AlertDays,2,IF(T31&lt;=AsOf+2*AlertDays,3,""))))))</f>
        <v/>
      </c>
      <c r="V31" s="79">
        <f>IF(U31="","",IF(Q31=3,"Late task: "&amp;D31,IF(T31&lt;AsOf,"Should have started: ","Starts soon: ")&amp;D31)&amp;IF(F31="",""," — "&amp;F31))</f>
        <v/>
      </c>
      <c r="X31" s="128" t="n"/>
      <c r="Y31" s="128" t="n"/>
      <c r="Z31" s="128" t="n"/>
      <c r="AA31" s="128" t="n"/>
      <c r="AB31" s="128" t="n"/>
      <c r="AC31" s="128" t="n"/>
      <c r="AD31" s="128" t="n"/>
      <c r="AE31" s="128" t="n"/>
      <c r="AF31" s="128" t="n"/>
      <c r="AG31" s="128" t="n"/>
      <c r="AH31" s="128" t="n"/>
      <c r="AI31" s="128" t="n"/>
      <c r="AJ31" s="128" t="n"/>
      <c r="AK31" s="128" t="n"/>
      <c r="AL31" s="128" t="n"/>
      <c r="AM31" s="128" t="n"/>
      <c r="AN31" s="128" t="n"/>
      <c r="AO31" s="128" t="n"/>
      <c r="AP31" s="128" t="n"/>
      <c r="AQ31" s="128" t="n"/>
      <c r="AR31" s="128" t="n"/>
      <c r="AS31" s="128" t="n"/>
      <c r="AT31" s="128" t="n"/>
      <c r="AU31" s="128" t="n"/>
      <c r="AV31" s="128" t="n"/>
      <c r="AW31" s="128" t="n"/>
      <c r="AX31" s="128" t="n"/>
      <c r="AY31" s="128" t="n"/>
      <c r="AZ31" s="128" t="n"/>
      <c r="BA31" s="128" t="n"/>
      <c r="BB31" s="128" t="n"/>
      <c r="BC31" s="128" t="n"/>
      <c r="BD31" s="128" t="n"/>
      <c r="BE31" s="128" t="n"/>
      <c r="BF31" s="128" t="n"/>
      <c r="BG31" s="128" t="n"/>
      <c r="BH31" s="128" t="n"/>
      <c r="BI31" s="128" t="n"/>
      <c r="BJ31" s="128" t="n"/>
      <c r="BK31" s="128" t="n"/>
      <c r="BL31" s="128" t="n"/>
      <c r="BM31" s="128" t="n"/>
      <c r="BN31" s="128" t="n"/>
      <c r="BO31" s="128" t="n"/>
      <c r="BP31" s="128" t="n"/>
      <c r="BQ31" s="128" t="n"/>
      <c r="BR31" s="128" t="n"/>
      <c r="BS31" s="128" t="n"/>
      <c r="BT31" s="128" t="n"/>
      <c r="BU31" s="128" t="n"/>
      <c r="BV31" s="128" t="n"/>
      <c r="BW31" s="128" t="n"/>
    </row>
    <row r="32" ht="20" customHeight="1">
      <c r="B32" s="125" t="n">
        <v>26</v>
      </c>
      <c r="C32" s="72" t="n"/>
      <c r="D32" s="72" t="n"/>
      <c r="E32" s="72" t="n"/>
      <c r="F32" s="72" t="n"/>
      <c r="G32" s="89" t="n"/>
      <c r="H32" s="89" t="n"/>
      <c r="I32" s="108" t="n"/>
      <c r="J32" s="126">
        <f>IF(OR(D32="",ProjStart=""),"",MAX(ProjStart,IF(I32&lt;&gt;"",I32,0),IF(H32="",0,IFERROR(INDEX($L$6:L31,MATCH(H32,$B$6:B31,0))+1,0))))</f>
        <v/>
      </c>
      <c r="K32" s="89" t="n"/>
      <c r="L32" s="126">
        <f>IF(J32="","",J32+MAX(1,G32)+IF(K32="",0,K32)-1)</f>
        <v/>
      </c>
      <c r="M32" s="72" t="n"/>
      <c r="N32" s="108" t="n"/>
      <c r="O32" s="127">
        <f>IF(D32="","",COUNTIF($H$7:$H$156,B32))</f>
        <v/>
      </c>
      <c r="P32" s="78">
        <f>IF(D32="","",IF(AND(H32&lt;&gt;"",H32&gt;=B32),"⚠️ Predecessor must be above",IF(M32="Done","✓ Done",IF(Q32=3,"🔴 Late",IF(M32="In progress","In progress","")))))</f>
        <v/>
      </c>
      <c r="Q32" s="79">
        <f>IF(OR(D32="",L32=""),"",IF(M32="Done",2,IF(AsOf&gt;L32,3,1)))</f>
        <v/>
      </c>
      <c r="R32" s="79">
        <f>IF(OR(E32="",F32=""),0,IF(COUNTIFS($E$7:E32,E32,$F$7:F32,F32)=1,1,0))</f>
        <v/>
      </c>
      <c r="S32" s="79">
        <f>IF(R32=1,E32&amp;"|"&amp;SUMIFS($R$7:R32,$E$7:E32,E32),"")</f>
        <v/>
      </c>
      <c r="T32" s="111">
        <f>IF(Q32="","",IF(Q32=3,L32,IF(OR(M32="Not started",M32=""),J32,"")))</f>
        <v/>
      </c>
      <c r="U32" s="79">
        <f>IF(T32="","",IF(Q32=3,1,IF(T32="","",IF(T32&lt;AsOf,1,IF(T32&lt;=AsOf+AlertDays,2,IF(T32&lt;=AsOf+2*AlertDays,3,""))))))</f>
        <v/>
      </c>
      <c r="V32" s="79">
        <f>IF(U32="","",IF(Q32=3,"Late task: "&amp;D32,IF(T32&lt;AsOf,"Should have started: ","Starts soon: ")&amp;D32)&amp;IF(F32="",""," — "&amp;F32))</f>
        <v/>
      </c>
      <c r="X32" s="128" t="n"/>
      <c r="Y32" s="128" t="n"/>
      <c r="Z32" s="128" t="n"/>
      <c r="AA32" s="128" t="n"/>
      <c r="AB32" s="128" t="n"/>
      <c r="AC32" s="128" t="n"/>
      <c r="AD32" s="128" t="n"/>
      <c r="AE32" s="128" t="n"/>
      <c r="AF32" s="128" t="n"/>
      <c r="AG32" s="128" t="n"/>
      <c r="AH32" s="128" t="n"/>
      <c r="AI32" s="128" t="n"/>
      <c r="AJ32" s="128" t="n"/>
      <c r="AK32" s="128" t="n"/>
      <c r="AL32" s="128" t="n"/>
      <c r="AM32" s="128" t="n"/>
      <c r="AN32" s="128" t="n"/>
      <c r="AO32" s="128" t="n"/>
      <c r="AP32" s="128" t="n"/>
      <c r="AQ32" s="128" t="n"/>
      <c r="AR32" s="128" t="n"/>
      <c r="AS32" s="128" t="n"/>
      <c r="AT32" s="128" t="n"/>
      <c r="AU32" s="128" t="n"/>
      <c r="AV32" s="128" t="n"/>
      <c r="AW32" s="128" t="n"/>
      <c r="AX32" s="128" t="n"/>
      <c r="AY32" s="128" t="n"/>
      <c r="AZ32" s="128" t="n"/>
      <c r="BA32" s="128" t="n"/>
      <c r="BB32" s="128" t="n"/>
      <c r="BC32" s="128" t="n"/>
      <c r="BD32" s="128" t="n"/>
      <c r="BE32" s="128" t="n"/>
      <c r="BF32" s="128" t="n"/>
      <c r="BG32" s="128" t="n"/>
      <c r="BH32" s="128" t="n"/>
      <c r="BI32" s="128" t="n"/>
      <c r="BJ32" s="128" t="n"/>
      <c r="BK32" s="128" t="n"/>
      <c r="BL32" s="128" t="n"/>
      <c r="BM32" s="128" t="n"/>
      <c r="BN32" s="128" t="n"/>
      <c r="BO32" s="128" t="n"/>
      <c r="BP32" s="128" t="n"/>
      <c r="BQ32" s="128" t="n"/>
      <c r="BR32" s="128" t="n"/>
      <c r="BS32" s="128" t="n"/>
      <c r="BT32" s="128" t="n"/>
      <c r="BU32" s="128" t="n"/>
      <c r="BV32" s="128" t="n"/>
      <c r="BW32" s="128" t="n"/>
    </row>
    <row r="33" ht="20" customHeight="1">
      <c r="B33" s="125" t="n">
        <v>27</v>
      </c>
      <c r="C33" s="72" t="n"/>
      <c r="D33" s="72" t="n"/>
      <c r="E33" s="72" t="n"/>
      <c r="F33" s="72" t="n"/>
      <c r="G33" s="89" t="n"/>
      <c r="H33" s="89" t="n"/>
      <c r="I33" s="108" t="n"/>
      <c r="J33" s="126">
        <f>IF(OR(D33="",ProjStart=""),"",MAX(ProjStart,IF(I33&lt;&gt;"",I33,0),IF(H33="",0,IFERROR(INDEX($L$6:L32,MATCH(H33,$B$6:B32,0))+1,0))))</f>
        <v/>
      </c>
      <c r="K33" s="89" t="n"/>
      <c r="L33" s="126">
        <f>IF(J33="","",J33+MAX(1,G33)+IF(K33="",0,K33)-1)</f>
        <v/>
      </c>
      <c r="M33" s="72" t="n"/>
      <c r="N33" s="108" t="n"/>
      <c r="O33" s="127">
        <f>IF(D33="","",COUNTIF($H$7:$H$156,B33))</f>
        <v/>
      </c>
      <c r="P33" s="78">
        <f>IF(D33="","",IF(AND(H33&lt;&gt;"",H33&gt;=B33),"⚠️ Predecessor must be above",IF(M33="Done","✓ Done",IF(Q33=3,"🔴 Late",IF(M33="In progress","In progress","")))))</f>
        <v/>
      </c>
      <c r="Q33" s="79">
        <f>IF(OR(D33="",L33=""),"",IF(M33="Done",2,IF(AsOf&gt;L33,3,1)))</f>
        <v/>
      </c>
      <c r="R33" s="79">
        <f>IF(OR(E33="",F33=""),0,IF(COUNTIFS($E$7:E33,E33,$F$7:F33,F33)=1,1,0))</f>
        <v/>
      </c>
      <c r="S33" s="79">
        <f>IF(R33=1,E33&amp;"|"&amp;SUMIFS($R$7:R33,$E$7:E33,E33),"")</f>
        <v/>
      </c>
      <c r="T33" s="111">
        <f>IF(Q33="","",IF(Q33=3,L33,IF(OR(M33="Not started",M33=""),J33,"")))</f>
        <v/>
      </c>
      <c r="U33" s="79">
        <f>IF(T33="","",IF(Q33=3,1,IF(T33="","",IF(T33&lt;AsOf,1,IF(T33&lt;=AsOf+AlertDays,2,IF(T33&lt;=AsOf+2*AlertDays,3,""))))))</f>
        <v/>
      </c>
      <c r="V33" s="79">
        <f>IF(U33="","",IF(Q33=3,"Late task: "&amp;D33,IF(T33&lt;AsOf,"Should have started: ","Starts soon: ")&amp;D33)&amp;IF(F33="",""," — "&amp;F33))</f>
        <v/>
      </c>
      <c r="X33" s="128" t="n"/>
      <c r="Y33" s="128" t="n"/>
      <c r="Z33" s="128" t="n"/>
      <c r="AA33" s="128" t="n"/>
      <c r="AB33" s="128" t="n"/>
      <c r="AC33" s="128" t="n"/>
      <c r="AD33" s="128" t="n"/>
      <c r="AE33" s="128" t="n"/>
      <c r="AF33" s="128" t="n"/>
      <c r="AG33" s="128" t="n"/>
      <c r="AH33" s="128" t="n"/>
      <c r="AI33" s="128" t="n"/>
      <c r="AJ33" s="128" t="n"/>
      <c r="AK33" s="128" t="n"/>
      <c r="AL33" s="128" t="n"/>
      <c r="AM33" s="128" t="n"/>
      <c r="AN33" s="128" t="n"/>
      <c r="AO33" s="128" t="n"/>
      <c r="AP33" s="128" t="n"/>
      <c r="AQ33" s="128" t="n"/>
      <c r="AR33" s="128" t="n"/>
      <c r="AS33" s="128" t="n"/>
      <c r="AT33" s="128" t="n"/>
      <c r="AU33" s="128" t="n"/>
      <c r="AV33" s="128" t="n"/>
      <c r="AW33" s="128" t="n"/>
      <c r="AX33" s="128" t="n"/>
      <c r="AY33" s="128" t="n"/>
      <c r="AZ33" s="128" t="n"/>
      <c r="BA33" s="128" t="n"/>
      <c r="BB33" s="128" t="n"/>
      <c r="BC33" s="128" t="n"/>
      <c r="BD33" s="128" t="n"/>
      <c r="BE33" s="128" t="n"/>
      <c r="BF33" s="128" t="n"/>
      <c r="BG33" s="128" t="n"/>
      <c r="BH33" s="128" t="n"/>
      <c r="BI33" s="128" t="n"/>
      <c r="BJ33" s="128" t="n"/>
      <c r="BK33" s="128" t="n"/>
      <c r="BL33" s="128" t="n"/>
      <c r="BM33" s="128" t="n"/>
      <c r="BN33" s="128" t="n"/>
      <c r="BO33" s="128" t="n"/>
      <c r="BP33" s="128" t="n"/>
      <c r="BQ33" s="128" t="n"/>
      <c r="BR33" s="128" t="n"/>
      <c r="BS33" s="128" t="n"/>
      <c r="BT33" s="128" t="n"/>
      <c r="BU33" s="128" t="n"/>
      <c r="BV33" s="128" t="n"/>
      <c r="BW33" s="128" t="n"/>
    </row>
    <row r="34" ht="20" customHeight="1">
      <c r="B34" s="125" t="n">
        <v>28</v>
      </c>
      <c r="C34" s="72" t="n"/>
      <c r="D34" s="72" t="n"/>
      <c r="E34" s="72" t="n"/>
      <c r="F34" s="72" t="n"/>
      <c r="G34" s="89" t="n"/>
      <c r="H34" s="89" t="n"/>
      <c r="I34" s="108" t="n"/>
      <c r="J34" s="126">
        <f>IF(OR(D34="",ProjStart=""),"",MAX(ProjStart,IF(I34&lt;&gt;"",I34,0),IF(H34="",0,IFERROR(INDEX($L$6:L33,MATCH(H34,$B$6:B33,0))+1,0))))</f>
        <v/>
      </c>
      <c r="K34" s="89" t="n"/>
      <c r="L34" s="126">
        <f>IF(J34="","",J34+MAX(1,G34)+IF(K34="",0,K34)-1)</f>
        <v/>
      </c>
      <c r="M34" s="72" t="n"/>
      <c r="N34" s="108" t="n"/>
      <c r="O34" s="127">
        <f>IF(D34="","",COUNTIF($H$7:$H$156,B34))</f>
        <v/>
      </c>
      <c r="P34" s="78">
        <f>IF(D34="","",IF(AND(H34&lt;&gt;"",H34&gt;=B34),"⚠️ Predecessor must be above",IF(M34="Done","✓ Done",IF(Q34=3,"🔴 Late",IF(M34="In progress","In progress","")))))</f>
        <v/>
      </c>
      <c r="Q34" s="79">
        <f>IF(OR(D34="",L34=""),"",IF(M34="Done",2,IF(AsOf&gt;L34,3,1)))</f>
        <v/>
      </c>
      <c r="R34" s="79">
        <f>IF(OR(E34="",F34=""),0,IF(COUNTIFS($E$7:E34,E34,$F$7:F34,F34)=1,1,0))</f>
        <v/>
      </c>
      <c r="S34" s="79">
        <f>IF(R34=1,E34&amp;"|"&amp;SUMIFS($R$7:R34,$E$7:E34,E34),"")</f>
        <v/>
      </c>
      <c r="T34" s="111">
        <f>IF(Q34="","",IF(Q34=3,L34,IF(OR(M34="Not started",M34=""),J34,"")))</f>
        <v/>
      </c>
      <c r="U34" s="79">
        <f>IF(T34="","",IF(Q34=3,1,IF(T34="","",IF(T34&lt;AsOf,1,IF(T34&lt;=AsOf+AlertDays,2,IF(T34&lt;=AsOf+2*AlertDays,3,""))))))</f>
        <v/>
      </c>
      <c r="V34" s="79">
        <f>IF(U34="","",IF(Q34=3,"Late task: "&amp;D34,IF(T34&lt;AsOf,"Should have started: ","Starts soon: ")&amp;D34)&amp;IF(F34="",""," — "&amp;F34))</f>
        <v/>
      </c>
      <c r="X34" s="128" t="n"/>
      <c r="Y34" s="128" t="n"/>
      <c r="Z34" s="128" t="n"/>
      <c r="AA34" s="128" t="n"/>
      <c r="AB34" s="128" t="n"/>
      <c r="AC34" s="128" t="n"/>
      <c r="AD34" s="128" t="n"/>
      <c r="AE34" s="128" t="n"/>
      <c r="AF34" s="128" t="n"/>
      <c r="AG34" s="128" t="n"/>
      <c r="AH34" s="128" t="n"/>
      <c r="AI34" s="128" t="n"/>
      <c r="AJ34" s="128" t="n"/>
      <c r="AK34" s="128" t="n"/>
      <c r="AL34" s="128" t="n"/>
      <c r="AM34" s="128" t="n"/>
      <c r="AN34" s="128" t="n"/>
      <c r="AO34" s="128" t="n"/>
      <c r="AP34" s="128" t="n"/>
      <c r="AQ34" s="128" t="n"/>
      <c r="AR34" s="128" t="n"/>
      <c r="AS34" s="128" t="n"/>
      <c r="AT34" s="128" t="n"/>
      <c r="AU34" s="128" t="n"/>
      <c r="AV34" s="128" t="n"/>
      <c r="AW34" s="128" t="n"/>
      <c r="AX34" s="128" t="n"/>
      <c r="AY34" s="128" t="n"/>
      <c r="AZ34" s="128" t="n"/>
      <c r="BA34" s="128" t="n"/>
      <c r="BB34" s="128" t="n"/>
      <c r="BC34" s="128" t="n"/>
      <c r="BD34" s="128" t="n"/>
      <c r="BE34" s="128" t="n"/>
      <c r="BF34" s="128" t="n"/>
      <c r="BG34" s="128" t="n"/>
      <c r="BH34" s="128" t="n"/>
      <c r="BI34" s="128" t="n"/>
      <c r="BJ34" s="128" t="n"/>
      <c r="BK34" s="128" t="n"/>
      <c r="BL34" s="128" t="n"/>
      <c r="BM34" s="128" t="n"/>
      <c r="BN34" s="128" t="n"/>
      <c r="BO34" s="128" t="n"/>
      <c r="BP34" s="128" t="n"/>
      <c r="BQ34" s="128" t="n"/>
      <c r="BR34" s="128" t="n"/>
      <c r="BS34" s="128" t="n"/>
      <c r="BT34" s="128" t="n"/>
      <c r="BU34" s="128" t="n"/>
      <c r="BV34" s="128" t="n"/>
      <c r="BW34" s="128" t="n"/>
    </row>
    <row r="35" ht="20" customHeight="1">
      <c r="B35" s="125" t="n">
        <v>29</v>
      </c>
      <c r="C35" s="72" t="n"/>
      <c r="D35" s="72" t="n"/>
      <c r="E35" s="72" t="n"/>
      <c r="F35" s="72" t="n"/>
      <c r="G35" s="89" t="n"/>
      <c r="H35" s="89" t="n"/>
      <c r="I35" s="108" t="n"/>
      <c r="J35" s="126">
        <f>IF(OR(D35="",ProjStart=""),"",MAX(ProjStart,IF(I35&lt;&gt;"",I35,0),IF(H35="",0,IFERROR(INDEX($L$6:L34,MATCH(H35,$B$6:B34,0))+1,0))))</f>
        <v/>
      </c>
      <c r="K35" s="89" t="n"/>
      <c r="L35" s="126">
        <f>IF(J35="","",J35+MAX(1,G35)+IF(K35="",0,K35)-1)</f>
        <v/>
      </c>
      <c r="M35" s="72" t="n"/>
      <c r="N35" s="108" t="n"/>
      <c r="O35" s="127">
        <f>IF(D35="","",COUNTIF($H$7:$H$156,B35))</f>
        <v/>
      </c>
      <c r="P35" s="78">
        <f>IF(D35="","",IF(AND(H35&lt;&gt;"",H35&gt;=B35),"⚠️ Predecessor must be above",IF(M35="Done","✓ Done",IF(Q35=3,"🔴 Late",IF(M35="In progress","In progress","")))))</f>
        <v/>
      </c>
      <c r="Q35" s="79">
        <f>IF(OR(D35="",L35=""),"",IF(M35="Done",2,IF(AsOf&gt;L35,3,1)))</f>
        <v/>
      </c>
      <c r="R35" s="79">
        <f>IF(OR(E35="",F35=""),0,IF(COUNTIFS($E$7:E35,E35,$F$7:F35,F35)=1,1,0))</f>
        <v/>
      </c>
      <c r="S35" s="79">
        <f>IF(R35=1,E35&amp;"|"&amp;SUMIFS($R$7:R35,$E$7:E35,E35),"")</f>
        <v/>
      </c>
      <c r="T35" s="111">
        <f>IF(Q35="","",IF(Q35=3,L35,IF(OR(M35="Not started",M35=""),J35,"")))</f>
        <v/>
      </c>
      <c r="U35" s="79">
        <f>IF(T35="","",IF(Q35=3,1,IF(T35="","",IF(T35&lt;AsOf,1,IF(T35&lt;=AsOf+AlertDays,2,IF(T35&lt;=AsOf+2*AlertDays,3,""))))))</f>
        <v/>
      </c>
      <c r="V35" s="79">
        <f>IF(U35="","",IF(Q35=3,"Late task: "&amp;D35,IF(T35&lt;AsOf,"Should have started: ","Starts soon: ")&amp;D35)&amp;IF(F35="",""," — "&amp;F35))</f>
        <v/>
      </c>
      <c r="X35" s="128" t="n"/>
      <c r="Y35" s="128" t="n"/>
      <c r="Z35" s="128" t="n"/>
      <c r="AA35" s="128" t="n"/>
      <c r="AB35" s="128" t="n"/>
      <c r="AC35" s="128" t="n"/>
      <c r="AD35" s="128" t="n"/>
      <c r="AE35" s="128" t="n"/>
      <c r="AF35" s="128" t="n"/>
      <c r="AG35" s="128" t="n"/>
      <c r="AH35" s="128" t="n"/>
      <c r="AI35" s="128" t="n"/>
      <c r="AJ35" s="128" t="n"/>
      <c r="AK35" s="128" t="n"/>
      <c r="AL35" s="128" t="n"/>
      <c r="AM35" s="128" t="n"/>
      <c r="AN35" s="128" t="n"/>
      <c r="AO35" s="128" t="n"/>
      <c r="AP35" s="128" t="n"/>
      <c r="AQ35" s="128" t="n"/>
      <c r="AR35" s="128" t="n"/>
      <c r="AS35" s="128" t="n"/>
      <c r="AT35" s="128" t="n"/>
      <c r="AU35" s="128" t="n"/>
      <c r="AV35" s="128" t="n"/>
      <c r="AW35" s="128" t="n"/>
      <c r="AX35" s="128" t="n"/>
      <c r="AY35" s="128" t="n"/>
      <c r="AZ35" s="128" t="n"/>
      <c r="BA35" s="128" t="n"/>
      <c r="BB35" s="128" t="n"/>
      <c r="BC35" s="128" t="n"/>
      <c r="BD35" s="128" t="n"/>
      <c r="BE35" s="128" t="n"/>
      <c r="BF35" s="128" t="n"/>
      <c r="BG35" s="128" t="n"/>
      <c r="BH35" s="128" t="n"/>
      <c r="BI35" s="128" t="n"/>
      <c r="BJ35" s="128" t="n"/>
      <c r="BK35" s="128" t="n"/>
      <c r="BL35" s="128" t="n"/>
      <c r="BM35" s="128" t="n"/>
      <c r="BN35" s="128" t="n"/>
      <c r="BO35" s="128" t="n"/>
      <c r="BP35" s="128" t="n"/>
      <c r="BQ35" s="128" t="n"/>
      <c r="BR35" s="128" t="n"/>
      <c r="BS35" s="128" t="n"/>
      <c r="BT35" s="128" t="n"/>
      <c r="BU35" s="128" t="n"/>
      <c r="BV35" s="128" t="n"/>
      <c r="BW35" s="128" t="n"/>
    </row>
    <row r="36" ht="20" customHeight="1">
      <c r="B36" s="125" t="n">
        <v>30</v>
      </c>
      <c r="C36" s="72" t="n"/>
      <c r="D36" s="72" t="n"/>
      <c r="E36" s="72" t="n"/>
      <c r="F36" s="72" t="n"/>
      <c r="G36" s="89" t="n"/>
      <c r="H36" s="89" t="n"/>
      <c r="I36" s="108" t="n"/>
      <c r="J36" s="126">
        <f>IF(OR(D36="",ProjStart=""),"",MAX(ProjStart,IF(I36&lt;&gt;"",I36,0),IF(H36="",0,IFERROR(INDEX($L$6:L35,MATCH(H36,$B$6:B35,0))+1,0))))</f>
        <v/>
      </c>
      <c r="K36" s="89" t="n"/>
      <c r="L36" s="126">
        <f>IF(J36="","",J36+MAX(1,G36)+IF(K36="",0,K36)-1)</f>
        <v/>
      </c>
      <c r="M36" s="72" t="n"/>
      <c r="N36" s="108" t="n"/>
      <c r="O36" s="127">
        <f>IF(D36="","",COUNTIF($H$7:$H$156,B36))</f>
        <v/>
      </c>
      <c r="P36" s="78">
        <f>IF(D36="","",IF(AND(H36&lt;&gt;"",H36&gt;=B36),"⚠️ Predecessor must be above",IF(M36="Done","✓ Done",IF(Q36=3,"🔴 Late",IF(M36="In progress","In progress","")))))</f>
        <v/>
      </c>
      <c r="Q36" s="79">
        <f>IF(OR(D36="",L36=""),"",IF(M36="Done",2,IF(AsOf&gt;L36,3,1)))</f>
        <v/>
      </c>
      <c r="R36" s="79">
        <f>IF(OR(E36="",F36=""),0,IF(COUNTIFS($E$7:E36,E36,$F$7:F36,F36)=1,1,0))</f>
        <v/>
      </c>
      <c r="S36" s="79">
        <f>IF(R36=1,E36&amp;"|"&amp;SUMIFS($R$7:R36,$E$7:E36,E36),"")</f>
        <v/>
      </c>
      <c r="T36" s="111">
        <f>IF(Q36="","",IF(Q36=3,L36,IF(OR(M36="Not started",M36=""),J36,"")))</f>
        <v/>
      </c>
      <c r="U36" s="79">
        <f>IF(T36="","",IF(Q36=3,1,IF(T36="","",IF(T36&lt;AsOf,1,IF(T36&lt;=AsOf+AlertDays,2,IF(T36&lt;=AsOf+2*AlertDays,3,""))))))</f>
        <v/>
      </c>
      <c r="V36" s="79">
        <f>IF(U36="","",IF(Q36=3,"Late task: "&amp;D36,IF(T36&lt;AsOf,"Should have started: ","Starts soon: ")&amp;D36)&amp;IF(F36="",""," — "&amp;F36))</f>
        <v/>
      </c>
      <c r="X36" s="128" t="n"/>
      <c r="Y36" s="128" t="n"/>
      <c r="Z36" s="128" t="n"/>
      <c r="AA36" s="128" t="n"/>
      <c r="AB36" s="128" t="n"/>
      <c r="AC36" s="128" t="n"/>
      <c r="AD36" s="128" t="n"/>
      <c r="AE36" s="128" t="n"/>
      <c r="AF36" s="128" t="n"/>
      <c r="AG36" s="128" t="n"/>
      <c r="AH36" s="128" t="n"/>
      <c r="AI36" s="128" t="n"/>
      <c r="AJ36" s="128" t="n"/>
      <c r="AK36" s="128" t="n"/>
      <c r="AL36" s="128" t="n"/>
      <c r="AM36" s="128" t="n"/>
      <c r="AN36" s="128" t="n"/>
      <c r="AO36" s="128" t="n"/>
      <c r="AP36" s="128" t="n"/>
      <c r="AQ36" s="128" t="n"/>
      <c r="AR36" s="128" t="n"/>
      <c r="AS36" s="128" t="n"/>
      <c r="AT36" s="128" t="n"/>
      <c r="AU36" s="128" t="n"/>
      <c r="AV36" s="128" t="n"/>
      <c r="AW36" s="128" t="n"/>
      <c r="AX36" s="128" t="n"/>
      <c r="AY36" s="128" t="n"/>
      <c r="AZ36" s="128" t="n"/>
      <c r="BA36" s="128" t="n"/>
      <c r="BB36" s="128" t="n"/>
      <c r="BC36" s="128" t="n"/>
      <c r="BD36" s="128" t="n"/>
      <c r="BE36" s="128" t="n"/>
      <c r="BF36" s="128" t="n"/>
      <c r="BG36" s="128" t="n"/>
      <c r="BH36" s="128" t="n"/>
      <c r="BI36" s="128" t="n"/>
      <c r="BJ36" s="128" t="n"/>
      <c r="BK36" s="128" t="n"/>
      <c r="BL36" s="128" t="n"/>
      <c r="BM36" s="128" t="n"/>
      <c r="BN36" s="128" t="n"/>
      <c r="BO36" s="128" t="n"/>
      <c r="BP36" s="128" t="n"/>
      <c r="BQ36" s="128" t="n"/>
      <c r="BR36" s="128" t="n"/>
      <c r="BS36" s="128" t="n"/>
      <c r="BT36" s="128" t="n"/>
      <c r="BU36" s="128" t="n"/>
      <c r="BV36" s="128" t="n"/>
      <c r="BW36" s="128" t="n"/>
    </row>
    <row r="37" ht="20" customHeight="1">
      <c r="B37" s="125" t="n">
        <v>31</v>
      </c>
      <c r="C37" s="72" t="n"/>
      <c r="D37" s="72" t="n"/>
      <c r="E37" s="72" t="n"/>
      <c r="F37" s="72" t="n"/>
      <c r="G37" s="89" t="n"/>
      <c r="H37" s="89" t="n"/>
      <c r="I37" s="108" t="n"/>
      <c r="J37" s="126">
        <f>IF(OR(D37="",ProjStart=""),"",MAX(ProjStart,IF(I37&lt;&gt;"",I37,0),IF(H37="",0,IFERROR(INDEX($L$6:L36,MATCH(H37,$B$6:B36,0))+1,0))))</f>
        <v/>
      </c>
      <c r="K37" s="89" t="n"/>
      <c r="L37" s="126">
        <f>IF(J37="","",J37+MAX(1,G37)+IF(K37="",0,K37)-1)</f>
        <v/>
      </c>
      <c r="M37" s="72" t="n"/>
      <c r="N37" s="108" t="n"/>
      <c r="O37" s="127">
        <f>IF(D37="","",COUNTIF($H$7:$H$156,B37))</f>
        <v/>
      </c>
      <c r="P37" s="78">
        <f>IF(D37="","",IF(AND(H37&lt;&gt;"",H37&gt;=B37),"⚠️ Predecessor must be above",IF(M37="Done","✓ Done",IF(Q37=3,"🔴 Late",IF(M37="In progress","In progress","")))))</f>
        <v/>
      </c>
      <c r="Q37" s="79">
        <f>IF(OR(D37="",L37=""),"",IF(M37="Done",2,IF(AsOf&gt;L37,3,1)))</f>
        <v/>
      </c>
      <c r="R37" s="79">
        <f>IF(OR(E37="",F37=""),0,IF(COUNTIFS($E$7:E37,E37,$F$7:F37,F37)=1,1,0))</f>
        <v/>
      </c>
      <c r="S37" s="79">
        <f>IF(R37=1,E37&amp;"|"&amp;SUMIFS($R$7:R37,$E$7:E37,E37),"")</f>
        <v/>
      </c>
      <c r="T37" s="111">
        <f>IF(Q37="","",IF(Q37=3,L37,IF(OR(M37="Not started",M37=""),J37,"")))</f>
        <v/>
      </c>
      <c r="U37" s="79">
        <f>IF(T37="","",IF(Q37=3,1,IF(T37="","",IF(T37&lt;AsOf,1,IF(T37&lt;=AsOf+AlertDays,2,IF(T37&lt;=AsOf+2*AlertDays,3,""))))))</f>
        <v/>
      </c>
      <c r="V37" s="79">
        <f>IF(U37="","",IF(Q37=3,"Late task: "&amp;D37,IF(T37&lt;AsOf,"Should have started: ","Starts soon: ")&amp;D37)&amp;IF(F37="",""," — "&amp;F37))</f>
        <v/>
      </c>
      <c r="X37" s="128" t="n"/>
      <c r="Y37" s="128" t="n"/>
      <c r="Z37" s="128" t="n"/>
      <c r="AA37" s="128" t="n"/>
      <c r="AB37" s="128" t="n"/>
      <c r="AC37" s="128" t="n"/>
      <c r="AD37" s="128" t="n"/>
      <c r="AE37" s="128" t="n"/>
      <c r="AF37" s="128" t="n"/>
      <c r="AG37" s="128" t="n"/>
      <c r="AH37" s="128" t="n"/>
      <c r="AI37" s="128" t="n"/>
      <c r="AJ37" s="128" t="n"/>
      <c r="AK37" s="128" t="n"/>
      <c r="AL37" s="128" t="n"/>
      <c r="AM37" s="128" t="n"/>
      <c r="AN37" s="128" t="n"/>
      <c r="AO37" s="128" t="n"/>
      <c r="AP37" s="128" t="n"/>
      <c r="AQ37" s="128" t="n"/>
      <c r="AR37" s="128" t="n"/>
      <c r="AS37" s="128" t="n"/>
      <c r="AT37" s="128" t="n"/>
      <c r="AU37" s="128" t="n"/>
      <c r="AV37" s="128" t="n"/>
      <c r="AW37" s="128" t="n"/>
      <c r="AX37" s="128" t="n"/>
      <c r="AY37" s="128" t="n"/>
      <c r="AZ37" s="128" t="n"/>
      <c r="BA37" s="128" t="n"/>
      <c r="BB37" s="128" t="n"/>
      <c r="BC37" s="128" t="n"/>
      <c r="BD37" s="128" t="n"/>
      <c r="BE37" s="128" t="n"/>
      <c r="BF37" s="128" t="n"/>
      <c r="BG37" s="128" t="n"/>
      <c r="BH37" s="128" t="n"/>
      <c r="BI37" s="128" t="n"/>
      <c r="BJ37" s="128" t="n"/>
      <c r="BK37" s="128" t="n"/>
      <c r="BL37" s="128" t="n"/>
      <c r="BM37" s="128" t="n"/>
      <c r="BN37" s="128" t="n"/>
      <c r="BO37" s="128" t="n"/>
      <c r="BP37" s="128" t="n"/>
      <c r="BQ37" s="128" t="n"/>
      <c r="BR37" s="128" t="n"/>
      <c r="BS37" s="128" t="n"/>
      <c r="BT37" s="128" t="n"/>
      <c r="BU37" s="128" t="n"/>
      <c r="BV37" s="128" t="n"/>
      <c r="BW37" s="128" t="n"/>
    </row>
    <row r="38" ht="20" customHeight="1">
      <c r="B38" s="125" t="n">
        <v>32</v>
      </c>
      <c r="C38" s="72" t="n"/>
      <c r="D38" s="72" t="n"/>
      <c r="E38" s="72" t="n"/>
      <c r="F38" s="72" t="n"/>
      <c r="G38" s="89" t="n"/>
      <c r="H38" s="89" t="n"/>
      <c r="I38" s="108" t="n"/>
      <c r="J38" s="126">
        <f>IF(OR(D38="",ProjStart=""),"",MAX(ProjStart,IF(I38&lt;&gt;"",I38,0),IF(H38="",0,IFERROR(INDEX($L$6:L37,MATCH(H38,$B$6:B37,0))+1,0))))</f>
        <v/>
      </c>
      <c r="K38" s="89" t="n"/>
      <c r="L38" s="126">
        <f>IF(J38="","",J38+MAX(1,G38)+IF(K38="",0,K38)-1)</f>
        <v/>
      </c>
      <c r="M38" s="72" t="n"/>
      <c r="N38" s="108" t="n"/>
      <c r="O38" s="127">
        <f>IF(D38="","",COUNTIF($H$7:$H$156,B38))</f>
        <v/>
      </c>
      <c r="P38" s="78">
        <f>IF(D38="","",IF(AND(H38&lt;&gt;"",H38&gt;=B38),"⚠️ Predecessor must be above",IF(M38="Done","✓ Done",IF(Q38=3,"🔴 Late",IF(M38="In progress","In progress","")))))</f>
        <v/>
      </c>
      <c r="Q38" s="79">
        <f>IF(OR(D38="",L38=""),"",IF(M38="Done",2,IF(AsOf&gt;L38,3,1)))</f>
        <v/>
      </c>
      <c r="R38" s="79">
        <f>IF(OR(E38="",F38=""),0,IF(COUNTIFS($E$7:E38,E38,$F$7:F38,F38)=1,1,0))</f>
        <v/>
      </c>
      <c r="S38" s="79">
        <f>IF(R38=1,E38&amp;"|"&amp;SUMIFS($R$7:R38,$E$7:E38,E38),"")</f>
        <v/>
      </c>
      <c r="T38" s="111">
        <f>IF(Q38="","",IF(Q38=3,L38,IF(OR(M38="Not started",M38=""),J38,"")))</f>
        <v/>
      </c>
      <c r="U38" s="79">
        <f>IF(T38="","",IF(Q38=3,1,IF(T38="","",IF(T38&lt;AsOf,1,IF(T38&lt;=AsOf+AlertDays,2,IF(T38&lt;=AsOf+2*AlertDays,3,""))))))</f>
        <v/>
      </c>
      <c r="V38" s="79">
        <f>IF(U38="","",IF(Q38=3,"Late task: "&amp;D38,IF(T38&lt;AsOf,"Should have started: ","Starts soon: ")&amp;D38)&amp;IF(F38="",""," — "&amp;F38))</f>
        <v/>
      </c>
      <c r="X38" s="128" t="n"/>
      <c r="Y38" s="128" t="n"/>
      <c r="Z38" s="128" t="n"/>
      <c r="AA38" s="128" t="n"/>
      <c r="AB38" s="128" t="n"/>
      <c r="AC38" s="128" t="n"/>
      <c r="AD38" s="128" t="n"/>
      <c r="AE38" s="128" t="n"/>
      <c r="AF38" s="128" t="n"/>
      <c r="AG38" s="128" t="n"/>
      <c r="AH38" s="128" t="n"/>
      <c r="AI38" s="128" t="n"/>
      <c r="AJ38" s="128" t="n"/>
      <c r="AK38" s="128" t="n"/>
      <c r="AL38" s="128" t="n"/>
      <c r="AM38" s="128" t="n"/>
      <c r="AN38" s="128" t="n"/>
      <c r="AO38" s="128" t="n"/>
      <c r="AP38" s="128" t="n"/>
      <c r="AQ38" s="128" t="n"/>
      <c r="AR38" s="128" t="n"/>
      <c r="AS38" s="128" t="n"/>
      <c r="AT38" s="128" t="n"/>
      <c r="AU38" s="128" t="n"/>
      <c r="AV38" s="128" t="n"/>
      <c r="AW38" s="128" t="n"/>
      <c r="AX38" s="128" t="n"/>
      <c r="AY38" s="128" t="n"/>
      <c r="AZ38" s="128" t="n"/>
      <c r="BA38" s="128" t="n"/>
      <c r="BB38" s="128" t="n"/>
      <c r="BC38" s="128" t="n"/>
      <c r="BD38" s="128" t="n"/>
      <c r="BE38" s="128" t="n"/>
      <c r="BF38" s="128" t="n"/>
      <c r="BG38" s="128" t="n"/>
      <c r="BH38" s="128" t="n"/>
      <c r="BI38" s="128" t="n"/>
      <c r="BJ38" s="128" t="n"/>
      <c r="BK38" s="128" t="n"/>
      <c r="BL38" s="128" t="n"/>
      <c r="BM38" s="128" t="n"/>
      <c r="BN38" s="128" t="n"/>
      <c r="BO38" s="128" t="n"/>
      <c r="BP38" s="128" t="n"/>
      <c r="BQ38" s="128" t="n"/>
      <c r="BR38" s="128" t="n"/>
      <c r="BS38" s="128" t="n"/>
      <c r="BT38" s="128" t="n"/>
      <c r="BU38" s="128" t="n"/>
      <c r="BV38" s="128" t="n"/>
      <c r="BW38" s="128" t="n"/>
    </row>
    <row r="39" ht="20" customHeight="1">
      <c r="B39" s="125" t="n">
        <v>33</v>
      </c>
      <c r="C39" s="72" t="n"/>
      <c r="D39" s="72" t="n"/>
      <c r="E39" s="72" t="n"/>
      <c r="F39" s="72" t="n"/>
      <c r="G39" s="89" t="n"/>
      <c r="H39" s="89" t="n"/>
      <c r="I39" s="108" t="n"/>
      <c r="J39" s="126">
        <f>IF(OR(D39="",ProjStart=""),"",MAX(ProjStart,IF(I39&lt;&gt;"",I39,0),IF(H39="",0,IFERROR(INDEX($L$6:L38,MATCH(H39,$B$6:B38,0))+1,0))))</f>
        <v/>
      </c>
      <c r="K39" s="89" t="n"/>
      <c r="L39" s="126">
        <f>IF(J39="","",J39+MAX(1,G39)+IF(K39="",0,K39)-1)</f>
        <v/>
      </c>
      <c r="M39" s="72" t="n"/>
      <c r="N39" s="108" t="n"/>
      <c r="O39" s="127">
        <f>IF(D39="","",COUNTIF($H$7:$H$156,B39))</f>
        <v/>
      </c>
      <c r="P39" s="78">
        <f>IF(D39="","",IF(AND(H39&lt;&gt;"",H39&gt;=B39),"⚠️ Predecessor must be above",IF(M39="Done","✓ Done",IF(Q39=3,"🔴 Late",IF(M39="In progress","In progress","")))))</f>
        <v/>
      </c>
      <c r="Q39" s="79">
        <f>IF(OR(D39="",L39=""),"",IF(M39="Done",2,IF(AsOf&gt;L39,3,1)))</f>
        <v/>
      </c>
      <c r="R39" s="79">
        <f>IF(OR(E39="",F39=""),0,IF(COUNTIFS($E$7:E39,E39,$F$7:F39,F39)=1,1,0))</f>
        <v/>
      </c>
      <c r="S39" s="79">
        <f>IF(R39=1,E39&amp;"|"&amp;SUMIFS($R$7:R39,$E$7:E39,E39),"")</f>
        <v/>
      </c>
      <c r="T39" s="111">
        <f>IF(Q39="","",IF(Q39=3,L39,IF(OR(M39="Not started",M39=""),J39,"")))</f>
        <v/>
      </c>
      <c r="U39" s="79">
        <f>IF(T39="","",IF(Q39=3,1,IF(T39="","",IF(T39&lt;AsOf,1,IF(T39&lt;=AsOf+AlertDays,2,IF(T39&lt;=AsOf+2*AlertDays,3,""))))))</f>
        <v/>
      </c>
      <c r="V39" s="79">
        <f>IF(U39="","",IF(Q39=3,"Late task: "&amp;D39,IF(T39&lt;AsOf,"Should have started: ","Starts soon: ")&amp;D39)&amp;IF(F39="",""," — "&amp;F39))</f>
        <v/>
      </c>
      <c r="X39" s="128" t="n"/>
      <c r="Y39" s="128" t="n"/>
      <c r="Z39" s="128" t="n"/>
      <c r="AA39" s="128" t="n"/>
      <c r="AB39" s="128" t="n"/>
      <c r="AC39" s="128" t="n"/>
      <c r="AD39" s="128" t="n"/>
      <c r="AE39" s="128" t="n"/>
      <c r="AF39" s="128" t="n"/>
      <c r="AG39" s="128" t="n"/>
      <c r="AH39" s="128" t="n"/>
      <c r="AI39" s="128" t="n"/>
      <c r="AJ39" s="128" t="n"/>
      <c r="AK39" s="128" t="n"/>
      <c r="AL39" s="128" t="n"/>
      <c r="AM39" s="128" t="n"/>
      <c r="AN39" s="128" t="n"/>
      <c r="AO39" s="128" t="n"/>
      <c r="AP39" s="128" t="n"/>
      <c r="AQ39" s="128" t="n"/>
      <c r="AR39" s="128" t="n"/>
      <c r="AS39" s="128" t="n"/>
      <c r="AT39" s="128" t="n"/>
      <c r="AU39" s="128" t="n"/>
      <c r="AV39" s="128" t="n"/>
      <c r="AW39" s="128" t="n"/>
      <c r="AX39" s="128" t="n"/>
      <c r="AY39" s="128" t="n"/>
      <c r="AZ39" s="128" t="n"/>
      <c r="BA39" s="128" t="n"/>
      <c r="BB39" s="128" t="n"/>
      <c r="BC39" s="128" t="n"/>
      <c r="BD39" s="128" t="n"/>
      <c r="BE39" s="128" t="n"/>
      <c r="BF39" s="128" t="n"/>
      <c r="BG39" s="128" t="n"/>
      <c r="BH39" s="128" t="n"/>
      <c r="BI39" s="128" t="n"/>
      <c r="BJ39" s="128" t="n"/>
      <c r="BK39" s="128" t="n"/>
      <c r="BL39" s="128" t="n"/>
      <c r="BM39" s="128" t="n"/>
      <c r="BN39" s="128" t="n"/>
      <c r="BO39" s="128" t="n"/>
      <c r="BP39" s="128" t="n"/>
      <c r="BQ39" s="128" t="n"/>
      <c r="BR39" s="128" t="n"/>
      <c r="BS39" s="128" t="n"/>
      <c r="BT39" s="128" t="n"/>
      <c r="BU39" s="128" t="n"/>
      <c r="BV39" s="128" t="n"/>
      <c r="BW39" s="128" t="n"/>
    </row>
    <row r="40" ht="20" customHeight="1">
      <c r="B40" s="125" t="n">
        <v>34</v>
      </c>
      <c r="C40" s="72" t="n"/>
      <c r="D40" s="72" t="n"/>
      <c r="E40" s="72" t="n"/>
      <c r="F40" s="72" t="n"/>
      <c r="G40" s="89" t="n"/>
      <c r="H40" s="89" t="n"/>
      <c r="I40" s="108" t="n"/>
      <c r="J40" s="126">
        <f>IF(OR(D40="",ProjStart=""),"",MAX(ProjStart,IF(I40&lt;&gt;"",I40,0),IF(H40="",0,IFERROR(INDEX($L$6:L39,MATCH(H40,$B$6:B39,0))+1,0))))</f>
        <v/>
      </c>
      <c r="K40" s="89" t="n"/>
      <c r="L40" s="126">
        <f>IF(J40="","",J40+MAX(1,G40)+IF(K40="",0,K40)-1)</f>
        <v/>
      </c>
      <c r="M40" s="72" t="n"/>
      <c r="N40" s="108" t="n"/>
      <c r="O40" s="127">
        <f>IF(D40="","",COUNTIF($H$7:$H$156,B40))</f>
        <v/>
      </c>
      <c r="P40" s="78">
        <f>IF(D40="","",IF(AND(H40&lt;&gt;"",H40&gt;=B40),"⚠️ Predecessor must be above",IF(M40="Done","✓ Done",IF(Q40=3,"🔴 Late",IF(M40="In progress","In progress","")))))</f>
        <v/>
      </c>
      <c r="Q40" s="79">
        <f>IF(OR(D40="",L40=""),"",IF(M40="Done",2,IF(AsOf&gt;L40,3,1)))</f>
        <v/>
      </c>
      <c r="R40" s="79">
        <f>IF(OR(E40="",F40=""),0,IF(COUNTIFS($E$7:E40,E40,$F$7:F40,F40)=1,1,0))</f>
        <v/>
      </c>
      <c r="S40" s="79">
        <f>IF(R40=1,E40&amp;"|"&amp;SUMIFS($R$7:R40,$E$7:E40,E40),"")</f>
        <v/>
      </c>
      <c r="T40" s="111">
        <f>IF(Q40="","",IF(Q40=3,L40,IF(OR(M40="Not started",M40=""),J40,"")))</f>
        <v/>
      </c>
      <c r="U40" s="79">
        <f>IF(T40="","",IF(Q40=3,1,IF(T40="","",IF(T40&lt;AsOf,1,IF(T40&lt;=AsOf+AlertDays,2,IF(T40&lt;=AsOf+2*AlertDays,3,""))))))</f>
        <v/>
      </c>
      <c r="V40" s="79">
        <f>IF(U40="","",IF(Q40=3,"Late task: "&amp;D40,IF(T40&lt;AsOf,"Should have started: ","Starts soon: ")&amp;D40)&amp;IF(F40="",""," — "&amp;F40))</f>
        <v/>
      </c>
      <c r="X40" s="128" t="n"/>
      <c r="Y40" s="128" t="n"/>
      <c r="Z40" s="128" t="n"/>
      <c r="AA40" s="128" t="n"/>
      <c r="AB40" s="128" t="n"/>
      <c r="AC40" s="128" t="n"/>
      <c r="AD40" s="128" t="n"/>
      <c r="AE40" s="128" t="n"/>
      <c r="AF40" s="128" t="n"/>
      <c r="AG40" s="128" t="n"/>
      <c r="AH40" s="128" t="n"/>
      <c r="AI40" s="128" t="n"/>
      <c r="AJ40" s="128" t="n"/>
      <c r="AK40" s="128" t="n"/>
      <c r="AL40" s="128" t="n"/>
      <c r="AM40" s="128" t="n"/>
      <c r="AN40" s="128" t="n"/>
      <c r="AO40" s="128" t="n"/>
      <c r="AP40" s="128" t="n"/>
      <c r="AQ40" s="128" t="n"/>
      <c r="AR40" s="128" t="n"/>
      <c r="AS40" s="128" t="n"/>
      <c r="AT40" s="128" t="n"/>
      <c r="AU40" s="128" t="n"/>
      <c r="AV40" s="128" t="n"/>
      <c r="AW40" s="128" t="n"/>
      <c r="AX40" s="128" t="n"/>
      <c r="AY40" s="128" t="n"/>
      <c r="AZ40" s="128" t="n"/>
      <c r="BA40" s="128" t="n"/>
      <c r="BB40" s="128" t="n"/>
      <c r="BC40" s="128" t="n"/>
      <c r="BD40" s="128" t="n"/>
      <c r="BE40" s="128" t="n"/>
      <c r="BF40" s="128" t="n"/>
      <c r="BG40" s="128" t="n"/>
      <c r="BH40" s="128" t="n"/>
      <c r="BI40" s="128" t="n"/>
      <c r="BJ40" s="128" t="n"/>
      <c r="BK40" s="128" t="n"/>
      <c r="BL40" s="128" t="n"/>
      <c r="BM40" s="128" t="n"/>
      <c r="BN40" s="128" t="n"/>
      <c r="BO40" s="128" t="n"/>
      <c r="BP40" s="128" t="n"/>
      <c r="BQ40" s="128" t="n"/>
      <c r="BR40" s="128" t="n"/>
      <c r="BS40" s="128" t="n"/>
      <c r="BT40" s="128" t="n"/>
      <c r="BU40" s="128" t="n"/>
      <c r="BV40" s="128" t="n"/>
      <c r="BW40" s="128" t="n"/>
    </row>
    <row r="41" ht="20" customHeight="1">
      <c r="B41" s="125" t="n">
        <v>35</v>
      </c>
      <c r="C41" s="72" t="n"/>
      <c r="D41" s="72" t="n"/>
      <c r="E41" s="72" t="n"/>
      <c r="F41" s="72" t="n"/>
      <c r="G41" s="89" t="n"/>
      <c r="H41" s="89" t="n"/>
      <c r="I41" s="108" t="n"/>
      <c r="J41" s="126">
        <f>IF(OR(D41="",ProjStart=""),"",MAX(ProjStart,IF(I41&lt;&gt;"",I41,0),IF(H41="",0,IFERROR(INDEX($L$6:L40,MATCH(H41,$B$6:B40,0))+1,0))))</f>
        <v/>
      </c>
      <c r="K41" s="89" t="n"/>
      <c r="L41" s="126">
        <f>IF(J41="","",J41+MAX(1,G41)+IF(K41="",0,K41)-1)</f>
        <v/>
      </c>
      <c r="M41" s="72" t="n"/>
      <c r="N41" s="108" t="n"/>
      <c r="O41" s="127">
        <f>IF(D41="","",COUNTIF($H$7:$H$156,B41))</f>
        <v/>
      </c>
      <c r="P41" s="78">
        <f>IF(D41="","",IF(AND(H41&lt;&gt;"",H41&gt;=B41),"⚠️ Predecessor must be above",IF(M41="Done","✓ Done",IF(Q41=3,"🔴 Late",IF(M41="In progress","In progress","")))))</f>
        <v/>
      </c>
      <c r="Q41" s="79">
        <f>IF(OR(D41="",L41=""),"",IF(M41="Done",2,IF(AsOf&gt;L41,3,1)))</f>
        <v/>
      </c>
      <c r="R41" s="79">
        <f>IF(OR(E41="",F41=""),0,IF(COUNTIFS($E$7:E41,E41,$F$7:F41,F41)=1,1,0))</f>
        <v/>
      </c>
      <c r="S41" s="79">
        <f>IF(R41=1,E41&amp;"|"&amp;SUMIFS($R$7:R41,$E$7:E41,E41),"")</f>
        <v/>
      </c>
      <c r="T41" s="111">
        <f>IF(Q41="","",IF(Q41=3,L41,IF(OR(M41="Not started",M41=""),J41,"")))</f>
        <v/>
      </c>
      <c r="U41" s="79">
        <f>IF(T41="","",IF(Q41=3,1,IF(T41="","",IF(T41&lt;AsOf,1,IF(T41&lt;=AsOf+AlertDays,2,IF(T41&lt;=AsOf+2*AlertDays,3,""))))))</f>
        <v/>
      </c>
      <c r="V41" s="79">
        <f>IF(U41="","",IF(Q41=3,"Late task: "&amp;D41,IF(T41&lt;AsOf,"Should have started: ","Starts soon: ")&amp;D41)&amp;IF(F41="",""," — "&amp;F41))</f>
        <v/>
      </c>
      <c r="X41" s="128" t="n"/>
      <c r="Y41" s="128" t="n"/>
      <c r="Z41" s="128" t="n"/>
      <c r="AA41" s="128" t="n"/>
      <c r="AB41" s="128" t="n"/>
      <c r="AC41" s="128" t="n"/>
      <c r="AD41" s="128" t="n"/>
      <c r="AE41" s="128" t="n"/>
      <c r="AF41" s="128" t="n"/>
      <c r="AG41" s="128" t="n"/>
      <c r="AH41" s="128" t="n"/>
      <c r="AI41" s="128" t="n"/>
      <c r="AJ41" s="128" t="n"/>
      <c r="AK41" s="128" t="n"/>
      <c r="AL41" s="128" t="n"/>
      <c r="AM41" s="128" t="n"/>
      <c r="AN41" s="128" t="n"/>
      <c r="AO41" s="128" t="n"/>
      <c r="AP41" s="128" t="n"/>
      <c r="AQ41" s="128" t="n"/>
      <c r="AR41" s="128" t="n"/>
      <c r="AS41" s="128" t="n"/>
      <c r="AT41" s="128" t="n"/>
      <c r="AU41" s="128" t="n"/>
      <c r="AV41" s="128" t="n"/>
      <c r="AW41" s="128" t="n"/>
      <c r="AX41" s="128" t="n"/>
      <c r="AY41" s="128" t="n"/>
      <c r="AZ41" s="128" t="n"/>
      <c r="BA41" s="128" t="n"/>
      <c r="BB41" s="128" t="n"/>
      <c r="BC41" s="128" t="n"/>
      <c r="BD41" s="128" t="n"/>
      <c r="BE41" s="128" t="n"/>
      <c r="BF41" s="128" t="n"/>
      <c r="BG41" s="128" t="n"/>
      <c r="BH41" s="128" t="n"/>
      <c r="BI41" s="128" t="n"/>
      <c r="BJ41" s="128" t="n"/>
      <c r="BK41" s="128" t="n"/>
      <c r="BL41" s="128" t="n"/>
      <c r="BM41" s="128" t="n"/>
      <c r="BN41" s="128" t="n"/>
      <c r="BO41" s="128" t="n"/>
      <c r="BP41" s="128" t="n"/>
      <c r="BQ41" s="128" t="n"/>
      <c r="BR41" s="128" t="n"/>
      <c r="BS41" s="128" t="n"/>
      <c r="BT41" s="128" t="n"/>
      <c r="BU41" s="128" t="n"/>
      <c r="BV41" s="128" t="n"/>
      <c r="BW41" s="128" t="n"/>
    </row>
    <row r="42" ht="20" customHeight="1">
      <c r="B42" s="125" t="n">
        <v>36</v>
      </c>
      <c r="C42" s="72" t="n"/>
      <c r="D42" s="72" t="n"/>
      <c r="E42" s="72" t="n"/>
      <c r="F42" s="72" t="n"/>
      <c r="G42" s="89" t="n"/>
      <c r="H42" s="89" t="n"/>
      <c r="I42" s="108" t="n"/>
      <c r="J42" s="126">
        <f>IF(OR(D42="",ProjStart=""),"",MAX(ProjStart,IF(I42&lt;&gt;"",I42,0),IF(H42="",0,IFERROR(INDEX($L$6:L41,MATCH(H42,$B$6:B41,0))+1,0))))</f>
        <v/>
      </c>
      <c r="K42" s="89" t="n"/>
      <c r="L42" s="126">
        <f>IF(J42="","",J42+MAX(1,G42)+IF(K42="",0,K42)-1)</f>
        <v/>
      </c>
      <c r="M42" s="72" t="n"/>
      <c r="N42" s="108" t="n"/>
      <c r="O42" s="127">
        <f>IF(D42="","",COUNTIF($H$7:$H$156,B42))</f>
        <v/>
      </c>
      <c r="P42" s="78">
        <f>IF(D42="","",IF(AND(H42&lt;&gt;"",H42&gt;=B42),"⚠️ Predecessor must be above",IF(M42="Done","✓ Done",IF(Q42=3,"🔴 Late",IF(M42="In progress","In progress","")))))</f>
        <v/>
      </c>
      <c r="Q42" s="79">
        <f>IF(OR(D42="",L42=""),"",IF(M42="Done",2,IF(AsOf&gt;L42,3,1)))</f>
        <v/>
      </c>
      <c r="R42" s="79">
        <f>IF(OR(E42="",F42=""),0,IF(COUNTIFS($E$7:E42,E42,$F$7:F42,F42)=1,1,0))</f>
        <v/>
      </c>
      <c r="S42" s="79">
        <f>IF(R42=1,E42&amp;"|"&amp;SUMIFS($R$7:R42,$E$7:E42,E42),"")</f>
        <v/>
      </c>
      <c r="T42" s="111">
        <f>IF(Q42="","",IF(Q42=3,L42,IF(OR(M42="Not started",M42=""),J42,"")))</f>
        <v/>
      </c>
      <c r="U42" s="79">
        <f>IF(T42="","",IF(Q42=3,1,IF(T42="","",IF(T42&lt;AsOf,1,IF(T42&lt;=AsOf+AlertDays,2,IF(T42&lt;=AsOf+2*AlertDays,3,""))))))</f>
        <v/>
      </c>
      <c r="V42" s="79">
        <f>IF(U42="","",IF(Q42=3,"Late task: "&amp;D42,IF(T42&lt;AsOf,"Should have started: ","Starts soon: ")&amp;D42)&amp;IF(F42="",""," — "&amp;F42))</f>
        <v/>
      </c>
      <c r="X42" s="128" t="n"/>
      <c r="Y42" s="128" t="n"/>
      <c r="Z42" s="128" t="n"/>
      <c r="AA42" s="128" t="n"/>
      <c r="AB42" s="128" t="n"/>
      <c r="AC42" s="128" t="n"/>
      <c r="AD42" s="128" t="n"/>
      <c r="AE42" s="128" t="n"/>
      <c r="AF42" s="128" t="n"/>
      <c r="AG42" s="128" t="n"/>
      <c r="AH42" s="128" t="n"/>
      <c r="AI42" s="128" t="n"/>
      <c r="AJ42" s="128" t="n"/>
      <c r="AK42" s="128" t="n"/>
      <c r="AL42" s="128" t="n"/>
      <c r="AM42" s="128" t="n"/>
      <c r="AN42" s="128" t="n"/>
      <c r="AO42" s="128" t="n"/>
      <c r="AP42" s="128" t="n"/>
      <c r="AQ42" s="128" t="n"/>
      <c r="AR42" s="128" t="n"/>
      <c r="AS42" s="128" t="n"/>
      <c r="AT42" s="128" t="n"/>
      <c r="AU42" s="128" t="n"/>
      <c r="AV42" s="128" t="n"/>
      <c r="AW42" s="128" t="n"/>
      <c r="AX42" s="128" t="n"/>
      <c r="AY42" s="128" t="n"/>
      <c r="AZ42" s="128" t="n"/>
      <c r="BA42" s="128" t="n"/>
      <c r="BB42" s="128" t="n"/>
      <c r="BC42" s="128" t="n"/>
      <c r="BD42" s="128" t="n"/>
      <c r="BE42" s="128" t="n"/>
      <c r="BF42" s="128" t="n"/>
      <c r="BG42" s="128" t="n"/>
      <c r="BH42" s="128" t="n"/>
      <c r="BI42" s="128" t="n"/>
      <c r="BJ42" s="128" t="n"/>
      <c r="BK42" s="128" t="n"/>
      <c r="BL42" s="128" t="n"/>
      <c r="BM42" s="128" t="n"/>
      <c r="BN42" s="128" t="n"/>
      <c r="BO42" s="128" t="n"/>
      <c r="BP42" s="128" t="n"/>
      <c r="BQ42" s="128" t="n"/>
      <c r="BR42" s="128" t="n"/>
      <c r="BS42" s="128" t="n"/>
      <c r="BT42" s="128" t="n"/>
      <c r="BU42" s="128" t="n"/>
      <c r="BV42" s="128" t="n"/>
      <c r="BW42" s="128" t="n"/>
    </row>
    <row r="43" ht="20" customHeight="1">
      <c r="B43" s="125" t="n">
        <v>37</v>
      </c>
      <c r="C43" s="72" t="n"/>
      <c r="D43" s="72" t="n"/>
      <c r="E43" s="72" t="n"/>
      <c r="F43" s="72" t="n"/>
      <c r="G43" s="89" t="n"/>
      <c r="H43" s="89" t="n"/>
      <c r="I43" s="108" t="n"/>
      <c r="J43" s="126">
        <f>IF(OR(D43="",ProjStart=""),"",MAX(ProjStart,IF(I43&lt;&gt;"",I43,0),IF(H43="",0,IFERROR(INDEX($L$6:L42,MATCH(H43,$B$6:B42,0))+1,0))))</f>
        <v/>
      </c>
      <c r="K43" s="89" t="n"/>
      <c r="L43" s="126">
        <f>IF(J43="","",J43+MAX(1,G43)+IF(K43="",0,K43)-1)</f>
        <v/>
      </c>
      <c r="M43" s="72" t="n"/>
      <c r="N43" s="108" t="n"/>
      <c r="O43" s="127">
        <f>IF(D43="","",COUNTIF($H$7:$H$156,B43))</f>
        <v/>
      </c>
      <c r="P43" s="78">
        <f>IF(D43="","",IF(AND(H43&lt;&gt;"",H43&gt;=B43),"⚠️ Predecessor must be above",IF(M43="Done","✓ Done",IF(Q43=3,"🔴 Late",IF(M43="In progress","In progress","")))))</f>
        <v/>
      </c>
      <c r="Q43" s="79">
        <f>IF(OR(D43="",L43=""),"",IF(M43="Done",2,IF(AsOf&gt;L43,3,1)))</f>
        <v/>
      </c>
      <c r="R43" s="79">
        <f>IF(OR(E43="",F43=""),0,IF(COUNTIFS($E$7:E43,E43,$F$7:F43,F43)=1,1,0))</f>
        <v/>
      </c>
      <c r="S43" s="79">
        <f>IF(R43=1,E43&amp;"|"&amp;SUMIFS($R$7:R43,$E$7:E43,E43),"")</f>
        <v/>
      </c>
      <c r="T43" s="111">
        <f>IF(Q43="","",IF(Q43=3,L43,IF(OR(M43="Not started",M43=""),J43,"")))</f>
        <v/>
      </c>
      <c r="U43" s="79">
        <f>IF(T43="","",IF(Q43=3,1,IF(T43="","",IF(T43&lt;AsOf,1,IF(T43&lt;=AsOf+AlertDays,2,IF(T43&lt;=AsOf+2*AlertDays,3,""))))))</f>
        <v/>
      </c>
      <c r="V43" s="79">
        <f>IF(U43="","",IF(Q43=3,"Late task: "&amp;D43,IF(T43&lt;AsOf,"Should have started: ","Starts soon: ")&amp;D43)&amp;IF(F43="",""," — "&amp;F43))</f>
        <v/>
      </c>
      <c r="X43" s="128" t="n"/>
      <c r="Y43" s="128" t="n"/>
      <c r="Z43" s="128" t="n"/>
      <c r="AA43" s="128" t="n"/>
      <c r="AB43" s="128" t="n"/>
      <c r="AC43" s="128" t="n"/>
      <c r="AD43" s="128" t="n"/>
      <c r="AE43" s="128" t="n"/>
      <c r="AF43" s="128" t="n"/>
      <c r="AG43" s="128" t="n"/>
      <c r="AH43" s="128" t="n"/>
      <c r="AI43" s="128" t="n"/>
      <c r="AJ43" s="128" t="n"/>
      <c r="AK43" s="128" t="n"/>
      <c r="AL43" s="128" t="n"/>
      <c r="AM43" s="128" t="n"/>
      <c r="AN43" s="128" t="n"/>
      <c r="AO43" s="128" t="n"/>
      <c r="AP43" s="128" t="n"/>
      <c r="AQ43" s="128" t="n"/>
      <c r="AR43" s="128" t="n"/>
      <c r="AS43" s="128" t="n"/>
      <c r="AT43" s="128" t="n"/>
      <c r="AU43" s="128" t="n"/>
      <c r="AV43" s="128" t="n"/>
      <c r="AW43" s="128" t="n"/>
      <c r="AX43" s="128" t="n"/>
      <c r="AY43" s="128" t="n"/>
      <c r="AZ43" s="128" t="n"/>
      <c r="BA43" s="128" t="n"/>
      <c r="BB43" s="128" t="n"/>
      <c r="BC43" s="128" t="n"/>
      <c r="BD43" s="128" t="n"/>
      <c r="BE43" s="128" t="n"/>
      <c r="BF43" s="128" t="n"/>
      <c r="BG43" s="128" t="n"/>
      <c r="BH43" s="128" t="n"/>
      <c r="BI43" s="128" t="n"/>
      <c r="BJ43" s="128" t="n"/>
      <c r="BK43" s="128" t="n"/>
      <c r="BL43" s="128" t="n"/>
      <c r="BM43" s="128" t="n"/>
      <c r="BN43" s="128" t="n"/>
      <c r="BO43" s="128" t="n"/>
      <c r="BP43" s="128" t="n"/>
      <c r="BQ43" s="128" t="n"/>
      <c r="BR43" s="128" t="n"/>
      <c r="BS43" s="128" t="n"/>
      <c r="BT43" s="128" t="n"/>
      <c r="BU43" s="128" t="n"/>
      <c r="BV43" s="128" t="n"/>
      <c r="BW43" s="128" t="n"/>
    </row>
    <row r="44" ht="20" customHeight="1">
      <c r="B44" s="125" t="n">
        <v>38</v>
      </c>
      <c r="C44" s="72" t="n"/>
      <c r="D44" s="72" t="n"/>
      <c r="E44" s="72" t="n"/>
      <c r="F44" s="72" t="n"/>
      <c r="G44" s="89" t="n"/>
      <c r="H44" s="89" t="n"/>
      <c r="I44" s="108" t="n"/>
      <c r="J44" s="126">
        <f>IF(OR(D44="",ProjStart=""),"",MAX(ProjStart,IF(I44&lt;&gt;"",I44,0),IF(H44="",0,IFERROR(INDEX($L$6:L43,MATCH(H44,$B$6:B43,0))+1,0))))</f>
        <v/>
      </c>
      <c r="K44" s="89" t="n"/>
      <c r="L44" s="126">
        <f>IF(J44="","",J44+MAX(1,G44)+IF(K44="",0,K44)-1)</f>
        <v/>
      </c>
      <c r="M44" s="72" t="n"/>
      <c r="N44" s="108" t="n"/>
      <c r="O44" s="127">
        <f>IF(D44="","",COUNTIF($H$7:$H$156,B44))</f>
        <v/>
      </c>
      <c r="P44" s="78">
        <f>IF(D44="","",IF(AND(H44&lt;&gt;"",H44&gt;=B44),"⚠️ Predecessor must be above",IF(M44="Done","✓ Done",IF(Q44=3,"🔴 Late",IF(M44="In progress","In progress","")))))</f>
        <v/>
      </c>
      <c r="Q44" s="79">
        <f>IF(OR(D44="",L44=""),"",IF(M44="Done",2,IF(AsOf&gt;L44,3,1)))</f>
        <v/>
      </c>
      <c r="R44" s="79">
        <f>IF(OR(E44="",F44=""),0,IF(COUNTIFS($E$7:E44,E44,$F$7:F44,F44)=1,1,0))</f>
        <v/>
      </c>
      <c r="S44" s="79">
        <f>IF(R44=1,E44&amp;"|"&amp;SUMIFS($R$7:R44,$E$7:E44,E44),"")</f>
        <v/>
      </c>
      <c r="T44" s="111">
        <f>IF(Q44="","",IF(Q44=3,L44,IF(OR(M44="Not started",M44=""),J44,"")))</f>
        <v/>
      </c>
      <c r="U44" s="79">
        <f>IF(T44="","",IF(Q44=3,1,IF(T44="","",IF(T44&lt;AsOf,1,IF(T44&lt;=AsOf+AlertDays,2,IF(T44&lt;=AsOf+2*AlertDays,3,""))))))</f>
        <v/>
      </c>
      <c r="V44" s="79">
        <f>IF(U44="","",IF(Q44=3,"Late task: "&amp;D44,IF(T44&lt;AsOf,"Should have started: ","Starts soon: ")&amp;D44)&amp;IF(F44="",""," — "&amp;F44))</f>
        <v/>
      </c>
      <c r="X44" s="128" t="n"/>
      <c r="Y44" s="128" t="n"/>
      <c r="Z44" s="128" t="n"/>
      <c r="AA44" s="128" t="n"/>
      <c r="AB44" s="128" t="n"/>
      <c r="AC44" s="128" t="n"/>
      <c r="AD44" s="128" t="n"/>
      <c r="AE44" s="128" t="n"/>
      <c r="AF44" s="128" t="n"/>
      <c r="AG44" s="128" t="n"/>
      <c r="AH44" s="128" t="n"/>
      <c r="AI44" s="128" t="n"/>
      <c r="AJ44" s="128" t="n"/>
      <c r="AK44" s="128" t="n"/>
      <c r="AL44" s="128" t="n"/>
      <c r="AM44" s="128" t="n"/>
      <c r="AN44" s="128" t="n"/>
      <c r="AO44" s="128" t="n"/>
      <c r="AP44" s="128" t="n"/>
      <c r="AQ44" s="128" t="n"/>
      <c r="AR44" s="128" t="n"/>
      <c r="AS44" s="128" t="n"/>
      <c r="AT44" s="128" t="n"/>
      <c r="AU44" s="128" t="n"/>
      <c r="AV44" s="128" t="n"/>
      <c r="AW44" s="128" t="n"/>
      <c r="AX44" s="128" t="n"/>
      <c r="AY44" s="128" t="n"/>
      <c r="AZ44" s="128" t="n"/>
      <c r="BA44" s="128" t="n"/>
      <c r="BB44" s="128" t="n"/>
      <c r="BC44" s="128" t="n"/>
      <c r="BD44" s="128" t="n"/>
      <c r="BE44" s="128" t="n"/>
      <c r="BF44" s="128" t="n"/>
      <c r="BG44" s="128" t="n"/>
      <c r="BH44" s="128" t="n"/>
      <c r="BI44" s="128" t="n"/>
      <c r="BJ44" s="128" t="n"/>
      <c r="BK44" s="128" t="n"/>
      <c r="BL44" s="128" t="n"/>
      <c r="BM44" s="128" t="n"/>
      <c r="BN44" s="128" t="n"/>
      <c r="BO44" s="128" t="n"/>
      <c r="BP44" s="128" t="n"/>
      <c r="BQ44" s="128" t="n"/>
      <c r="BR44" s="128" t="n"/>
      <c r="BS44" s="128" t="n"/>
      <c r="BT44" s="128" t="n"/>
      <c r="BU44" s="128" t="n"/>
      <c r="BV44" s="128" t="n"/>
      <c r="BW44" s="128" t="n"/>
    </row>
    <row r="45" ht="20" customHeight="1">
      <c r="B45" s="125" t="n">
        <v>39</v>
      </c>
      <c r="C45" s="72" t="n"/>
      <c r="D45" s="72" t="n"/>
      <c r="E45" s="72" t="n"/>
      <c r="F45" s="72" t="n"/>
      <c r="G45" s="89" t="n"/>
      <c r="H45" s="89" t="n"/>
      <c r="I45" s="108" t="n"/>
      <c r="J45" s="126">
        <f>IF(OR(D45="",ProjStart=""),"",MAX(ProjStart,IF(I45&lt;&gt;"",I45,0),IF(H45="",0,IFERROR(INDEX($L$6:L44,MATCH(H45,$B$6:B44,0))+1,0))))</f>
        <v/>
      </c>
      <c r="K45" s="89" t="n"/>
      <c r="L45" s="126">
        <f>IF(J45="","",J45+MAX(1,G45)+IF(K45="",0,K45)-1)</f>
        <v/>
      </c>
      <c r="M45" s="72" t="n"/>
      <c r="N45" s="108" t="n"/>
      <c r="O45" s="127">
        <f>IF(D45="","",COUNTIF($H$7:$H$156,B45))</f>
        <v/>
      </c>
      <c r="P45" s="78">
        <f>IF(D45="","",IF(AND(H45&lt;&gt;"",H45&gt;=B45),"⚠️ Predecessor must be above",IF(M45="Done","✓ Done",IF(Q45=3,"🔴 Late",IF(M45="In progress","In progress","")))))</f>
        <v/>
      </c>
      <c r="Q45" s="79">
        <f>IF(OR(D45="",L45=""),"",IF(M45="Done",2,IF(AsOf&gt;L45,3,1)))</f>
        <v/>
      </c>
      <c r="R45" s="79">
        <f>IF(OR(E45="",F45=""),0,IF(COUNTIFS($E$7:E45,E45,$F$7:F45,F45)=1,1,0))</f>
        <v/>
      </c>
      <c r="S45" s="79">
        <f>IF(R45=1,E45&amp;"|"&amp;SUMIFS($R$7:R45,$E$7:E45,E45),"")</f>
        <v/>
      </c>
      <c r="T45" s="111">
        <f>IF(Q45="","",IF(Q45=3,L45,IF(OR(M45="Not started",M45=""),J45,"")))</f>
        <v/>
      </c>
      <c r="U45" s="79">
        <f>IF(T45="","",IF(Q45=3,1,IF(T45="","",IF(T45&lt;AsOf,1,IF(T45&lt;=AsOf+AlertDays,2,IF(T45&lt;=AsOf+2*AlertDays,3,""))))))</f>
        <v/>
      </c>
      <c r="V45" s="79">
        <f>IF(U45="","",IF(Q45=3,"Late task: "&amp;D45,IF(T45&lt;AsOf,"Should have started: ","Starts soon: ")&amp;D45)&amp;IF(F45="",""," — "&amp;F45))</f>
        <v/>
      </c>
      <c r="X45" s="128" t="n"/>
      <c r="Y45" s="128" t="n"/>
      <c r="Z45" s="128" t="n"/>
      <c r="AA45" s="128" t="n"/>
      <c r="AB45" s="128" t="n"/>
      <c r="AC45" s="128" t="n"/>
      <c r="AD45" s="128" t="n"/>
      <c r="AE45" s="128" t="n"/>
      <c r="AF45" s="128" t="n"/>
      <c r="AG45" s="128" t="n"/>
      <c r="AH45" s="128" t="n"/>
      <c r="AI45" s="128" t="n"/>
      <c r="AJ45" s="128" t="n"/>
      <c r="AK45" s="128" t="n"/>
      <c r="AL45" s="128" t="n"/>
      <c r="AM45" s="128" t="n"/>
      <c r="AN45" s="128" t="n"/>
      <c r="AO45" s="128" t="n"/>
      <c r="AP45" s="128" t="n"/>
      <c r="AQ45" s="128" t="n"/>
      <c r="AR45" s="128" t="n"/>
      <c r="AS45" s="128" t="n"/>
      <c r="AT45" s="128" t="n"/>
      <c r="AU45" s="128" t="n"/>
      <c r="AV45" s="128" t="n"/>
      <c r="AW45" s="128" t="n"/>
      <c r="AX45" s="128" t="n"/>
      <c r="AY45" s="128" t="n"/>
      <c r="AZ45" s="128" t="n"/>
      <c r="BA45" s="128" t="n"/>
      <c r="BB45" s="128" t="n"/>
      <c r="BC45" s="128" t="n"/>
      <c r="BD45" s="128" t="n"/>
      <c r="BE45" s="128" t="n"/>
      <c r="BF45" s="128" t="n"/>
      <c r="BG45" s="128" t="n"/>
      <c r="BH45" s="128" t="n"/>
      <c r="BI45" s="128" t="n"/>
      <c r="BJ45" s="128" t="n"/>
      <c r="BK45" s="128" t="n"/>
      <c r="BL45" s="128" t="n"/>
      <c r="BM45" s="128" t="n"/>
      <c r="BN45" s="128" t="n"/>
      <c r="BO45" s="128" t="n"/>
      <c r="BP45" s="128" t="n"/>
      <c r="BQ45" s="128" t="n"/>
      <c r="BR45" s="128" t="n"/>
      <c r="BS45" s="128" t="n"/>
      <c r="BT45" s="128" t="n"/>
      <c r="BU45" s="128" t="n"/>
      <c r="BV45" s="128" t="n"/>
      <c r="BW45" s="128" t="n"/>
    </row>
    <row r="46" ht="20" customHeight="1">
      <c r="B46" s="125" t="n">
        <v>40</v>
      </c>
      <c r="C46" s="72" t="n"/>
      <c r="D46" s="72" t="n"/>
      <c r="E46" s="72" t="n"/>
      <c r="F46" s="72" t="n"/>
      <c r="G46" s="89" t="n"/>
      <c r="H46" s="89" t="n"/>
      <c r="I46" s="108" t="n"/>
      <c r="J46" s="126">
        <f>IF(OR(D46="",ProjStart=""),"",MAX(ProjStart,IF(I46&lt;&gt;"",I46,0),IF(H46="",0,IFERROR(INDEX($L$6:L45,MATCH(H46,$B$6:B45,0))+1,0))))</f>
        <v/>
      </c>
      <c r="K46" s="89" t="n"/>
      <c r="L46" s="126">
        <f>IF(J46="","",J46+MAX(1,G46)+IF(K46="",0,K46)-1)</f>
        <v/>
      </c>
      <c r="M46" s="72" t="n"/>
      <c r="N46" s="108" t="n"/>
      <c r="O46" s="127">
        <f>IF(D46="","",COUNTIF($H$7:$H$156,B46))</f>
        <v/>
      </c>
      <c r="P46" s="78">
        <f>IF(D46="","",IF(AND(H46&lt;&gt;"",H46&gt;=B46),"⚠️ Predecessor must be above",IF(M46="Done","✓ Done",IF(Q46=3,"🔴 Late",IF(M46="In progress","In progress","")))))</f>
        <v/>
      </c>
      <c r="Q46" s="79">
        <f>IF(OR(D46="",L46=""),"",IF(M46="Done",2,IF(AsOf&gt;L46,3,1)))</f>
        <v/>
      </c>
      <c r="R46" s="79">
        <f>IF(OR(E46="",F46=""),0,IF(COUNTIFS($E$7:E46,E46,$F$7:F46,F46)=1,1,0))</f>
        <v/>
      </c>
      <c r="S46" s="79">
        <f>IF(R46=1,E46&amp;"|"&amp;SUMIFS($R$7:R46,$E$7:E46,E46),"")</f>
        <v/>
      </c>
      <c r="T46" s="111">
        <f>IF(Q46="","",IF(Q46=3,L46,IF(OR(M46="Not started",M46=""),J46,"")))</f>
        <v/>
      </c>
      <c r="U46" s="79">
        <f>IF(T46="","",IF(Q46=3,1,IF(T46="","",IF(T46&lt;AsOf,1,IF(T46&lt;=AsOf+AlertDays,2,IF(T46&lt;=AsOf+2*AlertDays,3,""))))))</f>
        <v/>
      </c>
      <c r="V46" s="79">
        <f>IF(U46="","",IF(Q46=3,"Late task: "&amp;D46,IF(T46&lt;AsOf,"Should have started: ","Starts soon: ")&amp;D46)&amp;IF(F46="",""," — "&amp;F46))</f>
        <v/>
      </c>
      <c r="X46" s="128" t="n"/>
      <c r="Y46" s="128" t="n"/>
      <c r="Z46" s="128" t="n"/>
      <c r="AA46" s="128" t="n"/>
      <c r="AB46" s="128" t="n"/>
      <c r="AC46" s="128" t="n"/>
      <c r="AD46" s="128" t="n"/>
      <c r="AE46" s="128" t="n"/>
      <c r="AF46" s="128" t="n"/>
      <c r="AG46" s="128" t="n"/>
      <c r="AH46" s="128" t="n"/>
      <c r="AI46" s="128" t="n"/>
      <c r="AJ46" s="128" t="n"/>
      <c r="AK46" s="128" t="n"/>
      <c r="AL46" s="128" t="n"/>
      <c r="AM46" s="128" t="n"/>
      <c r="AN46" s="128" t="n"/>
      <c r="AO46" s="128" t="n"/>
      <c r="AP46" s="128" t="n"/>
      <c r="AQ46" s="128" t="n"/>
      <c r="AR46" s="128" t="n"/>
      <c r="AS46" s="128" t="n"/>
      <c r="AT46" s="128" t="n"/>
      <c r="AU46" s="128" t="n"/>
      <c r="AV46" s="128" t="n"/>
      <c r="AW46" s="128" t="n"/>
      <c r="AX46" s="128" t="n"/>
      <c r="AY46" s="128" t="n"/>
      <c r="AZ46" s="128" t="n"/>
      <c r="BA46" s="128" t="n"/>
      <c r="BB46" s="128" t="n"/>
      <c r="BC46" s="128" t="n"/>
      <c r="BD46" s="128" t="n"/>
      <c r="BE46" s="128" t="n"/>
      <c r="BF46" s="128" t="n"/>
      <c r="BG46" s="128" t="n"/>
      <c r="BH46" s="128" t="n"/>
      <c r="BI46" s="128" t="n"/>
      <c r="BJ46" s="128" t="n"/>
      <c r="BK46" s="128" t="n"/>
      <c r="BL46" s="128" t="n"/>
      <c r="BM46" s="128" t="n"/>
      <c r="BN46" s="128" t="n"/>
      <c r="BO46" s="128" t="n"/>
      <c r="BP46" s="128" t="n"/>
      <c r="BQ46" s="128" t="n"/>
      <c r="BR46" s="128" t="n"/>
      <c r="BS46" s="128" t="n"/>
      <c r="BT46" s="128" t="n"/>
      <c r="BU46" s="128" t="n"/>
      <c r="BV46" s="128" t="n"/>
      <c r="BW46" s="128" t="n"/>
    </row>
    <row r="47" ht="20" customHeight="1">
      <c r="B47" s="125" t="n">
        <v>41</v>
      </c>
      <c r="C47" s="72" t="n"/>
      <c r="D47" s="72" t="n"/>
      <c r="E47" s="72" t="n"/>
      <c r="F47" s="72" t="n"/>
      <c r="G47" s="89" t="n"/>
      <c r="H47" s="89" t="n"/>
      <c r="I47" s="108" t="n"/>
      <c r="J47" s="126">
        <f>IF(OR(D47="",ProjStart=""),"",MAX(ProjStart,IF(I47&lt;&gt;"",I47,0),IF(H47="",0,IFERROR(INDEX($L$6:L46,MATCH(H47,$B$6:B46,0))+1,0))))</f>
        <v/>
      </c>
      <c r="K47" s="89" t="n"/>
      <c r="L47" s="126">
        <f>IF(J47="","",J47+MAX(1,G47)+IF(K47="",0,K47)-1)</f>
        <v/>
      </c>
      <c r="M47" s="72" t="n"/>
      <c r="N47" s="108" t="n"/>
      <c r="O47" s="127">
        <f>IF(D47="","",COUNTIF($H$7:$H$156,B47))</f>
        <v/>
      </c>
      <c r="P47" s="78">
        <f>IF(D47="","",IF(AND(H47&lt;&gt;"",H47&gt;=B47),"⚠️ Predecessor must be above",IF(M47="Done","✓ Done",IF(Q47=3,"🔴 Late",IF(M47="In progress","In progress","")))))</f>
        <v/>
      </c>
      <c r="Q47" s="79">
        <f>IF(OR(D47="",L47=""),"",IF(M47="Done",2,IF(AsOf&gt;L47,3,1)))</f>
        <v/>
      </c>
      <c r="R47" s="79">
        <f>IF(OR(E47="",F47=""),0,IF(COUNTIFS($E$7:E47,E47,$F$7:F47,F47)=1,1,0))</f>
        <v/>
      </c>
      <c r="S47" s="79">
        <f>IF(R47=1,E47&amp;"|"&amp;SUMIFS($R$7:R47,$E$7:E47,E47),"")</f>
        <v/>
      </c>
      <c r="T47" s="111">
        <f>IF(Q47="","",IF(Q47=3,L47,IF(OR(M47="Not started",M47=""),J47,"")))</f>
        <v/>
      </c>
      <c r="U47" s="79">
        <f>IF(T47="","",IF(Q47=3,1,IF(T47="","",IF(T47&lt;AsOf,1,IF(T47&lt;=AsOf+AlertDays,2,IF(T47&lt;=AsOf+2*AlertDays,3,""))))))</f>
        <v/>
      </c>
      <c r="V47" s="79">
        <f>IF(U47="","",IF(Q47=3,"Late task: "&amp;D47,IF(T47&lt;AsOf,"Should have started: ","Starts soon: ")&amp;D47)&amp;IF(F47="",""," — "&amp;F47))</f>
        <v/>
      </c>
      <c r="X47" s="128" t="n"/>
      <c r="Y47" s="128" t="n"/>
      <c r="Z47" s="128" t="n"/>
      <c r="AA47" s="128" t="n"/>
      <c r="AB47" s="128" t="n"/>
      <c r="AC47" s="128" t="n"/>
      <c r="AD47" s="128" t="n"/>
      <c r="AE47" s="128" t="n"/>
      <c r="AF47" s="128" t="n"/>
      <c r="AG47" s="128" t="n"/>
      <c r="AH47" s="128" t="n"/>
      <c r="AI47" s="128" t="n"/>
      <c r="AJ47" s="128" t="n"/>
      <c r="AK47" s="128" t="n"/>
      <c r="AL47" s="128" t="n"/>
      <c r="AM47" s="128" t="n"/>
      <c r="AN47" s="128" t="n"/>
      <c r="AO47" s="128" t="n"/>
      <c r="AP47" s="128" t="n"/>
      <c r="AQ47" s="128" t="n"/>
      <c r="AR47" s="128" t="n"/>
      <c r="AS47" s="128" t="n"/>
      <c r="AT47" s="128" t="n"/>
      <c r="AU47" s="128" t="n"/>
      <c r="AV47" s="128" t="n"/>
      <c r="AW47" s="128" t="n"/>
      <c r="AX47" s="128" t="n"/>
      <c r="AY47" s="128" t="n"/>
      <c r="AZ47" s="128" t="n"/>
      <c r="BA47" s="128" t="n"/>
      <c r="BB47" s="128" t="n"/>
      <c r="BC47" s="128" t="n"/>
      <c r="BD47" s="128" t="n"/>
      <c r="BE47" s="128" t="n"/>
      <c r="BF47" s="128" t="n"/>
      <c r="BG47" s="128" t="n"/>
      <c r="BH47" s="128" t="n"/>
      <c r="BI47" s="128" t="n"/>
      <c r="BJ47" s="128" t="n"/>
      <c r="BK47" s="128" t="n"/>
      <c r="BL47" s="128" t="n"/>
      <c r="BM47" s="128" t="n"/>
      <c r="BN47" s="128" t="n"/>
      <c r="BO47" s="128" t="n"/>
      <c r="BP47" s="128" t="n"/>
      <c r="BQ47" s="128" t="n"/>
      <c r="BR47" s="128" t="n"/>
      <c r="BS47" s="128" t="n"/>
      <c r="BT47" s="128" t="n"/>
      <c r="BU47" s="128" t="n"/>
      <c r="BV47" s="128" t="n"/>
      <c r="BW47" s="128" t="n"/>
    </row>
    <row r="48" ht="20" customHeight="1">
      <c r="B48" s="125" t="n">
        <v>42</v>
      </c>
      <c r="C48" s="72" t="n"/>
      <c r="D48" s="72" t="n"/>
      <c r="E48" s="72" t="n"/>
      <c r="F48" s="72" t="n"/>
      <c r="G48" s="89" t="n"/>
      <c r="H48" s="89" t="n"/>
      <c r="I48" s="108" t="n"/>
      <c r="J48" s="126">
        <f>IF(OR(D48="",ProjStart=""),"",MAX(ProjStart,IF(I48&lt;&gt;"",I48,0),IF(H48="",0,IFERROR(INDEX($L$6:L47,MATCH(H48,$B$6:B47,0))+1,0))))</f>
        <v/>
      </c>
      <c r="K48" s="89" t="n"/>
      <c r="L48" s="126">
        <f>IF(J48="","",J48+MAX(1,G48)+IF(K48="",0,K48)-1)</f>
        <v/>
      </c>
      <c r="M48" s="72" t="n"/>
      <c r="N48" s="108" t="n"/>
      <c r="O48" s="127">
        <f>IF(D48="","",COUNTIF($H$7:$H$156,B48))</f>
        <v/>
      </c>
      <c r="P48" s="78">
        <f>IF(D48="","",IF(AND(H48&lt;&gt;"",H48&gt;=B48),"⚠️ Predecessor must be above",IF(M48="Done","✓ Done",IF(Q48=3,"🔴 Late",IF(M48="In progress","In progress","")))))</f>
        <v/>
      </c>
      <c r="Q48" s="79">
        <f>IF(OR(D48="",L48=""),"",IF(M48="Done",2,IF(AsOf&gt;L48,3,1)))</f>
        <v/>
      </c>
      <c r="R48" s="79">
        <f>IF(OR(E48="",F48=""),0,IF(COUNTIFS($E$7:E48,E48,$F$7:F48,F48)=1,1,0))</f>
        <v/>
      </c>
      <c r="S48" s="79">
        <f>IF(R48=1,E48&amp;"|"&amp;SUMIFS($R$7:R48,$E$7:E48,E48),"")</f>
        <v/>
      </c>
      <c r="T48" s="111">
        <f>IF(Q48="","",IF(Q48=3,L48,IF(OR(M48="Not started",M48=""),J48,"")))</f>
        <v/>
      </c>
      <c r="U48" s="79">
        <f>IF(T48="","",IF(Q48=3,1,IF(T48="","",IF(T48&lt;AsOf,1,IF(T48&lt;=AsOf+AlertDays,2,IF(T48&lt;=AsOf+2*AlertDays,3,""))))))</f>
        <v/>
      </c>
      <c r="V48" s="79">
        <f>IF(U48="","",IF(Q48=3,"Late task: "&amp;D48,IF(T48&lt;AsOf,"Should have started: ","Starts soon: ")&amp;D48)&amp;IF(F48="",""," — "&amp;F48))</f>
        <v/>
      </c>
      <c r="X48" s="128" t="n"/>
      <c r="Y48" s="128" t="n"/>
      <c r="Z48" s="128" t="n"/>
      <c r="AA48" s="128" t="n"/>
      <c r="AB48" s="128" t="n"/>
      <c r="AC48" s="128" t="n"/>
      <c r="AD48" s="128" t="n"/>
      <c r="AE48" s="128" t="n"/>
      <c r="AF48" s="128" t="n"/>
      <c r="AG48" s="128" t="n"/>
      <c r="AH48" s="128" t="n"/>
      <c r="AI48" s="128" t="n"/>
      <c r="AJ48" s="128" t="n"/>
      <c r="AK48" s="128" t="n"/>
      <c r="AL48" s="128" t="n"/>
      <c r="AM48" s="128" t="n"/>
      <c r="AN48" s="128" t="n"/>
      <c r="AO48" s="128" t="n"/>
      <c r="AP48" s="128" t="n"/>
      <c r="AQ48" s="128" t="n"/>
      <c r="AR48" s="128" t="n"/>
      <c r="AS48" s="128" t="n"/>
      <c r="AT48" s="128" t="n"/>
      <c r="AU48" s="128" t="n"/>
      <c r="AV48" s="128" t="n"/>
      <c r="AW48" s="128" t="n"/>
      <c r="AX48" s="128" t="n"/>
      <c r="AY48" s="128" t="n"/>
      <c r="AZ48" s="128" t="n"/>
      <c r="BA48" s="128" t="n"/>
      <c r="BB48" s="128" t="n"/>
      <c r="BC48" s="128" t="n"/>
      <c r="BD48" s="128" t="n"/>
      <c r="BE48" s="128" t="n"/>
      <c r="BF48" s="128" t="n"/>
      <c r="BG48" s="128" t="n"/>
      <c r="BH48" s="128" t="n"/>
      <c r="BI48" s="128" t="n"/>
      <c r="BJ48" s="128" t="n"/>
      <c r="BK48" s="128" t="n"/>
      <c r="BL48" s="128" t="n"/>
      <c r="BM48" s="128" t="n"/>
      <c r="BN48" s="128" t="n"/>
      <c r="BO48" s="128" t="n"/>
      <c r="BP48" s="128" t="n"/>
      <c r="BQ48" s="128" t="n"/>
      <c r="BR48" s="128" t="n"/>
      <c r="BS48" s="128" t="n"/>
      <c r="BT48" s="128" t="n"/>
      <c r="BU48" s="128" t="n"/>
      <c r="BV48" s="128" t="n"/>
      <c r="BW48" s="128" t="n"/>
    </row>
    <row r="49" ht="20" customHeight="1">
      <c r="B49" s="125" t="n">
        <v>43</v>
      </c>
      <c r="C49" s="72" t="n"/>
      <c r="D49" s="72" t="n"/>
      <c r="E49" s="72" t="n"/>
      <c r="F49" s="72" t="n"/>
      <c r="G49" s="89" t="n"/>
      <c r="H49" s="89" t="n"/>
      <c r="I49" s="108" t="n"/>
      <c r="J49" s="126">
        <f>IF(OR(D49="",ProjStart=""),"",MAX(ProjStart,IF(I49&lt;&gt;"",I49,0),IF(H49="",0,IFERROR(INDEX($L$6:L48,MATCH(H49,$B$6:B48,0))+1,0))))</f>
        <v/>
      </c>
      <c r="K49" s="89" t="n"/>
      <c r="L49" s="126">
        <f>IF(J49="","",J49+MAX(1,G49)+IF(K49="",0,K49)-1)</f>
        <v/>
      </c>
      <c r="M49" s="72" t="n"/>
      <c r="N49" s="108" t="n"/>
      <c r="O49" s="127">
        <f>IF(D49="","",COUNTIF($H$7:$H$156,B49))</f>
        <v/>
      </c>
      <c r="P49" s="78">
        <f>IF(D49="","",IF(AND(H49&lt;&gt;"",H49&gt;=B49),"⚠️ Predecessor must be above",IF(M49="Done","✓ Done",IF(Q49=3,"🔴 Late",IF(M49="In progress","In progress","")))))</f>
        <v/>
      </c>
      <c r="Q49" s="79">
        <f>IF(OR(D49="",L49=""),"",IF(M49="Done",2,IF(AsOf&gt;L49,3,1)))</f>
        <v/>
      </c>
      <c r="R49" s="79">
        <f>IF(OR(E49="",F49=""),0,IF(COUNTIFS($E$7:E49,E49,$F$7:F49,F49)=1,1,0))</f>
        <v/>
      </c>
      <c r="S49" s="79">
        <f>IF(R49=1,E49&amp;"|"&amp;SUMIFS($R$7:R49,$E$7:E49,E49),"")</f>
        <v/>
      </c>
      <c r="T49" s="111">
        <f>IF(Q49="","",IF(Q49=3,L49,IF(OR(M49="Not started",M49=""),J49,"")))</f>
        <v/>
      </c>
      <c r="U49" s="79">
        <f>IF(T49="","",IF(Q49=3,1,IF(T49="","",IF(T49&lt;AsOf,1,IF(T49&lt;=AsOf+AlertDays,2,IF(T49&lt;=AsOf+2*AlertDays,3,""))))))</f>
        <v/>
      </c>
      <c r="V49" s="79">
        <f>IF(U49="","",IF(Q49=3,"Late task: "&amp;D49,IF(T49&lt;AsOf,"Should have started: ","Starts soon: ")&amp;D49)&amp;IF(F49="",""," — "&amp;F49))</f>
        <v/>
      </c>
      <c r="X49" s="128" t="n"/>
      <c r="Y49" s="128" t="n"/>
      <c r="Z49" s="128" t="n"/>
      <c r="AA49" s="128" t="n"/>
      <c r="AB49" s="128" t="n"/>
      <c r="AC49" s="128" t="n"/>
      <c r="AD49" s="128" t="n"/>
      <c r="AE49" s="128" t="n"/>
      <c r="AF49" s="128" t="n"/>
      <c r="AG49" s="128" t="n"/>
      <c r="AH49" s="128" t="n"/>
      <c r="AI49" s="128" t="n"/>
      <c r="AJ49" s="128" t="n"/>
      <c r="AK49" s="128" t="n"/>
      <c r="AL49" s="128" t="n"/>
      <c r="AM49" s="128" t="n"/>
      <c r="AN49" s="128" t="n"/>
      <c r="AO49" s="128" t="n"/>
      <c r="AP49" s="128" t="n"/>
      <c r="AQ49" s="128" t="n"/>
      <c r="AR49" s="128" t="n"/>
      <c r="AS49" s="128" t="n"/>
      <c r="AT49" s="128" t="n"/>
      <c r="AU49" s="128" t="n"/>
      <c r="AV49" s="128" t="n"/>
      <c r="AW49" s="128" t="n"/>
      <c r="AX49" s="128" t="n"/>
      <c r="AY49" s="128" t="n"/>
      <c r="AZ49" s="128" t="n"/>
      <c r="BA49" s="128" t="n"/>
      <c r="BB49" s="128" t="n"/>
      <c r="BC49" s="128" t="n"/>
      <c r="BD49" s="128" t="n"/>
      <c r="BE49" s="128" t="n"/>
      <c r="BF49" s="128" t="n"/>
      <c r="BG49" s="128" t="n"/>
      <c r="BH49" s="128" t="n"/>
      <c r="BI49" s="128" t="n"/>
      <c r="BJ49" s="128" t="n"/>
      <c r="BK49" s="128" t="n"/>
      <c r="BL49" s="128" t="n"/>
      <c r="BM49" s="128" t="n"/>
      <c r="BN49" s="128" t="n"/>
      <c r="BO49" s="128" t="n"/>
      <c r="BP49" s="128" t="n"/>
      <c r="BQ49" s="128" t="n"/>
      <c r="BR49" s="128" t="n"/>
      <c r="BS49" s="128" t="n"/>
      <c r="BT49" s="128" t="n"/>
      <c r="BU49" s="128" t="n"/>
      <c r="BV49" s="128" t="n"/>
      <c r="BW49" s="128" t="n"/>
    </row>
    <row r="50" ht="20" customHeight="1">
      <c r="B50" s="125" t="n">
        <v>44</v>
      </c>
      <c r="C50" s="72" t="n"/>
      <c r="D50" s="72" t="n"/>
      <c r="E50" s="72" t="n"/>
      <c r="F50" s="72" t="n"/>
      <c r="G50" s="89" t="n"/>
      <c r="H50" s="89" t="n"/>
      <c r="I50" s="108" t="n"/>
      <c r="J50" s="126">
        <f>IF(OR(D50="",ProjStart=""),"",MAX(ProjStart,IF(I50&lt;&gt;"",I50,0),IF(H50="",0,IFERROR(INDEX($L$6:L49,MATCH(H50,$B$6:B49,0))+1,0))))</f>
        <v/>
      </c>
      <c r="K50" s="89" t="n"/>
      <c r="L50" s="126">
        <f>IF(J50="","",J50+MAX(1,G50)+IF(K50="",0,K50)-1)</f>
        <v/>
      </c>
      <c r="M50" s="72" t="n"/>
      <c r="N50" s="108" t="n"/>
      <c r="O50" s="127">
        <f>IF(D50="","",COUNTIF($H$7:$H$156,B50))</f>
        <v/>
      </c>
      <c r="P50" s="78">
        <f>IF(D50="","",IF(AND(H50&lt;&gt;"",H50&gt;=B50),"⚠️ Predecessor must be above",IF(M50="Done","✓ Done",IF(Q50=3,"🔴 Late",IF(M50="In progress","In progress","")))))</f>
        <v/>
      </c>
      <c r="Q50" s="79">
        <f>IF(OR(D50="",L50=""),"",IF(M50="Done",2,IF(AsOf&gt;L50,3,1)))</f>
        <v/>
      </c>
      <c r="R50" s="79">
        <f>IF(OR(E50="",F50=""),0,IF(COUNTIFS($E$7:E50,E50,$F$7:F50,F50)=1,1,0))</f>
        <v/>
      </c>
      <c r="S50" s="79">
        <f>IF(R50=1,E50&amp;"|"&amp;SUMIFS($R$7:R50,$E$7:E50,E50),"")</f>
        <v/>
      </c>
      <c r="T50" s="111">
        <f>IF(Q50="","",IF(Q50=3,L50,IF(OR(M50="Not started",M50=""),J50,"")))</f>
        <v/>
      </c>
      <c r="U50" s="79">
        <f>IF(T50="","",IF(Q50=3,1,IF(T50="","",IF(T50&lt;AsOf,1,IF(T50&lt;=AsOf+AlertDays,2,IF(T50&lt;=AsOf+2*AlertDays,3,""))))))</f>
        <v/>
      </c>
      <c r="V50" s="79">
        <f>IF(U50="","",IF(Q50=3,"Late task: "&amp;D50,IF(T50&lt;AsOf,"Should have started: ","Starts soon: ")&amp;D50)&amp;IF(F50="",""," — "&amp;F50))</f>
        <v/>
      </c>
      <c r="X50" s="128" t="n"/>
      <c r="Y50" s="128" t="n"/>
      <c r="Z50" s="128" t="n"/>
      <c r="AA50" s="128" t="n"/>
      <c r="AB50" s="128" t="n"/>
      <c r="AC50" s="128" t="n"/>
      <c r="AD50" s="128" t="n"/>
      <c r="AE50" s="128" t="n"/>
      <c r="AF50" s="128" t="n"/>
      <c r="AG50" s="128" t="n"/>
      <c r="AH50" s="128" t="n"/>
      <c r="AI50" s="128" t="n"/>
      <c r="AJ50" s="128" t="n"/>
      <c r="AK50" s="128" t="n"/>
      <c r="AL50" s="128" t="n"/>
      <c r="AM50" s="128" t="n"/>
      <c r="AN50" s="128" t="n"/>
      <c r="AO50" s="128" t="n"/>
      <c r="AP50" s="128" t="n"/>
      <c r="AQ50" s="128" t="n"/>
      <c r="AR50" s="128" t="n"/>
      <c r="AS50" s="128" t="n"/>
      <c r="AT50" s="128" t="n"/>
      <c r="AU50" s="128" t="n"/>
      <c r="AV50" s="128" t="n"/>
      <c r="AW50" s="128" t="n"/>
      <c r="AX50" s="128" t="n"/>
      <c r="AY50" s="128" t="n"/>
      <c r="AZ50" s="128" t="n"/>
      <c r="BA50" s="128" t="n"/>
      <c r="BB50" s="128" t="n"/>
      <c r="BC50" s="128" t="n"/>
      <c r="BD50" s="128" t="n"/>
      <c r="BE50" s="128" t="n"/>
      <c r="BF50" s="128" t="n"/>
      <c r="BG50" s="128" t="n"/>
      <c r="BH50" s="128" t="n"/>
      <c r="BI50" s="128" t="n"/>
      <c r="BJ50" s="128" t="n"/>
      <c r="BK50" s="128" t="n"/>
      <c r="BL50" s="128" t="n"/>
      <c r="BM50" s="128" t="n"/>
      <c r="BN50" s="128" t="n"/>
      <c r="BO50" s="128" t="n"/>
      <c r="BP50" s="128" t="n"/>
      <c r="BQ50" s="128" t="n"/>
      <c r="BR50" s="128" t="n"/>
      <c r="BS50" s="128" t="n"/>
      <c r="BT50" s="128" t="n"/>
      <c r="BU50" s="128" t="n"/>
      <c r="BV50" s="128" t="n"/>
      <c r="BW50" s="128" t="n"/>
    </row>
    <row r="51" ht="20" customHeight="1">
      <c r="B51" s="125" t="n">
        <v>45</v>
      </c>
      <c r="C51" s="72" t="n"/>
      <c r="D51" s="72" t="n"/>
      <c r="E51" s="72" t="n"/>
      <c r="F51" s="72" t="n"/>
      <c r="G51" s="89" t="n"/>
      <c r="H51" s="89" t="n"/>
      <c r="I51" s="108" t="n"/>
      <c r="J51" s="126">
        <f>IF(OR(D51="",ProjStart=""),"",MAX(ProjStart,IF(I51&lt;&gt;"",I51,0),IF(H51="",0,IFERROR(INDEX($L$6:L50,MATCH(H51,$B$6:B50,0))+1,0))))</f>
        <v/>
      </c>
      <c r="K51" s="89" t="n"/>
      <c r="L51" s="126">
        <f>IF(J51="","",J51+MAX(1,G51)+IF(K51="",0,K51)-1)</f>
        <v/>
      </c>
      <c r="M51" s="72" t="n"/>
      <c r="N51" s="108" t="n"/>
      <c r="O51" s="127">
        <f>IF(D51="","",COUNTIF($H$7:$H$156,B51))</f>
        <v/>
      </c>
      <c r="P51" s="78">
        <f>IF(D51="","",IF(AND(H51&lt;&gt;"",H51&gt;=B51),"⚠️ Predecessor must be above",IF(M51="Done","✓ Done",IF(Q51=3,"🔴 Late",IF(M51="In progress","In progress","")))))</f>
        <v/>
      </c>
      <c r="Q51" s="79">
        <f>IF(OR(D51="",L51=""),"",IF(M51="Done",2,IF(AsOf&gt;L51,3,1)))</f>
        <v/>
      </c>
      <c r="R51" s="79">
        <f>IF(OR(E51="",F51=""),0,IF(COUNTIFS($E$7:E51,E51,$F$7:F51,F51)=1,1,0))</f>
        <v/>
      </c>
      <c r="S51" s="79">
        <f>IF(R51=1,E51&amp;"|"&amp;SUMIFS($R$7:R51,$E$7:E51,E51),"")</f>
        <v/>
      </c>
      <c r="T51" s="111">
        <f>IF(Q51="","",IF(Q51=3,L51,IF(OR(M51="Not started",M51=""),J51,"")))</f>
        <v/>
      </c>
      <c r="U51" s="79">
        <f>IF(T51="","",IF(Q51=3,1,IF(T51="","",IF(T51&lt;AsOf,1,IF(T51&lt;=AsOf+AlertDays,2,IF(T51&lt;=AsOf+2*AlertDays,3,""))))))</f>
        <v/>
      </c>
      <c r="V51" s="79">
        <f>IF(U51="","",IF(Q51=3,"Late task: "&amp;D51,IF(T51&lt;AsOf,"Should have started: ","Starts soon: ")&amp;D51)&amp;IF(F51="",""," — "&amp;F51))</f>
        <v/>
      </c>
      <c r="X51" s="128" t="n"/>
      <c r="Y51" s="128" t="n"/>
      <c r="Z51" s="128" t="n"/>
      <c r="AA51" s="128" t="n"/>
      <c r="AB51" s="128" t="n"/>
      <c r="AC51" s="128" t="n"/>
      <c r="AD51" s="128" t="n"/>
      <c r="AE51" s="128" t="n"/>
      <c r="AF51" s="128" t="n"/>
      <c r="AG51" s="128" t="n"/>
      <c r="AH51" s="128" t="n"/>
      <c r="AI51" s="128" t="n"/>
      <c r="AJ51" s="128" t="n"/>
      <c r="AK51" s="128" t="n"/>
      <c r="AL51" s="128" t="n"/>
      <c r="AM51" s="128" t="n"/>
      <c r="AN51" s="128" t="n"/>
      <c r="AO51" s="128" t="n"/>
      <c r="AP51" s="128" t="n"/>
      <c r="AQ51" s="128" t="n"/>
      <c r="AR51" s="128" t="n"/>
      <c r="AS51" s="128" t="n"/>
      <c r="AT51" s="128" t="n"/>
      <c r="AU51" s="128" t="n"/>
      <c r="AV51" s="128" t="n"/>
      <c r="AW51" s="128" t="n"/>
      <c r="AX51" s="128" t="n"/>
      <c r="AY51" s="128" t="n"/>
      <c r="AZ51" s="128" t="n"/>
      <c r="BA51" s="128" t="n"/>
      <c r="BB51" s="128" t="n"/>
      <c r="BC51" s="128" t="n"/>
      <c r="BD51" s="128" t="n"/>
      <c r="BE51" s="128" t="n"/>
      <c r="BF51" s="128" t="n"/>
      <c r="BG51" s="128" t="n"/>
      <c r="BH51" s="128" t="n"/>
      <c r="BI51" s="128" t="n"/>
      <c r="BJ51" s="128" t="n"/>
      <c r="BK51" s="128" t="n"/>
      <c r="BL51" s="128" t="n"/>
      <c r="BM51" s="128" t="n"/>
      <c r="BN51" s="128" t="n"/>
      <c r="BO51" s="128" t="n"/>
      <c r="BP51" s="128" t="n"/>
      <c r="BQ51" s="128" t="n"/>
      <c r="BR51" s="128" t="n"/>
      <c r="BS51" s="128" t="n"/>
      <c r="BT51" s="128" t="n"/>
      <c r="BU51" s="128" t="n"/>
      <c r="BV51" s="128" t="n"/>
      <c r="BW51" s="128" t="n"/>
    </row>
    <row r="52" ht="20" customHeight="1">
      <c r="B52" s="125" t="n">
        <v>46</v>
      </c>
      <c r="C52" s="72" t="n"/>
      <c r="D52" s="72" t="n"/>
      <c r="E52" s="72" t="n"/>
      <c r="F52" s="72" t="n"/>
      <c r="G52" s="89" t="n"/>
      <c r="H52" s="89" t="n"/>
      <c r="I52" s="108" t="n"/>
      <c r="J52" s="126">
        <f>IF(OR(D52="",ProjStart=""),"",MAX(ProjStart,IF(I52&lt;&gt;"",I52,0),IF(H52="",0,IFERROR(INDEX($L$6:L51,MATCH(H52,$B$6:B51,0))+1,0))))</f>
        <v/>
      </c>
      <c r="K52" s="89" t="n"/>
      <c r="L52" s="126">
        <f>IF(J52="","",J52+MAX(1,G52)+IF(K52="",0,K52)-1)</f>
        <v/>
      </c>
      <c r="M52" s="72" t="n"/>
      <c r="N52" s="108" t="n"/>
      <c r="O52" s="127">
        <f>IF(D52="","",COUNTIF($H$7:$H$156,B52))</f>
        <v/>
      </c>
      <c r="P52" s="78">
        <f>IF(D52="","",IF(AND(H52&lt;&gt;"",H52&gt;=B52),"⚠️ Predecessor must be above",IF(M52="Done","✓ Done",IF(Q52=3,"🔴 Late",IF(M52="In progress","In progress","")))))</f>
        <v/>
      </c>
      <c r="Q52" s="79">
        <f>IF(OR(D52="",L52=""),"",IF(M52="Done",2,IF(AsOf&gt;L52,3,1)))</f>
        <v/>
      </c>
      <c r="R52" s="79">
        <f>IF(OR(E52="",F52=""),0,IF(COUNTIFS($E$7:E52,E52,$F$7:F52,F52)=1,1,0))</f>
        <v/>
      </c>
      <c r="S52" s="79">
        <f>IF(R52=1,E52&amp;"|"&amp;SUMIFS($R$7:R52,$E$7:E52,E52),"")</f>
        <v/>
      </c>
      <c r="T52" s="111">
        <f>IF(Q52="","",IF(Q52=3,L52,IF(OR(M52="Not started",M52=""),J52,"")))</f>
        <v/>
      </c>
      <c r="U52" s="79">
        <f>IF(T52="","",IF(Q52=3,1,IF(T52="","",IF(T52&lt;AsOf,1,IF(T52&lt;=AsOf+AlertDays,2,IF(T52&lt;=AsOf+2*AlertDays,3,""))))))</f>
        <v/>
      </c>
      <c r="V52" s="79">
        <f>IF(U52="","",IF(Q52=3,"Late task: "&amp;D52,IF(T52&lt;AsOf,"Should have started: ","Starts soon: ")&amp;D52)&amp;IF(F52="",""," — "&amp;F52))</f>
        <v/>
      </c>
      <c r="X52" s="128" t="n"/>
      <c r="Y52" s="128" t="n"/>
      <c r="Z52" s="128" t="n"/>
      <c r="AA52" s="128" t="n"/>
      <c r="AB52" s="128" t="n"/>
      <c r="AC52" s="128" t="n"/>
      <c r="AD52" s="128" t="n"/>
      <c r="AE52" s="128" t="n"/>
      <c r="AF52" s="128" t="n"/>
      <c r="AG52" s="128" t="n"/>
      <c r="AH52" s="128" t="n"/>
      <c r="AI52" s="128" t="n"/>
      <c r="AJ52" s="128" t="n"/>
      <c r="AK52" s="128" t="n"/>
      <c r="AL52" s="128" t="n"/>
      <c r="AM52" s="128" t="n"/>
      <c r="AN52" s="128" t="n"/>
      <c r="AO52" s="128" t="n"/>
      <c r="AP52" s="128" t="n"/>
      <c r="AQ52" s="128" t="n"/>
      <c r="AR52" s="128" t="n"/>
      <c r="AS52" s="128" t="n"/>
      <c r="AT52" s="128" t="n"/>
      <c r="AU52" s="128" t="n"/>
      <c r="AV52" s="128" t="n"/>
      <c r="AW52" s="128" t="n"/>
      <c r="AX52" s="128" t="n"/>
      <c r="AY52" s="128" t="n"/>
      <c r="AZ52" s="128" t="n"/>
      <c r="BA52" s="128" t="n"/>
      <c r="BB52" s="128" t="n"/>
      <c r="BC52" s="128" t="n"/>
      <c r="BD52" s="128" t="n"/>
      <c r="BE52" s="128" t="n"/>
      <c r="BF52" s="128" t="n"/>
      <c r="BG52" s="128" t="n"/>
      <c r="BH52" s="128" t="n"/>
      <c r="BI52" s="128" t="n"/>
      <c r="BJ52" s="128" t="n"/>
      <c r="BK52" s="128" t="n"/>
      <c r="BL52" s="128" t="n"/>
      <c r="BM52" s="128" t="n"/>
      <c r="BN52" s="128" t="n"/>
      <c r="BO52" s="128" t="n"/>
      <c r="BP52" s="128" t="n"/>
      <c r="BQ52" s="128" t="n"/>
      <c r="BR52" s="128" t="n"/>
      <c r="BS52" s="128" t="n"/>
      <c r="BT52" s="128" t="n"/>
      <c r="BU52" s="128" t="n"/>
      <c r="BV52" s="128" t="n"/>
      <c r="BW52" s="128" t="n"/>
    </row>
    <row r="53" ht="20" customHeight="1">
      <c r="B53" s="125" t="n">
        <v>47</v>
      </c>
      <c r="C53" s="72" t="n"/>
      <c r="D53" s="72" t="n"/>
      <c r="E53" s="72" t="n"/>
      <c r="F53" s="72" t="n"/>
      <c r="G53" s="89" t="n"/>
      <c r="H53" s="89" t="n"/>
      <c r="I53" s="108" t="n"/>
      <c r="J53" s="126">
        <f>IF(OR(D53="",ProjStart=""),"",MAX(ProjStart,IF(I53&lt;&gt;"",I53,0),IF(H53="",0,IFERROR(INDEX($L$6:L52,MATCH(H53,$B$6:B52,0))+1,0))))</f>
        <v/>
      </c>
      <c r="K53" s="89" t="n"/>
      <c r="L53" s="126">
        <f>IF(J53="","",J53+MAX(1,G53)+IF(K53="",0,K53)-1)</f>
        <v/>
      </c>
      <c r="M53" s="72" t="n"/>
      <c r="N53" s="108" t="n"/>
      <c r="O53" s="127">
        <f>IF(D53="","",COUNTIF($H$7:$H$156,B53))</f>
        <v/>
      </c>
      <c r="P53" s="78">
        <f>IF(D53="","",IF(AND(H53&lt;&gt;"",H53&gt;=B53),"⚠️ Predecessor must be above",IF(M53="Done","✓ Done",IF(Q53=3,"🔴 Late",IF(M53="In progress","In progress","")))))</f>
        <v/>
      </c>
      <c r="Q53" s="79">
        <f>IF(OR(D53="",L53=""),"",IF(M53="Done",2,IF(AsOf&gt;L53,3,1)))</f>
        <v/>
      </c>
      <c r="R53" s="79">
        <f>IF(OR(E53="",F53=""),0,IF(COUNTIFS($E$7:E53,E53,$F$7:F53,F53)=1,1,0))</f>
        <v/>
      </c>
      <c r="S53" s="79">
        <f>IF(R53=1,E53&amp;"|"&amp;SUMIFS($R$7:R53,$E$7:E53,E53),"")</f>
        <v/>
      </c>
      <c r="T53" s="111">
        <f>IF(Q53="","",IF(Q53=3,L53,IF(OR(M53="Not started",M53=""),J53,"")))</f>
        <v/>
      </c>
      <c r="U53" s="79">
        <f>IF(T53="","",IF(Q53=3,1,IF(T53="","",IF(T53&lt;AsOf,1,IF(T53&lt;=AsOf+AlertDays,2,IF(T53&lt;=AsOf+2*AlertDays,3,""))))))</f>
        <v/>
      </c>
      <c r="V53" s="79">
        <f>IF(U53="","",IF(Q53=3,"Late task: "&amp;D53,IF(T53&lt;AsOf,"Should have started: ","Starts soon: ")&amp;D53)&amp;IF(F53="",""," — "&amp;F53))</f>
        <v/>
      </c>
      <c r="X53" s="128" t="n"/>
      <c r="Y53" s="128" t="n"/>
      <c r="Z53" s="128" t="n"/>
      <c r="AA53" s="128" t="n"/>
      <c r="AB53" s="128" t="n"/>
      <c r="AC53" s="128" t="n"/>
      <c r="AD53" s="128" t="n"/>
      <c r="AE53" s="128" t="n"/>
      <c r="AF53" s="128" t="n"/>
      <c r="AG53" s="128" t="n"/>
      <c r="AH53" s="128" t="n"/>
      <c r="AI53" s="128" t="n"/>
      <c r="AJ53" s="128" t="n"/>
      <c r="AK53" s="128" t="n"/>
      <c r="AL53" s="128" t="n"/>
      <c r="AM53" s="128" t="n"/>
      <c r="AN53" s="128" t="n"/>
      <c r="AO53" s="128" t="n"/>
      <c r="AP53" s="128" t="n"/>
      <c r="AQ53" s="128" t="n"/>
      <c r="AR53" s="128" t="n"/>
      <c r="AS53" s="128" t="n"/>
      <c r="AT53" s="128" t="n"/>
      <c r="AU53" s="128" t="n"/>
      <c r="AV53" s="128" t="n"/>
      <c r="AW53" s="128" t="n"/>
      <c r="AX53" s="128" t="n"/>
      <c r="AY53" s="128" t="n"/>
      <c r="AZ53" s="128" t="n"/>
      <c r="BA53" s="128" t="n"/>
      <c r="BB53" s="128" t="n"/>
      <c r="BC53" s="128" t="n"/>
      <c r="BD53" s="128" t="n"/>
      <c r="BE53" s="128" t="n"/>
      <c r="BF53" s="128" t="n"/>
      <c r="BG53" s="128" t="n"/>
      <c r="BH53" s="128" t="n"/>
      <c r="BI53" s="128" t="n"/>
      <c r="BJ53" s="128" t="n"/>
      <c r="BK53" s="128" t="n"/>
      <c r="BL53" s="128" t="n"/>
      <c r="BM53" s="128" t="n"/>
      <c r="BN53" s="128" t="n"/>
      <c r="BO53" s="128" t="n"/>
      <c r="BP53" s="128" t="n"/>
      <c r="BQ53" s="128" t="n"/>
      <c r="BR53" s="128" t="n"/>
      <c r="BS53" s="128" t="n"/>
      <c r="BT53" s="128" t="n"/>
      <c r="BU53" s="128" t="n"/>
      <c r="BV53" s="128" t="n"/>
      <c r="BW53" s="128" t="n"/>
    </row>
    <row r="54" ht="20" customHeight="1">
      <c r="B54" s="125" t="n">
        <v>48</v>
      </c>
      <c r="C54" s="72" t="n"/>
      <c r="D54" s="72" t="n"/>
      <c r="E54" s="72" t="n"/>
      <c r="F54" s="72" t="n"/>
      <c r="G54" s="89" t="n"/>
      <c r="H54" s="89" t="n"/>
      <c r="I54" s="108" t="n"/>
      <c r="J54" s="126">
        <f>IF(OR(D54="",ProjStart=""),"",MAX(ProjStart,IF(I54&lt;&gt;"",I54,0),IF(H54="",0,IFERROR(INDEX($L$6:L53,MATCH(H54,$B$6:B53,0))+1,0))))</f>
        <v/>
      </c>
      <c r="K54" s="89" t="n"/>
      <c r="L54" s="126">
        <f>IF(J54="","",J54+MAX(1,G54)+IF(K54="",0,K54)-1)</f>
        <v/>
      </c>
      <c r="M54" s="72" t="n"/>
      <c r="N54" s="108" t="n"/>
      <c r="O54" s="127">
        <f>IF(D54="","",COUNTIF($H$7:$H$156,B54))</f>
        <v/>
      </c>
      <c r="P54" s="78">
        <f>IF(D54="","",IF(AND(H54&lt;&gt;"",H54&gt;=B54),"⚠️ Predecessor must be above",IF(M54="Done","✓ Done",IF(Q54=3,"🔴 Late",IF(M54="In progress","In progress","")))))</f>
        <v/>
      </c>
      <c r="Q54" s="79">
        <f>IF(OR(D54="",L54=""),"",IF(M54="Done",2,IF(AsOf&gt;L54,3,1)))</f>
        <v/>
      </c>
      <c r="R54" s="79">
        <f>IF(OR(E54="",F54=""),0,IF(COUNTIFS($E$7:E54,E54,$F$7:F54,F54)=1,1,0))</f>
        <v/>
      </c>
      <c r="S54" s="79">
        <f>IF(R54=1,E54&amp;"|"&amp;SUMIFS($R$7:R54,$E$7:E54,E54),"")</f>
        <v/>
      </c>
      <c r="T54" s="111">
        <f>IF(Q54="","",IF(Q54=3,L54,IF(OR(M54="Not started",M54=""),J54,"")))</f>
        <v/>
      </c>
      <c r="U54" s="79">
        <f>IF(T54="","",IF(Q54=3,1,IF(T54="","",IF(T54&lt;AsOf,1,IF(T54&lt;=AsOf+AlertDays,2,IF(T54&lt;=AsOf+2*AlertDays,3,""))))))</f>
        <v/>
      </c>
      <c r="V54" s="79">
        <f>IF(U54="","",IF(Q54=3,"Late task: "&amp;D54,IF(T54&lt;AsOf,"Should have started: ","Starts soon: ")&amp;D54)&amp;IF(F54="",""," — "&amp;F54))</f>
        <v/>
      </c>
      <c r="X54" s="128" t="n"/>
      <c r="Y54" s="128" t="n"/>
      <c r="Z54" s="128" t="n"/>
      <c r="AA54" s="128" t="n"/>
      <c r="AB54" s="128" t="n"/>
      <c r="AC54" s="128" t="n"/>
      <c r="AD54" s="128" t="n"/>
      <c r="AE54" s="128" t="n"/>
      <c r="AF54" s="128" t="n"/>
      <c r="AG54" s="128" t="n"/>
      <c r="AH54" s="128" t="n"/>
      <c r="AI54" s="128" t="n"/>
      <c r="AJ54" s="128" t="n"/>
      <c r="AK54" s="128" t="n"/>
      <c r="AL54" s="128" t="n"/>
      <c r="AM54" s="128" t="n"/>
      <c r="AN54" s="128" t="n"/>
      <c r="AO54" s="128" t="n"/>
      <c r="AP54" s="128" t="n"/>
      <c r="AQ54" s="128" t="n"/>
      <c r="AR54" s="128" t="n"/>
      <c r="AS54" s="128" t="n"/>
      <c r="AT54" s="128" t="n"/>
      <c r="AU54" s="128" t="n"/>
      <c r="AV54" s="128" t="n"/>
      <c r="AW54" s="128" t="n"/>
      <c r="AX54" s="128" t="n"/>
      <c r="AY54" s="128" t="n"/>
      <c r="AZ54" s="128" t="n"/>
      <c r="BA54" s="128" t="n"/>
      <c r="BB54" s="128" t="n"/>
      <c r="BC54" s="128" t="n"/>
      <c r="BD54" s="128" t="n"/>
      <c r="BE54" s="128" t="n"/>
      <c r="BF54" s="128" t="n"/>
      <c r="BG54" s="128" t="n"/>
      <c r="BH54" s="128" t="n"/>
      <c r="BI54" s="128" t="n"/>
      <c r="BJ54" s="128" t="n"/>
      <c r="BK54" s="128" t="n"/>
      <c r="BL54" s="128" t="n"/>
      <c r="BM54" s="128" t="n"/>
      <c r="BN54" s="128" t="n"/>
      <c r="BO54" s="128" t="n"/>
      <c r="BP54" s="128" t="n"/>
      <c r="BQ54" s="128" t="n"/>
      <c r="BR54" s="128" t="n"/>
      <c r="BS54" s="128" t="n"/>
      <c r="BT54" s="128" t="n"/>
      <c r="BU54" s="128" t="n"/>
      <c r="BV54" s="128" t="n"/>
      <c r="BW54" s="128" t="n"/>
    </row>
    <row r="55" ht="20" customHeight="1">
      <c r="B55" s="125" t="n">
        <v>49</v>
      </c>
      <c r="C55" s="72" t="n"/>
      <c r="D55" s="72" t="n"/>
      <c r="E55" s="72" t="n"/>
      <c r="F55" s="72" t="n"/>
      <c r="G55" s="89" t="n"/>
      <c r="H55" s="89" t="n"/>
      <c r="I55" s="108" t="n"/>
      <c r="J55" s="126">
        <f>IF(OR(D55="",ProjStart=""),"",MAX(ProjStart,IF(I55&lt;&gt;"",I55,0),IF(H55="",0,IFERROR(INDEX($L$6:L54,MATCH(H55,$B$6:B54,0))+1,0))))</f>
        <v/>
      </c>
      <c r="K55" s="89" t="n"/>
      <c r="L55" s="126">
        <f>IF(J55="","",J55+MAX(1,G55)+IF(K55="",0,K55)-1)</f>
        <v/>
      </c>
      <c r="M55" s="72" t="n"/>
      <c r="N55" s="108" t="n"/>
      <c r="O55" s="127">
        <f>IF(D55="","",COUNTIF($H$7:$H$156,B55))</f>
        <v/>
      </c>
      <c r="P55" s="78">
        <f>IF(D55="","",IF(AND(H55&lt;&gt;"",H55&gt;=B55),"⚠️ Predecessor must be above",IF(M55="Done","✓ Done",IF(Q55=3,"🔴 Late",IF(M55="In progress","In progress","")))))</f>
        <v/>
      </c>
      <c r="Q55" s="79">
        <f>IF(OR(D55="",L55=""),"",IF(M55="Done",2,IF(AsOf&gt;L55,3,1)))</f>
        <v/>
      </c>
      <c r="R55" s="79">
        <f>IF(OR(E55="",F55=""),0,IF(COUNTIFS($E$7:E55,E55,$F$7:F55,F55)=1,1,0))</f>
        <v/>
      </c>
      <c r="S55" s="79">
        <f>IF(R55=1,E55&amp;"|"&amp;SUMIFS($R$7:R55,$E$7:E55,E55),"")</f>
        <v/>
      </c>
      <c r="T55" s="111">
        <f>IF(Q55="","",IF(Q55=3,L55,IF(OR(M55="Not started",M55=""),J55,"")))</f>
        <v/>
      </c>
      <c r="U55" s="79">
        <f>IF(T55="","",IF(Q55=3,1,IF(T55="","",IF(T55&lt;AsOf,1,IF(T55&lt;=AsOf+AlertDays,2,IF(T55&lt;=AsOf+2*AlertDays,3,""))))))</f>
        <v/>
      </c>
      <c r="V55" s="79">
        <f>IF(U55="","",IF(Q55=3,"Late task: "&amp;D55,IF(T55&lt;AsOf,"Should have started: ","Starts soon: ")&amp;D55)&amp;IF(F55="",""," — "&amp;F55))</f>
        <v/>
      </c>
      <c r="X55" s="128" t="n"/>
      <c r="Y55" s="128" t="n"/>
      <c r="Z55" s="128" t="n"/>
      <c r="AA55" s="128" t="n"/>
      <c r="AB55" s="128" t="n"/>
      <c r="AC55" s="128" t="n"/>
      <c r="AD55" s="128" t="n"/>
      <c r="AE55" s="128" t="n"/>
      <c r="AF55" s="128" t="n"/>
      <c r="AG55" s="128" t="n"/>
      <c r="AH55" s="128" t="n"/>
      <c r="AI55" s="128" t="n"/>
      <c r="AJ55" s="128" t="n"/>
      <c r="AK55" s="128" t="n"/>
      <c r="AL55" s="128" t="n"/>
      <c r="AM55" s="128" t="n"/>
      <c r="AN55" s="128" t="n"/>
      <c r="AO55" s="128" t="n"/>
      <c r="AP55" s="128" t="n"/>
      <c r="AQ55" s="128" t="n"/>
      <c r="AR55" s="128" t="n"/>
      <c r="AS55" s="128" t="n"/>
      <c r="AT55" s="128" t="n"/>
      <c r="AU55" s="128" t="n"/>
      <c r="AV55" s="128" t="n"/>
      <c r="AW55" s="128" t="n"/>
      <c r="AX55" s="128" t="n"/>
      <c r="AY55" s="128" t="n"/>
      <c r="AZ55" s="128" t="n"/>
      <c r="BA55" s="128" t="n"/>
      <c r="BB55" s="128" t="n"/>
      <c r="BC55" s="128" t="n"/>
      <c r="BD55" s="128" t="n"/>
      <c r="BE55" s="128" t="n"/>
      <c r="BF55" s="128" t="n"/>
      <c r="BG55" s="128" t="n"/>
      <c r="BH55" s="128" t="n"/>
      <c r="BI55" s="128" t="n"/>
      <c r="BJ55" s="128" t="n"/>
      <c r="BK55" s="128" t="n"/>
      <c r="BL55" s="128" t="n"/>
      <c r="BM55" s="128" t="n"/>
      <c r="BN55" s="128" t="n"/>
      <c r="BO55" s="128" t="n"/>
      <c r="BP55" s="128" t="n"/>
      <c r="BQ55" s="128" t="n"/>
      <c r="BR55" s="128" t="n"/>
      <c r="BS55" s="128" t="n"/>
      <c r="BT55" s="128" t="n"/>
      <c r="BU55" s="128" t="n"/>
      <c r="BV55" s="128" t="n"/>
      <c r="BW55" s="128" t="n"/>
    </row>
    <row r="56" ht="20" customHeight="1">
      <c r="B56" s="125" t="n">
        <v>50</v>
      </c>
      <c r="C56" s="72" t="n"/>
      <c r="D56" s="72" t="n"/>
      <c r="E56" s="72" t="n"/>
      <c r="F56" s="72" t="n"/>
      <c r="G56" s="89" t="n"/>
      <c r="H56" s="89" t="n"/>
      <c r="I56" s="108" t="n"/>
      <c r="J56" s="126">
        <f>IF(OR(D56="",ProjStart=""),"",MAX(ProjStart,IF(I56&lt;&gt;"",I56,0),IF(H56="",0,IFERROR(INDEX($L$6:L55,MATCH(H56,$B$6:B55,0))+1,0))))</f>
        <v/>
      </c>
      <c r="K56" s="89" t="n"/>
      <c r="L56" s="126">
        <f>IF(J56="","",J56+MAX(1,G56)+IF(K56="",0,K56)-1)</f>
        <v/>
      </c>
      <c r="M56" s="72" t="n"/>
      <c r="N56" s="108" t="n"/>
      <c r="O56" s="127">
        <f>IF(D56="","",COUNTIF($H$7:$H$156,B56))</f>
        <v/>
      </c>
      <c r="P56" s="78">
        <f>IF(D56="","",IF(AND(H56&lt;&gt;"",H56&gt;=B56),"⚠️ Predecessor must be above",IF(M56="Done","✓ Done",IF(Q56=3,"🔴 Late",IF(M56="In progress","In progress","")))))</f>
        <v/>
      </c>
      <c r="Q56" s="79">
        <f>IF(OR(D56="",L56=""),"",IF(M56="Done",2,IF(AsOf&gt;L56,3,1)))</f>
        <v/>
      </c>
      <c r="R56" s="79">
        <f>IF(OR(E56="",F56=""),0,IF(COUNTIFS($E$7:E56,E56,$F$7:F56,F56)=1,1,0))</f>
        <v/>
      </c>
      <c r="S56" s="79">
        <f>IF(R56=1,E56&amp;"|"&amp;SUMIFS($R$7:R56,$E$7:E56,E56),"")</f>
        <v/>
      </c>
      <c r="T56" s="111">
        <f>IF(Q56="","",IF(Q56=3,L56,IF(OR(M56="Not started",M56=""),J56,"")))</f>
        <v/>
      </c>
      <c r="U56" s="79">
        <f>IF(T56="","",IF(Q56=3,1,IF(T56="","",IF(T56&lt;AsOf,1,IF(T56&lt;=AsOf+AlertDays,2,IF(T56&lt;=AsOf+2*AlertDays,3,""))))))</f>
        <v/>
      </c>
      <c r="V56" s="79">
        <f>IF(U56="","",IF(Q56=3,"Late task: "&amp;D56,IF(T56&lt;AsOf,"Should have started: ","Starts soon: ")&amp;D56)&amp;IF(F56="",""," — "&amp;F56))</f>
        <v/>
      </c>
      <c r="X56" s="128" t="n"/>
      <c r="Y56" s="128" t="n"/>
      <c r="Z56" s="128" t="n"/>
      <c r="AA56" s="128" t="n"/>
      <c r="AB56" s="128" t="n"/>
      <c r="AC56" s="128" t="n"/>
      <c r="AD56" s="128" t="n"/>
      <c r="AE56" s="128" t="n"/>
      <c r="AF56" s="128" t="n"/>
      <c r="AG56" s="128" t="n"/>
      <c r="AH56" s="128" t="n"/>
      <c r="AI56" s="128" t="n"/>
      <c r="AJ56" s="128" t="n"/>
      <c r="AK56" s="128" t="n"/>
      <c r="AL56" s="128" t="n"/>
      <c r="AM56" s="128" t="n"/>
      <c r="AN56" s="128" t="n"/>
      <c r="AO56" s="128" t="n"/>
      <c r="AP56" s="128" t="n"/>
      <c r="AQ56" s="128" t="n"/>
      <c r="AR56" s="128" t="n"/>
      <c r="AS56" s="128" t="n"/>
      <c r="AT56" s="128" t="n"/>
      <c r="AU56" s="128" t="n"/>
      <c r="AV56" s="128" t="n"/>
      <c r="AW56" s="128" t="n"/>
      <c r="AX56" s="128" t="n"/>
      <c r="AY56" s="128" t="n"/>
      <c r="AZ56" s="128" t="n"/>
      <c r="BA56" s="128" t="n"/>
      <c r="BB56" s="128" t="n"/>
      <c r="BC56" s="128" t="n"/>
      <c r="BD56" s="128" t="n"/>
      <c r="BE56" s="128" t="n"/>
      <c r="BF56" s="128" t="n"/>
      <c r="BG56" s="128" t="n"/>
      <c r="BH56" s="128" t="n"/>
      <c r="BI56" s="128" t="n"/>
      <c r="BJ56" s="128" t="n"/>
      <c r="BK56" s="128" t="n"/>
      <c r="BL56" s="128" t="n"/>
      <c r="BM56" s="128" t="n"/>
      <c r="BN56" s="128" t="n"/>
      <c r="BO56" s="128" t="n"/>
      <c r="BP56" s="128" t="n"/>
      <c r="BQ56" s="128" t="n"/>
      <c r="BR56" s="128" t="n"/>
      <c r="BS56" s="128" t="n"/>
      <c r="BT56" s="128" t="n"/>
      <c r="BU56" s="128" t="n"/>
      <c r="BV56" s="128" t="n"/>
      <c r="BW56" s="128" t="n"/>
    </row>
    <row r="57" ht="20" customHeight="1">
      <c r="B57" s="125" t="n">
        <v>51</v>
      </c>
      <c r="C57" s="72" t="n"/>
      <c r="D57" s="72" t="n"/>
      <c r="E57" s="72" t="n"/>
      <c r="F57" s="72" t="n"/>
      <c r="G57" s="89" t="n"/>
      <c r="H57" s="89" t="n"/>
      <c r="I57" s="108" t="n"/>
      <c r="J57" s="126">
        <f>IF(OR(D57="",ProjStart=""),"",MAX(ProjStart,IF(I57&lt;&gt;"",I57,0),IF(H57="",0,IFERROR(INDEX($L$6:L56,MATCH(H57,$B$6:B56,0))+1,0))))</f>
        <v/>
      </c>
      <c r="K57" s="89" t="n"/>
      <c r="L57" s="126">
        <f>IF(J57="","",J57+MAX(1,G57)+IF(K57="",0,K57)-1)</f>
        <v/>
      </c>
      <c r="M57" s="72" t="n"/>
      <c r="N57" s="108" t="n"/>
      <c r="O57" s="127">
        <f>IF(D57="","",COUNTIF($H$7:$H$156,B57))</f>
        <v/>
      </c>
      <c r="P57" s="78">
        <f>IF(D57="","",IF(AND(H57&lt;&gt;"",H57&gt;=B57),"⚠️ Predecessor must be above",IF(M57="Done","✓ Done",IF(Q57=3,"🔴 Late",IF(M57="In progress","In progress","")))))</f>
        <v/>
      </c>
      <c r="Q57" s="79">
        <f>IF(OR(D57="",L57=""),"",IF(M57="Done",2,IF(AsOf&gt;L57,3,1)))</f>
        <v/>
      </c>
      <c r="R57" s="79">
        <f>IF(OR(E57="",F57=""),0,IF(COUNTIFS($E$7:E57,E57,$F$7:F57,F57)=1,1,0))</f>
        <v/>
      </c>
      <c r="S57" s="79">
        <f>IF(R57=1,E57&amp;"|"&amp;SUMIFS($R$7:R57,$E$7:E57,E57),"")</f>
        <v/>
      </c>
      <c r="T57" s="111">
        <f>IF(Q57="","",IF(Q57=3,L57,IF(OR(M57="Not started",M57=""),J57,"")))</f>
        <v/>
      </c>
      <c r="U57" s="79">
        <f>IF(T57="","",IF(Q57=3,1,IF(T57="","",IF(T57&lt;AsOf,1,IF(T57&lt;=AsOf+AlertDays,2,IF(T57&lt;=AsOf+2*AlertDays,3,""))))))</f>
        <v/>
      </c>
      <c r="V57" s="79">
        <f>IF(U57="","",IF(Q57=3,"Late task: "&amp;D57,IF(T57&lt;AsOf,"Should have started: ","Starts soon: ")&amp;D57)&amp;IF(F57="",""," — "&amp;F57))</f>
        <v/>
      </c>
      <c r="X57" s="128" t="n"/>
      <c r="Y57" s="128" t="n"/>
      <c r="Z57" s="128" t="n"/>
      <c r="AA57" s="128" t="n"/>
      <c r="AB57" s="128" t="n"/>
      <c r="AC57" s="128" t="n"/>
      <c r="AD57" s="128" t="n"/>
      <c r="AE57" s="128" t="n"/>
      <c r="AF57" s="128" t="n"/>
      <c r="AG57" s="128" t="n"/>
      <c r="AH57" s="128" t="n"/>
      <c r="AI57" s="128" t="n"/>
      <c r="AJ57" s="128" t="n"/>
      <c r="AK57" s="128" t="n"/>
      <c r="AL57" s="128" t="n"/>
      <c r="AM57" s="128" t="n"/>
      <c r="AN57" s="128" t="n"/>
      <c r="AO57" s="128" t="n"/>
      <c r="AP57" s="128" t="n"/>
      <c r="AQ57" s="128" t="n"/>
      <c r="AR57" s="128" t="n"/>
      <c r="AS57" s="128" t="n"/>
      <c r="AT57" s="128" t="n"/>
      <c r="AU57" s="128" t="n"/>
      <c r="AV57" s="128" t="n"/>
      <c r="AW57" s="128" t="n"/>
      <c r="AX57" s="128" t="n"/>
      <c r="AY57" s="128" t="n"/>
      <c r="AZ57" s="128" t="n"/>
      <c r="BA57" s="128" t="n"/>
      <c r="BB57" s="128" t="n"/>
      <c r="BC57" s="128" t="n"/>
      <c r="BD57" s="128" t="n"/>
      <c r="BE57" s="128" t="n"/>
      <c r="BF57" s="128" t="n"/>
      <c r="BG57" s="128" t="n"/>
      <c r="BH57" s="128" t="n"/>
      <c r="BI57" s="128" t="n"/>
      <c r="BJ57" s="128" t="n"/>
      <c r="BK57" s="128" t="n"/>
      <c r="BL57" s="128" t="n"/>
      <c r="BM57" s="128" t="n"/>
      <c r="BN57" s="128" t="n"/>
      <c r="BO57" s="128" t="n"/>
      <c r="BP57" s="128" t="n"/>
      <c r="BQ57" s="128" t="n"/>
      <c r="BR57" s="128" t="n"/>
      <c r="BS57" s="128" t="n"/>
      <c r="BT57" s="128" t="n"/>
      <c r="BU57" s="128" t="n"/>
      <c r="BV57" s="128" t="n"/>
      <c r="BW57" s="128" t="n"/>
    </row>
    <row r="58" ht="20" customHeight="1">
      <c r="B58" s="125" t="n">
        <v>52</v>
      </c>
      <c r="C58" s="72" t="n"/>
      <c r="D58" s="72" t="n"/>
      <c r="E58" s="72" t="n"/>
      <c r="F58" s="72" t="n"/>
      <c r="G58" s="89" t="n"/>
      <c r="H58" s="89" t="n"/>
      <c r="I58" s="108" t="n"/>
      <c r="J58" s="126">
        <f>IF(OR(D58="",ProjStart=""),"",MAX(ProjStart,IF(I58&lt;&gt;"",I58,0),IF(H58="",0,IFERROR(INDEX($L$6:L57,MATCH(H58,$B$6:B57,0))+1,0))))</f>
        <v/>
      </c>
      <c r="K58" s="89" t="n"/>
      <c r="L58" s="126">
        <f>IF(J58="","",J58+MAX(1,G58)+IF(K58="",0,K58)-1)</f>
        <v/>
      </c>
      <c r="M58" s="72" t="n"/>
      <c r="N58" s="108" t="n"/>
      <c r="O58" s="127">
        <f>IF(D58="","",COUNTIF($H$7:$H$156,B58))</f>
        <v/>
      </c>
      <c r="P58" s="78">
        <f>IF(D58="","",IF(AND(H58&lt;&gt;"",H58&gt;=B58),"⚠️ Predecessor must be above",IF(M58="Done","✓ Done",IF(Q58=3,"🔴 Late",IF(M58="In progress","In progress","")))))</f>
        <v/>
      </c>
      <c r="Q58" s="79">
        <f>IF(OR(D58="",L58=""),"",IF(M58="Done",2,IF(AsOf&gt;L58,3,1)))</f>
        <v/>
      </c>
      <c r="R58" s="79">
        <f>IF(OR(E58="",F58=""),0,IF(COUNTIFS($E$7:E58,E58,$F$7:F58,F58)=1,1,0))</f>
        <v/>
      </c>
      <c r="S58" s="79">
        <f>IF(R58=1,E58&amp;"|"&amp;SUMIFS($R$7:R58,$E$7:E58,E58),"")</f>
        <v/>
      </c>
      <c r="T58" s="111">
        <f>IF(Q58="","",IF(Q58=3,L58,IF(OR(M58="Not started",M58=""),J58,"")))</f>
        <v/>
      </c>
      <c r="U58" s="79">
        <f>IF(T58="","",IF(Q58=3,1,IF(T58="","",IF(T58&lt;AsOf,1,IF(T58&lt;=AsOf+AlertDays,2,IF(T58&lt;=AsOf+2*AlertDays,3,""))))))</f>
        <v/>
      </c>
      <c r="V58" s="79">
        <f>IF(U58="","",IF(Q58=3,"Late task: "&amp;D58,IF(T58&lt;AsOf,"Should have started: ","Starts soon: ")&amp;D58)&amp;IF(F58="",""," — "&amp;F58))</f>
        <v/>
      </c>
      <c r="X58" s="128" t="n"/>
      <c r="Y58" s="128" t="n"/>
      <c r="Z58" s="128" t="n"/>
      <c r="AA58" s="128" t="n"/>
      <c r="AB58" s="128" t="n"/>
      <c r="AC58" s="128" t="n"/>
      <c r="AD58" s="128" t="n"/>
      <c r="AE58" s="128" t="n"/>
      <c r="AF58" s="128" t="n"/>
      <c r="AG58" s="128" t="n"/>
      <c r="AH58" s="128" t="n"/>
      <c r="AI58" s="128" t="n"/>
      <c r="AJ58" s="128" t="n"/>
      <c r="AK58" s="128" t="n"/>
      <c r="AL58" s="128" t="n"/>
      <c r="AM58" s="128" t="n"/>
      <c r="AN58" s="128" t="n"/>
      <c r="AO58" s="128" t="n"/>
      <c r="AP58" s="128" t="n"/>
      <c r="AQ58" s="128" t="n"/>
      <c r="AR58" s="128" t="n"/>
      <c r="AS58" s="128" t="n"/>
      <c r="AT58" s="128" t="n"/>
      <c r="AU58" s="128" t="n"/>
      <c r="AV58" s="128" t="n"/>
      <c r="AW58" s="128" t="n"/>
      <c r="AX58" s="128" t="n"/>
      <c r="AY58" s="128" t="n"/>
      <c r="AZ58" s="128" t="n"/>
      <c r="BA58" s="128" t="n"/>
      <c r="BB58" s="128" t="n"/>
      <c r="BC58" s="128" t="n"/>
      <c r="BD58" s="128" t="n"/>
      <c r="BE58" s="128" t="n"/>
      <c r="BF58" s="128" t="n"/>
      <c r="BG58" s="128" t="n"/>
      <c r="BH58" s="128" t="n"/>
      <c r="BI58" s="128" t="n"/>
      <c r="BJ58" s="128" t="n"/>
      <c r="BK58" s="128" t="n"/>
      <c r="BL58" s="128" t="n"/>
      <c r="BM58" s="128" t="n"/>
      <c r="BN58" s="128" t="n"/>
      <c r="BO58" s="128" t="n"/>
      <c r="BP58" s="128" t="n"/>
      <c r="BQ58" s="128" t="n"/>
      <c r="BR58" s="128" t="n"/>
      <c r="BS58" s="128" t="n"/>
      <c r="BT58" s="128" t="n"/>
      <c r="BU58" s="128" t="n"/>
      <c r="BV58" s="128" t="n"/>
      <c r="BW58" s="128" t="n"/>
    </row>
    <row r="59" ht="20" customHeight="1">
      <c r="B59" s="125" t="n">
        <v>53</v>
      </c>
      <c r="C59" s="72" t="n"/>
      <c r="D59" s="72" t="n"/>
      <c r="E59" s="72" t="n"/>
      <c r="F59" s="72" t="n"/>
      <c r="G59" s="89" t="n"/>
      <c r="H59" s="89" t="n"/>
      <c r="I59" s="108" t="n"/>
      <c r="J59" s="126">
        <f>IF(OR(D59="",ProjStart=""),"",MAX(ProjStart,IF(I59&lt;&gt;"",I59,0),IF(H59="",0,IFERROR(INDEX($L$6:L58,MATCH(H59,$B$6:B58,0))+1,0))))</f>
        <v/>
      </c>
      <c r="K59" s="89" t="n"/>
      <c r="L59" s="126">
        <f>IF(J59="","",J59+MAX(1,G59)+IF(K59="",0,K59)-1)</f>
        <v/>
      </c>
      <c r="M59" s="72" t="n"/>
      <c r="N59" s="108" t="n"/>
      <c r="O59" s="127">
        <f>IF(D59="","",COUNTIF($H$7:$H$156,B59))</f>
        <v/>
      </c>
      <c r="P59" s="78">
        <f>IF(D59="","",IF(AND(H59&lt;&gt;"",H59&gt;=B59),"⚠️ Predecessor must be above",IF(M59="Done","✓ Done",IF(Q59=3,"🔴 Late",IF(M59="In progress","In progress","")))))</f>
        <v/>
      </c>
      <c r="Q59" s="79">
        <f>IF(OR(D59="",L59=""),"",IF(M59="Done",2,IF(AsOf&gt;L59,3,1)))</f>
        <v/>
      </c>
      <c r="R59" s="79">
        <f>IF(OR(E59="",F59=""),0,IF(COUNTIFS($E$7:E59,E59,$F$7:F59,F59)=1,1,0))</f>
        <v/>
      </c>
      <c r="S59" s="79">
        <f>IF(R59=1,E59&amp;"|"&amp;SUMIFS($R$7:R59,$E$7:E59,E59),"")</f>
        <v/>
      </c>
      <c r="T59" s="111">
        <f>IF(Q59="","",IF(Q59=3,L59,IF(OR(M59="Not started",M59=""),J59,"")))</f>
        <v/>
      </c>
      <c r="U59" s="79">
        <f>IF(T59="","",IF(Q59=3,1,IF(T59="","",IF(T59&lt;AsOf,1,IF(T59&lt;=AsOf+AlertDays,2,IF(T59&lt;=AsOf+2*AlertDays,3,""))))))</f>
        <v/>
      </c>
      <c r="V59" s="79">
        <f>IF(U59="","",IF(Q59=3,"Late task: "&amp;D59,IF(T59&lt;AsOf,"Should have started: ","Starts soon: ")&amp;D59)&amp;IF(F59="",""," — "&amp;F59))</f>
        <v/>
      </c>
      <c r="X59" s="128" t="n"/>
      <c r="Y59" s="128" t="n"/>
      <c r="Z59" s="128" t="n"/>
      <c r="AA59" s="128" t="n"/>
      <c r="AB59" s="128" t="n"/>
      <c r="AC59" s="128" t="n"/>
      <c r="AD59" s="128" t="n"/>
      <c r="AE59" s="128" t="n"/>
      <c r="AF59" s="128" t="n"/>
      <c r="AG59" s="128" t="n"/>
      <c r="AH59" s="128" t="n"/>
      <c r="AI59" s="128" t="n"/>
      <c r="AJ59" s="128" t="n"/>
      <c r="AK59" s="128" t="n"/>
      <c r="AL59" s="128" t="n"/>
      <c r="AM59" s="128" t="n"/>
      <c r="AN59" s="128" t="n"/>
      <c r="AO59" s="128" t="n"/>
      <c r="AP59" s="128" t="n"/>
      <c r="AQ59" s="128" t="n"/>
      <c r="AR59" s="128" t="n"/>
      <c r="AS59" s="128" t="n"/>
      <c r="AT59" s="128" t="n"/>
      <c r="AU59" s="128" t="n"/>
      <c r="AV59" s="128" t="n"/>
      <c r="AW59" s="128" t="n"/>
      <c r="AX59" s="128" t="n"/>
      <c r="AY59" s="128" t="n"/>
      <c r="AZ59" s="128" t="n"/>
      <c r="BA59" s="128" t="n"/>
      <c r="BB59" s="128" t="n"/>
      <c r="BC59" s="128" t="n"/>
      <c r="BD59" s="128" t="n"/>
      <c r="BE59" s="128" t="n"/>
      <c r="BF59" s="128" t="n"/>
      <c r="BG59" s="128" t="n"/>
      <c r="BH59" s="128" t="n"/>
      <c r="BI59" s="128" t="n"/>
      <c r="BJ59" s="128" t="n"/>
      <c r="BK59" s="128" t="n"/>
      <c r="BL59" s="128" t="n"/>
      <c r="BM59" s="128" t="n"/>
      <c r="BN59" s="128" t="n"/>
      <c r="BO59" s="128" t="n"/>
      <c r="BP59" s="128" t="n"/>
      <c r="BQ59" s="128" t="n"/>
      <c r="BR59" s="128" t="n"/>
      <c r="BS59" s="128" t="n"/>
      <c r="BT59" s="128" t="n"/>
      <c r="BU59" s="128" t="n"/>
      <c r="BV59" s="128" t="n"/>
      <c r="BW59" s="128" t="n"/>
    </row>
    <row r="60" ht="20" customHeight="1">
      <c r="B60" s="125" t="n">
        <v>54</v>
      </c>
      <c r="C60" s="72" t="n"/>
      <c r="D60" s="72" t="n"/>
      <c r="E60" s="72" t="n"/>
      <c r="F60" s="72" t="n"/>
      <c r="G60" s="89" t="n"/>
      <c r="H60" s="89" t="n"/>
      <c r="I60" s="108" t="n"/>
      <c r="J60" s="126">
        <f>IF(OR(D60="",ProjStart=""),"",MAX(ProjStart,IF(I60&lt;&gt;"",I60,0),IF(H60="",0,IFERROR(INDEX($L$6:L59,MATCH(H60,$B$6:B59,0))+1,0))))</f>
        <v/>
      </c>
      <c r="K60" s="89" t="n"/>
      <c r="L60" s="126">
        <f>IF(J60="","",J60+MAX(1,G60)+IF(K60="",0,K60)-1)</f>
        <v/>
      </c>
      <c r="M60" s="72" t="n"/>
      <c r="N60" s="108" t="n"/>
      <c r="O60" s="127">
        <f>IF(D60="","",COUNTIF($H$7:$H$156,B60))</f>
        <v/>
      </c>
      <c r="P60" s="78">
        <f>IF(D60="","",IF(AND(H60&lt;&gt;"",H60&gt;=B60),"⚠️ Predecessor must be above",IF(M60="Done","✓ Done",IF(Q60=3,"🔴 Late",IF(M60="In progress","In progress","")))))</f>
        <v/>
      </c>
      <c r="Q60" s="79">
        <f>IF(OR(D60="",L60=""),"",IF(M60="Done",2,IF(AsOf&gt;L60,3,1)))</f>
        <v/>
      </c>
      <c r="R60" s="79">
        <f>IF(OR(E60="",F60=""),0,IF(COUNTIFS($E$7:E60,E60,$F$7:F60,F60)=1,1,0))</f>
        <v/>
      </c>
      <c r="S60" s="79">
        <f>IF(R60=1,E60&amp;"|"&amp;SUMIFS($R$7:R60,$E$7:E60,E60),"")</f>
        <v/>
      </c>
      <c r="T60" s="111">
        <f>IF(Q60="","",IF(Q60=3,L60,IF(OR(M60="Not started",M60=""),J60,"")))</f>
        <v/>
      </c>
      <c r="U60" s="79">
        <f>IF(T60="","",IF(Q60=3,1,IF(T60="","",IF(T60&lt;AsOf,1,IF(T60&lt;=AsOf+AlertDays,2,IF(T60&lt;=AsOf+2*AlertDays,3,""))))))</f>
        <v/>
      </c>
      <c r="V60" s="79">
        <f>IF(U60="","",IF(Q60=3,"Late task: "&amp;D60,IF(T60&lt;AsOf,"Should have started: ","Starts soon: ")&amp;D60)&amp;IF(F60="",""," — "&amp;F60))</f>
        <v/>
      </c>
      <c r="X60" s="128" t="n"/>
      <c r="Y60" s="128" t="n"/>
      <c r="Z60" s="128" t="n"/>
      <c r="AA60" s="128" t="n"/>
      <c r="AB60" s="128" t="n"/>
      <c r="AC60" s="128" t="n"/>
      <c r="AD60" s="128" t="n"/>
      <c r="AE60" s="128" t="n"/>
      <c r="AF60" s="128" t="n"/>
      <c r="AG60" s="128" t="n"/>
      <c r="AH60" s="128" t="n"/>
      <c r="AI60" s="128" t="n"/>
      <c r="AJ60" s="128" t="n"/>
      <c r="AK60" s="128" t="n"/>
      <c r="AL60" s="128" t="n"/>
      <c r="AM60" s="128" t="n"/>
      <c r="AN60" s="128" t="n"/>
      <c r="AO60" s="128" t="n"/>
      <c r="AP60" s="128" t="n"/>
      <c r="AQ60" s="128" t="n"/>
      <c r="AR60" s="128" t="n"/>
      <c r="AS60" s="128" t="n"/>
      <c r="AT60" s="128" t="n"/>
      <c r="AU60" s="128" t="n"/>
      <c r="AV60" s="128" t="n"/>
      <c r="AW60" s="128" t="n"/>
      <c r="AX60" s="128" t="n"/>
      <c r="AY60" s="128" t="n"/>
      <c r="AZ60" s="128" t="n"/>
      <c r="BA60" s="128" t="n"/>
      <c r="BB60" s="128" t="n"/>
      <c r="BC60" s="128" t="n"/>
      <c r="BD60" s="128" t="n"/>
      <c r="BE60" s="128" t="n"/>
      <c r="BF60" s="128" t="n"/>
      <c r="BG60" s="128" t="n"/>
      <c r="BH60" s="128" t="n"/>
      <c r="BI60" s="128" t="n"/>
      <c r="BJ60" s="128" t="n"/>
      <c r="BK60" s="128" t="n"/>
      <c r="BL60" s="128" t="n"/>
      <c r="BM60" s="128" t="n"/>
      <c r="BN60" s="128" t="n"/>
      <c r="BO60" s="128" t="n"/>
      <c r="BP60" s="128" t="n"/>
      <c r="BQ60" s="128" t="n"/>
      <c r="BR60" s="128" t="n"/>
      <c r="BS60" s="128" t="n"/>
      <c r="BT60" s="128" t="n"/>
      <c r="BU60" s="128" t="n"/>
      <c r="BV60" s="128" t="n"/>
      <c r="BW60" s="128" t="n"/>
    </row>
    <row r="61" ht="20" customHeight="1">
      <c r="B61" s="125" t="n">
        <v>55</v>
      </c>
      <c r="C61" s="72" t="n"/>
      <c r="D61" s="72" t="n"/>
      <c r="E61" s="72" t="n"/>
      <c r="F61" s="72" t="n"/>
      <c r="G61" s="89" t="n"/>
      <c r="H61" s="89" t="n"/>
      <c r="I61" s="108" t="n"/>
      <c r="J61" s="126">
        <f>IF(OR(D61="",ProjStart=""),"",MAX(ProjStart,IF(I61&lt;&gt;"",I61,0),IF(H61="",0,IFERROR(INDEX($L$6:L60,MATCH(H61,$B$6:B60,0))+1,0))))</f>
        <v/>
      </c>
      <c r="K61" s="89" t="n"/>
      <c r="L61" s="126">
        <f>IF(J61="","",J61+MAX(1,G61)+IF(K61="",0,K61)-1)</f>
        <v/>
      </c>
      <c r="M61" s="72" t="n"/>
      <c r="N61" s="108" t="n"/>
      <c r="O61" s="127">
        <f>IF(D61="","",COUNTIF($H$7:$H$156,B61))</f>
        <v/>
      </c>
      <c r="P61" s="78">
        <f>IF(D61="","",IF(AND(H61&lt;&gt;"",H61&gt;=B61),"⚠️ Predecessor must be above",IF(M61="Done","✓ Done",IF(Q61=3,"🔴 Late",IF(M61="In progress","In progress","")))))</f>
        <v/>
      </c>
      <c r="Q61" s="79">
        <f>IF(OR(D61="",L61=""),"",IF(M61="Done",2,IF(AsOf&gt;L61,3,1)))</f>
        <v/>
      </c>
      <c r="R61" s="79">
        <f>IF(OR(E61="",F61=""),0,IF(COUNTIFS($E$7:E61,E61,$F$7:F61,F61)=1,1,0))</f>
        <v/>
      </c>
      <c r="S61" s="79">
        <f>IF(R61=1,E61&amp;"|"&amp;SUMIFS($R$7:R61,$E$7:E61,E61),"")</f>
        <v/>
      </c>
      <c r="T61" s="111">
        <f>IF(Q61="","",IF(Q61=3,L61,IF(OR(M61="Not started",M61=""),J61,"")))</f>
        <v/>
      </c>
      <c r="U61" s="79">
        <f>IF(T61="","",IF(Q61=3,1,IF(T61="","",IF(T61&lt;AsOf,1,IF(T61&lt;=AsOf+AlertDays,2,IF(T61&lt;=AsOf+2*AlertDays,3,""))))))</f>
        <v/>
      </c>
      <c r="V61" s="79">
        <f>IF(U61="","",IF(Q61=3,"Late task: "&amp;D61,IF(T61&lt;AsOf,"Should have started: ","Starts soon: ")&amp;D61)&amp;IF(F61="",""," — "&amp;F61))</f>
        <v/>
      </c>
      <c r="X61" s="128" t="n"/>
      <c r="Y61" s="128" t="n"/>
      <c r="Z61" s="128" t="n"/>
      <c r="AA61" s="128" t="n"/>
      <c r="AB61" s="128" t="n"/>
      <c r="AC61" s="128" t="n"/>
      <c r="AD61" s="128" t="n"/>
      <c r="AE61" s="128" t="n"/>
      <c r="AF61" s="128" t="n"/>
      <c r="AG61" s="128" t="n"/>
      <c r="AH61" s="128" t="n"/>
      <c r="AI61" s="128" t="n"/>
      <c r="AJ61" s="128" t="n"/>
      <c r="AK61" s="128" t="n"/>
      <c r="AL61" s="128" t="n"/>
      <c r="AM61" s="128" t="n"/>
      <c r="AN61" s="128" t="n"/>
      <c r="AO61" s="128" t="n"/>
      <c r="AP61" s="128" t="n"/>
      <c r="AQ61" s="128" t="n"/>
      <c r="AR61" s="128" t="n"/>
      <c r="AS61" s="128" t="n"/>
      <c r="AT61" s="128" t="n"/>
      <c r="AU61" s="128" t="n"/>
      <c r="AV61" s="128" t="n"/>
      <c r="AW61" s="128" t="n"/>
      <c r="AX61" s="128" t="n"/>
      <c r="AY61" s="128" t="n"/>
      <c r="AZ61" s="128" t="n"/>
      <c r="BA61" s="128" t="n"/>
      <c r="BB61" s="128" t="n"/>
      <c r="BC61" s="128" t="n"/>
      <c r="BD61" s="128" t="n"/>
      <c r="BE61" s="128" t="n"/>
      <c r="BF61" s="128" t="n"/>
      <c r="BG61" s="128" t="n"/>
      <c r="BH61" s="128" t="n"/>
      <c r="BI61" s="128" t="n"/>
      <c r="BJ61" s="128" t="n"/>
      <c r="BK61" s="128" t="n"/>
      <c r="BL61" s="128" t="n"/>
      <c r="BM61" s="128" t="n"/>
      <c r="BN61" s="128" t="n"/>
      <c r="BO61" s="128" t="n"/>
      <c r="BP61" s="128" t="n"/>
      <c r="BQ61" s="128" t="n"/>
      <c r="BR61" s="128" t="n"/>
      <c r="BS61" s="128" t="n"/>
      <c r="BT61" s="128" t="n"/>
      <c r="BU61" s="128" t="n"/>
      <c r="BV61" s="128" t="n"/>
      <c r="BW61" s="128" t="n"/>
    </row>
    <row r="62" ht="20" customHeight="1">
      <c r="B62" s="125" t="n">
        <v>56</v>
      </c>
      <c r="C62" s="72" t="n"/>
      <c r="D62" s="72" t="n"/>
      <c r="E62" s="72" t="n"/>
      <c r="F62" s="72" t="n"/>
      <c r="G62" s="89" t="n"/>
      <c r="H62" s="89" t="n"/>
      <c r="I62" s="108" t="n"/>
      <c r="J62" s="126">
        <f>IF(OR(D62="",ProjStart=""),"",MAX(ProjStart,IF(I62&lt;&gt;"",I62,0),IF(H62="",0,IFERROR(INDEX($L$6:L61,MATCH(H62,$B$6:B61,0))+1,0))))</f>
        <v/>
      </c>
      <c r="K62" s="89" t="n"/>
      <c r="L62" s="126">
        <f>IF(J62="","",J62+MAX(1,G62)+IF(K62="",0,K62)-1)</f>
        <v/>
      </c>
      <c r="M62" s="72" t="n"/>
      <c r="N62" s="108" t="n"/>
      <c r="O62" s="127">
        <f>IF(D62="","",COUNTIF($H$7:$H$156,B62))</f>
        <v/>
      </c>
      <c r="P62" s="78">
        <f>IF(D62="","",IF(AND(H62&lt;&gt;"",H62&gt;=B62),"⚠️ Predecessor must be above",IF(M62="Done","✓ Done",IF(Q62=3,"🔴 Late",IF(M62="In progress","In progress","")))))</f>
        <v/>
      </c>
      <c r="Q62" s="79">
        <f>IF(OR(D62="",L62=""),"",IF(M62="Done",2,IF(AsOf&gt;L62,3,1)))</f>
        <v/>
      </c>
      <c r="R62" s="79">
        <f>IF(OR(E62="",F62=""),0,IF(COUNTIFS($E$7:E62,E62,$F$7:F62,F62)=1,1,0))</f>
        <v/>
      </c>
      <c r="S62" s="79">
        <f>IF(R62=1,E62&amp;"|"&amp;SUMIFS($R$7:R62,$E$7:E62,E62),"")</f>
        <v/>
      </c>
      <c r="T62" s="111">
        <f>IF(Q62="","",IF(Q62=3,L62,IF(OR(M62="Not started",M62=""),J62,"")))</f>
        <v/>
      </c>
      <c r="U62" s="79">
        <f>IF(T62="","",IF(Q62=3,1,IF(T62="","",IF(T62&lt;AsOf,1,IF(T62&lt;=AsOf+AlertDays,2,IF(T62&lt;=AsOf+2*AlertDays,3,""))))))</f>
        <v/>
      </c>
      <c r="V62" s="79">
        <f>IF(U62="","",IF(Q62=3,"Late task: "&amp;D62,IF(T62&lt;AsOf,"Should have started: ","Starts soon: ")&amp;D62)&amp;IF(F62="",""," — "&amp;F62))</f>
        <v/>
      </c>
      <c r="X62" s="128" t="n"/>
      <c r="Y62" s="128" t="n"/>
      <c r="Z62" s="128" t="n"/>
      <c r="AA62" s="128" t="n"/>
      <c r="AB62" s="128" t="n"/>
      <c r="AC62" s="128" t="n"/>
      <c r="AD62" s="128" t="n"/>
      <c r="AE62" s="128" t="n"/>
      <c r="AF62" s="128" t="n"/>
      <c r="AG62" s="128" t="n"/>
      <c r="AH62" s="128" t="n"/>
      <c r="AI62" s="128" t="n"/>
      <c r="AJ62" s="128" t="n"/>
      <c r="AK62" s="128" t="n"/>
      <c r="AL62" s="128" t="n"/>
      <c r="AM62" s="128" t="n"/>
      <c r="AN62" s="128" t="n"/>
      <c r="AO62" s="128" t="n"/>
      <c r="AP62" s="128" t="n"/>
      <c r="AQ62" s="128" t="n"/>
      <c r="AR62" s="128" t="n"/>
      <c r="AS62" s="128" t="n"/>
      <c r="AT62" s="128" t="n"/>
      <c r="AU62" s="128" t="n"/>
      <c r="AV62" s="128" t="n"/>
      <c r="AW62" s="128" t="n"/>
      <c r="AX62" s="128" t="n"/>
      <c r="AY62" s="128" t="n"/>
      <c r="AZ62" s="128" t="n"/>
      <c r="BA62" s="128" t="n"/>
      <c r="BB62" s="128" t="n"/>
      <c r="BC62" s="128" t="n"/>
      <c r="BD62" s="128" t="n"/>
      <c r="BE62" s="128" t="n"/>
      <c r="BF62" s="128" t="n"/>
      <c r="BG62" s="128" t="n"/>
      <c r="BH62" s="128" t="n"/>
      <c r="BI62" s="128" t="n"/>
      <c r="BJ62" s="128" t="n"/>
      <c r="BK62" s="128" t="n"/>
      <c r="BL62" s="128" t="n"/>
      <c r="BM62" s="128" t="n"/>
      <c r="BN62" s="128" t="n"/>
      <c r="BO62" s="128" t="n"/>
      <c r="BP62" s="128" t="n"/>
      <c r="BQ62" s="128" t="n"/>
      <c r="BR62" s="128" t="n"/>
      <c r="BS62" s="128" t="n"/>
      <c r="BT62" s="128" t="n"/>
      <c r="BU62" s="128" t="n"/>
      <c r="BV62" s="128" t="n"/>
      <c r="BW62" s="128" t="n"/>
    </row>
    <row r="63" ht="20" customHeight="1">
      <c r="B63" s="125" t="n">
        <v>57</v>
      </c>
      <c r="C63" s="72" t="n"/>
      <c r="D63" s="72" t="n"/>
      <c r="E63" s="72" t="n"/>
      <c r="F63" s="72" t="n"/>
      <c r="G63" s="89" t="n"/>
      <c r="H63" s="89" t="n"/>
      <c r="I63" s="108" t="n"/>
      <c r="J63" s="126">
        <f>IF(OR(D63="",ProjStart=""),"",MAX(ProjStart,IF(I63&lt;&gt;"",I63,0),IF(H63="",0,IFERROR(INDEX($L$6:L62,MATCH(H63,$B$6:B62,0))+1,0))))</f>
        <v/>
      </c>
      <c r="K63" s="89" t="n"/>
      <c r="L63" s="126">
        <f>IF(J63="","",J63+MAX(1,G63)+IF(K63="",0,K63)-1)</f>
        <v/>
      </c>
      <c r="M63" s="72" t="n"/>
      <c r="N63" s="108" t="n"/>
      <c r="O63" s="127">
        <f>IF(D63="","",COUNTIF($H$7:$H$156,B63))</f>
        <v/>
      </c>
      <c r="P63" s="78">
        <f>IF(D63="","",IF(AND(H63&lt;&gt;"",H63&gt;=B63),"⚠️ Predecessor must be above",IF(M63="Done","✓ Done",IF(Q63=3,"🔴 Late",IF(M63="In progress","In progress","")))))</f>
        <v/>
      </c>
      <c r="Q63" s="79">
        <f>IF(OR(D63="",L63=""),"",IF(M63="Done",2,IF(AsOf&gt;L63,3,1)))</f>
        <v/>
      </c>
      <c r="R63" s="79">
        <f>IF(OR(E63="",F63=""),0,IF(COUNTIFS($E$7:E63,E63,$F$7:F63,F63)=1,1,0))</f>
        <v/>
      </c>
      <c r="S63" s="79">
        <f>IF(R63=1,E63&amp;"|"&amp;SUMIFS($R$7:R63,$E$7:E63,E63),"")</f>
        <v/>
      </c>
      <c r="T63" s="111">
        <f>IF(Q63="","",IF(Q63=3,L63,IF(OR(M63="Not started",M63=""),J63,"")))</f>
        <v/>
      </c>
      <c r="U63" s="79">
        <f>IF(T63="","",IF(Q63=3,1,IF(T63="","",IF(T63&lt;AsOf,1,IF(T63&lt;=AsOf+AlertDays,2,IF(T63&lt;=AsOf+2*AlertDays,3,""))))))</f>
        <v/>
      </c>
      <c r="V63" s="79">
        <f>IF(U63="","",IF(Q63=3,"Late task: "&amp;D63,IF(T63&lt;AsOf,"Should have started: ","Starts soon: ")&amp;D63)&amp;IF(F63="",""," — "&amp;F63))</f>
        <v/>
      </c>
      <c r="X63" s="128" t="n"/>
      <c r="Y63" s="128" t="n"/>
      <c r="Z63" s="128" t="n"/>
      <c r="AA63" s="128" t="n"/>
      <c r="AB63" s="128" t="n"/>
      <c r="AC63" s="128" t="n"/>
      <c r="AD63" s="128" t="n"/>
      <c r="AE63" s="128" t="n"/>
      <c r="AF63" s="128" t="n"/>
      <c r="AG63" s="128" t="n"/>
      <c r="AH63" s="128" t="n"/>
      <c r="AI63" s="128" t="n"/>
      <c r="AJ63" s="128" t="n"/>
      <c r="AK63" s="128" t="n"/>
      <c r="AL63" s="128" t="n"/>
      <c r="AM63" s="128" t="n"/>
      <c r="AN63" s="128" t="n"/>
      <c r="AO63" s="128" t="n"/>
      <c r="AP63" s="128" t="n"/>
      <c r="AQ63" s="128" t="n"/>
      <c r="AR63" s="128" t="n"/>
      <c r="AS63" s="128" t="n"/>
      <c r="AT63" s="128" t="n"/>
      <c r="AU63" s="128" t="n"/>
      <c r="AV63" s="128" t="n"/>
      <c r="AW63" s="128" t="n"/>
      <c r="AX63" s="128" t="n"/>
      <c r="AY63" s="128" t="n"/>
      <c r="AZ63" s="128" t="n"/>
      <c r="BA63" s="128" t="n"/>
      <c r="BB63" s="128" t="n"/>
      <c r="BC63" s="128" t="n"/>
      <c r="BD63" s="128" t="n"/>
      <c r="BE63" s="128" t="n"/>
      <c r="BF63" s="128" t="n"/>
      <c r="BG63" s="128" t="n"/>
      <c r="BH63" s="128" t="n"/>
      <c r="BI63" s="128" t="n"/>
      <c r="BJ63" s="128" t="n"/>
      <c r="BK63" s="128" t="n"/>
      <c r="BL63" s="128" t="n"/>
      <c r="BM63" s="128" t="n"/>
      <c r="BN63" s="128" t="n"/>
      <c r="BO63" s="128" t="n"/>
      <c r="BP63" s="128" t="n"/>
      <c r="BQ63" s="128" t="n"/>
      <c r="BR63" s="128" t="n"/>
      <c r="BS63" s="128" t="n"/>
      <c r="BT63" s="128" t="n"/>
      <c r="BU63" s="128" t="n"/>
      <c r="BV63" s="128" t="n"/>
      <c r="BW63" s="128" t="n"/>
    </row>
    <row r="64" ht="20" customHeight="1">
      <c r="B64" s="125" t="n">
        <v>58</v>
      </c>
      <c r="C64" s="72" t="n"/>
      <c r="D64" s="72" t="n"/>
      <c r="E64" s="72" t="n"/>
      <c r="F64" s="72" t="n"/>
      <c r="G64" s="89" t="n"/>
      <c r="H64" s="89" t="n"/>
      <c r="I64" s="108" t="n"/>
      <c r="J64" s="126">
        <f>IF(OR(D64="",ProjStart=""),"",MAX(ProjStart,IF(I64&lt;&gt;"",I64,0),IF(H64="",0,IFERROR(INDEX($L$6:L63,MATCH(H64,$B$6:B63,0))+1,0))))</f>
        <v/>
      </c>
      <c r="K64" s="89" t="n"/>
      <c r="L64" s="126">
        <f>IF(J64="","",J64+MAX(1,G64)+IF(K64="",0,K64)-1)</f>
        <v/>
      </c>
      <c r="M64" s="72" t="n"/>
      <c r="N64" s="108" t="n"/>
      <c r="O64" s="127">
        <f>IF(D64="","",COUNTIF($H$7:$H$156,B64))</f>
        <v/>
      </c>
      <c r="P64" s="78">
        <f>IF(D64="","",IF(AND(H64&lt;&gt;"",H64&gt;=B64),"⚠️ Predecessor must be above",IF(M64="Done","✓ Done",IF(Q64=3,"🔴 Late",IF(M64="In progress","In progress","")))))</f>
        <v/>
      </c>
      <c r="Q64" s="79">
        <f>IF(OR(D64="",L64=""),"",IF(M64="Done",2,IF(AsOf&gt;L64,3,1)))</f>
        <v/>
      </c>
      <c r="R64" s="79">
        <f>IF(OR(E64="",F64=""),0,IF(COUNTIFS($E$7:E64,E64,$F$7:F64,F64)=1,1,0))</f>
        <v/>
      </c>
      <c r="S64" s="79">
        <f>IF(R64=1,E64&amp;"|"&amp;SUMIFS($R$7:R64,$E$7:E64,E64),"")</f>
        <v/>
      </c>
      <c r="T64" s="111">
        <f>IF(Q64="","",IF(Q64=3,L64,IF(OR(M64="Not started",M64=""),J64,"")))</f>
        <v/>
      </c>
      <c r="U64" s="79">
        <f>IF(T64="","",IF(Q64=3,1,IF(T64="","",IF(T64&lt;AsOf,1,IF(T64&lt;=AsOf+AlertDays,2,IF(T64&lt;=AsOf+2*AlertDays,3,""))))))</f>
        <v/>
      </c>
      <c r="V64" s="79">
        <f>IF(U64="","",IF(Q64=3,"Late task: "&amp;D64,IF(T64&lt;AsOf,"Should have started: ","Starts soon: ")&amp;D64)&amp;IF(F64="",""," — "&amp;F64))</f>
        <v/>
      </c>
      <c r="X64" s="128" t="n"/>
      <c r="Y64" s="128" t="n"/>
      <c r="Z64" s="128" t="n"/>
      <c r="AA64" s="128" t="n"/>
      <c r="AB64" s="128" t="n"/>
      <c r="AC64" s="128" t="n"/>
      <c r="AD64" s="128" t="n"/>
      <c r="AE64" s="128" t="n"/>
      <c r="AF64" s="128" t="n"/>
      <c r="AG64" s="128" t="n"/>
      <c r="AH64" s="128" t="n"/>
      <c r="AI64" s="128" t="n"/>
      <c r="AJ64" s="128" t="n"/>
      <c r="AK64" s="128" t="n"/>
      <c r="AL64" s="128" t="n"/>
      <c r="AM64" s="128" t="n"/>
      <c r="AN64" s="128" t="n"/>
      <c r="AO64" s="128" t="n"/>
      <c r="AP64" s="128" t="n"/>
      <c r="AQ64" s="128" t="n"/>
      <c r="AR64" s="128" t="n"/>
      <c r="AS64" s="128" t="n"/>
      <c r="AT64" s="128" t="n"/>
      <c r="AU64" s="128" t="n"/>
      <c r="AV64" s="128" t="n"/>
      <c r="AW64" s="128" t="n"/>
      <c r="AX64" s="128" t="n"/>
      <c r="AY64" s="128" t="n"/>
      <c r="AZ64" s="128" t="n"/>
      <c r="BA64" s="128" t="n"/>
      <c r="BB64" s="128" t="n"/>
      <c r="BC64" s="128" t="n"/>
      <c r="BD64" s="128" t="n"/>
      <c r="BE64" s="128" t="n"/>
      <c r="BF64" s="128" t="n"/>
      <c r="BG64" s="128" t="n"/>
      <c r="BH64" s="128" t="n"/>
      <c r="BI64" s="128" t="n"/>
      <c r="BJ64" s="128" t="n"/>
      <c r="BK64" s="128" t="n"/>
      <c r="BL64" s="128" t="n"/>
      <c r="BM64" s="128" t="n"/>
      <c r="BN64" s="128" t="n"/>
      <c r="BO64" s="128" t="n"/>
      <c r="BP64" s="128" t="n"/>
      <c r="BQ64" s="128" t="n"/>
      <c r="BR64" s="128" t="n"/>
      <c r="BS64" s="128" t="n"/>
      <c r="BT64" s="128" t="n"/>
      <c r="BU64" s="128" t="n"/>
      <c r="BV64" s="128" t="n"/>
      <c r="BW64" s="128" t="n"/>
    </row>
    <row r="65" ht="20" customHeight="1">
      <c r="B65" s="125" t="n">
        <v>59</v>
      </c>
      <c r="C65" s="72" t="n"/>
      <c r="D65" s="72" t="n"/>
      <c r="E65" s="72" t="n"/>
      <c r="F65" s="72" t="n"/>
      <c r="G65" s="89" t="n"/>
      <c r="H65" s="89" t="n"/>
      <c r="I65" s="108" t="n"/>
      <c r="J65" s="126">
        <f>IF(OR(D65="",ProjStart=""),"",MAX(ProjStart,IF(I65&lt;&gt;"",I65,0),IF(H65="",0,IFERROR(INDEX($L$6:L64,MATCH(H65,$B$6:B64,0))+1,0))))</f>
        <v/>
      </c>
      <c r="K65" s="89" t="n"/>
      <c r="L65" s="126">
        <f>IF(J65="","",J65+MAX(1,G65)+IF(K65="",0,K65)-1)</f>
        <v/>
      </c>
      <c r="M65" s="72" t="n"/>
      <c r="N65" s="108" t="n"/>
      <c r="O65" s="127">
        <f>IF(D65="","",COUNTIF($H$7:$H$156,B65))</f>
        <v/>
      </c>
      <c r="P65" s="78">
        <f>IF(D65="","",IF(AND(H65&lt;&gt;"",H65&gt;=B65),"⚠️ Predecessor must be above",IF(M65="Done","✓ Done",IF(Q65=3,"🔴 Late",IF(M65="In progress","In progress","")))))</f>
        <v/>
      </c>
      <c r="Q65" s="79">
        <f>IF(OR(D65="",L65=""),"",IF(M65="Done",2,IF(AsOf&gt;L65,3,1)))</f>
        <v/>
      </c>
      <c r="R65" s="79">
        <f>IF(OR(E65="",F65=""),0,IF(COUNTIFS($E$7:E65,E65,$F$7:F65,F65)=1,1,0))</f>
        <v/>
      </c>
      <c r="S65" s="79">
        <f>IF(R65=1,E65&amp;"|"&amp;SUMIFS($R$7:R65,$E$7:E65,E65),"")</f>
        <v/>
      </c>
      <c r="T65" s="111">
        <f>IF(Q65="","",IF(Q65=3,L65,IF(OR(M65="Not started",M65=""),J65,"")))</f>
        <v/>
      </c>
      <c r="U65" s="79">
        <f>IF(T65="","",IF(Q65=3,1,IF(T65="","",IF(T65&lt;AsOf,1,IF(T65&lt;=AsOf+AlertDays,2,IF(T65&lt;=AsOf+2*AlertDays,3,""))))))</f>
        <v/>
      </c>
      <c r="V65" s="79">
        <f>IF(U65="","",IF(Q65=3,"Late task: "&amp;D65,IF(T65&lt;AsOf,"Should have started: ","Starts soon: ")&amp;D65)&amp;IF(F65="",""," — "&amp;F65))</f>
        <v/>
      </c>
      <c r="X65" s="128" t="n"/>
      <c r="Y65" s="128" t="n"/>
      <c r="Z65" s="128" t="n"/>
      <c r="AA65" s="128" t="n"/>
      <c r="AB65" s="128" t="n"/>
      <c r="AC65" s="128" t="n"/>
      <c r="AD65" s="128" t="n"/>
      <c r="AE65" s="128" t="n"/>
      <c r="AF65" s="128" t="n"/>
      <c r="AG65" s="128" t="n"/>
      <c r="AH65" s="128" t="n"/>
      <c r="AI65" s="128" t="n"/>
      <c r="AJ65" s="128" t="n"/>
      <c r="AK65" s="128" t="n"/>
      <c r="AL65" s="128" t="n"/>
      <c r="AM65" s="128" t="n"/>
      <c r="AN65" s="128" t="n"/>
      <c r="AO65" s="128" t="n"/>
      <c r="AP65" s="128" t="n"/>
      <c r="AQ65" s="128" t="n"/>
      <c r="AR65" s="128" t="n"/>
      <c r="AS65" s="128" t="n"/>
      <c r="AT65" s="128" t="n"/>
      <c r="AU65" s="128" t="n"/>
      <c r="AV65" s="128" t="n"/>
      <c r="AW65" s="128" t="n"/>
      <c r="AX65" s="128" t="n"/>
      <c r="AY65" s="128" t="n"/>
      <c r="AZ65" s="128" t="n"/>
      <c r="BA65" s="128" t="n"/>
      <c r="BB65" s="128" t="n"/>
      <c r="BC65" s="128" t="n"/>
      <c r="BD65" s="128" t="n"/>
      <c r="BE65" s="128" t="n"/>
      <c r="BF65" s="128" t="n"/>
      <c r="BG65" s="128" t="n"/>
      <c r="BH65" s="128" t="n"/>
      <c r="BI65" s="128" t="n"/>
      <c r="BJ65" s="128" t="n"/>
      <c r="BK65" s="128" t="n"/>
      <c r="BL65" s="128" t="n"/>
      <c r="BM65" s="128" t="n"/>
      <c r="BN65" s="128" t="n"/>
      <c r="BO65" s="128" t="n"/>
      <c r="BP65" s="128" t="n"/>
      <c r="BQ65" s="128" t="n"/>
      <c r="BR65" s="128" t="n"/>
      <c r="BS65" s="128" t="n"/>
      <c r="BT65" s="128" t="n"/>
      <c r="BU65" s="128" t="n"/>
      <c r="BV65" s="128" t="n"/>
      <c r="BW65" s="128" t="n"/>
    </row>
    <row r="66" ht="20" customHeight="1">
      <c r="B66" s="125" t="n">
        <v>60</v>
      </c>
      <c r="C66" s="72" t="n"/>
      <c r="D66" s="72" t="n"/>
      <c r="E66" s="72" t="n"/>
      <c r="F66" s="72" t="n"/>
      <c r="G66" s="89" t="n"/>
      <c r="H66" s="89" t="n"/>
      <c r="I66" s="108" t="n"/>
      <c r="J66" s="126">
        <f>IF(OR(D66="",ProjStart=""),"",MAX(ProjStart,IF(I66&lt;&gt;"",I66,0),IF(H66="",0,IFERROR(INDEX($L$6:L65,MATCH(H66,$B$6:B65,0))+1,0))))</f>
        <v/>
      </c>
      <c r="K66" s="89" t="n"/>
      <c r="L66" s="126">
        <f>IF(J66="","",J66+MAX(1,G66)+IF(K66="",0,K66)-1)</f>
        <v/>
      </c>
      <c r="M66" s="72" t="n"/>
      <c r="N66" s="108" t="n"/>
      <c r="O66" s="127">
        <f>IF(D66="","",COUNTIF($H$7:$H$156,B66))</f>
        <v/>
      </c>
      <c r="P66" s="78">
        <f>IF(D66="","",IF(AND(H66&lt;&gt;"",H66&gt;=B66),"⚠️ Predecessor must be above",IF(M66="Done","✓ Done",IF(Q66=3,"🔴 Late",IF(M66="In progress","In progress","")))))</f>
        <v/>
      </c>
      <c r="Q66" s="79">
        <f>IF(OR(D66="",L66=""),"",IF(M66="Done",2,IF(AsOf&gt;L66,3,1)))</f>
        <v/>
      </c>
      <c r="R66" s="79">
        <f>IF(OR(E66="",F66=""),0,IF(COUNTIFS($E$7:E66,E66,$F$7:F66,F66)=1,1,0))</f>
        <v/>
      </c>
      <c r="S66" s="79">
        <f>IF(R66=1,E66&amp;"|"&amp;SUMIFS($R$7:R66,$E$7:E66,E66),"")</f>
        <v/>
      </c>
      <c r="T66" s="111">
        <f>IF(Q66="","",IF(Q66=3,L66,IF(OR(M66="Not started",M66=""),J66,"")))</f>
        <v/>
      </c>
      <c r="U66" s="79">
        <f>IF(T66="","",IF(Q66=3,1,IF(T66="","",IF(T66&lt;AsOf,1,IF(T66&lt;=AsOf+AlertDays,2,IF(T66&lt;=AsOf+2*AlertDays,3,""))))))</f>
        <v/>
      </c>
      <c r="V66" s="79">
        <f>IF(U66="","",IF(Q66=3,"Late task: "&amp;D66,IF(T66&lt;AsOf,"Should have started: ","Starts soon: ")&amp;D66)&amp;IF(F66="",""," — "&amp;F66))</f>
        <v/>
      </c>
      <c r="X66" s="128" t="n"/>
      <c r="Y66" s="128" t="n"/>
      <c r="Z66" s="128" t="n"/>
      <c r="AA66" s="128" t="n"/>
      <c r="AB66" s="128" t="n"/>
      <c r="AC66" s="128" t="n"/>
      <c r="AD66" s="128" t="n"/>
      <c r="AE66" s="128" t="n"/>
      <c r="AF66" s="128" t="n"/>
      <c r="AG66" s="128" t="n"/>
      <c r="AH66" s="128" t="n"/>
      <c r="AI66" s="128" t="n"/>
      <c r="AJ66" s="128" t="n"/>
      <c r="AK66" s="128" t="n"/>
      <c r="AL66" s="128" t="n"/>
      <c r="AM66" s="128" t="n"/>
      <c r="AN66" s="128" t="n"/>
      <c r="AO66" s="128" t="n"/>
      <c r="AP66" s="128" t="n"/>
      <c r="AQ66" s="128" t="n"/>
      <c r="AR66" s="128" t="n"/>
      <c r="AS66" s="128" t="n"/>
      <c r="AT66" s="128" t="n"/>
      <c r="AU66" s="128" t="n"/>
      <c r="AV66" s="128" t="n"/>
      <c r="AW66" s="128" t="n"/>
      <c r="AX66" s="128" t="n"/>
      <c r="AY66" s="128" t="n"/>
      <c r="AZ66" s="128" t="n"/>
      <c r="BA66" s="128" t="n"/>
      <c r="BB66" s="128" t="n"/>
      <c r="BC66" s="128" t="n"/>
      <c r="BD66" s="128" t="n"/>
      <c r="BE66" s="128" t="n"/>
      <c r="BF66" s="128" t="n"/>
      <c r="BG66" s="128" t="n"/>
      <c r="BH66" s="128" t="n"/>
      <c r="BI66" s="128" t="n"/>
      <c r="BJ66" s="128" t="n"/>
      <c r="BK66" s="128" t="n"/>
      <c r="BL66" s="128" t="n"/>
      <c r="BM66" s="128" t="n"/>
      <c r="BN66" s="128" t="n"/>
      <c r="BO66" s="128" t="n"/>
      <c r="BP66" s="128" t="n"/>
      <c r="BQ66" s="128" t="n"/>
      <c r="BR66" s="128" t="n"/>
      <c r="BS66" s="128" t="n"/>
      <c r="BT66" s="128" t="n"/>
      <c r="BU66" s="128" t="n"/>
      <c r="BV66" s="128" t="n"/>
      <c r="BW66" s="128" t="n"/>
    </row>
    <row r="67" ht="20" customHeight="1">
      <c r="B67" s="125" t="n">
        <v>61</v>
      </c>
      <c r="C67" s="72" t="n"/>
      <c r="D67" s="72" t="n"/>
      <c r="E67" s="72" t="n"/>
      <c r="F67" s="72" t="n"/>
      <c r="G67" s="89" t="n"/>
      <c r="H67" s="89" t="n"/>
      <c r="I67" s="108" t="n"/>
      <c r="J67" s="126">
        <f>IF(OR(D67="",ProjStart=""),"",MAX(ProjStart,IF(I67&lt;&gt;"",I67,0),IF(H67="",0,IFERROR(INDEX($L$6:L66,MATCH(H67,$B$6:B66,0))+1,0))))</f>
        <v/>
      </c>
      <c r="K67" s="89" t="n"/>
      <c r="L67" s="126">
        <f>IF(J67="","",J67+MAX(1,G67)+IF(K67="",0,K67)-1)</f>
        <v/>
      </c>
      <c r="M67" s="72" t="n"/>
      <c r="N67" s="108" t="n"/>
      <c r="O67" s="127">
        <f>IF(D67="","",COUNTIF($H$7:$H$156,B67))</f>
        <v/>
      </c>
      <c r="P67" s="78">
        <f>IF(D67="","",IF(AND(H67&lt;&gt;"",H67&gt;=B67),"⚠️ Predecessor must be above",IF(M67="Done","✓ Done",IF(Q67=3,"🔴 Late",IF(M67="In progress","In progress","")))))</f>
        <v/>
      </c>
      <c r="Q67" s="79">
        <f>IF(OR(D67="",L67=""),"",IF(M67="Done",2,IF(AsOf&gt;L67,3,1)))</f>
        <v/>
      </c>
      <c r="R67" s="79">
        <f>IF(OR(E67="",F67=""),0,IF(COUNTIFS($E$7:E67,E67,$F$7:F67,F67)=1,1,0))</f>
        <v/>
      </c>
      <c r="S67" s="79">
        <f>IF(R67=1,E67&amp;"|"&amp;SUMIFS($R$7:R67,$E$7:E67,E67),"")</f>
        <v/>
      </c>
      <c r="T67" s="111">
        <f>IF(Q67="","",IF(Q67=3,L67,IF(OR(M67="Not started",M67=""),J67,"")))</f>
        <v/>
      </c>
      <c r="U67" s="79">
        <f>IF(T67="","",IF(Q67=3,1,IF(T67="","",IF(T67&lt;AsOf,1,IF(T67&lt;=AsOf+AlertDays,2,IF(T67&lt;=AsOf+2*AlertDays,3,""))))))</f>
        <v/>
      </c>
      <c r="V67" s="79">
        <f>IF(U67="","",IF(Q67=3,"Late task: "&amp;D67,IF(T67&lt;AsOf,"Should have started: ","Starts soon: ")&amp;D67)&amp;IF(F67="",""," — "&amp;F67))</f>
        <v/>
      </c>
      <c r="X67" s="128" t="n"/>
      <c r="Y67" s="128" t="n"/>
      <c r="Z67" s="128" t="n"/>
      <c r="AA67" s="128" t="n"/>
      <c r="AB67" s="128" t="n"/>
      <c r="AC67" s="128" t="n"/>
      <c r="AD67" s="128" t="n"/>
      <c r="AE67" s="128" t="n"/>
      <c r="AF67" s="128" t="n"/>
      <c r="AG67" s="128" t="n"/>
      <c r="AH67" s="128" t="n"/>
      <c r="AI67" s="128" t="n"/>
      <c r="AJ67" s="128" t="n"/>
      <c r="AK67" s="128" t="n"/>
      <c r="AL67" s="128" t="n"/>
      <c r="AM67" s="128" t="n"/>
      <c r="AN67" s="128" t="n"/>
      <c r="AO67" s="128" t="n"/>
      <c r="AP67" s="128" t="n"/>
      <c r="AQ67" s="128" t="n"/>
      <c r="AR67" s="128" t="n"/>
      <c r="AS67" s="128" t="n"/>
      <c r="AT67" s="128" t="n"/>
      <c r="AU67" s="128" t="n"/>
      <c r="AV67" s="128" t="n"/>
      <c r="AW67" s="128" t="n"/>
      <c r="AX67" s="128" t="n"/>
      <c r="AY67" s="128" t="n"/>
      <c r="AZ67" s="128" t="n"/>
      <c r="BA67" s="128" t="n"/>
      <c r="BB67" s="128" t="n"/>
      <c r="BC67" s="128" t="n"/>
      <c r="BD67" s="128" t="n"/>
      <c r="BE67" s="128" t="n"/>
      <c r="BF67" s="128" t="n"/>
      <c r="BG67" s="128" t="n"/>
      <c r="BH67" s="128" t="n"/>
      <c r="BI67" s="128" t="n"/>
      <c r="BJ67" s="128" t="n"/>
      <c r="BK67" s="128" t="n"/>
      <c r="BL67" s="128" t="n"/>
      <c r="BM67" s="128" t="n"/>
      <c r="BN67" s="128" t="n"/>
      <c r="BO67" s="128" t="n"/>
      <c r="BP67" s="128" t="n"/>
      <c r="BQ67" s="128" t="n"/>
      <c r="BR67" s="128" t="n"/>
      <c r="BS67" s="128" t="n"/>
      <c r="BT67" s="128" t="n"/>
      <c r="BU67" s="128" t="n"/>
      <c r="BV67" s="128" t="n"/>
      <c r="BW67" s="128" t="n"/>
    </row>
    <row r="68" ht="20" customHeight="1">
      <c r="B68" s="125" t="n">
        <v>62</v>
      </c>
      <c r="C68" s="72" t="n"/>
      <c r="D68" s="72" t="n"/>
      <c r="E68" s="72" t="n"/>
      <c r="F68" s="72" t="n"/>
      <c r="G68" s="89" t="n"/>
      <c r="H68" s="89" t="n"/>
      <c r="I68" s="108" t="n"/>
      <c r="J68" s="126">
        <f>IF(OR(D68="",ProjStart=""),"",MAX(ProjStart,IF(I68&lt;&gt;"",I68,0),IF(H68="",0,IFERROR(INDEX($L$6:L67,MATCH(H68,$B$6:B67,0))+1,0))))</f>
        <v/>
      </c>
      <c r="K68" s="89" t="n"/>
      <c r="L68" s="126">
        <f>IF(J68="","",J68+MAX(1,G68)+IF(K68="",0,K68)-1)</f>
        <v/>
      </c>
      <c r="M68" s="72" t="n"/>
      <c r="N68" s="108" t="n"/>
      <c r="O68" s="127">
        <f>IF(D68="","",COUNTIF($H$7:$H$156,B68))</f>
        <v/>
      </c>
      <c r="P68" s="78">
        <f>IF(D68="","",IF(AND(H68&lt;&gt;"",H68&gt;=B68),"⚠️ Predecessor must be above",IF(M68="Done","✓ Done",IF(Q68=3,"🔴 Late",IF(M68="In progress","In progress","")))))</f>
        <v/>
      </c>
      <c r="Q68" s="79">
        <f>IF(OR(D68="",L68=""),"",IF(M68="Done",2,IF(AsOf&gt;L68,3,1)))</f>
        <v/>
      </c>
      <c r="R68" s="79">
        <f>IF(OR(E68="",F68=""),0,IF(COUNTIFS($E$7:E68,E68,$F$7:F68,F68)=1,1,0))</f>
        <v/>
      </c>
      <c r="S68" s="79">
        <f>IF(R68=1,E68&amp;"|"&amp;SUMIFS($R$7:R68,$E$7:E68,E68),"")</f>
        <v/>
      </c>
      <c r="T68" s="111">
        <f>IF(Q68="","",IF(Q68=3,L68,IF(OR(M68="Not started",M68=""),J68,"")))</f>
        <v/>
      </c>
      <c r="U68" s="79">
        <f>IF(T68="","",IF(Q68=3,1,IF(T68="","",IF(T68&lt;AsOf,1,IF(T68&lt;=AsOf+AlertDays,2,IF(T68&lt;=AsOf+2*AlertDays,3,""))))))</f>
        <v/>
      </c>
      <c r="V68" s="79">
        <f>IF(U68="","",IF(Q68=3,"Late task: "&amp;D68,IF(T68&lt;AsOf,"Should have started: ","Starts soon: ")&amp;D68)&amp;IF(F68="",""," — "&amp;F68))</f>
        <v/>
      </c>
      <c r="X68" s="128" t="n"/>
      <c r="Y68" s="128" t="n"/>
      <c r="Z68" s="128" t="n"/>
      <c r="AA68" s="128" t="n"/>
      <c r="AB68" s="128" t="n"/>
      <c r="AC68" s="128" t="n"/>
      <c r="AD68" s="128" t="n"/>
      <c r="AE68" s="128" t="n"/>
      <c r="AF68" s="128" t="n"/>
      <c r="AG68" s="128" t="n"/>
      <c r="AH68" s="128" t="n"/>
      <c r="AI68" s="128" t="n"/>
      <c r="AJ68" s="128" t="n"/>
      <c r="AK68" s="128" t="n"/>
      <c r="AL68" s="128" t="n"/>
      <c r="AM68" s="128" t="n"/>
      <c r="AN68" s="128" t="n"/>
      <c r="AO68" s="128" t="n"/>
      <c r="AP68" s="128" t="n"/>
      <c r="AQ68" s="128" t="n"/>
      <c r="AR68" s="128" t="n"/>
      <c r="AS68" s="128" t="n"/>
      <c r="AT68" s="128" t="n"/>
      <c r="AU68" s="128" t="n"/>
      <c r="AV68" s="128" t="n"/>
      <c r="AW68" s="128" t="n"/>
      <c r="AX68" s="128" t="n"/>
      <c r="AY68" s="128" t="n"/>
      <c r="AZ68" s="128" t="n"/>
      <c r="BA68" s="128" t="n"/>
      <c r="BB68" s="128" t="n"/>
      <c r="BC68" s="128" t="n"/>
      <c r="BD68" s="128" t="n"/>
      <c r="BE68" s="128" t="n"/>
      <c r="BF68" s="128" t="n"/>
      <c r="BG68" s="128" t="n"/>
      <c r="BH68" s="128" t="n"/>
      <c r="BI68" s="128" t="n"/>
      <c r="BJ68" s="128" t="n"/>
      <c r="BK68" s="128" t="n"/>
      <c r="BL68" s="128" t="n"/>
      <c r="BM68" s="128" t="n"/>
      <c r="BN68" s="128" t="n"/>
      <c r="BO68" s="128" t="n"/>
      <c r="BP68" s="128" t="n"/>
      <c r="BQ68" s="128" t="n"/>
      <c r="BR68" s="128" t="n"/>
      <c r="BS68" s="128" t="n"/>
      <c r="BT68" s="128" t="n"/>
      <c r="BU68" s="128" t="n"/>
      <c r="BV68" s="128" t="n"/>
      <c r="BW68" s="128" t="n"/>
    </row>
    <row r="69" ht="20" customHeight="1">
      <c r="B69" s="125" t="n">
        <v>63</v>
      </c>
      <c r="C69" s="72" t="n"/>
      <c r="D69" s="72" t="n"/>
      <c r="E69" s="72" t="n"/>
      <c r="F69" s="72" t="n"/>
      <c r="G69" s="89" t="n"/>
      <c r="H69" s="89" t="n"/>
      <c r="I69" s="108" t="n"/>
      <c r="J69" s="126">
        <f>IF(OR(D69="",ProjStart=""),"",MAX(ProjStart,IF(I69&lt;&gt;"",I69,0),IF(H69="",0,IFERROR(INDEX($L$6:L68,MATCH(H69,$B$6:B68,0))+1,0))))</f>
        <v/>
      </c>
      <c r="K69" s="89" t="n"/>
      <c r="L69" s="126">
        <f>IF(J69="","",J69+MAX(1,G69)+IF(K69="",0,K69)-1)</f>
        <v/>
      </c>
      <c r="M69" s="72" t="n"/>
      <c r="N69" s="108" t="n"/>
      <c r="O69" s="127">
        <f>IF(D69="","",COUNTIF($H$7:$H$156,B69))</f>
        <v/>
      </c>
      <c r="P69" s="78">
        <f>IF(D69="","",IF(AND(H69&lt;&gt;"",H69&gt;=B69),"⚠️ Predecessor must be above",IF(M69="Done","✓ Done",IF(Q69=3,"🔴 Late",IF(M69="In progress","In progress","")))))</f>
        <v/>
      </c>
      <c r="Q69" s="79">
        <f>IF(OR(D69="",L69=""),"",IF(M69="Done",2,IF(AsOf&gt;L69,3,1)))</f>
        <v/>
      </c>
      <c r="R69" s="79">
        <f>IF(OR(E69="",F69=""),0,IF(COUNTIFS($E$7:E69,E69,$F$7:F69,F69)=1,1,0))</f>
        <v/>
      </c>
      <c r="S69" s="79">
        <f>IF(R69=1,E69&amp;"|"&amp;SUMIFS($R$7:R69,$E$7:E69,E69),"")</f>
        <v/>
      </c>
      <c r="T69" s="111">
        <f>IF(Q69="","",IF(Q69=3,L69,IF(OR(M69="Not started",M69=""),J69,"")))</f>
        <v/>
      </c>
      <c r="U69" s="79">
        <f>IF(T69="","",IF(Q69=3,1,IF(T69="","",IF(T69&lt;AsOf,1,IF(T69&lt;=AsOf+AlertDays,2,IF(T69&lt;=AsOf+2*AlertDays,3,""))))))</f>
        <v/>
      </c>
      <c r="V69" s="79">
        <f>IF(U69="","",IF(Q69=3,"Late task: "&amp;D69,IF(T69&lt;AsOf,"Should have started: ","Starts soon: ")&amp;D69)&amp;IF(F69="",""," — "&amp;F69))</f>
        <v/>
      </c>
      <c r="X69" s="128" t="n"/>
      <c r="Y69" s="128" t="n"/>
      <c r="Z69" s="128" t="n"/>
      <c r="AA69" s="128" t="n"/>
      <c r="AB69" s="128" t="n"/>
      <c r="AC69" s="128" t="n"/>
      <c r="AD69" s="128" t="n"/>
      <c r="AE69" s="128" t="n"/>
      <c r="AF69" s="128" t="n"/>
      <c r="AG69" s="128" t="n"/>
      <c r="AH69" s="128" t="n"/>
      <c r="AI69" s="128" t="n"/>
      <c r="AJ69" s="128" t="n"/>
      <c r="AK69" s="128" t="n"/>
      <c r="AL69" s="128" t="n"/>
      <c r="AM69" s="128" t="n"/>
      <c r="AN69" s="128" t="n"/>
      <c r="AO69" s="128" t="n"/>
      <c r="AP69" s="128" t="n"/>
      <c r="AQ69" s="128" t="n"/>
      <c r="AR69" s="128" t="n"/>
      <c r="AS69" s="128" t="n"/>
      <c r="AT69" s="128" t="n"/>
      <c r="AU69" s="128" t="n"/>
      <c r="AV69" s="128" t="n"/>
      <c r="AW69" s="128" t="n"/>
      <c r="AX69" s="128" t="n"/>
      <c r="AY69" s="128" t="n"/>
      <c r="AZ69" s="128" t="n"/>
      <c r="BA69" s="128" t="n"/>
      <c r="BB69" s="128" t="n"/>
      <c r="BC69" s="128" t="n"/>
      <c r="BD69" s="128" t="n"/>
      <c r="BE69" s="128" t="n"/>
      <c r="BF69" s="128" t="n"/>
      <c r="BG69" s="128" t="n"/>
      <c r="BH69" s="128" t="n"/>
      <c r="BI69" s="128" t="n"/>
      <c r="BJ69" s="128" t="n"/>
      <c r="BK69" s="128" t="n"/>
      <c r="BL69" s="128" t="n"/>
      <c r="BM69" s="128" t="n"/>
      <c r="BN69" s="128" t="n"/>
      <c r="BO69" s="128" t="n"/>
      <c r="BP69" s="128" t="n"/>
      <c r="BQ69" s="128" t="n"/>
      <c r="BR69" s="128" t="n"/>
      <c r="BS69" s="128" t="n"/>
      <c r="BT69" s="128" t="n"/>
      <c r="BU69" s="128" t="n"/>
      <c r="BV69" s="128" t="n"/>
      <c r="BW69" s="128" t="n"/>
    </row>
    <row r="70" ht="20" customHeight="1">
      <c r="B70" s="125" t="n">
        <v>64</v>
      </c>
      <c r="C70" s="72" t="n"/>
      <c r="D70" s="72" t="n"/>
      <c r="E70" s="72" t="n"/>
      <c r="F70" s="72" t="n"/>
      <c r="G70" s="89" t="n"/>
      <c r="H70" s="89" t="n"/>
      <c r="I70" s="108" t="n"/>
      <c r="J70" s="126">
        <f>IF(OR(D70="",ProjStart=""),"",MAX(ProjStart,IF(I70&lt;&gt;"",I70,0),IF(H70="",0,IFERROR(INDEX($L$6:L69,MATCH(H70,$B$6:B69,0))+1,0))))</f>
        <v/>
      </c>
      <c r="K70" s="89" t="n"/>
      <c r="L70" s="126">
        <f>IF(J70="","",J70+MAX(1,G70)+IF(K70="",0,K70)-1)</f>
        <v/>
      </c>
      <c r="M70" s="72" t="n"/>
      <c r="N70" s="108" t="n"/>
      <c r="O70" s="127">
        <f>IF(D70="","",COUNTIF($H$7:$H$156,B70))</f>
        <v/>
      </c>
      <c r="P70" s="78">
        <f>IF(D70="","",IF(AND(H70&lt;&gt;"",H70&gt;=B70),"⚠️ Predecessor must be above",IF(M70="Done","✓ Done",IF(Q70=3,"🔴 Late",IF(M70="In progress","In progress","")))))</f>
        <v/>
      </c>
      <c r="Q70" s="79">
        <f>IF(OR(D70="",L70=""),"",IF(M70="Done",2,IF(AsOf&gt;L70,3,1)))</f>
        <v/>
      </c>
      <c r="R70" s="79">
        <f>IF(OR(E70="",F70=""),0,IF(COUNTIFS($E$7:E70,E70,$F$7:F70,F70)=1,1,0))</f>
        <v/>
      </c>
      <c r="S70" s="79">
        <f>IF(R70=1,E70&amp;"|"&amp;SUMIFS($R$7:R70,$E$7:E70,E70),"")</f>
        <v/>
      </c>
      <c r="T70" s="111">
        <f>IF(Q70="","",IF(Q70=3,L70,IF(OR(M70="Not started",M70=""),J70,"")))</f>
        <v/>
      </c>
      <c r="U70" s="79">
        <f>IF(T70="","",IF(Q70=3,1,IF(T70="","",IF(T70&lt;AsOf,1,IF(T70&lt;=AsOf+AlertDays,2,IF(T70&lt;=AsOf+2*AlertDays,3,""))))))</f>
        <v/>
      </c>
      <c r="V70" s="79">
        <f>IF(U70="","",IF(Q70=3,"Late task: "&amp;D70,IF(T70&lt;AsOf,"Should have started: ","Starts soon: ")&amp;D70)&amp;IF(F70="",""," — "&amp;F70))</f>
        <v/>
      </c>
      <c r="X70" s="128" t="n"/>
      <c r="Y70" s="128" t="n"/>
      <c r="Z70" s="128" t="n"/>
      <c r="AA70" s="128" t="n"/>
      <c r="AB70" s="128" t="n"/>
      <c r="AC70" s="128" t="n"/>
      <c r="AD70" s="128" t="n"/>
      <c r="AE70" s="128" t="n"/>
      <c r="AF70" s="128" t="n"/>
      <c r="AG70" s="128" t="n"/>
      <c r="AH70" s="128" t="n"/>
      <c r="AI70" s="128" t="n"/>
      <c r="AJ70" s="128" t="n"/>
      <c r="AK70" s="128" t="n"/>
      <c r="AL70" s="128" t="n"/>
      <c r="AM70" s="128" t="n"/>
      <c r="AN70" s="128" t="n"/>
      <c r="AO70" s="128" t="n"/>
      <c r="AP70" s="128" t="n"/>
      <c r="AQ70" s="128" t="n"/>
      <c r="AR70" s="128" t="n"/>
      <c r="AS70" s="128" t="n"/>
      <c r="AT70" s="128" t="n"/>
      <c r="AU70" s="128" t="n"/>
      <c r="AV70" s="128" t="n"/>
      <c r="AW70" s="128" t="n"/>
      <c r="AX70" s="128" t="n"/>
      <c r="AY70" s="128" t="n"/>
      <c r="AZ70" s="128" t="n"/>
      <c r="BA70" s="128" t="n"/>
      <c r="BB70" s="128" t="n"/>
      <c r="BC70" s="128" t="n"/>
      <c r="BD70" s="128" t="n"/>
      <c r="BE70" s="128" t="n"/>
      <c r="BF70" s="128" t="n"/>
      <c r="BG70" s="128" t="n"/>
      <c r="BH70" s="128" t="n"/>
      <c r="BI70" s="128" t="n"/>
      <c r="BJ70" s="128" t="n"/>
      <c r="BK70" s="128" t="n"/>
      <c r="BL70" s="128" t="n"/>
      <c r="BM70" s="128" t="n"/>
      <c r="BN70" s="128" t="n"/>
      <c r="BO70" s="128" t="n"/>
      <c r="BP70" s="128" t="n"/>
      <c r="BQ70" s="128" t="n"/>
      <c r="BR70" s="128" t="n"/>
      <c r="BS70" s="128" t="n"/>
      <c r="BT70" s="128" t="n"/>
      <c r="BU70" s="128" t="n"/>
      <c r="BV70" s="128" t="n"/>
      <c r="BW70" s="128" t="n"/>
    </row>
    <row r="71" ht="20" customHeight="1">
      <c r="B71" s="125" t="n">
        <v>65</v>
      </c>
      <c r="C71" s="72" t="n"/>
      <c r="D71" s="72" t="n"/>
      <c r="E71" s="72" t="n"/>
      <c r="F71" s="72" t="n"/>
      <c r="G71" s="89" t="n"/>
      <c r="H71" s="89" t="n"/>
      <c r="I71" s="108" t="n"/>
      <c r="J71" s="126">
        <f>IF(OR(D71="",ProjStart=""),"",MAX(ProjStart,IF(I71&lt;&gt;"",I71,0),IF(H71="",0,IFERROR(INDEX($L$6:L70,MATCH(H71,$B$6:B70,0))+1,0))))</f>
        <v/>
      </c>
      <c r="K71" s="89" t="n"/>
      <c r="L71" s="126">
        <f>IF(J71="","",J71+MAX(1,G71)+IF(K71="",0,K71)-1)</f>
        <v/>
      </c>
      <c r="M71" s="72" t="n"/>
      <c r="N71" s="108" t="n"/>
      <c r="O71" s="127">
        <f>IF(D71="","",COUNTIF($H$7:$H$156,B71))</f>
        <v/>
      </c>
      <c r="P71" s="78">
        <f>IF(D71="","",IF(AND(H71&lt;&gt;"",H71&gt;=B71),"⚠️ Predecessor must be above",IF(M71="Done","✓ Done",IF(Q71=3,"🔴 Late",IF(M71="In progress","In progress","")))))</f>
        <v/>
      </c>
      <c r="Q71" s="79">
        <f>IF(OR(D71="",L71=""),"",IF(M71="Done",2,IF(AsOf&gt;L71,3,1)))</f>
        <v/>
      </c>
      <c r="R71" s="79">
        <f>IF(OR(E71="",F71=""),0,IF(COUNTIFS($E$7:E71,E71,$F$7:F71,F71)=1,1,0))</f>
        <v/>
      </c>
      <c r="S71" s="79">
        <f>IF(R71=1,E71&amp;"|"&amp;SUMIFS($R$7:R71,$E$7:E71,E71),"")</f>
        <v/>
      </c>
      <c r="T71" s="111">
        <f>IF(Q71="","",IF(Q71=3,L71,IF(OR(M71="Not started",M71=""),J71,"")))</f>
        <v/>
      </c>
      <c r="U71" s="79">
        <f>IF(T71="","",IF(Q71=3,1,IF(T71="","",IF(T71&lt;AsOf,1,IF(T71&lt;=AsOf+AlertDays,2,IF(T71&lt;=AsOf+2*AlertDays,3,""))))))</f>
        <v/>
      </c>
      <c r="V71" s="79">
        <f>IF(U71="","",IF(Q71=3,"Late task: "&amp;D71,IF(T71&lt;AsOf,"Should have started: ","Starts soon: ")&amp;D71)&amp;IF(F71="",""," — "&amp;F71))</f>
        <v/>
      </c>
      <c r="X71" s="128" t="n"/>
      <c r="Y71" s="128" t="n"/>
      <c r="Z71" s="128" t="n"/>
      <c r="AA71" s="128" t="n"/>
      <c r="AB71" s="128" t="n"/>
      <c r="AC71" s="128" t="n"/>
      <c r="AD71" s="128" t="n"/>
      <c r="AE71" s="128" t="n"/>
      <c r="AF71" s="128" t="n"/>
      <c r="AG71" s="128" t="n"/>
      <c r="AH71" s="128" t="n"/>
      <c r="AI71" s="128" t="n"/>
      <c r="AJ71" s="128" t="n"/>
      <c r="AK71" s="128" t="n"/>
      <c r="AL71" s="128" t="n"/>
      <c r="AM71" s="128" t="n"/>
      <c r="AN71" s="128" t="n"/>
      <c r="AO71" s="128" t="n"/>
      <c r="AP71" s="128" t="n"/>
      <c r="AQ71" s="128" t="n"/>
      <c r="AR71" s="128" t="n"/>
      <c r="AS71" s="128" t="n"/>
      <c r="AT71" s="128" t="n"/>
      <c r="AU71" s="128" t="n"/>
      <c r="AV71" s="128" t="n"/>
      <c r="AW71" s="128" t="n"/>
      <c r="AX71" s="128" t="n"/>
      <c r="AY71" s="128" t="n"/>
      <c r="AZ71" s="128" t="n"/>
      <c r="BA71" s="128" t="n"/>
      <c r="BB71" s="128" t="n"/>
      <c r="BC71" s="128" t="n"/>
      <c r="BD71" s="128" t="n"/>
      <c r="BE71" s="128" t="n"/>
      <c r="BF71" s="128" t="n"/>
      <c r="BG71" s="128" t="n"/>
      <c r="BH71" s="128" t="n"/>
      <c r="BI71" s="128" t="n"/>
      <c r="BJ71" s="128" t="n"/>
      <c r="BK71" s="128" t="n"/>
      <c r="BL71" s="128" t="n"/>
      <c r="BM71" s="128" t="n"/>
      <c r="BN71" s="128" t="n"/>
      <c r="BO71" s="128" t="n"/>
      <c r="BP71" s="128" t="n"/>
      <c r="BQ71" s="128" t="n"/>
      <c r="BR71" s="128" t="n"/>
      <c r="BS71" s="128" t="n"/>
      <c r="BT71" s="128" t="n"/>
      <c r="BU71" s="128" t="n"/>
      <c r="BV71" s="128" t="n"/>
      <c r="BW71" s="128" t="n"/>
    </row>
    <row r="72" ht="20" customHeight="1">
      <c r="B72" s="125" t="n">
        <v>66</v>
      </c>
      <c r="C72" s="72" t="n"/>
      <c r="D72" s="72" t="n"/>
      <c r="E72" s="72" t="n"/>
      <c r="F72" s="72" t="n"/>
      <c r="G72" s="89" t="n"/>
      <c r="H72" s="89" t="n"/>
      <c r="I72" s="108" t="n"/>
      <c r="J72" s="126">
        <f>IF(OR(D72="",ProjStart=""),"",MAX(ProjStart,IF(I72&lt;&gt;"",I72,0),IF(H72="",0,IFERROR(INDEX($L$6:L71,MATCH(H72,$B$6:B71,0))+1,0))))</f>
        <v/>
      </c>
      <c r="K72" s="89" t="n"/>
      <c r="L72" s="126">
        <f>IF(J72="","",J72+MAX(1,G72)+IF(K72="",0,K72)-1)</f>
        <v/>
      </c>
      <c r="M72" s="72" t="n"/>
      <c r="N72" s="108" t="n"/>
      <c r="O72" s="127">
        <f>IF(D72="","",COUNTIF($H$7:$H$156,B72))</f>
        <v/>
      </c>
      <c r="P72" s="78">
        <f>IF(D72="","",IF(AND(H72&lt;&gt;"",H72&gt;=B72),"⚠️ Predecessor must be above",IF(M72="Done","✓ Done",IF(Q72=3,"🔴 Late",IF(M72="In progress","In progress","")))))</f>
        <v/>
      </c>
      <c r="Q72" s="79">
        <f>IF(OR(D72="",L72=""),"",IF(M72="Done",2,IF(AsOf&gt;L72,3,1)))</f>
        <v/>
      </c>
      <c r="R72" s="79">
        <f>IF(OR(E72="",F72=""),0,IF(COUNTIFS($E$7:E72,E72,$F$7:F72,F72)=1,1,0))</f>
        <v/>
      </c>
      <c r="S72" s="79">
        <f>IF(R72=1,E72&amp;"|"&amp;SUMIFS($R$7:R72,$E$7:E72,E72),"")</f>
        <v/>
      </c>
      <c r="T72" s="111">
        <f>IF(Q72="","",IF(Q72=3,L72,IF(OR(M72="Not started",M72=""),J72,"")))</f>
        <v/>
      </c>
      <c r="U72" s="79">
        <f>IF(T72="","",IF(Q72=3,1,IF(T72="","",IF(T72&lt;AsOf,1,IF(T72&lt;=AsOf+AlertDays,2,IF(T72&lt;=AsOf+2*AlertDays,3,""))))))</f>
        <v/>
      </c>
      <c r="V72" s="79">
        <f>IF(U72="","",IF(Q72=3,"Late task: "&amp;D72,IF(T72&lt;AsOf,"Should have started: ","Starts soon: ")&amp;D72)&amp;IF(F72="",""," — "&amp;F72))</f>
        <v/>
      </c>
      <c r="X72" s="128" t="n"/>
      <c r="Y72" s="128" t="n"/>
      <c r="Z72" s="128" t="n"/>
      <c r="AA72" s="128" t="n"/>
      <c r="AB72" s="128" t="n"/>
      <c r="AC72" s="128" t="n"/>
      <c r="AD72" s="128" t="n"/>
      <c r="AE72" s="128" t="n"/>
      <c r="AF72" s="128" t="n"/>
      <c r="AG72" s="128" t="n"/>
      <c r="AH72" s="128" t="n"/>
      <c r="AI72" s="128" t="n"/>
      <c r="AJ72" s="128" t="n"/>
      <c r="AK72" s="128" t="n"/>
      <c r="AL72" s="128" t="n"/>
      <c r="AM72" s="128" t="n"/>
      <c r="AN72" s="128" t="n"/>
      <c r="AO72" s="128" t="n"/>
      <c r="AP72" s="128" t="n"/>
      <c r="AQ72" s="128" t="n"/>
      <c r="AR72" s="128" t="n"/>
      <c r="AS72" s="128" t="n"/>
      <c r="AT72" s="128" t="n"/>
      <c r="AU72" s="128" t="n"/>
      <c r="AV72" s="128" t="n"/>
      <c r="AW72" s="128" t="n"/>
      <c r="AX72" s="128" t="n"/>
      <c r="AY72" s="128" t="n"/>
      <c r="AZ72" s="128" t="n"/>
      <c r="BA72" s="128" t="n"/>
      <c r="BB72" s="128" t="n"/>
      <c r="BC72" s="128" t="n"/>
      <c r="BD72" s="128" t="n"/>
      <c r="BE72" s="128" t="n"/>
      <c r="BF72" s="128" t="n"/>
      <c r="BG72" s="128" t="n"/>
      <c r="BH72" s="128" t="n"/>
      <c r="BI72" s="128" t="n"/>
      <c r="BJ72" s="128" t="n"/>
      <c r="BK72" s="128" t="n"/>
      <c r="BL72" s="128" t="n"/>
      <c r="BM72" s="128" t="n"/>
      <c r="BN72" s="128" t="n"/>
      <c r="BO72" s="128" t="n"/>
      <c r="BP72" s="128" t="n"/>
      <c r="BQ72" s="128" t="n"/>
      <c r="BR72" s="128" t="n"/>
      <c r="BS72" s="128" t="n"/>
      <c r="BT72" s="128" t="n"/>
      <c r="BU72" s="128" t="n"/>
      <c r="BV72" s="128" t="n"/>
      <c r="BW72" s="128" t="n"/>
    </row>
    <row r="73" ht="20" customHeight="1">
      <c r="B73" s="125" t="n">
        <v>67</v>
      </c>
      <c r="C73" s="72" t="n"/>
      <c r="D73" s="72" t="n"/>
      <c r="E73" s="72" t="n"/>
      <c r="F73" s="72" t="n"/>
      <c r="G73" s="89" t="n"/>
      <c r="H73" s="89" t="n"/>
      <c r="I73" s="108" t="n"/>
      <c r="J73" s="126">
        <f>IF(OR(D73="",ProjStart=""),"",MAX(ProjStart,IF(I73&lt;&gt;"",I73,0),IF(H73="",0,IFERROR(INDEX($L$6:L72,MATCH(H73,$B$6:B72,0))+1,0))))</f>
        <v/>
      </c>
      <c r="K73" s="89" t="n"/>
      <c r="L73" s="126">
        <f>IF(J73="","",J73+MAX(1,G73)+IF(K73="",0,K73)-1)</f>
        <v/>
      </c>
      <c r="M73" s="72" t="n"/>
      <c r="N73" s="108" t="n"/>
      <c r="O73" s="127">
        <f>IF(D73="","",COUNTIF($H$7:$H$156,B73))</f>
        <v/>
      </c>
      <c r="P73" s="78">
        <f>IF(D73="","",IF(AND(H73&lt;&gt;"",H73&gt;=B73),"⚠️ Predecessor must be above",IF(M73="Done","✓ Done",IF(Q73=3,"🔴 Late",IF(M73="In progress","In progress","")))))</f>
        <v/>
      </c>
      <c r="Q73" s="79">
        <f>IF(OR(D73="",L73=""),"",IF(M73="Done",2,IF(AsOf&gt;L73,3,1)))</f>
        <v/>
      </c>
      <c r="R73" s="79">
        <f>IF(OR(E73="",F73=""),0,IF(COUNTIFS($E$7:E73,E73,$F$7:F73,F73)=1,1,0))</f>
        <v/>
      </c>
      <c r="S73" s="79">
        <f>IF(R73=1,E73&amp;"|"&amp;SUMIFS($R$7:R73,$E$7:E73,E73),"")</f>
        <v/>
      </c>
      <c r="T73" s="111">
        <f>IF(Q73="","",IF(Q73=3,L73,IF(OR(M73="Not started",M73=""),J73,"")))</f>
        <v/>
      </c>
      <c r="U73" s="79">
        <f>IF(T73="","",IF(Q73=3,1,IF(T73="","",IF(T73&lt;AsOf,1,IF(T73&lt;=AsOf+AlertDays,2,IF(T73&lt;=AsOf+2*AlertDays,3,""))))))</f>
        <v/>
      </c>
      <c r="V73" s="79">
        <f>IF(U73="","",IF(Q73=3,"Late task: "&amp;D73,IF(T73&lt;AsOf,"Should have started: ","Starts soon: ")&amp;D73)&amp;IF(F73="",""," — "&amp;F73))</f>
        <v/>
      </c>
      <c r="X73" s="128" t="n"/>
      <c r="Y73" s="128" t="n"/>
      <c r="Z73" s="128" t="n"/>
      <c r="AA73" s="128" t="n"/>
      <c r="AB73" s="128" t="n"/>
      <c r="AC73" s="128" t="n"/>
      <c r="AD73" s="128" t="n"/>
      <c r="AE73" s="128" t="n"/>
      <c r="AF73" s="128" t="n"/>
      <c r="AG73" s="128" t="n"/>
      <c r="AH73" s="128" t="n"/>
      <c r="AI73" s="128" t="n"/>
      <c r="AJ73" s="128" t="n"/>
      <c r="AK73" s="128" t="n"/>
      <c r="AL73" s="128" t="n"/>
      <c r="AM73" s="128" t="n"/>
      <c r="AN73" s="128" t="n"/>
      <c r="AO73" s="128" t="n"/>
      <c r="AP73" s="128" t="n"/>
      <c r="AQ73" s="128" t="n"/>
      <c r="AR73" s="128" t="n"/>
      <c r="AS73" s="128" t="n"/>
      <c r="AT73" s="128" t="n"/>
      <c r="AU73" s="128" t="n"/>
      <c r="AV73" s="128" t="n"/>
      <c r="AW73" s="128" t="n"/>
      <c r="AX73" s="128" t="n"/>
      <c r="AY73" s="128" t="n"/>
      <c r="AZ73" s="128" t="n"/>
      <c r="BA73" s="128" t="n"/>
      <c r="BB73" s="128" t="n"/>
      <c r="BC73" s="128" t="n"/>
      <c r="BD73" s="128" t="n"/>
      <c r="BE73" s="128" t="n"/>
      <c r="BF73" s="128" t="n"/>
      <c r="BG73" s="128" t="n"/>
      <c r="BH73" s="128" t="n"/>
      <c r="BI73" s="128" t="n"/>
      <c r="BJ73" s="128" t="n"/>
      <c r="BK73" s="128" t="n"/>
      <c r="BL73" s="128" t="n"/>
      <c r="BM73" s="128" t="n"/>
      <c r="BN73" s="128" t="n"/>
      <c r="BO73" s="128" t="n"/>
      <c r="BP73" s="128" t="n"/>
      <c r="BQ73" s="128" t="n"/>
      <c r="BR73" s="128" t="n"/>
      <c r="BS73" s="128" t="n"/>
      <c r="BT73" s="128" t="n"/>
      <c r="BU73" s="128" t="n"/>
      <c r="BV73" s="128" t="n"/>
      <c r="BW73" s="128" t="n"/>
    </row>
    <row r="74" ht="20" customHeight="1">
      <c r="B74" s="125" t="n">
        <v>68</v>
      </c>
      <c r="C74" s="72" t="n"/>
      <c r="D74" s="72" t="n"/>
      <c r="E74" s="72" t="n"/>
      <c r="F74" s="72" t="n"/>
      <c r="G74" s="89" t="n"/>
      <c r="H74" s="89" t="n"/>
      <c r="I74" s="108" t="n"/>
      <c r="J74" s="126">
        <f>IF(OR(D74="",ProjStart=""),"",MAX(ProjStart,IF(I74&lt;&gt;"",I74,0),IF(H74="",0,IFERROR(INDEX($L$6:L73,MATCH(H74,$B$6:B73,0))+1,0))))</f>
        <v/>
      </c>
      <c r="K74" s="89" t="n"/>
      <c r="L74" s="126">
        <f>IF(J74="","",J74+MAX(1,G74)+IF(K74="",0,K74)-1)</f>
        <v/>
      </c>
      <c r="M74" s="72" t="n"/>
      <c r="N74" s="108" t="n"/>
      <c r="O74" s="127">
        <f>IF(D74="","",COUNTIF($H$7:$H$156,B74))</f>
        <v/>
      </c>
      <c r="P74" s="78">
        <f>IF(D74="","",IF(AND(H74&lt;&gt;"",H74&gt;=B74),"⚠️ Predecessor must be above",IF(M74="Done","✓ Done",IF(Q74=3,"🔴 Late",IF(M74="In progress","In progress","")))))</f>
        <v/>
      </c>
      <c r="Q74" s="79">
        <f>IF(OR(D74="",L74=""),"",IF(M74="Done",2,IF(AsOf&gt;L74,3,1)))</f>
        <v/>
      </c>
      <c r="R74" s="79">
        <f>IF(OR(E74="",F74=""),0,IF(COUNTIFS($E$7:E74,E74,$F$7:F74,F74)=1,1,0))</f>
        <v/>
      </c>
      <c r="S74" s="79">
        <f>IF(R74=1,E74&amp;"|"&amp;SUMIFS($R$7:R74,$E$7:E74,E74),"")</f>
        <v/>
      </c>
      <c r="T74" s="111">
        <f>IF(Q74="","",IF(Q74=3,L74,IF(OR(M74="Not started",M74=""),J74,"")))</f>
        <v/>
      </c>
      <c r="U74" s="79">
        <f>IF(T74="","",IF(Q74=3,1,IF(T74="","",IF(T74&lt;AsOf,1,IF(T74&lt;=AsOf+AlertDays,2,IF(T74&lt;=AsOf+2*AlertDays,3,""))))))</f>
        <v/>
      </c>
      <c r="V74" s="79">
        <f>IF(U74="","",IF(Q74=3,"Late task: "&amp;D74,IF(T74&lt;AsOf,"Should have started: ","Starts soon: ")&amp;D74)&amp;IF(F74="",""," — "&amp;F74))</f>
        <v/>
      </c>
      <c r="X74" s="128" t="n"/>
      <c r="Y74" s="128" t="n"/>
      <c r="Z74" s="128" t="n"/>
      <c r="AA74" s="128" t="n"/>
      <c r="AB74" s="128" t="n"/>
      <c r="AC74" s="128" t="n"/>
      <c r="AD74" s="128" t="n"/>
      <c r="AE74" s="128" t="n"/>
      <c r="AF74" s="128" t="n"/>
      <c r="AG74" s="128" t="n"/>
      <c r="AH74" s="128" t="n"/>
      <c r="AI74" s="128" t="n"/>
      <c r="AJ74" s="128" t="n"/>
      <c r="AK74" s="128" t="n"/>
      <c r="AL74" s="128" t="n"/>
      <c r="AM74" s="128" t="n"/>
      <c r="AN74" s="128" t="n"/>
      <c r="AO74" s="128" t="n"/>
      <c r="AP74" s="128" t="n"/>
      <c r="AQ74" s="128" t="n"/>
      <c r="AR74" s="128" t="n"/>
      <c r="AS74" s="128" t="n"/>
      <c r="AT74" s="128" t="n"/>
      <c r="AU74" s="128" t="n"/>
      <c r="AV74" s="128" t="n"/>
      <c r="AW74" s="128" t="n"/>
      <c r="AX74" s="128" t="n"/>
      <c r="AY74" s="128" t="n"/>
      <c r="AZ74" s="128" t="n"/>
      <c r="BA74" s="128" t="n"/>
      <c r="BB74" s="128" t="n"/>
      <c r="BC74" s="128" t="n"/>
      <c r="BD74" s="128" t="n"/>
      <c r="BE74" s="128" t="n"/>
      <c r="BF74" s="128" t="n"/>
      <c r="BG74" s="128" t="n"/>
      <c r="BH74" s="128" t="n"/>
      <c r="BI74" s="128" t="n"/>
      <c r="BJ74" s="128" t="n"/>
      <c r="BK74" s="128" t="n"/>
      <c r="BL74" s="128" t="n"/>
      <c r="BM74" s="128" t="n"/>
      <c r="BN74" s="128" t="n"/>
      <c r="BO74" s="128" t="n"/>
      <c r="BP74" s="128" t="n"/>
      <c r="BQ74" s="128" t="n"/>
      <c r="BR74" s="128" t="n"/>
      <c r="BS74" s="128" t="n"/>
      <c r="BT74" s="128" t="n"/>
      <c r="BU74" s="128" t="n"/>
      <c r="BV74" s="128" t="n"/>
      <c r="BW74" s="128" t="n"/>
    </row>
    <row r="75" ht="20" customHeight="1">
      <c r="B75" s="125" t="n">
        <v>69</v>
      </c>
      <c r="C75" s="72" t="n"/>
      <c r="D75" s="72" t="n"/>
      <c r="E75" s="72" t="n"/>
      <c r="F75" s="72" t="n"/>
      <c r="G75" s="89" t="n"/>
      <c r="H75" s="89" t="n"/>
      <c r="I75" s="108" t="n"/>
      <c r="J75" s="126">
        <f>IF(OR(D75="",ProjStart=""),"",MAX(ProjStart,IF(I75&lt;&gt;"",I75,0),IF(H75="",0,IFERROR(INDEX($L$6:L74,MATCH(H75,$B$6:B74,0))+1,0))))</f>
        <v/>
      </c>
      <c r="K75" s="89" t="n"/>
      <c r="L75" s="126">
        <f>IF(J75="","",J75+MAX(1,G75)+IF(K75="",0,K75)-1)</f>
        <v/>
      </c>
      <c r="M75" s="72" t="n"/>
      <c r="N75" s="108" t="n"/>
      <c r="O75" s="127">
        <f>IF(D75="","",COUNTIF($H$7:$H$156,B75))</f>
        <v/>
      </c>
      <c r="P75" s="78">
        <f>IF(D75="","",IF(AND(H75&lt;&gt;"",H75&gt;=B75),"⚠️ Predecessor must be above",IF(M75="Done","✓ Done",IF(Q75=3,"🔴 Late",IF(M75="In progress","In progress","")))))</f>
        <v/>
      </c>
      <c r="Q75" s="79">
        <f>IF(OR(D75="",L75=""),"",IF(M75="Done",2,IF(AsOf&gt;L75,3,1)))</f>
        <v/>
      </c>
      <c r="R75" s="79">
        <f>IF(OR(E75="",F75=""),0,IF(COUNTIFS($E$7:E75,E75,$F$7:F75,F75)=1,1,0))</f>
        <v/>
      </c>
      <c r="S75" s="79">
        <f>IF(R75=1,E75&amp;"|"&amp;SUMIFS($R$7:R75,$E$7:E75,E75),"")</f>
        <v/>
      </c>
      <c r="T75" s="111">
        <f>IF(Q75="","",IF(Q75=3,L75,IF(OR(M75="Not started",M75=""),J75,"")))</f>
        <v/>
      </c>
      <c r="U75" s="79">
        <f>IF(T75="","",IF(Q75=3,1,IF(T75="","",IF(T75&lt;AsOf,1,IF(T75&lt;=AsOf+AlertDays,2,IF(T75&lt;=AsOf+2*AlertDays,3,""))))))</f>
        <v/>
      </c>
      <c r="V75" s="79">
        <f>IF(U75="","",IF(Q75=3,"Late task: "&amp;D75,IF(T75&lt;AsOf,"Should have started: ","Starts soon: ")&amp;D75)&amp;IF(F75="",""," — "&amp;F75))</f>
        <v/>
      </c>
      <c r="X75" s="128" t="n"/>
      <c r="Y75" s="128" t="n"/>
      <c r="Z75" s="128" t="n"/>
      <c r="AA75" s="128" t="n"/>
      <c r="AB75" s="128" t="n"/>
      <c r="AC75" s="128" t="n"/>
      <c r="AD75" s="128" t="n"/>
      <c r="AE75" s="128" t="n"/>
      <c r="AF75" s="128" t="n"/>
      <c r="AG75" s="128" t="n"/>
      <c r="AH75" s="128" t="n"/>
      <c r="AI75" s="128" t="n"/>
      <c r="AJ75" s="128" t="n"/>
      <c r="AK75" s="128" t="n"/>
      <c r="AL75" s="128" t="n"/>
      <c r="AM75" s="128" t="n"/>
      <c r="AN75" s="128" t="n"/>
      <c r="AO75" s="128" t="n"/>
      <c r="AP75" s="128" t="n"/>
      <c r="AQ75" s="128" t="n"/>
      <c r="AR75" s="128" t="n"/>
      <c r="AS75" s="128" t="n"/>
      <c r="AT75" s="128" t="n"/>
      <c r="AU75" s="128" t="n"/>
      <c r="AV75" s="128" t="n"/>
      <c r="AW75" s="128" t="n"/>
      <c r="AX75" s="128" t="n"/>
      <c r="AY75" s="128" t="n"/>
      <c r="AZ75" s="128" t="n"/>
      <c r="BA75" s="128" t="n"/>
      <c r="BB75" s="128" t="n"/>
      <c r="BC75" s="128" t="n"/>
      <c r="BD75" s="128" t="n"/>
      <c r="BE75" s="128" t="n"/>
      <c r="BF75" s="128" t="n"/>
      <c r="BG75" s="128" t="n"/>
      <c r="BH75" s="128" t="n"/>
      <c r="BI75" s="128" t="n"/>
      <c r="BJ75" s="128" t="n"/>
      <c r="BK75" s="128" t="n"/>
      <c r="BL75" s="128" t="n"/>
      <c r="BM75" s="128" t="n"/>
      <c r="BN75" s="128" t="n"/>
      <c r="BO75" s="128" t="n"/>
      <c r="BP75" s="128" t="n"/>
      <c r="BQ75" s="128" t="n"/>
      <c r="BR75" s="128" t="n"/>
      <c r="BS75" s="128" t="n"/>
      <c r="BT75" s="128" t="n"/>
      <c r="BU75" s="128" t="n"/>
      <c r="BV75" s="128" t="n"/>
      <c r="BW75" s="128" t="n"/>
    </row>
    <row r="76" ht="20" customHeight="1">
      <c r="B76" s="125" t="n">
        <v>70</v>
      </c>
      <c r="C76" s="72" t="n"/>
      <c r="D76" s="72" t="n"/>
      <c r="E76" s="72" t="n"/>
      <c r="F76" s="72" t="n"/>
      <c r="G76" s="89" t="n"/>
      <c r="H76" s="89" t="n"/>
      <c r="I76" s="108" t="n"/>
      <c r="J76" s="126">
        <f>IF(OR(D76="",ProjStart=""),"",MAX(ProjStart,IF(I76&lt;&gt;"",I76,0),IF(H76="",0,IFERROR(INDEX($L$6:L75,MATCH(H76,$B$6:B75,0))+1,0))))</f>
        <v/>
      </c>
      <c r="K76" s="89" t="n"/>
      <c r="L76" s="126">
        <f>IF(J76="","",J76+MAX(1,G76)+IF(K76="",0,K76)-1)</f>
        <v/>
      </c>
      <c r="M76" s="72" t="n"/>
      <c r="N76" s="108" t="n"/>
      <c r="O76" s="127">
        <f>IF(D76="","",COUNTIF($H$7:$H$156,B76))</f>
        <v/>
      </c>
      <c r="P76" s="78">
        <f>IF(D76="","",IF(AND(H76&lt;&gt;"",H76&gt;=B76),"⚠️ Predecessor must be above",IF(M76="Done","✓ Done",IF(Q76=3,"🔴 Late",IF(M76="In progress","In progress","")))))</f>
        <v/>
      </c>
      <c r="Q76" s="79">
        <f>IF(OR(D76="",L76=""),"",IF(M76="Done",2,IF(AsOf&gt;L76,3,1)))</f>
        <v/>
      </c>
      <c r="R76" s="79">
        <f>IF(OR(E76="",F76=""),0,IF(COUNTIFS($E$7:E76,E76,$F$7:F76,F76)=1,1,0))</f>
        <v/>
      </c>
      <c r="S76" s="79">
        <f>IF(R76=1,E76&amp;"|"&amp;SUMIFS($R$7:R76,$E$7:E76,E76),"")</f>
        <v/>
      </c>
      <c r="T76" s="111">
        <f>IF(Q76="","",IF(Q76=3,L76,IF(OR(M76="Not started",M76=""),J76,"")))</f>
        <v/>
      </c>
      <c r="U76" s="79">
        <f>IF(T76="","",IF(Q76=3,1,IF(T76="","",IF(T76&lt;AsOf,1,IF(T76&lt;=AsOf+AlertDays,2,IF(T76&lt;=AsOf+2*AlertDays,3,""))))))</f>
        <v/>
      </c>
      <c r="V76" s="79">
        <f>IF(U76="","",IF(Q76=3,"Late task: "&amp;D76,IF(T76&lt;AsOf,"Should have started: ","Starts soon: ")&amp;D76)&amp;IF(F76="",""," — "&amp;F76))</f>
        <v/>
      </c>
      <c r="X76" s="128" t="n"/>
      <c r="Y76" s="128" t="n"/>
      <c r="Z76" s="128" t="n"/>
      <c r="AA76" s="128" t="n"/>
      <c r="AB76" s="128" t="n"/>
      <c r="AC76" s="128" t="n"/>
      <c r="AD76" s="128" t="n"/>
      <c r="AE76" s="128" t="n"/>
      <c r="AF76" s="128" t="n"/>
      <c r="AG76" s="128" t="n"/>
      <c r="AH76" s="128" t="n"/>
      <c r="AI76" s="128" t="n"/>
      <c r="AJ76" s="128" t="n"/>
      <c r="AK76" s="128" t="n"/>
      <c r="AL76" s="128" t="n"/>
      <c r="AM76" s="128" t="n"/>
      <c r="AN76" s="128" t="n"/>
      <c r="AO76" s="128" t="n"/>
      <c r="AP76" s="128" t="n"/>
      <c r="AQ76" s="128" t="n"/>
      <c r="AR76" s="128" t="n"/>
      <c r="AS76" s="128" t="n"/>
      <c r="AT76" s="128" t="n"/>
      <c r="AU76" s="128" t="n"/>
      <c r="AV76" s="128" t="n"/>
      <c r="AW76" s="128" t="n"/>
      <c r="AX76" s="128" t="n"/>
      <c r="AY76" s="128" t="n"/>
      <c r="AZ76" s="128" t="n"/>
      <c r="BA76" s="128" t="n"/>
      <c r="BB76" s="128" t="n"/>
      <c r="BC76" s="128" t="n"/>
      <c r="BD76" s="128" t="n"/>
      <c r="BE76" s="128" t="n"/>
      <c r="BF76" s="128" t="n"/>
      <c r="BG76" s="128" t="n"/>
      <c r="BH76" s="128" t="n"/>
      <c r="BI76" s="128" t="n"/>
      <c r="BJ76" s="128" t="n"/>
      <c r="BK76" s="128" t="n"/>
      <c r="BL76" s="128" t="n"/>
      <c r="BM76" s="128" t="n"/>
      <c r="BN76" s="128" t="n"/>
      <c r="BO76" s="128" t="n"/>
      <c r="BP76" s="128" t="n"/>
      <c r="BQ76" s="128" t="n"/>
      <c r="BR76" s="128" t="n"/>
      <c r="BS76" s="128" t="n"/>
      <c r="BT76" s="128" t="n"/>
      <c r="BU76" s="128" t="n"/>
      <c r="BV76" s="128" t="n"/>
      <c r="BW76" s="128" t="n"/>
    </row>
    <row r="77" ht="20" customHeight="1">
      <c r="B77" s="125" t="n">
        <v>71</v>
      </c>
      <c r="C77" s="72" t="n"/>
      <c r="D77" s="72" t="n"/>
      <c r="E77" s="72" t="n"/>
      <c r="F77" s="72" t="n"/>
      <c r="G77" s="89" t="n"/>
      <c r="H77" s="89" t="n"/>
      <c r="I77" s="108" t="n"/>
      <c r="J77" s="126">
        <f>IF(OR(D77="",ProjStart=""),"",MAX(ProjStart,IF(I77&lt;&gt;"",I77,0),IF(H77="",0,IFERROR(INDEX($L$6:L76,MATCH(H77,$B$6:B76,0))+1,0))))</f>
        <v/>
      </c>
      <c r="K77" s="89" t="n"/>
      <c r="L77" s="126">
        <f>IF(J77="","",J77+MAX(1,G77)+IF(K77="",0,K77)-1)</f>
        <v/>
      </c>
      <c r="M77" s="72" t="n"/>
      <c r="N77" s="108" t="n"/>
      <c r="O77" s="127">
        <f>IF(D77="","",COUNTIF($H$7:$H$156,B77))</f>
        <v/>
      </c>
      <c r="P77" s="78">
        <f>IF(D77="","",IF(AND(H77&lt;&gt;"",H77&gt;=B77),"⚠️ Predecessor must be above",IF(M77="Done","✓ Done",IF(Q77=3,"🔴 Late",IF(M77="In progress","In progress","")))))</f>
        <v/>
      </c>
      <c r="Q77" s="79">
        <f>IF(OR(D77="",L77=""),"",IF(M77="Done",2,IF(AsOf&gt;L77,3,1)))</f>
        <v/>
      </c>
      <c r="R77" s="79">
        <f>IF(OR(E77="",F77=""),0,IF(COUNTIFS($E$7:E77,E77,$F$7:F77,F77)=1,1,0))</f>
        <v/>
      </c>
      <c r="S77" s="79">
        <f>IF(R77=1,E77&amp;"|"&amp;SUMIFS($R$7:R77,$E$7:E77,E77),"")</f>
        <v/>
      </c>
      <c r="T77" s="111">
        <f>IF(Q77="","",IF(Q77=3,L77,IF(OR(M77="Not started",M77=""),J77,"")))</f>
        <v/>
      </c>
      <c r="U77" s="79">
        <f>IF(T77="","",IF(Q77=3,1,IF(T77="","",IF(T77&lt;AsOf,1,IF(T77&lt;=AsOf+AlertDays,2,IF(T77&lt;=AsOf+2*AlertDays,3,""))))))</f>
        <v/>
      </c>
      <c r="V77" s="79">
        <f>IF(U77="","",IF(Q77=3,"Late task: "&amp;D77,IF(T77&lt;AsOf,"Should have started: ","Starts soon: ")&amp;D77)&amp;IF(F77="",""," — "&amp;F77))</f>
        <v/>
      </c>
      <c r="X77" s="128" t="n"/>
      <c r="Y77" s="128" t="n"/>
      <c r="Z77" s="128" t="n"/>
      <c r="AA77" s="128" t="n"/>
      <c r="AB77" s="128" t="n"/>
      <c r="AC77" s="128" t="n"/>
      <c r="AD77" s="128" t="n"/>
      <c r="AE77" s="128" t="n"/>
      <c r="AF77" s="128" t="n"/>
      <c r="AG77" s="128" t="n"/>
      <c r="AH77" s="128" t="n"/>
      <c r="AI77" s="128" t="n"/>
      <c r="AJ77" s="128" t="n"/>
      <c r="AK77" s="128" t="n"/>
      <c r="AL77" s="128" t="n"/>
      <c r="AM77" s="128" t="n"/>
      <c r="AN77" s="128" t="n"/>
      <c r="AO77" s="128" t="n"/>
      <c r="AP77" s="128" t="n"/>
      <c r="AQ77" s="128" t="n"/>
      <c r="AR77" s="128" t="n"/>
      <c r="AS77" s="128" t="n"/>
      <c r="AT77" s="128" t="n"/>
      <c r="AU77" s="128" t="n"/>
      <c r="AV77" s="128" t="n"/>
      <c r="AW77" s="128" t="n"/>
      <c r="AX77" s="128" t="n"/>
      <c r="AY77" s="128" t="n"/>
      <c r="AZ77" s="128" t="n"/>
      <c r="BA77" s="128" t="n"/>
      <c r="BB77" s="128" t="n"/>
      <c r="BC77" s="128" t="n"/>
      <c r="BD77" s="128" t="n"/>
      <c r="BE77" s="128" t="n"/>
      <c r="BF77" s="128" t="n"/>
      <c r="BG77" s="128" t="n"/>
      <c r="BH77" s="128" t="n"/>
      <c r="BI77" s="128" t="n"/>
      <c r="BJ77" s="128" t="n"/>
      <c r="BK77" s="128" t="n"/>
      <c r="BL77" s="128" t="n"/>
      <c r="BM77" s="128" t="n"/>
      <c r="BN77" s="128" t="n"/>
      <c r="BO77" s="128" t="n"/>
      <c r="BP77" s="128" t="n"/>
      <c r="BQ77" s="128" t="n"/>
      <c r="BR77" s="128" t="n"/>
      <c r="BS77" s="128" t="n"/>
      <c r="BT77" s="128" t="n"/>
      <c r="BU77" s="128" t="n"/>
      <c r="BV77" s="128" t="n"/>
      <c r="BW77" s="128" t="n"/>
    </row>
    <row r="78" ht="20" customHeight="1">
      <c r="B78" s="125" t="n">
        <v>72</v>
      </c>
      <c r="C78" s="72" t="n"/>
      <c r="D78" s="72" t="n"/>
      <c r="E78" s="72" t="n"/>
      <c r="F78" s="72" t="n"/>
      <c r="G78" s="89" t="n"/>
      <c r="H78" s="89" t="n"/>
      <c r="I78" s="108" t="n"/>
      <c r="J78" s="126">
        <f>IF(OR(D78="",ProjStart=""),"",MAX(ProjStart,IF(I78&lt;&gt;"",I78,0),IF(H78="",0,IFERROR(INDEX($L$6:L77,MATCH(H78,$B$6:B77,0))+1,0))))</f>
        <v/>
      </c>
      <c r="K78" s="89" t="n"/>
      <c r="L78" s="126">
        <f>IF(J78="","",J78+MAX(1,G78)+IF(K78="",0,K78)-1)</f>
        <v/>
      </c>
      <c r="M78" s="72" t="n"/>
      <c r="N78" s="108" t="n"/>
      <c r="O78" s="127">
        <f>IF(D78="","",COUNTIF($H$7:$H$156,B78))</f>
        <v/>
      </c>
      <c r="P78" s="78">
        <f>IF(D78="","",IF(AND(H78&lt;&gt;"",H78&gt;=B78),"⚠️ Predecessor must be above",IF(M78="Done","✓ Done",IF(Q78=3,"🔴 Late",IF(M78="In progress","In progress","")))))</f>
        <v/>
      </c>
      <c r="Q78" s="79">
        <f>IF(OR(D78="",L78=""),"",IF(M78="Done",2,IF(AsOf&gt;L78,3,1)))</f>
        <v/>
      </c>
      <c r="R78" s="79">
        <f>IF(OR(E78="",F78=""),0,IF(COUNTIFS($E$7:E78,E78,$F$7:F78,F78)=1,1,0))</f>
        <v/>
      </c>
      <c r="S78" s="79">
        <f>IF(R78=1,E78&amp;"|"&amp;SUMIFS($R$7:R78,$E$7:E78,E78),"")</f>
        <v/>
      </c>
      <c r="T78" s="111">
        <f>IF(Q78="","",IF(Q78=3,L78,IF(OR(M78="Not started",M78=""),J78,"")))</f>
        <v/>
      </c>
      <c r="U78" s="79">
        <f>IF(T78="","",IF(Q78=3,1,IF(T78="","",IF(T78&lt;AsOf,1,IF(T78&lt;=AsOf+AlertDays,2,IF(T78&lt;=AsOf+2*AlertDays,3,""))))))</f>
        <v/>
      </c>
      <c r="V78" s="79">
        <f>IF(U78="","",IF(Q78=3,"Late task: "&amp;D78,IF(T78&lt;AsOf,"Should have started: ","Starts soon: ")&amp;D78)&amp;IF(F78="",""," — "&amp;F78))</f>
        <v/>
      </c>
      <c r="X78" s="128" t="n"/>
      <c r="Y78" s="128" t="n"/>
      <c r="Z78" s="128" t="n"/>
      <c r="AA78" s="128" t="n"/>
      <c r="AB78" s="128" t="n"/>
      <c r="AC78" s="128" t="n"/>
      <c r="AD78" s="128" t="n"/>
      <c r="AE78" s="128" t="n"/>
      <c r="AF78" s="128" t="n"/>
      <c r="AG78" s="128" t="n"/>
      <c r="AH78" s="128" t="n"/>
      <c r="AI78" s="128" t="n"/>
      <c r="AJ78" s="128" t="n"/>
      <c r="AK78" s="128" t="n"/>
      <c r="AL78" s="128" t="n"/>
      <c r="AM78" s="128" t="n"/>
      <c r="AN78" s="128" t="n"/>
      <c r="AO78" s="128" t="n"/>
      <c r="AP78" s="128" t="n"/>
      <c r="AQ78" s="128" t="n"/>
      <c r="AR78" s="128" t="n"/>
      <c r="AS78" s="128" t="n"/>
      <c r="AT78" s="128" t="n"/>
      <c r="AU78" s="128" t="n"/>
      <c r="AV78" s="128" t="n"/>
      <c r="AW78" s="128" t="n"/>
      <c r="AX78" s="128" t="n"/>
      <c r="AY78" s="128" t="n"/>
      <c r="AZ78" s="128" t="n"/>
      <c r="BA78" s="128" t="n"/>
      <c r="BB78" s="128" t="n"/>
      <c r="BC78" s="128" t="n"/>
      <c r="BD78" s="128" t="n"/>
      <c r="BE78" s="128" t="n"/>
      <c r="BF78" s="128" t="n"/>
      <c r="BG78" s="128" t="n"/>
      <c r="BH78" s="128" t="n"/>
      <c r="BI78" s="128" t="n"/>
      <c r="BJ78" s="128" t="n"/>
      <c r="BK78" s="128" t="n"/>
      <c r="BL78" s="128" t="n"/>
      <c r="BM78" s="128" t="n"/>
      <c r="BN78" s="128" t="n"/>
      <c r="BO78" s="128" t="n"/>
      <c r="BP78" s="128" t="n"/>
      <c r="BQ78" s="128" t="n"/>
      <c r="BR78" s="128" t="n"/>
      <c r="BS78" s="128" t="n"/>
      <c r="BT78" s="128" t="n"/>
      <c r="BU78" s="128" t="n"/>
      <c r="BV78" s="128" t="n"/>
      <c r="BW78" s="128" t="n"/>
    </row>
    <row r="79" ht="20" customHeight="1">
      <c r="B79" s="125" t="n">
        <v>73</v>
      </c>
      <c r="C79" s="72" t="n"/>
      <c r="D79" s="72" t="n"/>
      <c r="E79" s="72" t="n"/>
      <c r="F79" s="72" t="n"/>
      <c r="G79" s="89" t="n"/>
      <c r="H79" s="89" t="n"/>
      <c r="I79" s="108" t="n"/>
      <c r="J79" s="126">
        <f>IF(OR(D79="",ProjStart=""),"",MAX(ProjStart,IF(I79&lt;&gt;"",I79,0),IF(H79="",0,IFERROR(INDEX($L$6:L78,MATCH(H79,$B$6:B78,0))+1,0))))</f>
        <v/>
      </c>
      <c r="K79" s="89" t="n"/>
      <c r="L79" s="126">
        <f>IF(J79="","",J79+MAX(1,G79)+IF(K79="",0,K79)-1)</f>
        <v/>
      </c>
      <c r="M79" s="72" t="n"/>
      <c r="N79" s="108" t="n"/>
      <c r="O79" s="127">
        <f>IF(D79="","",COUNTIF($H$7:$H$156,B79))</f>
        <v/>
      </c>
      <c r="P79" s="78">
        <f>IF(D79="","",IF(AND(H79&lt;&gt;"",H79&gt;=B79),"⚠️ Predecessor must be above",IF(M79="Done","✓ Done",IF(Q79=3,"🔴 Late",IF(M79="In progress","In progress","")))))</f>
        <v/>
      </c>
      <c r="Q79" s="79">
        <f>IF(OR(D79="",L79=""),"",IF(M79="Done",2,IF(AsOf&gt;L79,3,1)))</f>
        <v/>
      </c>
      <c r="R79" s="79">
        <f>IF(OR(E79="",F79=""),0,IF(COUNTIFS($E$7:E79,E79,$F$7:F79,F79)=1,1,0))</f>
        <v/>
      </c>
      <c r="S79" s="79">
        <f>IF(R79=1,E79&amp;"|"&amp;SUMIFS($R$7:R79,$E$7:E79,E79),"")</f>
        <v/>
      </c>
      <c r="T79" s="111">
        <f>IF(Q79="","",IF(Q79=3,L79,IF(OR(M79="Not started",M79=""),J79,"")))</f>
        <v/>
      </c>
      <c r="U79" s="79">
        <f>IF(T79="","",IF(Q79=3,1,IF(T79="","",IF(T79&lt;AsOf,1,IF(T79&lt;=AsOf+AlertDays,2,IF(T79&lt;=AsOf+2*AlertDays,3,""))))))</f>
        <v/>
      </c>
      <c r="V79" s="79">
        <f>IF(U79="","",IF(Q79=3,"Late task: "&amp;D79,IF(T79&lt;AsOf,"Should have started: ","Starts soon: ")&amp;D79)&amp;IF(F79="",""," — "&amp;F79))</f>
        <v/>
      </c>
      <c r="X79" s="128" t="n"/>
      <c r="Y79" s="128" t="n"/>
      <c r="Z79" s="128" t="n"/>
      <c r="AA79" s="128" t="n"/>
      <c r="AB79" s="128" t="n"/>
      <c r="AC79" s="128" t="n"/>
      <c r="AD79" s="128" t="n"/>
      <c r="AE79" s="128" t="n"/>
      <c r="AF79" s="128" t="n"/>
      <c r="AG79" s="128" t="n"/>
      <c r="AH79" s="128" t="n"/>
      <c r="AI79" s="128" t="n"/>
      <c r="AJ79" s="128" t="n"/>
      <c r="AK79" s="128" t="n"/>
      <c r="AL79" s="128" t="n"/>
      <c r="AM79" s="128" t="n"/>
      <c r="AN79" s="128" t="n"/>
      <c r="AO79" s="128" t="n"/>
      <c r="AP79" s="128" t="n"/>
      <c r="AQ79" s="128" t="n"/>
      <c r="AR79" s="128" t="n"/>
      <c r="AS79" s="128" t="n"/>
      <c r="AT79" s="128" t="n"/>
      <c r="AU79" s="128" t="n"/>
      <c r="AV79" s="128" t="n"/>
      <c r="AW79" s="128" t="n"/>
      <c r="AX79" s="128" t="n"/>
      <c r="AY79" s="128" t="n"/>
      <c r="AZ79" s="128" t="n"/>
      <c r="BA79" s="128" t="n"/>
      <c r="BB79" s="128" t="n"/>
      <c r="BC79" s="128" t="n"/>
      <c r="BD79" s="128" t="n"/>
      <c r="BE79" s="128" t="n"/>
      <c r="BF79" s="128" t="n"/>
      <c r="BG79" s="128" t="n"/>
      <c r="BH79" s="128" t="n"/>
      <c r="BI79" s="128" t="n"/>
      <c r="BJ79" s="128" t="n"/>
      <c r="BK79" s="128" t="n"/>
      <c r="BL79" s="128" t="n"/>
      <c r="BM79" s="128" t="n"/>
      <c r="BN79" s="128" t="n"/>
      <c r="BO79" s="128" t="n"/>
      <c r="BP79" s="128" t="n"/>
      <c r="BQ79" s="128" t="n"/>
      <c r="BR79" s="128" t="n"/>
      <c r="BS79" s="128" t="n"/>
      <c r="BT79" s="128" t="n"/>
      <c r="BU79" s="128" t="n"/>
      <c r="BV79" s="128" t="n"/>
      <c r="BW79" s="128" t="n"/>
    </row>
    <row r="80" ht="20" customHeight="1">
      <c r="B80" s="125" t="n">
        <v>74</v>
      </c>
      <c r="C80" s="72" t="n"/>
      <c r="D80" s="72" t="n"/>
      <c r="E80" s="72" t="n"/>
      <c r="F80" s="72" t="n"/>
      <c r="G80" s="89" t="n"/>
      <c r="H80" s="89" t="n"/>
      <c r="I80" s="108" t="n"/>
      <c r="J80" s="126">
        <f>IF(OR(D80="",ProjStart=""),"",MAX(ProjStart,IF(I80&lt;&gt;"",I80,0),IF(H80="",0,IFERROR(INDEX($L$6:L79,MATCH(H80,$B$6:B79,0))+1,0))))</f>
        <v/>
      </c>
      <c r="K80" s="89" t="n"/>
      <c r="L80" s="126">
        <f>IF(J80="","",J80+MAX(1,G80)+IF(K80="",0,K80)-1)</f>
        <v/>
      </c>
      <c r="M80" s="72" t="n"/>
      <c r="N80" s="108" t="n"/>
      <c r="O80" s="127">
        <f>IF(D80="","",COUNTIF($H$7:$H$156,B80))</f>
        <v/>
      </c>
      <c r="P80" s="78">
        <f>IF(D80="","",IF(AND(H80&lt;&gt;"",H80&gt;=B80),"⚠️ Predecessor must be above",IF(M80="Done","✓ Done",IF(Q80=3,"🔴 Late",IF(M80="In progress","In progress","")))))</f>
        <v/>
      </c>
      <c r="Q80" s="79">
        <f>IF(OR(D80="",L80=""),"",IF(M80="Done",2,IF(AsOf&gt;L80,3,1)))</f>
        <v/>
      </c>
      <c r="R80" s="79">
        <f>IF(OR(E80="",F80=""),0,IF(COUNTIFS($E$7:E80,E80,$F$7:F80,F80)=1,1,0))</f>
        <v/>
      </c>
      <c r="S80" s="79">
        <f>IF(R80=1,E80&amp;"|"&amp;SUMIFS($R$7:R80,$E$7:E80,E80),"")</f>
        <v/>
      </c>
      <c r="T80" s="111">
        <f>IF(Q80="","",IF(Q80=3,L80,IF(OR(M80="Not started",M80=""),J80,"")))</f>
        <v/>
      </c>
      <c r="U80" s="79">
        <f>IF(T80="","",IF(Q80=3,1,IF(T80="","",IF(T80&lt;AsOf,1,IF(T80&lt;=AsOf+AlertDays,2,IF(T80&lt;=AsOf+2*AlertDays,3,""))))))</f>
        <v/>
      </c>
      <c r="V80" s="79">
        <f>IF(U80="","",IF(Q80=3,"Late task: "&amp;D80,IF(T80&lt;AsOf,"Should have started: ","Starts soon: ")&amp;D80)&amp;IF(F80="",""," — "&amp;F80))</f>
        <v/>
      </c>
      <c r="X80" s="128" t="n"/>
      <c r="Y80" s="128" t="n"/>
      <c r="Z80" s="128" t="n"/>
      <c r="AA80" s="128" t="n"/>
      <c r="AB80" s="128" t="n"/>
      <c r="AC80" s="128" t="n"/>
      <c r="AD80" s="128" t="n"/>
      <c r="AE80" s="128" t="n"/>
      <c r="AF80" s="128" t="n"/>
      <c r="AG80" s="128" t="n"/>
      <c r="AH80" s="128" t="n"/>
      <c r="AI80" s="128" t="n"/>
      <c r="AJ80" s="128" t="n"/>
      <c r="AK80" s="128" t="n"/>
      <c r="AL80" s="128" t="n"/>
      <c r="AM80" s="128" t="n"/>
      <c r="AN80" s="128" t="n"/>
      <c r="AO80" s="128" t="n"/>
      <c r="AP80" s="128" t="n"/>
      <c r="AQ80" s="128" t="n"/>
      <c r="AR80" s="128" t="n"/>
      <c r="AS80" s="128" t="n"/>
      <c r="AT80" s="128" t="n"/>
      <c r="AU80" s="128" t="n"/>
      <c r="AV80" s="128" t="n"/>
      <c r="AW80" s="128" t="n"/>
      <c r="AX80" s="128" t="n"/>
      <c r="AY80" s="128" t="n"/>
      <c r="AZ80" s="128" t="n"/>
      <c r="BA80" s="128" t="n"/>
      <c r="BB80" s="128" t="n"/>
      <c r="BC80" s="128" t="n"/>
      <c r="BD80" s="128" t="n"/>
      <c r="BE80" s="128" t="n"/>
      <c r="BF80" s="128" t="n"/>
      <c r="BG80" s="128" t="n"/>
      <c r="BH80" s="128" t="n"/>
      <c r="BI80" s="128" t="n"/>
      <c r="BJ80" s="128" t="n"/>
      <c r="BK80" s="128" t="n"/>
      <c r="BL80" s="128" t="n"/>
      <c r="BM80" s="128" t="n"/>
      <c r="BN80" s="128" t="n"/>
      <c r="BO80" s="128" t="n"/>
      <c r="BP80" s="128" t="n"/>
      <c r="BQ80" s="128" t="n"/>
      <c r="BR80" s="128" t="n"/>
      <c r="BS80" s="128" t="n"/>
      <c r="BT80" s="128" t="n"/>
      <c r="BU80" s="128" t="n"/>
      <c r="BV80" s="128" t="n"/>
      <c r="BW80" s="128" t="n"/>
    </row>
    <row r="81" ht="20" customHeight="1">
      <c r="B81" s="125" t="n">
        <v>75</v>
      </c>
      <c r="C81" s="72" t="n"/>
      <c r="D81" s="72" t="n"/>
      <c r="E81" s="72" t="n"/>
      <c r="F81" s="72" t="n"/>
      <c r="G81" s="89" t="n"/>
      <c r="H81" s="89" t="n"/>
      <c r="I81" s="108" t="n"/>
      <c r="J81" s="126">
        <f>IF(OR(D81="",ProjStart=""),"",MAX(ProjStart,IF(I81&lt;&gt;"",I81,0),IF(H81="",0,IFERROR(INDEX($L$6:L80,MATCH(H81,$B$6:B80,0))+1,0))))</f>
        <v/>
      </c>
      <c r="K81" s="89" t="n"/>
      <c r="L81" s="126">
        <f>IF(J81="","",J81+MAX(1,G81)+IF(K81="",0,K81)-1)</f>
        <v/>
      </c>
      <c r="M81" s="72" t="n"/>
      <c r="N81" s="108" t="n"/>
      <c r="O81" s="127">
        <f>IF(D81="","",COUNTIF($H$7:$H$156,B81))</f>
        <v/>
      </c>
      <c r="P81" s="78">
        <f>IF(D81="","",IF(AND(H81&lt;&gt;"",H81&gt;=B81),"⚠️ Predecessor must be above",IF(M81="Done","✓ Done",IF(Q81=3,"🔴 Late",IF(M81="In progress","In progress","")))))</f>
        <v/>
      </c>
      <c r="Q81" s="79">
        <f>IF(OR(D81="",L81=""),"",IF(M81="Done",2,IF(AsOf&gt;L81,3,1)))</f>
        <v/>
      </c>
      <c r="R81" s="79">
        <f>IF(OR(E81="",F81=""),0,IF(COUNTIFS($E$7:E81,E81,$F$7:F81,F81)=1,1,0))</f>
        <v/>
      </c>
      <c r="S81" s="79">
        <f>IF(R81=1,E81&amp;"|"&amp;SUMIFS($R$7:R81,$E$7:E81,E81),"")</f>
        <v/>
      </c>
      <c r="T81" s="111">
        <f>IF(Q81="","",IF(Q81=3,L81,IF(OR(M81="Not started",M81=""),J81,"")))</f>
        <v/>
      </c>
      <c r="U81" s="79">
        <f>IF(T81="","",IF(Q81=3,1,IF(T81="","",IF(T81&lt;AsOf,1,IF(T81&lt;=AsOf+AlertDays,2,IF(T81&lt;=AsOf+2*AlertDays,3,""))))))</f>
        <v/>
      </c>
      <c r="V81" s="79">
        <f>IF(U81="","",IF(Q81=3,"Late task: "&amp;D81,IF(T81&lt;AsOf,"Should have started: ","Starts soon: ")&amp;D81)&amp;IF(F81="",""," — "&amp;F81))</f>
        <v/>
      </c>
      <c r="X81" s="128" t="n"/>
      <c r="Y81" s="128" t="n"/>
      <c r="Z81" s="128" t="n"/>
      <c r="AA81" s="128" t="n"/>
      <c r="AB81" s="128" t="n"/>
      <c r="AC81" s="128" t="n"/>
      <c r="AD81" s="128" t="n"/>
      <c r="AE81" s="128" t="n"/>
      <c r="AF81" s="128" t="n"/>
      <c r="AG81" s="128" t="n"/>
      <c r="AH81" s="128" t="n"/>
      <c r="AI81" s="128" t="n"/>
      <c r="AJ81" s="128" t="n"/>
      <c r="AK81" s="128" t="n"/>
      <c r="AL81" s="128" t="n"/>
      <c r="AM81" s="128" t="n"/>
      <c r="AN81" s="128" t="n"/>
      <c r="AO81" s="128" t="n"/>
      <c r="AP81" s="128" t="n"/>
      <c r="AQ81" s="128" t="n"/>
      <c r="AR81" s="128" t="n"/>
      <c r="AS81" s="128" t="n"/>
      <c r="AT81" s="128" t="n"/>
      <c r="AU81" s="128" t="n"/>
      <c r="AV81" s="128" t="n"/>
      <c r="AW81" s="128" t="n"/>
      <c r="AX81" s="128" t="n"/>
      <c r="AY81" s="128" t="n"/>
      <c r="AZ81" s="128" t="n"/>
      <c r="BA81" s="128" t="n"/>
      <c r="BB81" s="128" t="n"/>
      <c r="BC81" s="128" t="n"/>
      <c r="BD81" s="128" t="n"/>
      <c r="BE81" s="128" t="n"/>
      <c r="BF81" s="128" t="n"/>
      <c r="BG81" s="128" t="n"/>
      <c r="BH81" s="128" t="n"/>
      <c r="BI81" s="128" t="n"/>
      <c r="BJ81" s="128" t="n"/>
      <c r="BK81" s="128" t="n"/>
      <c r="BL81" s="128" t="n"/>
      <c r="BM81" s="128" t="n"/>
      <c r="BN81" s="128" t="n"/>
      <c r="BO81" s="128" t="n"/>
      <c r="BP81" s="128" t="n"/>
      <c r="BQ81" s="128" t="n"/>
      <c r="BR81" s="128" t="n"/>
      <c r="BS81" s="128" t="n"/>
      <c r="BT81" s="128" t="n"/>
      <c r="BU81" s="128" t="n"/>
      <c r="BV81" s="128" t="n"/>
      <c r="BW81" s="128" t="n"/>
    </row>
    <row r="82" ht="20" customHeight="1">
      <c r="B82" s="125" t="n">
        <v>76</v>
      </c>
      <c r="C82" s="72" t="n"/>
      <c r="D82" s="72" t="n"/>
      <c r="E82" s="72" t="n"/>
      <c r="F82" s="72" t="n"/>
      <c r="G82" s="89" t="n"/>
      <c r="H82" s="89" t="n"/>
      <c r="I82" s="108" t="n"/>
      <c r="J82" s="126">
        <f>IF(OR(D82="",ProjStart=""),"",MAX(ProjStart,IF(I82&lt;&gt;"",I82,0),IF(H82="",0,IFERROR(INDEX($L$6:L81,MATCH(H82,$B$6:B81,0))+1,0))))</f>
        <v/>
      </c>
      <c r="K82" s="89" t="n"/>
      <c r="L82" s="126">
        <f>IF(J82="","",J82+MAX(1,G82)+IF(K82="",0,K82)-1)</f>
        <v/>
      </c>
      <c r="M82" s="72" t="n"/>
      <c r="N82" s="108" t="n"/>
      <c r="O82" s="127">
        <f>IF(D82="","",COUNTIF($H$7:$H$156,B82))</f>
        <v/>
      </c>
      <c r="P82" s="78">
        <f>IF(D82="","",IF(AND(H82&lt;&gt;"",H82&gt;=B82),"⚠️ Predecessor must be above",IF(M82="Done","✓ Done",IF(Q82=3,"🔴 Late",IF(M82="In progress","In progress","")))))</f>
        <v/>
      </c>
      <c r="Q82" s="79">
        <f>IF(OR(D82="",L82=""),"",IF(M82="Done",2,IF(AsOf&gt;L82,3,1)))</f>
        <v/>
      </c>
      <c r="R82" s="79">
        <f>IF(OR(E82="",F82=""),0,IF(COUNTIFS($E$7:E82,E82,$F$7:F82,F82)=1,1,0))</f>
        <v/>
      </c>
      <c r="S82" s="79">
        <f>IF(R82=1,E82&amp;"|"&amp;SUMIFS($R$7:R82,$E$7:E82,E82),"")</f>
        <v/>
      </c>
      <c r="T82" s="111">
        <f>IF(Q82="","",IF(Q82=3,L82,IF(OR(M82="Not started",M82=""),J82,"")))</f>
        <v/>
      </c>
      <c r="U82" s="79">
        <f>IF(T82="","",IF(Q82=3,1,IF(T82="","",IF(T82&lt;AsOf,1,IF(T82&lt;=AsOf+AlertDays,2,IF(T82&lt;=AsOf+2*AlertDays,3,""))))))</f>
        <v/>
      </c>
      <c r="V82" s="79">
        <f>IF(U82="","",IF(Q82=3,"Late task: "&amp;D82,IF(T82&lt;AsOf,"Should have started: ","Starts soon: ")&amp;D82)&amp;IF(F82="",""," — "&amp;F82))</f>
        <v/>
      </c>
      <c r="X82" s="128" t="n"/>
      <c r="Y82" s="128" t="n"/>
      <c r="Z82" s="128" t="n"/>
      <c r="AA82" s="128" t="n"/>
      <c r="AB82" s="128" t="n"/>
      <c r="AC82" s="128" t="n"/>
      <c r="AD82" s="128" t="n"/>
      <c r="AE82" s="128" t="n"/>
      <c r="AF82" s="128" t="n"/>
      <c r="AG82" s="128" t="n"/>
      <c r="AH82" s="128" t="n"/>
      <c r="AI82" s="128" t="n"/>
      <c r="AJ82" s="128" t="n"/>
      <c r="AK82" s="128" t="n"/>
      <c r="AL82" s="128" t="n"/>
      <c r="AM82" s="128" t="n"/>
      <c r="AN82" s="128" t="n"/>
      <c r="AO82" s="128" t="n"/>
      <c r="AP82" s="128" t="n"/>
      <c r="AQ82" s="128" t="n"/>
      <c r="AR82" s="128" t="n"/>
      <c r="AS82" s="128" t="n"/>
      <c r="AT82" s="128" t="n"/>
      <c r="AU82" s="128" t="n"/>
      <c r="AV82" s="128" t="n"/>
      <c r="AW82" s="128" t="n"/>
      <c r="AX82" s="128" t="n"/>
      <c r="AY82" s="128" t="n"/>
      <c r="AZ82" s="128" t="n"/>
      <c r="BA82" s="128" t="n"/>
      <c r="BB82" s="128" t="n"/>
      <c r="BC82" s="128" t="n"/>
      <c r="BD82" s="128" t="n"/>
      <c r="BE82" s="128" t="n"/>
      <c r="BF82" s="128" t="n"/>
      <c r="BG82" s="128" t="n"/>
      <c r="BH82" s="128" t="n"/>
      <c r="BI82" s="128" t="n"/>
      <c r="BJ82" s="128" t="n"/>
      <c r="BK82" s="128" t="n"/>
      <c r="BL82" s="128" t="n"/>
      <c r="BM82" s="128" t="n"/>
      <c r="BN82" s="128" t="n"/>
      <c r="BO82" s="128" t="n"/>
      <c r="BP82" s="128" t="n"/>
      <c r="BQ82" s="128" t="n"/>
      <c r="BR82" s="128" t="n"/>
      <c r="BS82" s="128" t="n"/>
      <c r="BT82" s="128" t="n"/>
      <c r="BU82" s="128" t="n"/>
      <c r="BV82" s="128" t="n"/>
      <c r="BW82" s="128" t="n"/>
    </row>
    <row r="83" ht="20" customHeight="1">
      <c r="B83" s="125" t="n">
        <v>77</v>
      </c>
      <c r="C83" s="72" t="n"/>
      <c r="D83" s="72" t="n"/>
      <c r="E83" s="72" t="n"/>
      <c r="F83" s="72" t="n"/>
      <c r="G83" s="89" t="n"/>
      <c r="H83" s="89" t="n"/>
      <c r="I83" s="108" t="n"/>
      <c r="J83" s="126">
        <f>IF(OR(D83="",ProjStart=""),"",MAX(ProjStart,IF(I83&lt;&gt;"",I83,0),IF(H83="",0,IFERROR(INDEX($L$6:L82,MATCH(H83,$B$6:B82,0))+1,0))))</f>
        <v/>
      </c>
      <c r="K83" s="89" t="n"/>
      <c r="L83" s="126">
        <f>IF(J83="","",J83+MAX(1,G83)+IF(K83="",0,K83)-1)</f>
        <v/>
      </c>
      <c r="M83" s="72" t="n"/>
      <c r="N83" s="108" t="n"/>
      <c r="O83" s="127">
        <f>IF(D83="","",COUNTIF($H$7:$H$156,B83))</f>
        <v/>
      </c>
      <c r="P83" s="78">
        <f>IF(D83="","",IF(AND(H83&lt;&gt;"",H83&gt;=B83),"⚠️ Predecessor must be above",IF(M83="Done","✓ Done",IF(Q83=3,"🔴 Late",IF(M83="In progress","In progress","")))))</f>
        <v/>
      </c>
      <c r="Q83" s="79">
        <f>IF(OR(D83="",L83=""),"",IF(M83="Done",2,IF(AsOf&gt;L83,3,1)))</f>
        <v/>
      </c>
      <c r="R83" s="79">
        <f>IF(OR(E83="",F83=""),0,IF(COUNTIFS($E$7:E83,E83,$F$7:F83,F83)=1,1,0))</f>
        <v/>
      </c>
      <c r="S83" s="79">
        <f>IF(R83=1,E83&amp;"|"&amp;SUMIFS($R$7:R83,$E$7:E83,E83),"")</f>
        <v/>
      </c>
      <c r="T83" s="111">
        <f>IF(Q83="","",IF(Q83=3,L83,IF(OR(M83="Not started",M83=""),J83,"")))</f>
        <v/>
      </c>
      <c r="U83" s="79">
        <f>IF(T83="","",IF(Q83=3,1,IF(T83="","",IF(T83&lt;AsOf,1,IF(T83&lt;=AsOf+AlertDays,2,IF(T83&lt;=AsOf+2*AlertDays,3,""))))))</f>
        <v/>
      </c>
      <c r="V83" s="79">
        <f>IF(U83="","",IF(Q83=3,"Late task: "&amp;D83,IF(T83&lt;AsOf,"Should have started: ","Starts soon: ")&amp;D83)&amp;IF(F83="",""," — "&amp;F83))</f>
        <v/>
      </c>
      <c r="X83" s="128" t="n"/>
      <c r="Y83" s="128" t="n"/>
      <c r="Z83" s="128" t="n"/>
      <c r="AA83" s="128" t="n"/>
      <c r="AB83" s="128" t="n"/>
      <c r="AC83" s="128" t="n"/>
      <c r="AD83" s="128" t="n"/>
      <c r="AE83" s="128" t="n"/>
      <c r="AF83" s="128" t="n"/>
      <c r="AG83" s="128" t="n"/>
      <c r="AH83" s="128" t="n"/>
      <c r="AI83" s="128" t="n"/>
      <c r="AJ83" s="128" t="n"/>
      <c r="AK83" s="128" t="n"/>
      <c r="AL83" s="128" t="n"/>
      <c r="AM83" s="128" t="n"/>
      <c r="AN83" s="128" t="n"/>
      <c r="AO83" s="128" t="n"/>
      <c r="AP83" s="128" t="n"/>
      <c r="AQ83" s="128" t="n"/>
      <c r="AR83" s="128" t="n"/>
      <c r="AS83" s="128" t="n"/>
      <c r="AT83" s="128" t="n"/>
      <c r="AU83" s="128" t="n"/>
      <c r="AV83" s="128" t="n"/>
      <c r="AW83" s="128" t="n"/>
      <c r="AX83" s="128" t="n"/>
      <c r="AY83" s="128" t="n"/>
      <c r="AZ83" s="128" t="n"/>
      <c r="BA83" s="128" t="n"/>
      <c r="BB83" s="128" t="n"/>
      <c r="BC83" s="128" t="n"/>
      <c r="BD83" s="128" t="n"/>
      <c r="BE83" s="128" t="n"/>
      <c r="BF83" s="128" t="n"/>
      <c r="BG83" s="128" t="n"/>
      <c r="BH83" s="128" t="n"/>
      <c r="BI83" s="128" t="n"/>
      <c r="BJ83" s="128" t="n"/>
      <c r="BK83" s="128" t="n"/>
      <c r="BL83" s="128" t="n"/>
      <c r="BM83" s="128" t="n"/>
      <c r="BN83" s="128" t="n"/>
      <c r="BO83" s="128" t="n"/>
      <c r="BP83" s="128" t="n"/>
      <c r="BQ83" s="128" t="n"/>
      <c r="BR83" s="128" t="n"/>
      <c r="BS83" s="128" t="n"/>
      <c r="BT83" s="128" t="n"/>
      <c r="BU83" s="128" t="n"/>
      <c r="BV83" s="128" t="n"/>
      <c r="BW83" s="128" t="n"/>
    </row>
    <row r="84" ht="20" customHeight="1">
      <c r="B84" s="125" t="n">
        <v>78</v>
      </c>
      <c r="C84" s="72" t="n"/>
      <c r="D84" s="72" t="n"/>
      <c r="E84" s="72" t="n"/>
      <c r="F84" s="72" t="n"/>
      <c r="G84" s="89" t="n"/>
      <c r="H84" s="89" t="n"/>
      <c r="I84" s="108" t="n"/>
      <c r="J84" s="126">
        <f>IF(OR(D84="",ProjStart=""),"",MAX(ProjStart,IF(I84&lt;&gt;"",I84,0),IF(H84="",0,IFERROR(INDEX($L$6:L83,MATCH(H84,$B$6:B83,0))+1,0))))</f>
        <v/>
      </c>
      <c r="K84" s="89" t="n"/>
      <c r="L84" s="126">
        <f>IF(J84="","",J84+MAX(1,G84)+IF(K84="",0,K84)-1)</f>
        <v/>
      </c>
      <c r="M84" s="72" t="n"/>
      <c r="N84" s="108" t="n"/>
      <c r="O84" s="127">
        <f>IF(D84="","",COUNTIF($H$7:$H$156,B84))</f>
        <v/>
      </c>
      <c r="P84" s="78">
        <f>IF(D84="","",IF(AND(H84&lt;&gt;"",H84&gt;=B84),"⚠️ Predecessor must be above",IF(M84="Done","✓ Done",IF(Q84=3,"🔴 Late",IF(M84="In progress","In progress","")))))</f>
        <v/>
      </c>
      <c r="Q84" s="79">
        <f>IF(OR(D84="",L84=""),"",IF(M84="Done",2,IF(AsOf&gt;L84,3,1)))</f>
        <v/>
      </c>
      <c r="R84" s="79">
        <f>IF(OR(E84="",F84=""),0,IF(COUNTIFS($E$7:E84,E84,$F$7:F84,F84)=1,1,0))</f>
        <v/>
      </c>
      <c r="S84" s="79">
        <f>IF(R84=1,E84&amp;"|"&amp;SUMIFS($R$7:R84,$E$7:E84,E84),"")</f>
        <v/>
      </c>
      <c r="T84" s="111">
        <f>IF(Q84="","",IF(Q84=3,L84,IF(OR(M84="Not started",M84=""),J84,"")))</f>
        <v/>
      </c>
      <c r="U84" s="79">
        <f>IF(T84="","",IF(Q84=3,1,IF(T84="","",IF(T84&lt;AsOf,1,IF(T84&lt;=AsOf+AlertDays,2,IF(T84&lt;=AsOf+2*AlertDays,3,""))))))</f>
        <v/>
      </c>
      <c r="V84" s="79">
        <f>IF(U84="","",IF(Q84=3,"Late task: "&amp;D84,IF(T84&lt;AsOf,"Should have started: ","Starts soon: ")&amp;D84)&amp;IF(F84="",""," — "&amp;F84))</f>
        <v/>
      </c>
      <c r="X84" s="128" t="n"/>
      <c r="Y84" s="128" t="n"/>
      <c r="Z84" s="128" t="n"/>
      <c r="AA84" s="128" t="n"/>
      <c r="AB84" s="128" t="n"/>
      <c r="AC84" s="128" t="n"/>
      <c r="AD84" s="128" t="n"/>
      <c r="AE84" s="128" t="n"/>
      <c r="AF84" s="128" t="n"/>
      <c r="AG84" s="128" t="n"/>
      <c r="AH84" s="128" t="n"/>
      <c r="AI84" s="128" t="n"/>
      <c r="AJ84" s="128" t="n"/>
      <c r="AK84" s="128" t="n"/>
      <c r="AL84" s="128" t="n"/>
      <c r="AM84" s="128" t="n"/>
      <c r="AN84" s="128" t="n"/>
      <c r="AO84" s="128" t="n"/>
      <c r="AP84" s="128" t="n"/>
      <c r="AQ84" s="128" t="n"/>
      <c r="AR84" s="128" t="n"/>
      <c r="AS84" s="128" t="n"/>
      <c r="AT84" s="128" t="n"/>
      <c r="AU84" s="128" t="n"/>
      <c r="AV84" s="128" t="n"/>
      <c r="AW84" s="128" t="n"/>
      <c r="AX84" s="128" t="n"/>
      <c r="AY84" s="128" t="n"/>
      <c r="AZ84" s="128" t="n"/>
      <c r="BA84" s="128" t="n"/>
      <c r="BB84" s="128" t="n"/>
      <c r="BC84" s="128" t="n"/>
      <c r="BD84" s="128" t="n"/>
      <c r="BE84" s="128" t="n"/>
      <c r="BF84" s="128" t="n"/>
      <c r="BG84" s="128" t="n"/>
      <c r="BH84" s="128" t="n"/>
      <c r="BI84" s="128" t="n"/>
      <c r="BJ84" s="128" t="n"/>
      <c r="BK84" s="128" t="n"/>
      <c r="BL84" s="128" t="n"/>
      <c r="BM84" s="128" t="n"/>
      <c r="BN84" s="128" t="n"/>
      <c r="BO84" s="128" t="n"/>
      <c r="BP84" s="128" t="n"/>
      <c r="BQ84" s="128" t="n"/>
      <c r="BR84" s="128" t="n"/>
      <c r="BS84" s="128" t="n"/>
      <c r="BT84" s="128" t="n"/>
      <c r="BU84" s="128" t="n"/>
      <c r="BV84" s="128" t="n"/>
      <c r="BW84" s="128" t="n"/>
    </row>
    <row r="85" ht="20" customHeight="1">
      <c r="B85" s="125" t="n">
        <v>79</v>
      </c>
      <c r="C85" s="72" t="n"/>
      <c r="D85" s="72" t="n"/>
      <c r="E85" s="72" t="n"/>
      <c r="F85" s="72" t="n"/>
      <c r="G85" s="89" t="n"/>
      <c r="H85" s="89" t="n"/>
      <c r="I85" s="108" t="n"/>
      <c r="J85" s="126">
        <f>IF(OR(D85="",ProjStart=""),"",MAX(ProjStart,IF(I85&lt;&gt;"",I85,0),IF(H85="",0,IFERROR(INDEX($L$6:L84,MATCH(H85,$B$6:B84,0))+1,0))))</f>
        <v/>
      </c>
      <c r="K85" s="89" t="n"/>
      <c r="L85" s="126">
        <f>IF(J85="","",J85+MAX(1,G85)+IF(K85="",0,K85)-1)</f>
        <v/>
      </c>
      <c r="M85" s="72" t="n"/>
      <c r="N85" s="108" t="n"/>
      <c r="O85" s="127">
        <f>IF(D85="","",COUNTIF($H$7:$H$156,B85))</f>
        <v/>
      </c>
      <c r="P85" s="78">
        <f>IF(D85="","",IF(AND(H85&lt;&gt;"",H85&gt;=B85),"⚠️ Predecessor must be above",IF(M85="Done","✓ Done",IF(Q85=3,"🔴 Late",IF(M85="In progress","In progress","")))))</f>
        <v/>
      </c>
      <c r="Q85" s="79">
        <f>IF(OR(D85="",L85=""),"",IF(M85="Done",2,IF(AsOf&gt;L85,3,1)))</f>
        <v/>
      </c>
      <c r="R85" s="79">
        <f>IF(OR(E85="",F85=""),0,IF(COUNTIFS($E$7:E85,E85,$F$7:F85,F85)=1,1,0))</f>
        <v/>
      </c>
      <c r="S85" s="79">
        <f>IF(R85=1,E85&amp;"|"&amp;SUMIFS($R$7:R85,$E$7:E85,E85),"")</f>
        <v/>
      </c>
      <c r="T85" s="111">
        <f>IF(Q85="","",IF(Q85=3,L85,IF(OR(M85="Not started",M85=""),J85,"")))</f>
        <v/>
      </c>
      <c r="U85" s="79">
        <f>IF(T85="","",IF(Q85=3,1,IF(T85="","",IF(T85&lt;AsOf,1,IF(T85&lt;=AsOf+AlertDays,2,IF(T85&lt;=AsOf+2*AlertDays,3,""))))))</f>
        <v/>
      </c>
      <c r="V85" s="79">
        <f>IF(U85="","",IF(Q85=3,"Late task: "&amp;D85,IF(T85&lt;AsOf,"Should have started: ","Starts soon: ")&amp;D85)&amp;IF(F85="",""," — "&amp;F85))</f>
        <v/>
      </c>
      <c r="X85" s="128" t="n"/>
      <c r="Y85" s="128" t="n"/>
      <c r="Z85" s="128" t="n"/>
      <c r="AA85" s="128" t="n"/>
      <c r="AB85" s="128" t="n"/>
      <c r="AC85" s="128" t="n"/>
      <c r="AD85" s="128" t="n"/>
      <c r="AE85" s="128" t="n"/>
      <c r="AF85" s="128" t="n"/>
      <c r="AG85" s="128" t="n"/>
      <c r="AH85" s="128" t="n"/>
      <c r="AI85" s="128" t="n"/>
      <c r="AJ85" s="128" t="n"/>
      <c r="AK85" s="128" t="n"/>
      <c r="AL85" s="128" t="n"/>
      <c r="AM85" s="128" t="n"/>
      <c r="AN85" s="128" t="n"/>
      <c r="AO85" s="128" t="n"/>
      <c r="AP85" s="128" t="n"/>
      <c r="AQ85" s="128" t="n"/>
      <c r="AR85" s="128" t="n"/>
      <c r="AS85" s="128" t="n"/>
      <c r="AT85" s="128" t="n"/>
      <c r="AU85" s="128" t="n"/>
      <c r="AV85" s="128" t="n"/>
      <c r="AW85" s="128" t="n"/>
      <c r="AX85" s="128" t="n"/>
      <c r="AY85" s="128" t="n"/>
      <c r="AZ85" s="128" t="n"/>
      <c r="BA85" s="128" t="n"/>
      <c r="BB85" s="128" t="n"/>
      <c r="BC85" s="128" t="n"/>
      <c r="BD85" s="128" t="n"/>
      <c r="BE85" s="128" t="n"/>
      <c r="BF85" s="128" t="n"/>
      <c r="BG85" s="128" t="n"/>
      <c r="BH85" s="128" t="n"/>
      <c r="BI85" s="128" t="n"/>
      <c r="BJ85" s="128" t="n"/>
      <c r="BK85" s="128" t="n"/>
      <c r="BL85" s="128" t="n"/>
      <c r="BM85" s="128" t="n"/>
      <c r="BN85" s="128" t="n"/>
      <c r="BO85" s="128" t="n"/>
      <c r="BP85" s="128" t="n"/>
      <c r="BQ85" s="128" t="n"/>
      <c r="BR85" s="128" t="n"/>
      <c r="BS85" s="128" t="n"/>
      <c r="BT85" s="128" t="n"/>
      <c r="BU85" s="128" t="n"/>
      <c r="BV85" s="128" t="n"/>
      <c r="BW85" s="128" t="n"/>
    </row>
    <row r="86" ht="20" customHeight="1">
      <c r="B86" s="125" t="n">
        <v>80</v>
      </c>
      <c r="C86" s="72" t="n"/>
      <c r="D86" s="72" t="n"/>
      <c r="E86" s="72" t="n"/>
      <c r="F86" s="72" t="n"/>
      <c r="G86" s="89" t="n"/>
      <c r="H86" s="89" t="n"/>
      <c r="I86" s="108" t="n"/>
      <c r="J86" s="126">
        <f>IF(OR(D86="",ProjStart=""),"",MAX(ProjStart,IF(I86&lt;&gt;"",I86,0),IF(H86="",0,IFERROR(INDEX($L$6:L85,MATCH(H86,$B$6:B85,0))+1,0))))</f>
        <v/>
      </c>
      <c r="K86" s="89" t="n"/>
      <c r="L86" s="126">
        <f>IF(J86="","",J86+MAX(1,G86)+IF(K86="",0,K86)-1)</f>
        <v/>
      </c>
      <c r="M86" s="72" t="n"/>
      <c r="N86" s="108" t="n"/>
      <c r="O86" s="127">
        <f>IF(D86="","",COUNTIF($H$7:$H$156,B86))</f>
        <v/>
      </c>
      <c r="P86" s="78">
        <f>IF(D86="","",IF(AND(H86&lt;&gt;"",H86&gt;=B86),"⚠️ Predecessor must be above",IF(M86="Done","✓ Done",IF(Q86=3,"🔴 Late",IF(M86="In progress","In progress","")))))</f>
        <v/>
      </c>
      <c r="Q86" s="79">
        <f>IF(OR(D86="",L86=""),"",IF(M86="Done",2,IF(AsOf&gt;L86,3,1)))</f>
        <v/>
      </c>
      <c r="R86" s="79">
        <f>IF(OR(E86="",F86=""),0,IF(COUNTIFS($E$7:E86,E86,$F$7:F86,F86)=1,1,0))</f>
        <v/>
      </c>
      <c r="S86" s="79">
        <f>IF(R86=1,E86&amp;"|"&amp;SUMIFS($R$7:R86,$E$7:E86,E86),"")</f>
        <v/>
      </c>
      <c r="T86" s="111">
        <f>IF(Q86="","",IF(Q86=3,L86,IF(OR(M86="Not started",M86=""),J86,"")))</f>
        <v/>
      </c>
      <c r="U86" s="79">
        <f>IF(T86="","",IF(Q86=3,1,IF(T86="","",IF(T86&lt;AsOf,1,IF(T86&lt;=AsOf+AlertDays,2,IF(T86&lt;=AsOf+2*AlertDays,3,""))))))</f>
        <v/>
      </c>
      <c r="V86" s="79">
        <f>IF(U86="","",IF(Q86=3,"Late task: "&amp;D86,IF(T86&lt;AsOf,"Should have started: ","Starts soon: ")&amp;D86)&amp;IF(F86="",""," — "&amp;F86))</f>
        <v/>
      </c>
      <c r="X86" s="128" t="n"/>
      <c r="Y86" s="128" t="n"/>
      <c r="Z86" s="128" t="n"/>
      <c r="AA86" s="128" t="n"/>
      <c r="AB86" s="128" t="n"/>
      <c r="AC86" s="128" t="n"/>
      <c r="AD86" s="128" t="n"/>
      <c r="AE86" s="128" t="n"/>
      <c r="AF86" s="128" t="n"/>
      <c r="AG86" s="128" t="n"/>
      <c r="AH86" s="128" t="n"/>
      <c r="AI86" s="128" t="n"/>
      <c r="AJ86" s="128" t="n"/>
      <c r="AK86" s="128" t="n"/>
      <c r="AL86" s="128" t="n"/>
      <c r="AM86" s="128" t="n"/>
      <c r="AN86" s="128" t="n"/>
      <c r="AO86" s="128" t="n"/>
      <c r="AP86" s="128" t="n"/>
      <c r="AQ86" s="128" t="n"/>
      <c r="AR86" s="128" t="n"/>
      <c r="AS86" s="128" t="n"/>
      <c r="AT86" s="128" t="n"/>
      <c r="AU86" s="128" t="n"/>
      <c r="AV86" s="128" t="n"/>
      <c r="AW86" s="128" t="n"/>
      <c r="AX86" s="128" t="n"/>
      <c r="AY86" s="128" t="n"/>
      <c r="AZ86" s="128" t="n"/>
      <c r="BA86" s="128" t="n"/>
      <c r="BB86" s="128" t="n"/>
      <c r="BC86" s="128" t="n"/>
      <c r="BD86" s="128" t="n"/>
      <c r="BE86" s="128" t="n"/>
      <c r="BF86" s="128" t="n"/>
      <c r="BG86" s="128" t="n"/>
      <c r="BH86" s="128" t="n"/>
      <c r="BI86" s="128" t="n"/>
      <c r="BJ86" s="128" t="n"/>
      <c r="BK86" s="128" t="n"/>
      <c r="BL86" s="128" t="n"/>
      <c r="BM86" s="128" t="n"/>
      <c r="BN86" s="128" t="n"/>
      <c r="BO86" s="128" t="n"/>
      <c r="BP86" s="128" t="n"/>
      <c r="BQ86" s="128" t="n"/>
      <c r="BR86" s="128" t="n"/>
      <c r="BS86" s="128" t="n"/>
      <c r="BT86" s="128" t="n"/>
      <c r="BU86" s="128" t="n"/>
      <c r="BV86" s="128" t="n"/>
      <c r="BW86" s="128" t="n"/>
    </row>
    <row r="87" ht="20" customHeight="1">
      <c r="B87" s="125" t="n">
        <v>81</v>
      </c>
      <c r="C87" s="72" t="n"/>
      <c r="D87" s="72" t="n"/>
      <c r="E87" s="72" t="n"/>
      <c r="F87" s="72" t="n"/>
      <c r="G87" s="89" t="n"/>
      <c r="H87" s="89" t="n"/>
      <c r="I87" s="108" t="n"/>
      <c r="J87" s="126">
        <f>IF(OR(D87="",ProjStart=""),"",MAX(ProjStart,IF(I87&lt;&gt;"",I87,0),IF(H87="",0,IFERROR(INDEX($L$6:L86,MATCH(H87,$B$6:B86,0))+1,0))))</f>
        <v/>
      </c>
      <c r="K87" s="89" t="n"/>
      <c r="L87" s="126">
        <f>IF(J87="","",J87+MAX(1,G87)+IF(K87="",0,K87)-1)</f>
        <v/>
      </c>
      <c r="M87" s="72" t="n"/>
      <c r="N87" s="108" t="n"/>
      <c r="O87" s="127">
        <f>IF(D87="","",COUNTIF($H$7:$H$156,B87))</f>
        <v/>
      </c>
      <c r="P87" s="78">
        <f>IF(D87="","",IF(AND(H87&lt;&gt;"",H87&gt;=B87),"⚠️ Predecessor must be above",IF(M87="Done","✓ Done",IF(Q87=3,"🔴 Late",IF(M87="In progress","In progress","")))))</f>
        <v/>
      </c>
      <c r="Q87" s="79">
        <f>IF(OR(D87="",L87=""),"",IF(M87="Done",2,IF(AsOf&gt;L87,3,1)))</f>
        <v/>
      </c>
      <c r="R87" s="79">
        <f>IF(OR(E87="",F87=""),0,IF(COUNTIFS($E$7:E87,E87,$F$7:F87,F87)=1,1,0))</f>
        <v/>
      </c>
      <c r="S87" s="79">
        <f>IF(R87=1,E87&amp;"|"&amp;SUMIFS($R$7:R87,$E$7:E87,E87),"")</f>
        <v/>
      </c>
      <c r="T87" s="111">
        <f>IF(Q87="","",IF(Q87=3,L87,IF(OR(M87="Not started",M87=""),J87,"")))</f>
        <v/>
      </c>
      <c r="U87" s="79">
        <f>IF(T87="","",IF(Q87=3,1,IF(T87="","",IF(T87&lt;AsOf,1,IF(T87&lt;=AsOf+AlertDays,2,IF(T87&lt;=AsOf+2*AlertDays,3,""))))))</f>
        <v/>
      </c>
      <c r="V87" s="79">
        <f>IF(U87="","",IF(Q87=3,"Late task: "&amp;D87,IF(T87&lt;AsOf,"Should have started: ","Starts soon: ")&amp;D87)&amp;IF(F87="",""," — "&amp;F87))</f>
        <v/>
      </c>
      <c r="X87" s="128" t="n"/>
      <c r="Y87" s="128" t="n"/>
      <c r="Z87" s="128" t="n"/>
      <c r="AA87" s="128" t="n"/>
      <c r="AB87" s="128" t="n"/>
      <c r="AC87" s="128" t="n"/>
      <c r="AD87" s="128" t="n"/>
      <c r="AE87" s="128" t="n"/>
      <c r="AF87" s="128" t="n"/>
      <c r="AG87" s="128" t="n"/>
      <c r="AH87" s="128" t="n"/>
      <c r="AI87" s="128" t="n"/>
      <c r="AJ87" s="128" t="n"/>
      <c r="AK87" s="128" t="n"/>
      <c r="AL87" s="128" t="n"/>
      <c r="AM87" s="128" t="n"/>
      <c r="AN87" s="128" t="n"/>
      <c r="AO87" s="128" t="n"/>
      <c r="AP87" s="128" t="n"/>
      <c r="AQ87" s="128" t="n"/>
      <c r="AR87" s="128" t="n"/>
      <c r="AS87" s="128" t="n"/>
      <c r="AT87" s="128" t="n"/>
      <c r="AU87" s="128" t="n"/>
      <c r="AV87" s="128" t="n"/>
      <c r="AW87" s="128" t="n"/>
      <c r="AX87" s="128" t="n"/>
      <c r="AY87" s="128" t="n"/>
      <c r="AZ87" s="128" t="n"/>
      <c r="BA87" s="128" t="n"/>
      <c r="BB87" s="128" t="n"/>
      <c r="BC87" s="128" t="n"/>
      <c r="BD87" s="128" t="n"/>
      <c r="BE87" s="128" t="n"/>
      <c r="BF87" s="128" t="n"/>
      <c r="BG87" s="128" t="n"/>
      <c r="BH87" s="128" t="n"/>
      <c r="BI87" s="128" t="n"/>
      <c r="BJ87" s="128" t="n"/>
      <c r="BK87" s="128" t="n"/>
      <c r="BL87" s="128" t="n"/>
      <c r="BM87" s="128" t="n"/>
      <c r="BN87" s="128" t="n"/>
      <c r="BO87" s="128" t="n"/>
      <c r="BP87" s="128" t="n"/>
      <c r="BQ87" s="128" t="n"/>
      <c r="BR87" s="128" t="n"/>
      <c r="BS87" s="128" t="n"/>
      <c r="BT87" s="128" t="n"/>
      <c r="BU87" s="128" t="n"/>
      <c r="BV87" s="128" t="n"/>
      <c r="BW87" s="128" t="n"/>
    </row>
    <row r="88" ht="20" customHeight="1">
      <c r="B88" s="125" t="n">
        <v>82</v>
      </c>
      <c r="C88" s="72" t="n"/>
      <c r="D88" s="72" t="n"/>
      <c r="E88" s="72" t="n"/>
      <c r="F88" s="72" t="n"/>
      <c r="G88" s="89" t="n"/>
      <c r="H88" s="89" t="n"/>
      <c r="I88" s="108" t="n"/>
      <c r="J88" s="126">
        <f>IF(OR(D88="",ProjStart=""),"",MAX(ProjStart,IF(I88&lt;&gt;"",I88,0),IF(H88="",0,IFERROR(INDEX($L$6:L87,MATCH(H88,$B$6:B87,0))+1,0))))</f>
        <v/>
      </c>
      <c r="K88" s="89" t="n"/>
      <c r="L88" s="126">
        <f>IF(J88="","",J88+MAX(1,G88)+IF(K88="",0,K88)-1)</f>
        <v/>
      </c>
      <c r="M88" s="72" t="n"/>
      <c r="N88" s="108" t="n"/>
      <c r="O88" s="127">
        <f>IF(D88="","",COUNTIF($H$7:$H$156,B88))</f>
        <v/>
      </c>
      <c r="P88" s="78">
        <f>IF(D88="","",IF(AND(H88&lt;&gt;"",H88&gt;=B88),"⚠️ Predecessor must be above",IF(M88="Done","✓ Done",IF(Q88=3,"🔴 Late",IF(M88="In progress","In progress","")))))</f>
        <v/>
      </c>
      <c r="Q88" s="79">
        <f>IF(OR(D88="",L88=""),"",IF(M88="Done",2,IF(AsOf&gt;L88,3,1)))</f>
        <v/>
      </c>
      <c r="R88" s="79">
        <f>IF(OR(E88="",F88=""),0,IF(COUNTIFS($E$7:E88,E88,$F$7:F88,F88)=1,1,0))</f>
        <v/>
      </c>
      <c r="S88" s="79">
        <f>IF(R88=1,E88&amp;"|"&amp;SUMIFS($R$7:R88,$E$7:E88,E88),"")</f>
        <v/>
      </c>
      <c r="T88" s="111">
        <f>IF(Q88="","",IF(Q88=3,L88,IF(OR(M88="Not started",M88=""),J88,"")))</f>
        <v/>
      </c>
      <c r="U88" s="79">
        <f>IF(T88="","",IF(Q88=3,1,IF(T88="","",IF(T88&lt;AsOf,1,IF(T88&lt;=AsOf+AlertDays,2,IF(T88&lt;=AsOf+2*AlertDays,3,""))))))</f>
        <v/>
      </c>
      <c r="V88" s="79">
        <f>IF(U88="","",IF(Q88=3,"Late task: "&amp;D88,IF(T88&lt;AsOf,"Should have started: ","Starts soon: ")&amp;D88)&amp;IF(F88="",""," — "&amp;F88))</f>
        <v/>
      </c>
      <c r="X88" s="128" t="n"/>
      <c r="Y88" s="128" t="n"/>
      <c r="Z88" s="128" t="n"/>
      <c r="AA88" s="128" t="n"/>
      <c r="AB88" s="128" t="n"/>
      <c r="AC88" s="128" t="n"/>
      <c r="AD88" s="128" t="n"/>
      <c r="AE88" s="128" t="n"/>
      <c r="AF88" s="128" t="n"/>
      <c r="AG88" s="128" t="n"/>
      <c r="AH88" s="128" t="n"/>
      <c r="AI88" s="128" t="n"/>
      <c r="AJ88" s="128" t="n"/>
      <c r="AK88" s="128" t="n"/>
      <c r="AL88" s="128" t="n"/>
      <c r="AM88" s="128" t="n"/>
      <c r="AN88" s="128" t="n"/>
      <c r="AO88" s="128" t="n"/>
      <c r="AP88" s="128" t="n"/>
      <c r="AQ88" s="128" t="n"/>
      <c r="AR88" s="128" t="n"/>
      <c r="AS88" s="128" t="n"/>
      <c r="AT88" s="128" t="n"/>
      <c r="AU88" s="128" t="n"/>
      <c r="AV88" s="128" t="n"/>
      <c r="AW88" s="128" t="n"/>
      <c r="AX88" s="128" t="n"/>
      <c r="AY88" s="128" t="n"/>
      <c r="AZ88" s="128" t="n"/>
      <c r="BA88" s="128" t="n"/>
      <c r="BB88" s="128" t="n"/>
      <c r="BC88" s="128" t="n"/>
      <c r="BD88" s="128" t="n"/>
      <c r="BE88" s="128" t="n"/>
      <c r="BF88" s="128" t="n"/>
      <c r="BG88" s="128" t="n"/>
      <c r="BH88" s="128" t="n"/>
      <c r="BI88" s="128" t="n"/>
      <c r="BJ88" s="128" t="n"/>
      <c r="BK88" s="128" t="n"/>
      <c r="BL88" s="128" t="n"/>
      <c r="BM88" s="128" t="n"/>
      <c r="BN88" s="128" t="n"/>
      <c r="BO88" s="128" t="n"/>
      <c r="BP88" s="128" t="n"/>
      <c r="BQ88" s="128" t="n"/>
      <c r="BR88" s="128" t="n"/>
      <c r="BS88" s="128" t="n"/>
      <c r="BT88" s="128" t="n"/>
      <c r="BU88" s="128" t="n"/>
      <c r="BV88" s="128" t="n"/>
      <c r="BW88" s="128" t="n"/>
    </row>
    <row r="89" ht="20" customHeight="1">
      <c r="B89" s="125" t="n">
        <v>83</v>
      </c>
      <c r="C89" s="72" t="n"/>
      <c r="D89" s="72" t="n"/>
      <c r="E89" s="72" t="n"/>
      <c r="F89" s="72" t="n"/>
      <c r="G89" s="89" t="n"/>
      <c r="H89" s="89" t="n"/>
      <c r="I89" s="108" t="n"/>
      <c r="J89" s="126">
        <f>IF(OR(D89="",ProjStart=""),"",MAX(ProjStart,IF(I89&lt;&gt;"",I89,0),IF(H89="",0,IFERROR(INDEX($L$6:L88,MATCH(H89,$B$6:B88,0))+1,0))))</f>
        <v/>
      </c>
      <c r="K89" s="89" t="n"/>
      <c r="L89" s="126">
        <f>IF(J89="","",J89+MAX(1,G89)+IF(K89="",0,K89)-1)</f>
        <v/>
      </c>
      <c r="M89" s="72" t="n"/>
      <c r="N89" s="108" t="n"/>
      <c r="O89" s="127">
        <f>IF(D89="","",COUNTIF($H$7:$H$156,B89))</f>
        <v/>
      </c>
      <c r="P89" s="78">
        <f>IF(D89="","",IF(AND(H89&lt;&gt;"",H89&gt;=B89),"⚠️ Predecessor must be above",IF(M89="Done","✓ Done",IF(Q89=3,"🔴 Late",IF(M89="In progress","In progress","")))))</f>
        <v/>
      </c>
      <c r="Q89" s="79">
        <f>IF(OR(D89="",L89=""),"",IF(M89="Done",2,IF(AsOf&gt;L89,3,1)))</f>
        <v/>
      </c>
      <c r="R89" s="79">
        <f>IF(OR(E89="",F89=""),0,IF(COUNTIFS($E$7:E89,E89,$F$7:F89,F89)=1,1,0))</f>
        <v/>
      </c>
      <c r="S89" s="79">
        <f>IF(R89=1,E89&amp;"|"&amp;SUMIFS($R$7:R89,$E$7:E89,E89),"")</f>
        <v/>
      </c>
      <c r="T89" s="111">
        <f>IF(Q89="","",IF(Q89=3,L89,IF(OR(M89="Not started",M89=""),J89,"")))</f>
        <v/>
      </c>
      <c r="U89" s="79">
        <f>IF(T89="","",IF(Q89=3,1,IF(T89="","",IF(T89&lt;AsOf,1,IF(T89&lt;=AsOf+AlertDays,2,IF(T89&lt;=AsOf+2*AlertDays,3,""))))))</f>
        <v/>
      </c>
      <c r="V89" s="79">
        <f>IF(U89="","",IF(Q89=3,"Late task: "&amp;D89,IF(T89&lt;AsOf,"Should have started: ","Starts soon: ")&amp;D89)&amp;IF(F89="",""," — "&amp;F89))</f>
        <v/>
      </c>
      <c r="X89" s="128" t="n"/>
      <c r="Y89" s="128" t="n"/>
      <c r="Z89" s="128" t="n"/>
      <c r="AA89" s="128" t="n"/>
      <c r="AB89" s="128" t="n"/>
      <c r="AC89" s="128" t="n"/>
      <c r="AD89" s="128" t="n"/>
      <c r="AE89" s="128" t="n"/>
      <c r="AF89" s="128" t="n"/>
      <c r="AG89" s="128" t="n"/>
      <c r="AH89" s="128" t="n"/>
      <c r="AI89" s="128" t="n"/>
      <c r="AJ89" s="128" t="n"/>
      <c r="AK89" s="128" t="n"/>
      <c r="AL89" s="128" t="n"/>
      <c r="AM89" s="128" t="n"/>
      <c r="AN89" s="128" t="n"/>
      <c r="AO89" s="128" t="n"/>
      <c r="AP89" s="128" t="n"/>
      <c r="AQ89" s="128" t="n"/>
      <c r="AR89" s="128" t="n"/>
      <c r="AS89" s="128" t="n"/>
      <c r="AT89" s="128" t="n"/>
      <c r="AU89" s="128" t="n"/>
      <c r="AV89" s="128" t="n"/>
      <c r="AW89" s="128" t="n"/>
      <c r="AX89" s="128" t="n"/>
      <c r="AY89" s="128" t="n"/>
      <c r="AZ89" s="128" t="n"/>
      <c r="BA89" s="128" t="n"/>
      <c r="BB89" s="128" t="n"/>
      <c r="BC89" s="128" t="n"/>
      <c r="BD89" s="128" t="n"/>
      <c r="BE89" s="128" t="n"/>
      <c r="BF89" s="128" t="n"/>
      <c r="BG89" s="128" t="n"/>
      <c r="BH89" s="128" t="n"/>
      <c r="BI89" s="128" t="n"/>
      <c r="BJ89" s="128" t="n"/>
      <c r="BK89" s="128" t="n"/>
      <c r="BL89" s="128" t="n"/>
      <c r="BM89" s="128" t="n"/>
      <c r="BN89" s="128" t="n"/>
      <c r="BO89" s="128" t="n"/>
      <c r="BP89" s="128" t="n"/>
      <c r="BQ89" s="128" t="n"/>
      <c r="BR89" s="128" t="n"/>
      <c r="BS89" s="128" t="n"/>
      <c r="BT89" s="128" t="n"/>
      <c r="BU89" s="128" t="n"/>
      <c r="BV89" s="128" t="n"/>
      <c r="BW89" s="128" t="n"/>
    </row>
    <row r="90" ht="20" customHeight="1">
      <c r="B90" s="125" t="n">
        <v>84</v>
      </c>
      <c r="C90" s="72" t="n"/>
      <c r="D90" s="72" t="n"/>
      <c r="E90" s="72" t="n"/>
      <c r="F90" s="72" t="n"/>
      <c r="G90" s="89" t="n"/>
      <c r="H90" s="89" t="n"/>
      <c r="I90" s="108" t="n"/>
      <c r="J90" s="126">
        <f>IF(OR(D90="",ProjStart=""),"",MAX(ProjStart,IF(I90&lt;&gt;"",I90,0),IF(H90="",0,IFERROR(INDEX($L$6:L89,MATCH(H90,$B$6:B89,0))+1,0))))</f>
        <v/>
      </c>
      <c r="K90" s="89" t="n"/>
      <c r="L90" s="126">
        <f>IF(J90="","",J90+MAX(1,G90)+IF(K90="",0,K90)-1)</f>
        <v/>
      </c>
      <c r="M90" s="72" t="n"/>
      <c r="N90" s="108" t="n"/>
      <c r="O90" s="127">
        <f>IF(D90="","",COUNTIF($H$7:$H$156,B90))</f>
        <v/>
      </c>
      <c r="P90" s="78">
        <f>IF(D90="","",IF(AND(H90&lt;&gt;"",H90&gt;=B90),"⚠️ Predecessor must be above",IF(M90="Done","✓ Done",IF(Q90=3,"🔴 Late",IF(M90="In progress","In progress","")))))</f>
        <v/>
      </c>
      <c r="Q90" s="79">
        <f>IF(OR(D90="",L90=""),"",IF(M90="Done",2,IF(AsOf&gt;L90,3,1)))</f>
        <v/>
      </c>
      <c r="R90" s="79">
        <f>IF(OR(E90="",F90=""),0,IF(COUNTIFS($E$7:E90,E90,$F$7:F90,F90)=1,1,0))</f>
        <v/>
      </c>
      <c r="S90" s="79">
        <f>IF(R90=1,E90&amp;"|"&amp;SUMIFS($R$7:R90,$E$7:E90,E90),"")</f>
        <v/>
      </c>
      <c r="T90" s="111">
        <f>IF(Q90="","",IF(Q90=3,L90,IF(OR(M90="Not started",M90=""),J90,"")))</f>
        <v/>
      </c>
      <c r="U90" s="79">
        <f>IF(T90="","",IF(Q90=3,1,IF(T90="","",IF(T90&lt;AsOf,1,IF(T90&lt;=AsOf+AlertDays,2,IF(T90&lt;=AsOf+2*AlertDays,3,""))))))</f>
        <v/>
      </c>
      <c r="V90" s="79">
        <f>IF(U90="","",IF(Q90=3,"Late task: "&amp;D90,IF(T90&lt;AsOf,"Should have started: ","Starts soon: ")&amp;D90)&amp;IF(F90="",""," — "&amp;F90))</f>
        <v/>
      </c>
      <c r="X90" s="128" t="n"/>
      <c r="Y90" s="128" t="n"/>
      <c r="Z90" s="128" t="n"/>
      <c r="AA90" s="128" t="n"/>
      <c r="AB90" s="128" t="n"/>
      <c r="AC90" s="128" t="n"/>
      <c r="AD90" s="128" t="n"/>
      <c r="AE90" s="128" t="n"/>
      <c r="AF90" s="128" t="n"/>
      <c r="AG90" s="128" t="n"/>
      <c r="AH90" s="128" t="n"/>
      <c r="AI90" s="128" t="n"/>
      <c r="AJ90" s="128" t="n"/>
      <c r="AK90" s="128" t="n"/>
      <c r="AL90" s="128" t="n"/>
      <c r="AM90" s="128" t="n"/>
      <c r="AN90" s="128" t="n"/>
      <c r="AO90" s="128" t="n"/>
      <c r="AP90" s="128" t="n"/>
      <c r="AQ90" s="128" t="n"/>
      <c r="AR90" s="128" t="n"/>
      <c r="AS90" s="128" t="n"/>
      <c r="AT90" s="128" t="n"/>
      <c r="AU90" s="128" t="n"/>
      <c r="AV90" s="128" t="n"/>
      <c r="AW90" s="128" t="n"/>
      <c r="AX90" s="128" t="n"/>
      <c r="AY90" s="128" t="n"/>
      <c r="AZ90" s="128" t="n"/>
      <c r="BA90" s="128" t="n"/>
      <c r="BB90" s="128" t="n"/>
      <c r="BC90" s="128" t="n"/>
      <c r="BD90" s="128" t="n"/>
      <c r="BE90" s="128" t="n"/>
      <c r="BF90" s="128" t="n"/>
      <c r="BG90" s="128" t="n"/>
      <c r="BH90" s="128" t="n"/>
      <c r="BI90" s="128" t="n"/>
      <c r="BJ90" s="128" t="n"/>
      <c r="BK90" s="128" t="n"/>
      <c r="BL90" s="128" t="n"/>
      <c r="BM90" s="128" t="n"/>
      <c r="BN90" s="128" t="n"/>
      <c r="BO90" s="128" t="n"/>
      <c r="BP90" s="128" t="n"/>
      <c r="BQ90" s="128" t="n"/>
      <c r="BR90" s="128" t="n"/>
      <c r="BS90" s="128" t="n"/>
      <c r="BT90" s="128" t="n"/>
      <c r="BU90" s="128" t="n"/>
      <c r="BV90" s="128" t="n"/>
      <c r="BW90" s="128" t="n"/>
    </row>
    <row r="91" ht="20" customHeight="1">
      <c r="B91" s="125" t="n">
        <v>85</v>
      </c>
      <c r="C91" s="72" t="n"/>
      <c r="D91" s="72" t="n"/>
      <c r="E91" s="72" t="n"/>
      <c r="F91" s="72" t="n"/>
      <c r="G91" s="89" t="n"/>
      <c r="H91" s="89" t="n"/>
      <c r="I91" s="108" t="n"/>
      <c r="J91" s="126">
        <f>IF(OR(D91="",ProjStart=""),"",MAX(ProjStart,IF(I91&lt;&gt;"",I91,0),IF(H91="",0,IFERROR(INDEX($L$6:L90,MATCH(H91,$B$6:B90,0))+1,0))))</f>
        <v/>
      </c>
      <c r="K91" s="89" t="n"/>
      <c r="L91" s="126">
        <f>IF(J91="","",J91+MAX(1,G91)+IF(K91="",0,K91)-1)</f>
        <v/>
      </c>
      <c r="M91" s="72" t="n"/>
      <c r="N91" s="108" t="n"/>
      <c r="O91" s="127">
        <f>IF(D91="","",COUNTIF($H$7:$H$156,B91))</f>
        <v/>
      </c>
      <c r="P91" s="78">
        <f>IF(D91="","",IF(AND(H91&lt;&gt;"",H91&gt;=B91),"⚠️ Predecessor must be above",IF(M91="Done","✓ Done",IF(Q91=3,"🔴 Late",IF(M91="In progress","In progress","")))))</f>
        <v/>
      </c>
      <c r="Q91" s="79">
        <f>IF(OR(D91="",L91=""),"",IF(M91="Done",2,IF(AsOf&gt;L91,3,1)))</f>
        <v/>
      </c>
      <c r="R91" s="79">
        <f>IF(OR(E91="",F91=""),0,IF(COUNTIFS($E$7:E91,E91,$F$7:F91,F91)=1,1,0))</f>
        <v/>
      </c>
      <c r="S91" s="79">
        <f>IF(R91=1,E91&amp;"|"&amp;SUMIFS($R$7:R91,$E$7:E91,E91),"")</f>
        <v/>
      </c>
      <c r="T91" s="111">
        <f>IF(Q91="","",IF(Q91=3,L91,IF(OR(M91="Not started",M91=""),J91,"")))</f>
        <v/>
      </c>
      <c r="U91" s="79">
        <f>IF(T91="","",IF(Q91=3,1,IF(T91="","",IF(T91&lt;AsOf,1,IF(T91&lt;=AsOf+AlertDays,2,IF(T91&lt;=AsOf+2*AlertDays,3,""))))))</f>
        <v/>
      </c>
      <c r="V91" s="79">
        <f>IF(U91="","",IF(Q91=3,"Late task: "&amp;D91,IF(T91&lt;AsOf,"Should have started: ","Starts soon: ")&amp;D91)&amp;IF(F91="",""," — "&amp;F91))</f>
        <v/>
      </c>
      <c r="X91" s="128" t="n"/>
      <c r="Y91" s="128" t="n"/>
      <c r="Z91" s="128" t="n"/>
      <c r="AA91" s="128" t="n"/>
      <c r="AB91" s="128" t="n"/>
      <c r="AC91" s="128" t="n"/>
      <c r="AD91" s="128" t="n"/>
      <c r="AE91" s="128" t="n"/>
      <c r="AF91" s="128" t="n"/>
      <c r="AG91" s="128" t="n"/>
      <c r="AH91" s="128" t="n"/>
      <c r="AI91" s="128" t="n"/>
      <c r="AJ91" s="128" t="n"/>
      <c r="AK91" s="128" t="n"/>
      <c r="AL91" s="128" t="n"/>
      <c r="AM91" s="128" t="n"/>
      <c r="AN91" s="128" t="n"/>
      <c r="AO91" s="128" t="n"/>
      <c r="AP91" s="128" t="n"/>
      <c r="AQ91" s="128" t="n"/>
      <c r="AR91" s="128" t="n"/>
      <c r="AS91" s="128" t="n"/>
      <c r="AT91" s="128" t="n"/>
      <c r="AU91" s="128" t="n"/>
      <c r="AV91" s="128" t="n"/>
      <c r="AW91" s="128" t="n"/>
      <c r="AX91" s="128" t="n"/>
      <c r="AY91" s="128" t="n"/>
      <c r="AZ91" s="128" t="n"/>
      <c r="BA91" s="128" t="n"/>
      <c r="BB91" s="128" t="n"/>
      <c r="BC91" s="128" t="n"/>
      <c r="BD91" s="128" t="n"/>
      <c r="BE91" s="128" t="n"/>
      <c r="BF91" s="128" t="n"/>
      <c r="BG91" s="128" t="n"/>
      <c r="BH91" s="128" t="n"/>
      <c r="BI91" s="128" t="n"/>
      <c r="BJ91" s="128" t="n"/>
      <c r="BK91" s="128" t="n"/>
      <c r="BL91" s="128" t="n"/>
      <c r="BM91" s="128" t="n"/>
      <c r="BN91" s="128" t="n"/>
      <c r="BO91" s="128" t="n"/>
      <c r="BP91" s="128" t="n"/>
      <c r="BQ91" s="128" t="n"/>
      <c r="BR91" s="128" t="n"/>
      <c r="BS91" s="128" t="n"/>
      <c r="BT91" s="128" t="n"/>
      <c r="BU91" s="128" t="n"/>
      <c r="BV91" s="128" t="n"/>
      <c r="BW91" s="128" t="n"/>
    </row>
    <row r="92" ht="20" customHeight="1">
      <c r="B92" s="125" t="n">
        <v>86</v>
      </c>
      <c r="C92" s="72" t="n"/>
      <c r="D92" s="72" t="n"/>
      <c r="E92" s="72" t="n"/>
      <c r="F92" s="72" t="n"/>
      <c r="G92" s="89" t="n"/>
      <c r="H92" s="89" t="n"/>
      <c r="I92" s="108" t="n"/>
      <c r="J92" s="126">
        <f>IF(OR(D92="",ProjStart=""),"",MAX(ProjStart,IF(I92&lt;&gt;"",I92,0),IF(H92="",0,IFERROR(INDEX($L$6:L91,MATCH(H92,$B$6:B91,0))+1,0))))</f>
        <v/>
      </c>
      <c r="K92" s="89" t="n"/>
      <c r="L92" s="126">
        <f>IF(J92="","",J92+MAX(1,G92)+IF(K92="",0,K92)-1)</f>
        <v/>
      </c>
      <c r="M92" s="72" t="n"/>
      <c r="N92" s="108" t="n"/>
      <c r="O92" s="127">
        <f>IF(D92="","",COUNTIF($H$7:$H$156,B92))</f>
        <v/>
      </c>
      <c r="P92" s="78">
        <f>IF(D92="","",IF(AND(H92&lt;&gt;"",H92&gt;=B92),"⚠️ Predecessor must be above",IF(M92="Done","✓ Done",IF(Q92=3,"🔴 Late",IF(M92="In progress","In progress","")))))</f>
        <v/>
      </c>
      <c r="Q92" s="79">
        <f>IF(OR(D92="",L92=""),"",IF(M92="Done",2,IF(AsOf&gt;L92,3,1)))</f>
        <v/>
      </c>
      <c r="R92" s="79">
        <f>IF(OR(E92="",F92=""),0,IF(COUNTIFS($E$7:E92,E92,$F$7:F92,F92)=1,1,0))</f>
        <v/>
      </c>
      <c r="S92" s="79">
        <f>IF(R92=1,E92&amp;"|"&amp;SUMIFS($R$7:R92,$E$7:E92,E92),"")</f>
        <v/>
      </c>
      <c r="T92" s="111">
        <f>IF(Q92="","",IF(Q92=3,L92,IF(OR(M92="Not started",M92=""),J92,"")))</f>
        <v/>
      </c>
      <c r="U92" s="79">
        <f>IF(T92="","",IF(Q92=3,1,IF(T92="","",IF(T92&lt;AsOf,1,IF(T92&lt;=AsOf+AlertDays,2,IF(T92&lt;=AsOf+2*AlertDays,3,""))))))</f>
        <v/>
      </c>
      <c r="V92" s="79">
        <f>IF(U92="","",IF(Q92=3,"Late task: "&amp;D92,IF(T92&lt;AsOf,"Should have started: ","Starts soon: ")&amp;D92)&amp;IF(F92="",""," — "&amp;F92))</f>
        <v/>
      </c>
      <c r="X92" s="128" t="n"/>
      <c r="Y92" s="128" t="n"/>
      <c r="Z92" s="128" t="n"/>
      <c r="AA92" s="128" t="n"/>
      <c r="AB92" s="128" t="n"/>
      <c r="AC92" s="128" t="n"/>
      <c r="AD92" s="128" t="n"/>
      <c r="AE92" s="128" t="n"/>
      <c r="AF92" s="128" t="n"/>
      <c r="AG92" s="128" t="n"/>
      <c r="AH92" s="128" t="n"/>
      <c r="AI92" s="128" t="n"/>
      <c r="AJ92" s="128" t="n"/>
      <c r="AK92" s="128" t="n"/>
      <c r="AL92" s="128" t="n"/>
      <c r="AM92" s="128" t="n"/>
      <c r="AN92" s="128" t="n"/>
      <c r="AO92" s="128" t="n"/>
      <c r="AP92" s="128" t="n"/>
      <c r="AQ92" s="128" t="n"/>
      <c r="AR92" s="128" t="n"/>
      <c r="AS92" s="128" t="n"/>
      <c r="AT92" s="128" t="n"/>
      <c r="AU92" s="128" t="n"/>
      <c r="AV92" s="128" t="n"/>
      <c r="AW92" s="128" t="n"/>
      <c r="AX92" s="128" t="n"/>
      <c r="AY92" s="128" t="n"/>
      <c r="AZ92" s="128" t="n"/>
      <c r="BA92" s="128" t="n"/>
      <c r="BB92" s="128" t="n"/>
      <c r="BC92" s="128" t="n"/>
      <c r="BD92" s="128" t="n"/>
      <c r="BE92" s="128" t="n"/>
      <c r="BF92" s="128" t="n"/>
      <c r="BG92" s="128" t="n"/>
      <c r="BH92" s="128" t="n"/>
      <c r="BI92" s="128" t="n"/>
      <c r="BJ92" s="128" t="n"/>
      <c r="BK92" s="128" t="n"/>
      <c r="BL92" s="128" t="n"/>
      <c r="BM92" s="128" t="n"/>
      <c r="BN92" s="128" t="n"/>
      <c r="BO92" s="128" t="n"/>
      <c r="BP92" s="128" t="n"/>
      <c r="BQ92" s="128" t="n"/>
      <c r="BR92" s="128" t="n"/>
      <c r="BS92" s="128" t="n"/>
      <c r="BT92" s="128" t="n"/>
      <c r="BU92" s="128" t="n"/>
      <c r="BV92" s="128" t="n"/>
      <c r="BW92" s="128" t="n"/>
    </row>
    <row r="93" ht="20" customHeight="1">
      <c r="B93" s="125" t="n">
        <v>87</v>
      </c>
      <c r="C93" s="72" t="n"/>
      <c r="D93" s="72" t="n"/>
      <c r="E93" s="72" t="n"/>
      <c r="F93" s="72" t="n"/>
      <c r="G93" s="89" t="n"/>
      <c r="H93" s="89" t="n"/>
      <c r="I93" s="108" t="n"/>
      <c r="J93" s="126">
        <f>IF(OR(D93="",ProjStart=""),"",MAX(ProjStart,IF(I93&lt;&gt;"",I93,0),IF(H93="",0,IFERROR(INDEX($L$6:L92,MATCH(H93,$B$6:B92,0))+1,0))))</f>
        <v/>
      </c>
      <c r="K93" s="89" t="n"/>
      <c r="L93" s="126">
        <f>IF(J93="","",J93+MAX(1,G93)+IF(K93="",0,K93)-1)</f>
        <v/>
      </c>
      <c r="M93" s="72" t="n"/>
      <c r="N93" s="108" t="n"/>
      <c r="O93" s="127">
        <f>IF(D93="","",COUNTIF($H$7:$H$156,B93))</f>
        <v/>
      </c>
      <c r="P93" s="78">
        <f>IF(D93="","",IF(AND(H93&lt;&gt;"",H93&gt;=B93),"⚠️ Predecessor must be above",IF(M93="Done","✓ Done",IF(Q93=3,"🔴 Late",IF(M93="In progress","In progress","")))))</f>
        <v/>
      </c>
      <c r="Q93" s="79">
        <f>IF(OR(D93="",L93=""),"",IF(M93="Done",2,IF(AsOf&gt;L93,3,1)))</f>
        <v/>
      </c>
      <c r="R93" s="79">
        <f>IF(OR(E93="",F93=""),0,IF(COUNTIFS($E$7:E93,E93,$F$7:F93,F93)=1,1,0))</f>
        <v/>
      </c>
      <c r="S93" s="79">
        <f>IF(R93=1,E93&amp;"|"&amp;SUMIFS($R$7:R93,$E$7:E93,E93),"")</f>
        <v/>
      </c>
      <c r="T93" s="111">
        <f>IF(Q93="","",IF(Q93=3,L93,IF(OR(M93="Not started",M93=""),J93,"")))</f>
        <v/>
      </c>
      <c r="U93" s="79">
        <f>IF(T93="","",IF(Q93=3,1,IF(T93="","",IF(T93&lt;AsOf,1,IF(T93&lt;=AsOf+AlertDays,2,IF(T93&lt;=AsOf+2*AlertDays,3,""))))))</f>
        <v/>
      </c>
      <c r="V93" s="79">
        <f>IF(U93="","",IF(Q93=3,"Late task: "&amp;D93,IF(T93&lt;AsOf,"Should have started: ","Starts soon: ")&amp;D93)&amp;IF(F93="",""," — "&amp;F93))</f>
        <v/>
      </c>
      <c r="X93" s="128" t="n"/>
      <c r="Y93" s="128" t="n"/>
      <c r="Z93" s="128" t="n"/>
      <c r="AA93" s="128" t="n"/>
      <c r="AB93" s="128" t="n"/>
      <c r="AC93" s="128" t="n"/>
      <c r="AD93" s="128" t="n"/>
      <c r="AE93" s="128" t="n"/>
      <c r="AF93" s="128" t="n"/>
      <c r="AG93" s="128" t="n"/>
      <c r="AH93" s="128" t="n"/>
      <c r="AI93" s="128" t="n"/>
      <c r="AJ93" s="128" t="n"/>
      <c r="AK93" s="128" t="n"/>
      <c r="AL93" s="128" t="n"/>
      <c r="AM93" s="128" t="n"/>
      <c r="AN93" s="128" t="n"/>
      <c r="AO93" s="128" t="n"/>
      <c r="AP93" s="128" t="n"/>
      <c r="AQ93" s="128" t="n"/>
      <c r="AR93" s="128" t="n"/>
      <c r="AS93" s="128" t="n"/>
      <c r="AT93" s="128" t="n"/>
      <c r="AU93" s="128" t="n"/>
      <c r="AV93" s="128" t="n"/>
      <c r="AW93" s="128" t="n"/>
      <c r="AX93" s="128" t="n"/>
      <c r="AY93" s="128" t="n"/>
      <c r="AZ93" s="128" t="n"/>
      <c r="BA93" s="128" t="n"/>
      <c r="BB93" s="128" t="n"/>
      <c r="BC93" s="128" t="n"/>
      <c r="BD93" s="128" t="n"/>
      <c r="BE93" s="128" t="n"/>
      <c r="BF93" s="128" t="n"/>
      <c r="BG93" s="128" t="n"/>
      <c r="BH93" s="128" t="n"/>
      <c r="BI93" s="128" t="n"/>
      <c r="BJ93" s="128" t="n"/>
      <c r="BK93" s="128" t="n"/>
      <c r="BL93" s="128" t="n"/>
      <c r="BM93" s="128" t="n"/>
      <c r="BN93" s="128" t="n"/>
      <c r="BO93" s="128" t="n"/>
      <c r="BP93" s="128" t="n"/>
      <c r="BQ93" s="128" t="n"/>
      <c r="BR93" s="128" t="n"/>
      <c r="BS93" s="128" t="n"/>
      <c r="BT93" s="128" t="n"/>
      <c r="BU93" s="128" t="n"/>
      <c r="BV93" s="128" t="n"/>
      <c r="BW93" s="128" t="n"/>
    </row>
    <row r="94" ht="20" customHeight="1">
      <c r="B94" s="125" t="n">
        <v>88</v>
      </c>
      <c r="C94" s="72" t="n"/>
      <c r="D94" s="72" t="n"/>
      <c r="E94" s="72" t="n"/>
      <c r="F94" s="72" t="n"/>
      <c r="G94" s="89" t="n"/>
      <c r="H94" s="89" t="n"/>
      <c r="I94" s="108" t="n"/>
      <c r="J94" s="126">
        <f>IF(OR(D94="",ProjStart=""),"",MAX(ProjStart,IF(I94&lt;&gt;"",I94,0),IF(H94="",0,IFERROR(INDEX($L$6:L93,MATCH(H94,$B$6:B93,0))+1,0))))</f>
        <v/>
      </c>
      <c r="K94" s="89" t="n"/>
      <c r="L94" s="126">
        <f>IF(J94="","",J94+MAX(1,G94)+IF(K94="",0,K94)-1)</f>
        <v/>
      </c>
      <c r="M94" s="72" t="n"/>
      <c r="N94" s="108" t="n"/>
      <c r="O94" s="127">
        <f>IF(D94="","",COUNTIF($H$7:$H$156,B94))</f>
        <v/>
      </c>
      <c r="P94" s="78">
        <f>IF(D94="","",IF(AND(H94&lt;&gt;"",H94&gt;=B94),"⚠️ Predecessor must be above",IF(M94="Done","✓ Done",IF(Q94=3,"🔴 Late",IF(M94="In progress","In progress","")))))</f>
        <v/>
      </c>
      <c r="Q94" s="79">
        <f>IF(OR(D94="",L94=""),"",IF(M94="Done",2,IF(AsOf&gt;L94,3,1)))</f>
        <v/>
      </c>
      <c r="R94" s="79">
        <f>IF(OR(E94="",F94=""),0,IF(COUNTIFS($E$7:E94,E94,$F$7:F94,F94)=1,1,0))</f>
        <v/>
      </c>
      <c r="S94" s="79">
        <f>IF(R94=1,E94&amp;"|"&amp;SUMIFS($R$7:R94,$E$7:E94,E94),"")</f>
        <v/>
      </c>
      <c r="T94" s="111">
        <f>IF(Q94="","",IF(Q94=3,L94,IF(OR(M94="Not started",M94=""),J94,"")))</f>
        <v/>
      </c>
      <c r="U94" s="79">
        <f>IF(T94="","",IF(Q94=3,1,IF(T94="","",IF(T94&lt;AsOf,1,IF(T94&lt;=AsOf+AlertDays,2,IF(T94&lt;=AsOf+2*AlertDays,3,""))))))</f>
        <v/>
      </c>
      <c r="V94" s="79">
        <f>IF(U94="","",IF(Q94=3,"Late task: "&amp;D94,IF(T94&lt;AsOf,"Should have started: ","Starts soon: ")&amp;D94)&amp;IF(F94="",""," — "&amp;F94))</f>
        <v/>
      </c>
      <c r="X94" s="128" t="n"/>
      <c r="Y94" s="128" t="n"/>
      <c r="Z94" s="128" t="n"/>
      <c r="AA94" s="128" t="n"/>
      <c r="AB94" s="128" t="n"/>
      <c r="AC94" s="128" t="n"/>
      <c r="AD94" s="128" t="n"/>
      <c r="AE94" s="128" t="n"/>
      <c r="AF94" s="128" t="n"/>
      <c r="AG94" s="128" t="n"/>
      <c r="AH94" s="128" t="n"/>
      <c r="AI94" s="128" t="n"/>
      <c r="AJ94" s="128" t="n"/>
      <c r="AK94" s="128" t="n"/>
      <c r="AL94" s="128" t="n"/>
      <c r="AM94" s="128" t="n"/>
      <c r="AN94" s="128" t="n"/>
      <c r="AO94" s="128" t="n"/>
      <c r="AP94" s="128" t="n"/>
      <c r="AQ94" s="128" t="n"/>
      <c r="AR94" s="128" t="n"/>
      <c r="AS94" s="128" t="n"/>
      <c r="AT94" s="128" t="n"/>
      <c r="AU94" s="128" t="n"/>
      <c r="AV94" s="128" t="n"/>
      <c r="AW94" s="128" t="n"/>
      <c r="AX94" s="128" t="n"/>
      <c r="AY94" s="128" t="n"/>
      <c r="AZ94" s="128" t="n"/>
      <c r="BA94" s="128" t="n"/>
      <c r="BB94" s="128" t="n"/>
      <c r="BC94" s="128" t="n"/>
      <c r="BD94" s="128" t="n"/>
      <c r="BE94" s="128" t="n"/>
      <c r="BF94" s="128" t="n"/>
      <c r="BG94" s="128" t="n"/>
      <c r="BH94" s="128" t="n"/>
      <c r="BI94" s="128" t="n"/>
      <c r="BJ94" s="128" t="n"/>
      <c r="BK94" s="128" t="n"/>
      <c r="BL94" s="128" t="n"/>
      <c r="BM94" s="128" t="n"/>
      <c r="BN94" s="128" t="n"/>
      <c r="BO94" s="128" t="n"/>
      <c r="BP94" s="128" t="n"/>
      <c r="BQ94" s="128" t="n"/>
      <c r="BR94" s="128" t="n"/>
      <c r="BS94" s="128" t="n"/>
      <c r="BT94" s="128" t="n"/>
      <c r="BU94" s="128" t="n"/>
      <c r="BV94" s="128" t="n"/>
      <c r="BW94" s="128" t="n"/>
    </row>
    <row r="95" ht="20" customHeight="1">
      <c r="B95" s="125" t="n">
        <v>89</v>
      </c>
      <c r="C95" s="72" t="n"/>
      <c r="D95" s="72" t="n"/>
      <c r="E95" s="72" t="n"/>
      <c r="F95" s="72" t="n"/>
      <c r="G95" s="89" t="n"/>
      <c r="H95" s="89" t="n"/>
      <c r="I95" s="108" t="n"/>
      <c r="J95" s="126">
        <f>IF(OR(D95="",ProjStart=""),"",MAX(ProjStart,IF(I95&lt;&gt;"",I95,0),IF(H95="",0,IFERROR(INDEX($L$6:L94,MATCH(H95,$B$6:B94,0))+1,0))))</f>
        <v/>
      </c>
      <c r="K95" s="89" t="n"/>
      <c r="L95" s="126">
        <f>IF(J95="","",J95+MAX(1,G95)+IF(K95="",0,K95)-1)</f>
        <v/>
      </c>
      <c r="M95" s="72" t="n"/>
      <c r="N95" s="108" t="n"/>
      <c r="O95" s="127">
        <f>IF(D95="","",COUNTIF($H$7:$H$156,B95))</f>
        <v/>
      </c>
      <c r="P95" s="78">
        <f>IF(D95="","",IF(AND(H95&lt;&gt;"",H95&gt;=B95),"⚠️ Predecessor must be above",IF(M95="Done","✓ Done",IF(Q95=3,"🔴 Late",IF(M95="In progress","In progress","")))))</f>
        <v/>
      </c>
      <c r="Q95" s="79">
        <f>IF(OR(D95="",L95=""),"",IF(M95="Done",2,IF(AsOf&gt;L95,3,1)))</f>
        <v/>
      </c>
      <c r="R95" s="79">
        <f>IF(OR(E95="",F95=""),0,IF(COUNTIFS($E$7:E95,E95,$F$7:F95,F95)=1,1,0))</f>
        <v/>
      </c>
      <c r="S95" s="79">
        <f>IF(R95=1,E95&amp;"|"&amp;SUMIFS($R$7:R95,$E$7:E95,E95),"")</f>
        <v/>
      </c>
      <c r="T95" s="111">
        <f>IF(Q95="","",IF(Q95=3,L95,IF(OR(M95="Not started",M95=""),J95,"")))</f>
        <v/>
      </c>
      <c r="U95" s="79">
        <f>IF(T95="","",IF(Q95=3,1,IF(T95="","",IF(T95&lt;AsOf,1,IF(T95&lt;=AsOf+AlertDays,2,IF(T95&lt;=AsOf+2*AlertDays,3,""))))))</f>
        <v/>
      </c>
      <c r="V95" s="79">
        <f>IF(U95="","",IF(Q95=3,"Late task: "&amp;D95,IF(T95&lt;AsOf,"Should have started: ","Starts soon: ")&amp;D95)&amp;IF(F95="",""," — "&amp;F95))</f>
        <v/>
      </c>
      <c r="X95" s="128" t="n"/>
      <c r="Y95" s="128" t="n"/>
      <c r="Z95" s="128" t="n"/>
      <c r="AA95" s="128" t="n"/>
      <c r="AB95" s="128" t="n"/>
      <c r="AC95" s="128" t="n"/>
      <c r="AD95" s="128" t="n"/>
      <c r="AE95" s="128" t="n"/>
      <c r="AF95" s="128" t="n"/>
      <c r="AG95" s="128" t="n"/>
      <c r="AH95" s="128" t="n"/>
      <c r="AI95" s="128" t="n"/>
      <c r="AJ95" s="128" t="n"/>
      <c r="AK95" s="128" t="n"/>
      <c r="AL95" s="128" t="n"/>
      <c r="AM95" s="128" t="n"/>
      <c r="AN95" s="128" t="n"/>
      <c r="AO95" s="128" t="n"/>
      <c r="AP95" s="128" t="n"/>
      <c r="AQ95" s="128" t="n"/>
      <c r="AR95" s="128" t="n"/>
      <c r="AS95" s="128" t="n"/>
      <c r="AT95" s="128" t="n"/>
      <c r="AU95" s="128" t="n"/>
      <c r="AV95" s="128" t="n"/>
      <c r="AW95" s="128" t="n"/>
      <c r="AX95" s="128" t="n"/>
      <c r="AY95" s="128" t="n"/>
      <c r="AZ95" s="128" t="n"/>
      <c r="BA95" s="128" t="n"/>
      <c r="BB95" s="128" t="n"/>
      <c r="BC95" s="128" t="n"/>
      <c r="BD95" s="128" t="n"/>
      <c r="BE95" s="128" t="n"/>
      <c r="BF95" s="128" t="n"/>
      <c r="BG95" s="128" t="n"/>
      <c r="BH95" s="128" t="n"/>
      <c r="BI95" s="128" t="n"/>
      <c r="BJ95" s="128" t="n"/>
      <c r="BK95" s="128" t="n"/>
      <c r="BL95" s="128" t="n"/>
      <c r="BM95" s="128" t="n"/>
      <c r="BN95" s="128" t="n"/>
      <c r="BO95" s="128" t="n"/>
      <c r="BP95" s="128" t="n"/>
      <c r="BQ95" s="128" t="n"/>
      <c r="BR95" s="128" t="n"/>
      <c r="BS95" s="128" t="n"/>
      <c r="BT95" s="128" t="n"/>
      <c r="BU95" s="128" t="n"/>
      <c r="BV95" s="128" t="n"/>
      <c r="BW95" s="128" t="n"/>
    </row>
    <row r="96" ht="20" customHeight="1">
      <c r="B96" s="125" t="n">
        <v>90</v>
      </c>
      <c r="C96" s="72" t="n"/>
      <c r="D96" s="72" t="n"/>
      <c r="E96" s="72" t="n"/>
      <c r="F96" s="72" t="n"/>
      <c r="G96" s="89" t="n"/>
      <c r="H96" s="89" t="n"/>
      <c r="I96" s="108" t="n"/>
      <c r="J96" s="126">
        <f>IF(OR(D96="",ProjStart=""),"",MAX(ProjStart,IF(I96&lt;&gt;"",I96,0),IF(H96="",0,IFERROR(INDEX($L$6:L95,MATCH(H96,$B$6:B95,0))+1,0))))</f>
        <v/>
      </c>
      <c r="K96" s="89" t="n"/>
      <c r="L96" s="126">
        <f>IF(J96="","",J96+MAX(1,G96)+IF(K96="",0,K96)-1)</f>
        <v/>
      </c>
      <c r="M96" s="72" t="n"/>
      <c r="N96" s="108" t="n"/>
      <c r="O96" s="127">
        <f>IF(D96="","",COUNTIF($H$7:$H$156,B96))</f>
        <v/>
      </c>
      <c r="P96" s="78">
        <f>IF(D96="","",IF(AND(H96&lt;&gt;"",H96&gt;=B96),"⚠️ Predecessor must be above",IF(M96="Done","✓ Done",IF(Q96=3,"🔴 Late",IF(M96="In progress","In progress","")))))</f>
        <v/>
      </c>
      <c r="Q96" s="79">
        <f>IF(OR(D96="",L96=""),"",IF(M96="Done",2,IF(AsOf&gt;L96,3,1)))</f>
        <v/>
      </c>
      <c r="R96" s="79">
        <f>IF(OR(E96="",F96=""),0,IF(COUNTIFS($E$7:E96,E96,$F$7:F96,F96)=1,1,0))</f>
        <v/>
      </c>
      <c r="S96" s="79">
        <f>IF(R96=1,E96&amp;"|"&amp;SUMIFS($R$7:R96,$E$7:E96,E96),"")</f>
        <v/>
      </c>
      <c r="T96" s="111">
        <f>IF(Q96="","",IF(Q96=3,L96,IF(OR(M96="Not started",M96=""),J96,"")))</f>
        <v/>
      </c>
      <c r="U96" s="79">
        <f>IF(T96="","",IF(Q96=3,1,IF(T96="","",IF(T96&lt;AsOf,1,IF(T96&lt;=AsOf+AlertDays,2,IF(T96&lt;=AsOf+2*AlertDays,3,""))))))</f>
        <v/>
      </c>
      <c r="V96" s="79">
        <f>IF(U96="","",IF(Q96=3,"Late task: "&amp;D96,IF(T96&lt;AsOf,"Should have started: ","Starts soon: ")&amp;D96)&amp;IF(F96="",""," — "&amp;F96))</f>
        <v/>
      </c>
      <c r="X96" s="128" t="n"/>
      <c r="Y96" s="128" t="n"/>
      <c r="Z96" s="128" t="n"/>
      <c r="AA96" s="128" t="n"/>
      <c r="AB96" s="128" t="n"/>
      <c r="AC96" s="128" t="n"/>
      <c r="AD96" s="128" t="n"/>
      <c r="AE96" s="128" t="n"/>
      <c r="AF96" s="128" t="n"/>
      <c r="AG96" s="128" t="n"/>
      <c r="AH96" s="128" t="n"/>
      <c r="AI96" s="128" t="n"/>
      <c r="AJ96" s="128" t="n"/>
      <c r="AK96" s="128" t="n"/>
      <c r="AL96" s="128" t="n"/>
      <c r="AM96" s="128" t="n"/>
      <c r="AN96" s="128" t="n"/>
      <c r="AO96" s="128" t="n"/>
      <c r="AP96" s="128" t="n"/>
      <c r="AQ96" s="128" t="n"/>
      <c r="AR96" s="128" t="n"/>
      <c r="AS96" s="128" t="n"/>
      <c r="AT96" s="128" t="n"/>
      <c r="AU96" s="128" t="n"/>
      <c r="AV96" s="128" t="n"/>
      <c r="AW96" s="128" t="n"/>
      <c r="AX96" s="128" t="n"/>
      <c r="AY96" s="128" t="n"/>
      <c r="AZ96" s="128" t="n"/>
      <c r="BA96" s="128" t="n"/>
      <c r="BB96" s="128" t="n"/>
      <c r="BC96" s="128" t="n"/>
      <c r="BD96" s="128" t="n"/>
      <c r="BE96" s="128" t="n"/>
      <c r="BF96" s="128" t="n"/>
      <c r="BG96" s="128" t="n"/>
      <c r="BH96" s="128" t="n"/>
      <c r="BI96" s="128" t="n"/>
      <c r="BJ96" s="128" t="n"/>
      <c r="BK96" s="128" t="n"/>
      <c r="BL96" s="128" t="n"/>
      <c r="BM96" s="128" t="n"/>
      <c r="BN96" s="128" t="n"/>
      <c r="BO96" s="128" t="n"/>
      <c r="BP96" s="128" t="n"/>
      <c r="BQ96" s="128" t="n"/>
      <c r="BR96" s="128" t="n"/>
      <c r="BS96" s="128" t="n"/>
      <c r="BT96" s="128" t="n"/>
      <c r="BU96" s="128" t="n"/>
      <c r="BV96" s="128" t="n"/>
      <c r="BW96" s="128" t="n"/>
    </row>
    <row r="97" ht="20" customHeight="1">
      <c r="B97" s="125" t="n">
        <v>91</v>
      </c>
      <c r="C97" s="72" t="n"/>
      <c r="D97" s="72" t="n"/>
      <c r="E97" s="72" t="n"/>
      <c r="F97" s="72" t="n"/>
      <c r="G97" s="89" t="n"/>
      <c r="H97" s="89" t="n"/>
      <c r="I97" s="108" t="n"/>
      <c r="J97" s="126">
        <f>IF(OR(D97="",ProjStart=""),"",MAX(ProjStart,IF(I97&lt;&gt;"",I97,0),IF(H97="",0,IFERROR(INDEX($L$6:L96,MATCH(H97,$B$6:B96,0))+1,0))))</f>
        <v/>
      </c>
      <c r="K97" s="89" t="n"/>
      <c r="L97" s="126">
        <f>IF(J97="","",J97+MAX(1,G97)+IF(K97="",0,K97)-1)</f>
        <v/>
      </c>
      <c r="M97" s="72" t="n"/>
      <c r="N97" s="108" t="n"/>
      <c r="O97" s="127">
        <f>IF(D97="","",COUNTIF($H$7:$H$156,B97))</f>
        <v/>
      </c>
      <c r="P97" s="78">
        <f>IF(D97="","",IF(AND(H97&lt;&gt;"",H97&gt;=B97),"⚠️ Predecessor must be above",IF(M97="Done","✓ Done",IF(Q97=3,"🔴 Late",IF(M97="In progress","In progress","")))))</f>
        <v/>
      </c>
      <c r="Q97" s="79">
        <f>IF(OR(D97="",L97=""),"",IF(M97="Done",2,IF(AsOf&gt;L97,3,1)))</f>
        <v/>
      </c>
      <c r="R97" s="79">
        <f>IF(OR(E97="",F97=""),0,IF(COUNTIFS($E$7:E97,E97,$F$7:F97,F97)=1,1,0))</f>
        <v/>
      </c>
      <c r="S97" s="79">
        <f>IF(R97=1,E97&amp;"|"&amp;SUMIFS($R$7:R97,$E$7:E97,E97),"")</f>
        <v/>
      </c>
      <c r="T97" s="111">
        <f>IF(Q97="","",IF(Q97=3,L97,IF(OR(M97="Not started",M97=""),J97,"")))</f>
        <v/>
      </c>
      <c r="U97" s="79">
        <f>IF(T97="","",IF(Q97=3,1,IF(T97="","",IF(T97&lt;AsOf,1,IF(T97&lt;=AsOf+AlertDays,2,IF(T97&lt;=AsOf+2*AlertDays,3,""))))))</f>
        <v/>
      </c>
      <c r="V97" s="79">
        <f>IF(U97="","",IF(Q97=3,"Late task: "&amp;D97,IF(T97&lt;AsOf,"Should have started: ","Starts soon: ")&amp;D97)&amp;IF(F97="",""," — "&amp;F97))</f>
        <v/>
      </c>
      <c r="X97" s="128" t="n"/>
      <c r="Y97" s="128" t="n"/>
      <c r="Z97" s="128" t="n"/>
      <c r="AA97" s="128" t="n"/>
      <c r="AB97" s="128" t="n"/>
      <c r="AC97" s="128" t="n"/>
      <c r="AD97" s="128" t="n"/>
      <c r="AE97" s="128" t="n"/>
      <c r="AF97" s="128" t="n"/>
      <c r="AG97" s="128" t="n"/>
      <c r="AH97" s="128" t="n"/>
      <c r="AI97" s="128" t="n"/>
      <c r="AJ97" s="128" t="n"/>
      <c r="AK97" s="128" t="n"/>
      <c r="AL97" s="128" t="n"/>
      <c r="AM97" s="128" t="n"/>
      <c r="AN97" s="128" t="n"/>
      <c r="AO97" s="128" t="n"/>
      <c r="AP97" s="128" t="n"/>
      <c r="AQ97" s="128" t="n"/>
      <c r="AR97" s="128" t="n"/>
      <c r="AS97" s="128" t="n"/>
      <c r="AT97" s="128" t="n"/>
      <c r="AU97" s="128" t="n"/>
      <c r="AV97" s="128" t="n"/>
      <c r="AW97" s="128" t="n"/>
      <c r="AX97" s="128" t="n"/>
      <c r="AY97" s="128" t="n"/>
      <c r="AZ97" s="128" t="n"/>
      <c r="BA97" s="128" t="n"/>
      <c r="BB97" s="128" t="n"/>
      <c r="BC97" s="128" t="n"/>
      <c r="BD97" s="128" t="n"/>
      <c r="BE97" s="128" t="n"/>
      <c r="BF97" s="128" t="n"/>
      <c r="BG97" s="128" t="n"/>
      <c r="BH97" s="128" t="n"/>
      <c r="BI97" s="128" t="n"/>
      <c r="BJ97" s="128" t="n"/>
      <c r="BK97" s="128" t="n"/>
      <c r="BL97" s="128" t="n"/>
      <c r="BM97" s="128" t="n"/>
      <c r="BN97" s="128" t="n"/>
      <c r="BO97" s="128" t="n"/>
      <c r="BP97" s="128" t="n"/>
      <c r="BQ97" s="128" t="n"/>
      <c r="BR97" s="128" t="n"/>
      <c r="BS97" s="128" t="n"/>
      <c r="BT97" s="128" t="n"/>
      <c r="BU97" s="128" t="n"/>
      <c r="BV97" s="128" t="n"/>
      <c r="BW97" s="128" t="n"/>
    </row>
    <row r="98" ht="20" customHeight="1">
      <c r="B98" s="125" t="n">
        <v>92</v>
      </c>
      <c r="C98" s="72" t="n"/>
      <c r="D98" s="72" t="n"/>
      <c r="E98" s="72" t="n"/>
      <c r="F98" s="72" t="n"/>
      <c r="G98" s="89" t="n"/>
      <c r="H98" s="89" t="n"/>
      <c r="I98" s="108" t="n"/>
      <c r="J98" s="126">
        <f>IF(OR(D98="",ProjStart=""),"",MAX(ProjStart,IF(I98&lt;&gt;"",I98,0),IF(H98="",0,IFERROR(INDEX($L$6:L97,MATCH(H98,$B$6:B97,0))+1,0))))</f>
        <v/>
      </c>
      <c r="K98" s="89" t="n"/>
      <c r="L98" s="126">
        <f>IF(J98="","",J98+MAX(1,G98)+IF(K98="",0,K98)-1)</f>
        <v/>
      </c>
      <c r="M98" s="72" t="n"/>
      <c r="N98" s="108" t="n"/>
      <c r="O98" s="127">
        <f>IF(D98="","",COUNTIF($H$7:$H$156,B98))</f>
        <v/>
      </c>
      <c r="P98" s="78">
        <f>IF(D98="","",IF(AND(H98&lt;&gt;"",H98&gt;=B98),"⚠️ Predecessor must be above",IF(M98="Done","✓ Done",IF(Q98=3,"🔴 Late",IF(M98="In progress","In progress","")))))</f>
        <v/>
      </c>
      <c r="Q98" s="79">
        <f>IF(OR(D98="",L98=""),"",IF(M98="Done",2,IF(AsOf&gt;L98,3,1)))</f>
        <v/>
      </c>
      <c r="R98" s="79">
        <f>IF(OR(E98="",F98=""),0,IF(COUNTIFS($E$7:E98,E98,$F$7:F98,F98)=1,1,0))</f>
        <v/>
      </c>
      <c r="S98" s="79">
        <f>IF(R98=1,E98&amp;"|"&amp;SUMIFS($R$7:R98,$E$7:E98,E98),"")</f>
        <v/>
      </c>
      <c r="T98" s="111">
        <f>IF(Q98="","",IF(Q98=3,L98,IF(OR(M98="Not started",M98=""),J98,"")))</f>
        <v/>
      </c>
      <c r="U98" s="79">
        <f>IF(T98="","",IF(Q98=3,1,IF(T98="","",IF(T98&lt;AsOf,1,IF(T98&lt;=AsOf+AlertDays,2,IF(T98&lt;=AsOf+2*AlertDays,3,""))))))</f>
        <v/>
      </c>
      <c r="V98" s="79">
        <f>IF(U98="","",IF(Q98=3,"Late task: "&amp;D98,IF(T98&lt;AsOf,"Should have started: ","Starts soon: ")&amp;D98)&amp;IF(F98="",""," — "&amp;F98))</f>
        <v/>
      </c>
      <c r="X98" s="128" t="n"/>
      <c r="Y98" s="128" t="n"/>
      <c r="Z98" s="128" t="n"/>
      <c r="AA98" s="128" t="n"/>
      <c r="AB98" s="128" t="n"/>
      <c r="AC98" s="128" t="n"/>
      <c r="AD98" s="128" t="n"/>
      <c r="AE98" s="128" t="n"/>
      <c r="AF98" s="128" t="n"/>
      <c r="AG98" s="128" t="n"/>
      <c r="AH98" s="128" t="n"/>
      <c r="AI98" s="128" t="n"/>
      <c r="AJ98" s="128" t="n"/>
      <c r="AK98" s="128" t="n"/>
      <c r="AL98" s="128" t="n"/>
      <c r="AM98" s="128" t="n"/>
      <c r="AN98" s="128" t="n"/>
      <c r="AO98" s="128" t="n"/>
      <c r="AP98" s="128" t="n"/>
      <c r="AQ98" s="128" t="n"/>
      <c r="AR98" s="128" t="n"/>
      <c r="AS98" s="128" t="n"/>
      <c r="AT98" s="128" t="n"/>
      <c r="AU98" s="128" t="n"/>
      <c r="AV98" s="128" t="n"/>
      <c r="AW98" s="128" t="n"/>
      <c r="AX98" s="128" t="n"/>
      <c r="AY98" s="128" t="n"/>
      <c r="AZ98" s="128" t="n"/>
      <c r="BA98" s="128" t="n"/>
      <c r="BB98" s="128" t="n"/>
      <c r="BC98" s="128" t="n"/>
      <c r="BD98" s="128" t="n"/>
      <c r="BE98" s="128" t="n"/>
      <c r="BF98" s="128" t="n"/>
      <c r="BG98" s="128" t="n"/>
      <c r="BH98" s="128" t="n"/>
      <c r="BI98" s="128" t="n"/>
      <c r="BJ98" s="128" t="n"/>
      <c r="BK98" s="128" t="n"/>
      <c r="BL98" s="128" t="n"/>
      <c r="BM98" s="128" t="n"/>
      <c r="BN98" s="128" t="n"/>
      <c r="BO98" s="128" t="n"/>
      <c r="BP98" s="128" t="n"/>
      <c r="BQ98" s="128" t="n"/>
      <c r="BR98" s="128" t="n"/>
      <c r="BS98" s="128" t="n"/>
      <c r="BT98" s="128" t="n"/>
      <c r="BU98" s="128" t="n"/>
      <c r="BV98" s="128" t="n"/>
      <c r="BW98" s="128" t="n"/>
    </row>
    <row r="99" ht="20" customHeight="1">
      <c r="B99" s="125" t="n">
        <v>93</v>
      </c>
      <c r="C99" s="72" t="n"/>
      <c r="D99" s="72" t="n"/>
      <c r="E99" s="72" t="n"/>
      <c r="F99" s="72" t="n"/>
      <c r="G99" s="89" t="n"/>
      <c r="H99" s="89" t="n"/>
      <c r="I99" s="108" t="n"/>
      <c r="J99" s="126">
        <f>IF(OR(D99="",ProjStart=""),"",MAX(ProjStart,IF(I99&lt;&gt;"",I99,0),IF(H99="",0,IFERROR(INDEX($L$6:L98,MATCH(H99,$B$6:B98,0))+1,0))))</f>
        <v/>
      </c>
      <c r="K99" s="89" t="n"/>
      <c r="L99" s="126">
        <f>IF(J99="","",J99+MAX(1,G99)+IF(K99="",0,K99)-1)</f>
        <v/>
      </c>
      <c r="M99" s="72" t="n"/>
      <c r="N99" s="108" t="n"/>
      <c r="O99" s="127">
        <f>IF(D99="","",COUNTIF($H$7:$H$156,B99))</f>
        <v/>
      </c>
      <c r="P99" s="78">
        <f>IF(D99="","",IF(AND(H99&lt;&gt;"",H99&gt;=B99),"⚠️ Predecessor must be above",IF(M99="Done","✓ Done",IF(Q99=3,"🔴 Late",IF(M99="In progress","In progress","")))))</f>
        <v/>
      </c>
      <c r="Q99" s="79">
        <f>IF(OR(D99="",L99=""),"",IF(M99="Done",2,IF(AsOf&gt;L99,3,1)))</f>
        <v/>
      </c>
      <c r="R99" s="79">
        <f>IF(OR(E99="",F99=""),0,IF(COUNTIFS($E$7:E99,E99,$F$7:F99,F99)=1,1,0))</f>
        <v/>
      </c>
      <c r="S99" s="79">
        <f>IF(R99=1,E99&amp;"|"&amp;SUMIFS($R$7:R99,$E$7:E99,E99),"")</f>
        <v/>
      </c>
      <c r="T99" s="111">
        <f>IF(Q99="","",IF(Q99=3,L99,IF(OR(M99="Not started",M99=""),J99,"")))</f>
        <v/>
      </c>
      <c r="U99" s="79">
        <f>IF(T99="","",IF(Q99=3,1,IF(T99="","",IF(T99&lt;AsOf,1,IF(T99&lt;=AsOf+AlertDays,2,IF(T99&lt;=AsOf+2*AlertDays,3,""))))))</f>
        <v/>
      </c>
      <c r="V99" s="79">
        <f>IF(U99="","",IF(Q99=3,"Late task: "&amp;D99,IF(T99&lt;AsOf,"Should have started: ","Starts soon: ")&amp;D99)&amp;IF(F99="",""," — "&amp;F99))</f>
        <v/>
      </c>
      <c r="X99" s="128" t="n"/>
      <c r="Y99" s="128" t="n"/>
      <c r="Z99" s="128" t="n"/>
      <c r="AA99" s="128" t="n"/>
      <c r="AB99" s="128" t="n"/>
      <c r="AC99" s="128" t="n"/>
      <c r="AD99" s="128" t="n"/>
      <c r="AE99" s="128" t="n"/>
      <c r="AF99" s="128" t="n"/>
      <c r="AG99" s="128" t="n"/>
      <c r="AH99" s="128" t="n"/>
      <c r="AI99" s="128" t="n"/>
      <c r="AJ99" s="128" t="n"/>
      <c r="AK99" s="128" t="n"/>
      <c r="AL99" s="128" t="n"/>
      <c r="AM99" s="128" t="n"/>
      <c r="AN99" s="128" t="n"/>
      <c r="AO99" s="128" t="n"/>
      <c r="AP99" s="128" t="n"/>
      <c r="AQ99" s="128" t="n"/>
      <c r="AR99" s="128" t="n"/>
      <c r="AS99" s="128" t="n"/>
      <c r="AT99" s="128" t="n"/>
      <c r="AU99" s="128" t="n"/>
      <c r="AV99" s="128" t="n"/>
      <c r="AW99" s="128" t="n"/>
      <c r="AX99" s="128" t="n"/>
      <c r="AY99" s="128" t="n"/>
      <c r="AZ99" s="128" t="n"/>
      <c r="BA99" s="128" t="n"/>
      <c r="BB99" s="128" t="n"/>
      <c r="BC99" s="128" t="n"/>
      <c r="BD99" s="128" t="n"/>
      <c r="BE99" s="128" t="n"/>
      <c r="BF99" s="128" t="n"/>
      <c r="BG99" s="128" t="n"/>
      <c r="BH99" s="128" t="n"/>
      <c r="BI99" s="128" t="n"/>
      <c r="BJ99" s="128" t="n"/>
      <c r="BK99" s="128" t="n"/>
      <c r="BL99" s="128" t="n"/>
      <c r="BM99" s="128" t="n"/>
      <c r="BN99" s="128" t="n"/>
      <c r="BO99" s="128" t="n"/>
      <c r="BP99" s="128" t="n"/>
      <c r="BQ99" s="128" t="n"/>
      <c r="BR99" s="128" t="n"/>
      <c r="BS99" s="128" t="n"/>
      <c r="BT99" s="128" t="n"/>
      <c r="BU99" s="128" t="n"/>
      <c r="BV99" s="128" t="n"/>
      <c r="BW99" s="128" t="n"/>
    </row>
    <row r="100" ht="20" customHeight="1">
      <c r="B100" s="125" t="n">
        <v>94</v>
      </c>
      <c r="C100" s="72" t="n"/>
      <c r="D100" s="72" t="n"/>
      <c r="E100" s="72" t="n"/>
      <c r="F100" s="72" t="n"/>
      <c r="G100" s="89" t="n"/>
      <c r="H100" s="89" t="n"/>
      <c r="I100" s="108" t="n"/>
      <c r="J100" s="126">
        <f>IF(OR(D100="",ProjStart=""),"",MAX(ProjStart,IF(I100&lt;&gt;"",I100,0),IF(H100="",0,IFERROR(INDEX($L$6:L99,MATCH(H100,$B$6:B99,0))+1,0))))</f>
        <v/>
      </c>
      <c r="K100" s="89" t="n"/>
      <c r="L100" s="126">
        <f>IF(J100="","",J100+MAX(1,G100)+IF(K100="",0,K100)-1)</f>
        <v/>
      </c>
      <c r="M100" s="72" t="n"/>
      <c r="N100" s="108" t="n"/>
      <c r="O100" s="127">
        <f>IF(D100="","",COUNTIF($H$7:$H$156,B100))</f>
        <v/>
      </c>
      <c r="P100" s="78">
        <f>IF(D100="","",IF(AND(H100&lt;&gt;"",H100&gt;=B100),"⚠️ Predecessor must be above",IF(M100="Done","✓ Done",IF(Q100=3,"🔴 Late",IF(M100="In progress","In progress","")))))</f>
        <v/>
      </c>
      <c r="Q100" s="79">
        <f>IF(OR(D100="",L100=""),"",IF(M100="Done",2,IF(AsOf&gt;L100,3,1)))</f>
        <v/>
      </c>
      <c r="R100" s="79">
        <f>IF(OR(E100="",F100=""),0,IF(COUNTIFS($E$7:E100,E100,$F$7:F100,F100)=1,1,0))</f>
        <v/>
      </c>
      <c r="S100" s="79">
        <f>IF(R100=1,E100&amp;"|"&amp;SUMIFS($R$7:R100,$E$7:E100,E100),"")</f>
        <v/>
      </c>
      <c r="T100" s="111">
        <f>IF(Q100="","",IF(Q100=3,L100,IF(OR(M100="Not started",M100=""),J100,"")))</f>
        <v/>
      </c>
      <c r="U100" s="79">
        <f>IF(T100="","",IF(Q100=3,1,IF(T100="","",IF(T100&lt;AsOf,1,IF(T100&lt;=AsOf+AlertDays,2,IF(T100&lt;=AsOf+2*AlertDays,3,""))))))</f>
        <v/>
      </c>
      <c r="V100" s="79">
        <f>IF(U100="","",IF(Q100=3,"Late task: "&amp;D100,IF(T100&lt;AsOf,"Should have started: ","Starts soon: ")&amp;D100)&amp;IF(F100="",""," — "&amp;F100))</f>
        <v/>
      </c>
      <c r="X100" s="128" t="n"/>
      <c r="Y100" s="128" t="n"/>
      <c r="Z100" s="128" t="n"/>
      <c r="AA100" s="128" t="n"/>
      <c r="AB100" s="128" t="n"/>
      <c r="AC100" s="128" t="n"/>
      <c r="AD100" s="128" t="n"/>
      <c r="AE100" s="128" t="n"/>
      <c r="AF100" s="128" t="n"/>
      <c r="AG100" s="128" t="n"/>
      <c r="AH100" s="128" t="n"/>
      <c r="AI100" s="128" t="n"/>
      <c r="AJ100" s="128" t="n"/>
      <c r="AK100" s="128" t="n"/>
      <c r="AL100" s="128" t="n"/>
      <c r="AM100" s="128" t="n"/>
      <c r="AN100" s="128" t="n"/>
      <c r="AO100" s="128" t="n"/>
      <c r="AP100" s="128" t="n"/>
      <c r="AQ100" s="128" t="n"/>
      <c r="AR100" s="128" t="n"/>
      <c r="AS100" s="128" t="n"/>
      <c r="AT100" s="128" t="n"/>
      <c r="AU100" s="128" t="n"/>
      <c r="AV100" s="128" t="n"/>
      <c r="AW100" s="128" t="n"/>
      <c r="AX100" s="128" t="n"/>
      <c r="AY100" s="128" t="n"/>
      <c r="AZ100" s="128" t="n"/>
      <c r="BA100" s="128" t="n"/>
      <c r="BB100" s="128" t="n"/>
      <c r="BC100" s="128" t="n"/>
      <c r="BD100" s="128" t="n"/>
      <c r="BE100" s="128" t="n"/>
      <c r="BF100" s="128" t="n"/>
      <c r="BG100" s="128" t="n"/>
      <c r="BH100" s="128" t="n"/>
      <c r="BI100" s="128" t="n"/>
      <c r="BJ100" s="128" t="n"/>
      <c r="BK100" s="128" t="n"/>
      <c r="BL100" s="128" t="n"/>
      <c r="BM100" s="128" t="n"/>
      <c r="BN100" s="128" t="n"/>
      <c r="BO100" s="128" t="n"/>
      <c r="BP100" s="128" t="n"/>
      <c r="BQ100" s="128" t="n"/>
      <c r="BR100" s="128" t="n"/>
      <c r="BS100" s="128" t="n"/>
      <c r="BT100" s="128" t="n"/>
      <c r="BU100" s="128" t="n"/>
      <c r="BV100" s="128" t="n"/>
      <c r="BW100" s="128" t="n"/>
    </row>
    <row r="101" ht="20" customHeight="1">
      <c r="B101" s="125" t="n">
        <v>95</v>
      </c>
      <c r="C101" s="72" t="n"/>
      <c r="D101" s="72" t="n"/>
      <c r="E101" s="72" t="n"/>
      <c r="F101" s="72" t="n"/>
      <c r="G101" s="89" t="n"/>
      <c r="H101" s="89" t="n"/>
      <c r="I101" s="108" t="n"/>
      <c r="J101" s="126">
        <f>IF(OR(D101="",ProjStart=""),"",MAX(ProjStart,IF(I101&lt;&gt;"",I101,0),IF(H101="",0,IFERROR(INDEX($L$6:L100,MATCH(H101,$B$6:B100,0))+1,0))))</f>
        <v/>
      </c>
      <c r="K101" s="89" t="n"/>
      <c r="L101" s="126">
        <f>IF(J101="","",J101+MAX(1,G101)+IF(K101="",0,K101)-1)</f>
        <v/>
      </c>
      <c r="M101" s="72" t="n"/>
      <c r="N101" s="108" t="n"/>
      <c r="O101" s="127">
        <f>IF(D101="","",COUNTIF($H$7:$H$156,B101))</f>
        <v/>
      </c>
      <c r="P101" s="78">
        <f>IF(D101="","",IF(AND(H101&lt;&gt;"",H101&gt;=B101),"⚠️ Predecessor must be above",IF(M101="Done","✓ Done",IF(Q101=3,"🔴 Late",IF(M101="In progress","In progress","")))))</f>
        <v/>
      </c>
      <c r="Q101" s="79">
        <f>IF(OR(D101="",L101=""),"",IF(M101="Done",2,IF(AsOf&gt;L101,3,1)))</f>
        <v/>
      </c>
      <c r="R101" s="79">
        <f>IF(OR(E101="",F101=""),0,IF(COUNTIFS($E$7:E101,E101,$F$7:F101,F101)=1,1,0))</f>
        <v/>
      </c>
      <c r="S101" s="79">
        <f>IF(R101=1,E101&amp;"|"&amp;SUMIFS($R$7:R101,$E$7:E101,E101),"")</f>
        <v/>
      </c>
      <c r="T101" s="111">
        <f>IF(Q101="","",IF(Q101=3,L101,IF(OR(M101="Not started",M101=""),J101,"")))</f>
        <v/>
      </c>
      <c r="U101" s="79">
        <f>IF(T101="","",IF(Q101=3,1,IF(T101="","",IF(T101&lt;AsOf,1,IF(T101&lt;=AsOf+AlertDays,2,IF(T101&lt;=AsOf+2*AlertDays,3,""))))))</f>
        <v/>
      </c>
      <c r="V101" s="79">
        <f>IF(U101="","",IF(Q101=3,"Late task: "&amp;D101,IF(T101&lt;AsOf,"Should have started: ","Starts soon: ")&amp;D101)&amp;IF(F101="",""," — "&amp;F101))</f>
        <v/>
      </c>
      <c r="X101" s="128" t="n"/>
      <c r="Y101" s="128" t="n"/>
      <c r="Z101" s="128" t="n"/>
      <c r="AA101" s="128" t="n"/>
      <c r="AB101" s="128" t="n"/>
      <c r="AC101" s="128" t="n"/>
      <c r="AD101" s="128" t="n"/>
      <c r="AE101" s="128" t="n"/>
      <c r="AF101" s="128" t="n"/>
      <c r="AG101" s="128" t="n"/>
      <c r="AH101" s="128" t="n"/>
      <c r="AI101" s="128" t="n"/>
      <c r="AJ101" s="128" t="n"/>
      <c r="AK101" s="128" t="n"/>
      <c r="AL101" s="128" t="n"/>
      <c r="AM101" s="128" t="n"/>
      <c r="AN101" s="128" t="n"/>
      <c r="AO101" s="128" t="n"/>
      <c r="AP101" s="128" t="n"/>
      <c r="AQ101" s="128" t="n"/>
      <c r="AR101" s="128" t="n"/>
      <c r="AS101" s="128" t="n"/>
      <c r="AT101" s="128" t="n"/>
      <c r="AU101" s="128" t="n"/>
      <c r="AV101" s="128" t="n"/>
      <c r="AW101" s="128" t="n"/>
      <c r="AX101" s="128" t="n"/>
      <c r="AY101" s="128" t="n"/>
      <c r="AZ101" s="128" t="n"/>
      <c r="BA101" s="128" t="n"/>
      <c r="BB101" s="128" t="n"/>
      <c r="BC101" s="128" t="n"/>
      <c r="BD101" s="128" t="n"/>
      <c r="BE101" s="128" t="n"/>
      <c r="BF101" s="128" t="n"/>
      <c r="BG101" s="128" t="n"/>
      <c r="BH101" s="128" t="n"/>
      <c r="BI101" s="128" t="n"/>
      <c r="BJ101" s="128" t="n"/>
      <c r="BK101" s="128" t="n"/>
      <c r="BL101" s="128" t="n"/>
      <c r="BM101" s="128" t="n"/>
      <c r="BN101" s="128" t="n"/>
      <c r="BO101" s="128" t="n"/>
      <c r="BP101" s="128" t="n"/>
      <c r="BQ101" s="128" t="n"/>
      <c r="BR101" s="128" t="n"/>
      <c r="BS101" s="128" t="n"/>
      <c r="BT101" s="128" t="n"/>
      <c r="BU101" s="128" t="n"/>
      <c r="BV101" s="128" t="n"/>
      <c r="BW101" s="128" t="n"/>
    </row>
    <row r="102" ht="20" customHeight="1">
      <c r="B102" s="125" t="n">
        <v>96</v>
      </c>
      <c r="C102" s="72" t="n"/>
      <c r="D102" s="72" t="n"/>
      <c r="E102" s="72" t="n"/>
      <c r="F102" s="72" t="n"/>
      <c r="G102" s="89" t="n"/>
      <c r="H102" s="89" t="n"/>
      <c r="I102" s="108" t="n"/>
      <c r="J102" s="126">
        <f>IF(OR(D102="",ProjStart=""),"",MAX(ProjStart,IF(I102&lt;&gt;"",I102,0),IF(H102="",0,IFERROR(INDEX($L$6:L101,MATCH(H102,$B$6:B101,0))+1,0))))</f>
        <v/>
      </c>
      <c r="K102" s="89" t="n"/>
      <c r="L102" s="126">
        <f>IF(J102="","",J102+MAX(1,G102)+IF(K102="",0,K102)-1)</f>
        <v/>
      </c>
      <c r="M102" s="72" t="n"/>
      <c r="N102" s="108" t="n"/>
      <c r="O102" s="127">
        <f>IF(D102="","",COUNTIF($H$7:$H$156,B102))</f>
        <v/>
      </c>
      <c r="P102" s="78">
        <f>IF(D102="","",IF(AND(H102&lt;&gt;"",H102&gt;=B102),"⚠️ Predecessor must be above",IF(M102="Done","✓ Done",IF(Q102=3,"🔴 Late",IF(M102="In progress","In progress","")))))</f>
        <v/>
      </c>
      <c r="Q102" s="79">
        <f>IF(OR(D102="",L102=""),"",IF(M102="Done",2,IF(AsOf&gt;L102,3,1)))</f>
        <v/>
      </c>
      <c r="R102" s="79">
        <f>IF(OR(E102="",F102=""),0,IF(COUNTIFS($E$7:E102,E102,$F$7:F102,F102)=1,1,0))</f>
        <v/>
      </c>
      <c r="S102" s="79">
        <f>IF(R102=1,E102&amp;"|"&amp;SUMIFS($R$7:R102,$E$7:E102,E102),"")</f>
        <v/>
      </c>
      <c r="T102" s="111">
        <f>IF(Q102="","",IF(Q102=3,L102,IF(OR(M102="Not started",M102=""),J102,"")))</f>
        <v/>
      </c>
      <c r="U102" s="79">
        <f>IF(T102="","",IF(Q102=3,1,IF(T102="","",IF(T102&lt;AsOf,1,IF(T102&lt;=AsOf+AlertDays,2,IF(T102&lt;=AsOf+2*AlertDays,3,""))))))</f>
        <v/>
      </c>
      <c r="V102" s="79">
        <f>IF(U102="","",IF(Q102=3,"Late task: "&amp;D102,IF(T102&lt;AsOf,"Should have started: ","Starts soon: ")&amp;D102)&amp;IF(F102="",""," — "&amp;F102))</f>
        <v/>
      </c>
      <c r="X102" s="128" t="n"/>
      <c r="Y102" s="128" t="n"/>
      <c r="Z102" s="128" t="n"/>
      <c r="AA102" s="128" t="n"/>
      <c r="AB102" s="128" t="n"/>
      <c r="AC102" s="128" t="n"/>
      <c r="AD102" s="128" t="n"/>
      <c r="AE102" s="128" t="n"/>
      <c r="AF102" s="128" t="n"/>
      <c r="AG102" s="128" t="n"/>
      <c r="AH102" s="128" t="n"/>
      <c r="AI102" s="128" t="n"/>
      <c r="AJ102" s="128" t="n"/>
      <c r="AK102" s="128" t="n"/>
      <c r="AL102" s="128" t="n"/>
      <c r="AM102" s="128" t="n"/>
      <c r="AN102" s="128" t="n"/>
      <c r="AO102" s="128" t="n"/>
      <c r="AP102" s="128" t="n"/>
      <c r="AQ102" s="128" t="n"/>
      <c r="AR102" s="128" t="n"/>
      <c r="AS102" s="128" t="n"/>
      <c r="AT102" s="128" t="n"/>
      <c r="AU102" s="128" t="n"/>
      <c r="AV102" s="128" t="n"/>
      <c r="AW102" s="128" t="n"/>
      <c r="AX102" s="128" t="n"/>
      <c r="AY102" s="128" t="n"/>
      <c r="AZ102" s="128" t="n"/>
      <c r="BA102" s="128" t="n"/>
      <c r="BB102" s="128" t="n"/>
      <c r="BC102" s="128" t="n"/>
      <c r="BD102" s="128" t="n"/>
      <c r="BE102" s="128" t="n"/>
      <c r="BF102" s="128" t="n"/>
      <c r="BG102" s="128" t="n"/>
      <c r="BH102" s="128" t="n"/>
      <c r="BI102" s="128" t="n"/>
      <c r="BJ102" s="128" t="n"/>
      <c r="BK102" s="128" t="n"/>
      <c r="BL102" s="128" t="n"/>
      <c r="BM102" s="128" t="n"/>
      <c r="BN102" s="128" t="n"/>
      <c r="BO102" s="128" t="n"/>
      <c r="BP102" s="128" t="n"/>
      <c r="BQ102" s="128" t="n"/>
      <c r="BR102" s="128" t="n"/>
      <c r="BS102" s="128" t="n"/>
      <c r="BT102" s="128" t="n"/>
      <c r="BU102" s="128" t="n"/>
      <c r="BV102" s="128" t="n"/>
      <c r="BW102" s="128" t="n"/>
    </row>
    <row r="103" ht="20" customHeight="1">
      <c r="B103" s="125" t="n">
        <v>97</v>
      </c>
      <c r="C103" s="72" t="n"/>
      <c r="D103" s="72" t="n"/>
      <c r="E103" s="72" t="n"/>
      <c r="F103" s="72" t="n"/>
      <c r="G103" s="89" t="n"/>
      <c r="H103" s="89" t="n"/>
      <c r="I103" s="108" t="n"/>
      <c r="J103" s="126">
        <f>IF(OR(D103="",ProjStart=""),"",MAX(ProjStart,IF(I103&lt;&gt;"",I103,0),IF(H103="",0,IFERROR(INDEX($L$6:L102,MATCH(H103,$B$6:B102,0))+1,0))))</f>
        <v/>
      </c>
      <c r="K103" s="89" t="n"/>
      <c r="L103" s="126">
        <f>IF(J103="","",J103+MAX(1,G103)+IF(K103="",0,K103)-1)</f>
        <v/>
      </c>
      <c r="M103" s="72" t="n"/>
      <c r="N103" s="108" t="n"/>
      <c r="O103" s="127">
        <f>IF(D103="","",COUNTIF($H$7:$H$156,B103))</f>
        <v/>
      </c>
      <c r="P103" s="78">
        <f>IF(D103="","",IF(AND(H103&lt;&gt;"",H103&gt;=B103),"⚠️ Predecessor must be above",IF(M103="Done","✓ Done",IF(Q103=3,"🔴 Late",IF(M103="In progress","In progress","")))))</f>
        <v/>
      </c>
      <c r="Q103" s="79">
        <f>IF(OR(D103="",L103=""),"",IF(M103="Done",2,IF(AsOf&gt;L103,3,1)))</f>
        <v/>
      </c>
      <c r="R103" s="79">
        <f>IF(OR(E103="",F103=""),0,IF(COUNTIFS($E$7:E103,E103,$F$7:F103,F103)=1,1,0))</f>
        <v/>
      </c>
      <c r="S103" s="79">
        <f>IF(R103=1,E103&amp;"|"&amp;SUMIFS($R$7:R103,$E$7:E103,E103),"")</f>
        <v/>
      </c>
      <c r="T103" s="111">
        <f>IF(Q103="","",IF(Q103=3,L103,IF(OR(M103="Not started",M103=""),J103,"")))</f>
        <v/>
      </c>
      <c r="U103" s="79">
        <f>IF(T103="","",IF(Q103=3,1,IF(T103="","",IF(T103&lt;AsOf,1,IF(T103&lt;=AsOf+AlertDays,2,IF(T103&lt;=AsOf+2*AlertDays,3,""))))))</f>
        <v/>
      </c>
      <c r="V103" s="79">
        <f>IF(U103="","",IF(Q103=3,"Late task: "&amp;D103,IF(T103&lt;AsOf,"Should have started: ","Starts soon: ")&amp;D103)&amp;IF(F103="",""," — "&amp;F103))</f>
        <v/>
      </c>
      <c r="X103" s="128" t="n"/>
      <c r="Y103" s="128" t="n"/>
      <c r="Z103" s="128" t="n"/>
      <c r="AA103" s="128" t="n"/>
      <c r="AB103" s="128" t="n"/>
      <c r="AC103" s="128" t="n"/>
      <c r="AD103" s="128" t="n"/>
      <c r="AE103" s="128" t="n"/>
      <c r="AF103" s="128" t="n"/>
      <c r="AG103" s="128" t="n"/>
      <c r="AH103" s="128" t="n"/>
      <c r="AI103" s="128" t="n"/>
      <c r="AJ103" s="128" t="n"/>
      <c r="AK103" s="128" t="n"/>
      <c r="AL103" s="128" t="n"/>
      <c r="AM103" s="128" t="n"/>
      <c r="AN103" s="128" t="n"/>
      <c r="AO103" s="128" t="n"/>
      <c r="AP103" s="128" t="n"/>
      <c r="AQ103" s="128" t="n"/>
      <c r="AR103" s="128" t="n"/>
      <c r="AS103" s="128" t="n"/>
      <c r="AT103" s="128" t="n"/>
      <c r="AU103" s="128" t="n"/>
      <c r="AV103" s="128" t="n"/>
      <c r="AW103" s="128" t="n"/>
      <c r="AX103" s="128" t="n"/>
      <c r="AY103" s="128" t="n"/>
      <c r="AZ103" s="128" t="n"/>
      <c r="BA103" s="128" t="n"/>
      <c r="BB103" s="128" t="n"/>
      <c r="BC103" s="128" t="n"/>
      <c r="BD103" s="128" t="n"/>
      <c r="BE103" s="128" t="n"/>
      <c r="BF103" s="128" t="n"/>
      <c r="BG103" s="128" t="n"/>
      <c r="BH103" s="128" t="n"/>
      <c r="BI103" s="128" t="n"/>
      <c r="BJ103" s="128" t="n"/>
      <c r="BK103" s="128" t="n"/>
      <c r="BL103" s="128" t="n"/>
      <c r="BM103" s="128" t="n"/>
      <c r="BN103" s="128" t="n"/>
      <c r="BO103" s="128" t="n"/>
      <c r="BP103" s="128" t="n"/>
      <c r="BQ103" s="128" t="n"/>
      <c r="BR103" s="128" t="n"/>
      <c r="BS103" s="128" t="n"/>
      <c r="BT103" s="128" t="n"/>
      <c r="BU103" s="128" t="n"/>
      <c r="BV103" s="128" t="n"/>
      <c r="BW103" s="128" t="n"/>
    </row>
    <row r="104" ht="20" customHeight="1">
      <c r="B104" s="125" t="n">
        <v>98</v>
      </c>
      <c r="C104" s="72" t="n"/>
      <c r="D104" s="72" t="n"/>
      <c r="E104" s="72" t="n"/>
      <c r="F104" s="72" t="n"/>
      <c r="G104" s="89" t="n"/>
      <c r="H104" s="89" t="n"/>
      <c r="I104" s="108" t="n"/>
      <c r="J104" s="126">
        <f>IF(OR(D104="",ProjStart=""),"",MAX(ProjStart,IF(I104&lt;&gt;"",I104,0),IF(H104="",0,IFERROR(INDEX($L$6:L103,MATCH(H104,$B$6:B103,0))+1,0))))</f>
        <v/>
      </c>
      <c r="K104" s="89" t="n"/>
      <c r="L104" s="126">
        <f>IF(J104="","",J104+MAX(1,G104)+IF(K104="",0,K104)-1)</f>
        <v/>
      </c>
      <c r="M104" s="72" t="n"/>
      <c r="N104" s="108" t="n"/>
      <c r="O104" s="127">
        <f>IF(D104="","",COUNTIF($H$7:$H$156,B104))</f>
        <v/>
      </c>
      <c r="P104" s="78">
        <f>IF(D104="","",IF(AND(H104&lt;&gt;"",H104&gt;=B104),"⚠️ Predecessor must be above",IF(M104="Done","✓ Done",IF(Q104=3,"🔴 Late",IF(M104="In progress","In progress","")))))</f>
        <v/>
      </c>
      <c r="Q104" s="79">
        <f>IF(OR(D104="",L104=""),"",IF(M104="Done",2,IF(AsOf&gt;L104,3,1)))</f>
        <v/>
      </c>
      <c r="R104" s="79">
        <f>IF(OR(E104="",F104=""),0,IF(COUNTIFS($E$7:E104,E104,$F$7:F104,F104)=1,1,0))</f>
        <v/>
      </c>
      <c r="S104" s="79">
        <f>IF(R104=1,E104&amp;"|"&amp;SUMIFS($R$7:R104,$E$7:E104,E104),"")</f>
        <v/>
      </c>
      <c r="T104" s="111">
        <f>IF(Q104="","",IF(Q104=3,L104,IF(OR(M104="Not started",M104=""),J104,"")))</f>
        <v/>
      </c>
      <c r="U104" s="79">
        <f>IF(T104="","",IF(Q104=3,1,IF(T104="","",IF(T104&lt;AsOf,1,IF(T104&lt;=AsOf+AlertDays,2,IF(T104&lt;=AsOf+2*AlertDays,3,""))))))</f>
        <v/>
      </c>
      <c r="V104" s="79">
        <f>IF(U104="","",IF(Q104=3,"Late task: "&amp;D104,IF(T104&lt;AsOf,"Should have started: ","Starts soon: ")&amp;D104)&amp;IF(F104="",""," — "&amp;F104))</f>
        <v/>
      </c>
      <c r="X104" s="128" t="n"/>
      <c r="Y104" s="128" t="n"/>
      <c r="Z104" s="128" t="n"/>
      <c r="AA104" s="128" t="n"/>
      <c r="AB104" s="128" t="n"/>
      <c r="AC104" s="128" t="n"/>
      <c r="AD104" s="128" t="n"/>
      <c r="AE104" s="128" t="n"/>
      <c r="AF104" s="128" t="n"/>
      <c r="AG104" s="128" t="n"/>
      <c r="AH104" s="128" t="n"/>
      <c r="AI104" s="128" t="n"/>
      <c r="AJ104" s="128" t="n"/>
      <c r="AK104" s="128" t="n"/>
      <c r="AL104" s="128" t="n"/>
      <c r="AM104" s="128" t="n"/>
      <c r="AN104" s="128" t="n"/>
      <c r="AO104" s="128" t="n"/>
      <c r="AP104" s="128" t="n"/>
      <c r="AQ104" s="128" t="n"/>
      <c r="AR104" s="128" t="n"/>
      <c r="AS104" s="128" t="n"/>
      <c r="AT104" s="128" t="n"/>
      <c r="AU104" s="128" t="n"/>
      <c r="AV104" s="128" t="n"/>
      <c r="AW104" s="128" t="n"/>
      <c r="AX104" s="128" t="n"/>
      <c r="AY104" s="128" t="n"/>
      <c r="AZ104" s="128" t="n"/>
      <c r="BA104" s="128" t="n"/>
      <c r="BB104" s="128" t="n"/>
      <c r="BC104" s="128" t="n"/>
      <c r="BD104" s="128" t="n"/>
      <c r="BE104" s="128" t="n"/>
      <c r="BF104" s="128" t="n"/>
      <c r="BG104" s="128" t="n"/>
      <c r="BH104" s="128" t="n"/>
      <c r="BI104" s="128" t="n"/>
      <c r="BJ104" s="128" t="n"/>
      <c r="BK104" s="128" t="n"/>
      <c r="BL104" s="128" t="n"/>
      <c r="BM104" s="128" t="n"/>
      <c r="BN104" s="128" t="n"/>
      <c r="BO104" s="128" t="n"/>
      <c r="BP104" s="128" t="n"/>
      <c r="BQ104" s="128" t="n"/>
      <c r="BR104" s="128" t="n"/>
      <c r="BS104" s="128" t="n"/>
      <c r="BT104" s="128" t="n"/>
      <c r="BU104" s="128" t="n"/>
      <c r="BV104" s="128" t="n"/>
      <c r="BW104" s="128" t="n"/>
    </row>
    <row r="105" ht="20" customHeight="1">
      <c r="B105" s="125" t="n">
        <v>99</v>
      </c>
      <c r="C105" s="72" t="n"/>
      <c r="D105" s="72" t="n"/>
      <c r="E105" s="72" t="n"/>
      <c r="F105" s="72" t="n"/>
      <c r="G105" s="89" t="n"/>
      <c r="H105" s="89" t="n"/>
      <c r="I105" s="108" t="n"/>
      <c r="J105" s="126">
        <f>IF(OR(D105="",ProjStart=""),"",MAX(ProjStart,IF(I105&lt;&gt;"",I105,0),IF(H105="",0,IFERROR(INDEX($L$6:L104,MATCH(H105,$B$6:B104,0))+1,0))))</f>
        <v/>
      </c>
      <c r="K105" s="89" t="n"/>
      <c r="L105" s="126">
        <f>IF(J105="","",J105+MAX(1,G105)+IF(K105="",0,K105)-1)</f>
        <v/>
      </c>
      <c r="M105" s="72" t="n"/>
      <c r="N105" s="108" t="n"/>
      <c r="O105" s="127">
        <f>IF(D105="","",COUNTIF($H$7:$H$156,B105))</f>
        <v/>
      </c>
      <c r="P105" s="78">
        <f>IF(D105="","",IF(AND(H105&lt;&gt;"",H105&gt;=B105),"⚠️ Predecessor must be above",IF(M105="Done","✓ Done",IF(Q105=3,"🔴 Late",IF(M105="In progress","In progress","")))))</f>
        <v/>
      </c>
      <c r="Q105" s="79">
        <f>IF(OR(D105="",L105=""),"",IF(M105="Done",2,IF(AsOf&gt;L105,3,1)))</f>
        <v/>
      </c>
      <c r="R105" s="79">
        <f>IF(OR(E105="",F105=""),0,IF(COUNTIFS($E$7:E105,E105,$F$7:F105,F105)=1,1,0))</f>
        <v/>
      </c>
      <c r="S105" s="79">
        <f>IF(R105=1,E105&amp;"|"&amp;SUMIFS($R$7:R105,$E$7:E105,E105),"")</f>
        <v/>
      </c>
      <c r="T105" s="111">
        <f>IF(Q105="","",IF(Q105=3,L105,IF(OR(M105="Not started",M105=""),J105,"")))</f>
        <v/>
      </c>
      <c r="U105" s="79">
        <f>IF(T105="","",IF(Q105=3,1,IF(T105="","",IF(T105&lt;AsOf,1,IF(T105&lt;=AsOf+AlertDays,2,IF(T105&lt;=AsOf+2*AlertDays,3,""))))))</f>
        <v/>
      </c>
      <c r="V105" s="79">
        <f>IF(U105="","",IF(Q105=3,"Late task: "&amp;D105,IF(T105&lt;AsOf,"Should have started: ","Starts soon: ")&amp;D105)&amp;IF(F105="",""," — "&amp;F105))</f>
        <v/>
      </c>
      <c r="X105" s="128" t="n"/>
      <c r="Y105" s="128" t="n"/>
      <c r="Z105" s="128" t="n"/>
      <c r="AA105" s="128" t="n"/>
      <c r="AB105" s="128" t="n"/>
      <c r="AC105" s="128" t="n"/>
      <c r="AD105" s="128" t="n"/>
      <c r="AE105" s="128" t="n"/>
      <c r="AF105" s="128" t="n"/>
      <c r="AG105" s="128" t="n"/>
      <c r="AH105" s="128" t="n"/>
      <c r="AI105" s="128" t="n"/>
      <c r="AJ105" s="128" t="n"/>
      <c r="AK105" s="128" t="n"/>
      <c r="AL105" s="128" t="n"/>
      <c r="AM105" s="128" t="n"/>
      <c r="AN105" s="128" t="n"/>
      <c r="AO105" s="128" t="n"/>
      <c r="AP105" s="128" t="n"/>
      <c r="AQ105" s="128" t="n"/>
      <c r="AR105" s="128" t="n"/>
      <c r="AS105" s="128" t="n"/>
      <c r="AT105" s="128" t="n"/>
      <c r="AU105" s="128" t="n"/>
      <c r="AV105" s="128" t="n"/>
      <c r="AW105" s="128" t="n"/>
      <c r="AX105" s="128" t="n"/>
      <c r="AY105" s="128" t="n"/>
      <c r="AZ105" s="128" t="n"/>
      <c r="BA105" s="128" t="n"/>
      <c r="BB105" s="128" t="n"/>
      <c r="BC105" s="128" t="n"/>
      <c r="BD105" s="128" t="n"/>
      <c r="BE105" s="128" t="n"/>
      <c r="BF105" s="128" t="n"/>
      <c r="BG105" s="128" t="n"/>
      <c r="BH105" s="128" t="n"/>
      <c r="BI105" s="128" t="n"/>
      <c r="BJ105" s="128" t="n"/>
      <c r="BK105" s="128" t="n"/>
      <c r="BL105" s="128" t="n"/>
      <c r="BM105" s="128" t="n"/>
      <c r="BN105" s="128" t="n"/>
      <c r="BO105" s="128" t="n"/>
      <c r="BP105" s="128" t="n"/>
      <c r="BQ105" s="128" t="n"/>
      <c r="BR105" s="128" t="n"/>
      <c r="BS105" s="128" t="n"/>
      <c r="BT105" s="128" t="n"/>
      <c r="BU105" s="128" t="n"/>
      <c r="BV105" s="128" t="n"/>
      <c r="BW105" s="128" t="n"/>
    </row>
    <row r="106" ht="20" customHeight="1">
      <c r="B106" s="125" t="n">
        <v>100</v>
      </c>
      <c r="C106" s="72" t="n"/>
      <c r="D106" s="72" t="n"/>
      <c r="E106" s="72" t="n"/>
      <c r="F106" s="72" t="n"/>
      <c r="G106" s="89" t="n"/>
      <c r="H106" s="89" t="n"/>
      <c r="I106" s="108" t="n"/>
      <c r="J106" s="126">
        <f>IF(OR(D106="",ProjStart=""),"",MAX(ProjStart,IF(I106&lt;&gt;"",I106,0),IF(H106="",0,IFERROR(INDEX($L$6:L105,MATCH(H106,$B$6:B105,0))+1,0))))</f>
        <v/>
      </c>
      <c r="K106" s="89" t="n"/>
      <c r="L106" s="126">
        <f>IF(J106="","",J106+MAX(1,G106)+IF(K106="",0,K106)-1)</f>
        <v/>
      </c>
      <c r="M106" s="72" t="n"/>
      <c r="N106" s="108" t="n"/>
      <c r="O106" s="127">
        <f>IF(D106="","",COUNTIF($H$7:$H$156,B106))</f>
        <v/>
      </c>
      <c r="P106" s="78">
        <f>IF(D106="","",IF(AND(H106&lt;&gt;"",H106&gt;=B106),"⚠️ Predecessor must be above",IF(M106="Done","✓ Done",IF(Q106=3,"🔴 Late",IF(M106="In progress","In progress","")))))</f>
        <v/>
      </c>
      <c r="Q106" s="79">
        <f>IF(OR(D106="",L106=""),"",IF(M106="Done",2,IF(AsOf&gt;L106,3,1)))</f>
        <v/>
      </c>
      <c r="R106" s="79">
        <f>IF(OR(E106="",F106=""),0,IF(COUNTIFS($E$7:E106,E106,$F$7:F106,F106)=1,1,0))</f>
        <v/>
      </c>
      <c r="S106" s="79">
        <f>IF(R106=1,E106&amp;"|"&amp;SUMIFS($R$7:R106,$E$7:E106,E106),"")</f>
        <v/>
      </c>
      <c r="T106" s="111">
        <f>IF(Q106="","",IF(Q106=3,L106,IF(OR(M106="Not started",M106=""),J106,"")))</f>
        <v/>
      </c>
      <c r="U106" s="79">
        <f>IF(T106="","",IF(Q106=3,1,IF(T106="","",IF(T106&lt;AsOf,1,IF(T106&lt;=AsOf+AlertDays,2,IF(T106&lt;=AsOf+2*AlertDays,3,""))))))</f>
        <v/>
      </c>
      <c r="V106" s="79">
        <f>IF(U106="","",IF(Q106=3,"Late task: "&amp;D106,IF(T106&lt;AsOf,"Should have started: ","Starts soon: ")&amp;D106)&amp;IF(F106="",""," — "&amp;F106))</f>
        <v/>
      </c>
      <c r="X106" s="128" t="n"/>
      <c r="Y106" s="128" t="n"/>
      <c r="Z106" s="128" t="n"/>
      <c r="AA106" s="128" t="n"/>
      <c r="AB106" s="128" t="n"/>
      <c r="AC106" s="128" t="n"/>
      <c r="AD106" s="128" t="n"/>
      <c r="AE106" s="128" t="n"/>
      <c r="AF106" s="128" t="n"/>
      <c r="AG106" s="128" t="n"/>
      <c r="AH106" s="128" t="n"/>
      <c r="AI106" s="128" t="n"/>
      <c r="AJ106" s="128" t="n"/>
      <c r="AK106" s="128" t="n"/>
      <c r="AL106" s="128" t="n"/>
      <c r="AM106" s="128" t="n"/>
      <c r="AN106" s="128" t="n"/>
      <c r="AO106" s="128" t="n"/>
      <c r="AP106" s="128" t="n"/>
      <c r="AQ106" s="128" t="n"/>
      <c r="AR106" s="128" t="n"/>
      <c r="AS106" s="128" t="n"/>
      <c r="AT106" s="128" t="n"/>
      <c r="AU106" s="128" t="n"/>
      <c r="AV106" s="128" t="n"/>
      <c r="AW106" s="128" t="n"/>
      <c r="AX106" s="128" t="n"/>
      <c r="AY106" s="128" t="n"/>
      <c r="AZ106" s="128" t="n"/>
      <c r="BA106" s="128" t="n"/>
      <c r="BB106" s="128" t="n"/>
      <c r="BC106" s="128" t="n"/>
      <c r="BD106" s="128" t="n"/>
      <c r="BE106" s="128" t="n"/>
      <c r="BF106" s="128" t="n"/>
      <c r="BG106" s="128" t="n"/>
      <c r="BH106" s="128" t="n"/>
      <c r="BI106" s="128" t="n"/>
      <c r="BJ106" s="128" t="n"/>
      <c r="BK106" s="128" t="n"/>
      <c r="BL106" s="128" t="n"/>
      <c r="BM106" s="128" t="n"/>
      <c r="BN106" s="128" t="n"/>
      <c r="BO106" s="128" t="n"/>
      <c r="BP106" s="128" t="n"/>
      <c r="BQ106" s="128" t="n"/>
      <c r="BR106" s="128" t="n"/>
      <c r="BS106" s="128" t="n"/>
      <c r="BT106" s="128" t="n"/>
      <c r="BU106" s="128" t="n"/>
      <c r="BV106" s="128" t="n"/>
      <c r="BW106" s="128" t="n"/>
    </row>
    <row r="107" ht="20" customHeight="1">
      <c r="B107" s="125" t="n">
        <v>101</v>
      </c>
      <c r="C107" s="72" t="n"/>
      <c r="D107" s="72" t="n"/>
      <c r="E107" s="72" t="n"/>
      <c r="F107" s="72" t="n"/>
      <c r="G107" s="89" t="n"/>
      <c r="H107" s="89" t="n"/>
      <c r="I107" s="108" t="n"/>
      <c r="J107" s="126">
        <f>IF(OR(D107="",ProjStart=""),"",MAX(ProjStart,IF(I107&lt;&gt;"",I107,0),IF(H107="",0,IFERROR(INDEX($L$6:L106,MATCH(H107,$B$6:B106,0))+1,0))))</f>
        <v/>
      </c>
      <c r="K107" s="89" t="n"/>
      <c r="L107" s="126">
        <f>IF(J107="","",J107+MAX(1,G107)+IF(K107="",0,K107)-1)</f>
        <v/>
      </c>
      <c r="M107" s="72" t="n"/>
      <c r="N107" s="108" t="n"/>
      <c r="O107" s="127">
        <f>IF(D107="","",COUNTIF($H$7:$H$156,B107))</f>
        <v/>
      </c>
      <c r="P107" s="78">
        <f>IF(D107="","",IF(AND(H107&lt;&gt;"",H107&gt;=B107),"⚠️ Predecessor must be above",IF(M107="Done","✓ Done",IF(Q107=3,"🔴 Late",IF(M107="In progress","In progress","")))))</f>
        <v/>
      </c>
      <c r="Q107" s="79">
        <f>IF(OR(D107="",L107=""),"",IF(M107="Done",2,IF(AsOf&gt;L107,3,1)))</f>
        <v/>
      </c>
      <c r="R107" s="79">
        <f>IF(OR(E107="",F107=""),0,IF(COUNTIFS($E$7:E107,E107,$F$7:F107,F107)=1,1,0))</f>
        <v/>
      </c>
      <c r="S107" s="79">
        <f>IF(R107=1,E107&amp;"|"&amp;SUMIFS($R$7:R107,$E$7:E107,E107),"")</f>
        <v/>
      </c>
      <c r="T107" s="111">
        <f>IF(Q107="","",IF(Q107=3,L107,IF(OR(M107="Not started",M107=""),J107,"")))</f>
        <v/>
      </c>
      <c r="U107" s="79">
        <f>IF(T107="","",IF(Q107=3,1,IF(T107="","",IF(T107&lt;AsOf,1,IF(T107&lt;=AsOf+AlertDays,2,IF(T107&lt;=AsOf+2*AlertDays,3,""))))))</f>
        <v/>
      </c>
      <c r="V107" s="79">
        <f>IF(U107="","",IF(Q107=3,"Late task: "&amp;D107,IF(T107&lt;AsOf,"Should have started: ","Starts soon: ")&amp;D107)&amp;IF(F107="",""," — "&amp;F107))</f>
        <v/>
      </c>
      <c r="X107" s="128" t="n"/>
      <c r="Y107" s="128" t="n"/>
      <c r="Z107" s="128" t="n"/>
      <c r="AA107" s="128" t="n"/>
      <c r="AB107" s="128" t="n"/>
      <c r="AC107" s="128" t="n"/>
      <c r="AD107" s="128" t="n"/>
      <c r="AE107" s="128" t="n"/>
      <c r="AF107" s="128" t="n"/>
      <c r="AG107" s="128" t="n"/>
      <c r="AH107" s="128" t="n"/>
      <c r="AI107" s="128" t="n"/>
      <c r="AJ107" s="128" t="n"/>
      <c r="AK107" s="128" t="n"/>
      <c r="AL107" s="128" t="n"/>
      <c r="AM107" s="128" t="n"/>
      <c r="AN107" s="128" t="n"/>
      <c r="AO107" s="128" t="n"/>
      <c r="AP107" s="128" t="n"/>
      <c r="AQ107" s="128" t="n"/>
      <c r="AR107" s="128" t="n"/>
      <c r="AS107" s="128" t="n"/>
      <c r="AT107" s="128" t="n"/>
      <c r="AU107" s="128" t="n"/>
      <c r="AV107" s="128" t="n"/>
      <c r="AW107" s="128" t="n"/>
      <c r="AX107" s="128" t="n"/>
      <c r="AY107" s="128" t="n"/>
      <c r="AZ107" s="128" t="n"/>
      <c r="BA107" s="128" t="n"/>
      <c r="BB107" s="128" t="n"/>
      <c r="BC107" s="128" t="n"/>
      <c r="BD107" s="128" t="n"/>
      <c r="BE107" s="128" t="n"/>
      <c r="BF107" s="128" t="n"/>
      <c r="BG107" s="128" t="n"/>
      <c r="BH107" s="128" t="n"/>
      <c r="BI107" s="128" t="n"/>
      <c r="BJ107" s="128" t="n"/>
      <c r="BK107" s="128" t="n"/>
      <c r="BL107" s="128" t="n"/>
      <c r="BM107" s="128" t="n"/>
      <c r="BN107" s="128" t="n"/>
      <c r="BO107" s="128" t="n"/>
      <c r="BP107" s="128" t="n"/>
      <c r="BQ107" s="128" t="n"/>
      <c r="BR107" s="128" t="n"/>
      <c r="BS107" s="128" t="n"/>
      <c r="BT107" s="128" t="n"/>
      <c r="BU107" s="128" t="n"/>
      <c r="BV107" s="128" t="n"/>
      <c r="BW107" s="128" t="n"/>
    </row>
    <row r="108" ht="20" customHeight="1">
      <c r="B108" s="125" t="n">
        <v>102</v>
      </c>
      <c r="C108" s="72" t="n"/>
      <c r="D108" s="72" t="n"/>
      <c r="E108" s="72" t="n"/>
      <c r="F108" s="72" t="n"/>
      <c r="G108" s="89" t="n"/>
      <c r="H108" s="89" t="n"/>
      <c r="I108" s="108" t="n"/>
      <c r="J108" s="126">
        <f>IF(OR(D108="",ProjStart=""),"",MAX(ProjStart,IF(I108&lt;&gt;"",I108,0),IF(H108="",0,IFERROR(INDEX($L$6:L107,MATCH(H108,$B$6:B107,0))+1,0))))</f>
        <v/>
      </c>
      <c r="K108" s="89" t="n"/>
      <c r="L108" s="126">
        <f>IF(J108="","",J108+MAX(1,G108)+IF(K108="",0,K108)-1)</f>
        <v/>
      </c>
      <c r="M108" s="72" t="n"/>
      <c r="N108" s="108" t="n"/>
      <c r="O108" s="127">
        <f>IF(D108="","",COUNTIF($H$7:$H$156,B108))</f>
        <v/>
      </c>
      <c r="P108" s="78">
        <f>IF(D108="","",IF(AND(H108&lt;&gt;"",H108&gt;=B108),"⚠️ Predecessor must be above",IF(M108="Done","✓ Done",IF(Q108=3,"🔴 Late",IF(M108="In progress","In progress","")))))</f>
        <v/>
      </c>
      <c r="Q108" s="79">
        <f>IF(OR(D108="",L108=""),"",IF(M108="Done",2,IF(AsOf&gt;L108,3,1)))</f>
        <v/>
      </c>
      <c r="R108" s="79">
        <f>IF(OR(E108="",F108=""),0,IF(COUNTIFS($E$7:E108,E108,$F$7:F108,F108)=1,1,0))</f>
        <v/>
      </c>
      <c r="S108" s="79">
        <f>IF(R108=1,E108&amp;"|"&amp;SUMIFS($R$7:R108,$E$7:E108,E108),"")</f>
        <v/>
      </c>
      <c r="T108" s="111">
        <f>IF(Q108="","",IF(Q108=3,L108,IF(OR(M108="Not started",M108=""),J108,"")))</f>
        <v/>
      </c>
      <c r="U108" s="79">
        <f>IF(T108="","",IF(Q108=3,1,IF(T108="","",IF(T108&lt;AsOf,1,IF(T108&lt;=AsOf+AlertDays,2,IF(T108&lt;=AsOf+2*AlertDays,3,""))))))</f>
        <v/>
      </c>
      <c r="V108" s="79">
        <f>IF(U108="","",IF(Q108=3,"Late task: "&amp;D108,IF(T108&lt;AsOf,"Should have started: ","Starts soon: ")&amp;D108)&amp;IF(F108="",""," — "&amp;F108))</f>
        <v/>
      </c>
      <c r="X108" s="128" t="n"/>
      <c r="Y108" s="128" t="n"/>
      <c r="Z108" s="128" t="n"/>
      <c r="AA108" s="128" t="n"/>
      <c r="AB108" s="128" t="n"/>
      <c r="AC108" s="128" t="n"/>
      <c r="AD108" s="128" t="n"/>
      <c r="AE108" s="128" t="n"/>
      <c r="AF108" s="128" t="n"/>
      <c r="AG108" s="128" t="n"/>
      <c r="AH108" s="128" t="n"/>
      <c r="AI108" s="128" t="n"/>
      <c r="AJ108" s="128" t="n"/>
      <c r="AK108" s="128" t="n"/>
      <c r="AL108" s="128" t="n"/>
      <c r="AM108" s="128" t="n"/>
      <c r="AN108" s="128" t="n"/>
      <c r="AO108" s="128" t="n"/>
      <c r="AP108" s="128" t="n"/>
      <c r="AQ108" s="128" t="n"/>
      <c r="AR108" s="128" t="n"/>
      <c r="AS108" s="128" t="n"/>
      <c r="AT108" s="128" t="n"/>
      <c r="AU108" s="128" t="n"/>
      <c r="AV108" s="128" t="n"/>
      <c r="AW108" s="128" t="n"/>
      <c r="AX108" s="128" t="n"/>
      <c r="AY108" s="128" t="n"/>
      <c r="AZ108" s="128" t="n"/>
      <c r="BA108" s="128" t="n"/>
      <c r="BB108" s="128" t="n"/>
      <c r="BC108" s="128" t="n"/>
      <c r="BD108" s="128" t="n"/>
      <c r="BE108" s="128" t="n"/>
      <c r="BF108" s="128" t="n"/>
      <c r="BG108" s="128" t="n"/>
      <c r="BH108" s="128" t="n"/>
      <c r="BI108" s="128" t="n"/>
      <c r="BJ108" s="128" t="n"/>
      <c r="BK108" s="128" t="n"/>
      <c r="BL108" s="128" t="n"/>
      <c r="BM108" s="128" t="n"/>
      <c r="BN108" s="128" t="n"/>
      <c r="BO108" s="128" t="n"/>
      <c r="BP108" s="128" t="n"/>
      <c r="BQ108" s="128" t="n"/>
      <c r="BR108" s="128" t="n"/>
      <c r="BS108" s="128" t="n"/>
      <c r="BT108" s="128" t="n"/>
      <c r="BU108" s="128" t="n"/>
      <c r="BV108" s="128" t="n"/>
      <c r="BW108" s="128" t="n"/>
    </row>
    <row r="109" ht="20" customHeight="1">
      <c r="B109" s="125" t="n">
        <v>103</v>
      </c>
      <c r="C109" s="72" t="n"/>
      <c r="D109" s="72" t="n"/>
      <c r="E109" s="72" t="n"/>
      <c r="F109" s="72" t="n"/>
      <c r="G109" s="89" t="n"/>
      <c r="H109" s="89" t="n"/>
      <c r="I109" s="108" t="n"/>
      <c r="J109" s="126">
        <f>IF(OR(D109="",ProjStart=""),"",MAX(ProjStart,IF(I109&lt;&gt;"",I109,0),IF(H109="",0,IFERROR(INDEX($L$6:L108,MATCH(H109,$B$6:B108,0))+1,0))))</f>
        <v/>
      </c>
      <c r="K109" s="89" t="n"/>
      <c r="L109" s="126">
        <f>IF(J109="","",J109+MAX(1,G109)+IF(K109="",0,K109)-1)</f>
        <v/>
      </c>
      <c r="M109" s="72" t="n"/>
      <c r="N109" s="108" t="n"/>
      <c r="O109" s="127">
        <f>IF(D109="","",COUNTIF($H$7:$H$156,B109))</f>
        <v/>
      </c>
      <c r="P109" s="78">
        <f>IF(D109="","",IF(AND(H109&lt;&gt;"",H109&gt;=B109),"⚠️ Predecessor must be above",IF(M109="Done","✓ Done",IF(Q109=3,"🔴 Late",IF(M109="In progress","In progress","")))))</f>
        <v/>
      </c>
      <c r="Q109" s="79">
        <f>IF(OR(D109="",L109=""),"",IF(M109="Done",2,IF(AsOf&gt;L109,3,1)))</f>
        <v/>
      </c>
      <c r="R109" s="79">
        <f>IF(OR(E109="",F109=""),0,IF(COUNTIFS($E$7:E109,E109,$F$7:F109,F109)=1,1,0))</f>
        <v/>
      </c>
      <c r="S109" s="79">
        <f>IF(R109=1,E109&amp;"|"&amp;SUMIFS($R$7:R109,$E$7:E109,E109),"")</f>
        <v/>
      </c>
      <c r="T109" s="111">
        <f>IF(Q109="","",IF(Q109=3,L109,IF(OR(M109="Not started",M109=""),J109,"")))</f>
        <v/>
      </c>
      <c r="U109" s="79">
        <f>IF(T109="","",IF(Q109=3,1,IF(T109="","",IF(T109&lt;AsOf,1,IF(T109&lt;=AsOf+AlertDays,2,IF(T109&lt;=AsOf+2*AlertDays,3,""))))))</f>
        <v/>
      </c>
      <c r="V109" s="79">
        <f>IF(U109="","",IF(Q109=3,"Late task: "&amp;D109,IF(T109&lt;AsOf,"Should have started: ","Starts soon: ")&amp;D109)&amp;IF(F109="",""," — "&amp;F109))</f>
        <v/>
      </c>
      <c r="X109" s="128" t="n"/>
      <c r="Y109" s="128" t="n"/>
      <c r="Z109" s="128" t="n"/>
      <c r="AA109" s="128" t="n"/>
      <c r="AB109" s="128" t="n"/>
      <c r="AC109" s="128" t="n"/>
      <c r="AD109" s="128" t="n"/>
      <c r="AE109" s="128" t="n"/>
      <c r="AF109" s="128" t="n"/>
      <c r="AG109" s="128" t="n"/>
      <c r="AH109" s="128" t="n"/>
      <c r="AI109" s="128" t="n"/>
      <c r="AJ109" s="128" t="n"/>
      <c r="AK109" s="128" t="n"/>
      <c r="AL109" s="128" t="n"/>
      <c r="AM109" s="128" t="n"/>
      <c r="AN109" s="128" t="n"/>
      <c r="AO109" s="128" t="n"/>
      <c r="AP109" s="128" t="n"/>
      <c r="AQ109" s="128" t="n"/>
      <c r="AR109" s="128" t="n"/>
      <c r="AS109" s="128" t="n"/>
      <c r="AT109" s="128" t="n"/>
      <c r="AU109" s="128" t="n"/>
      <c r="AV109" s="128" t="n"/>
      <c r="AW109" s="128" t="n"/>
      <c r="AX109" s="128" t="n"/>
      <c r="AY109" s="128" t="n"/>
      <c r="AZ109" s="128" t="n"/>
      <c r="BA109" s="128" t="n"/>
      <c r="BB109" s="128" t="n"/>
      <c r="BC109" s="128" t="n"/>
      <c r="BD109" s="128" t="n"/>
      <c r="BE109" s="128" t="n"/>
      <c r="BF109" s="128" t="n"/>
      <c r="BG109" s="128" t="n"/>
      <c r="BH109" s="128" t="n"/>
      <c r="BI109" s="128" t="n"/>
      <c r="BJ109" s="128" t="n"/>
      <c r="BK109" s="128" t="n"/>
      <c r="BL109" s="128" t="n"/>
      <c r="BM109" s="128" t="n"/>
      <c r="BN109" s="128" t="n"/>
      <c r="BO109" s="128" t="n"/>
      <c r="BP109" s="128" t="n"/>
      <c r="BQ109" s="128" t="n"/>
      <c r="BR109" s="128" t="n"/>
      <c r="BS109" s="128" t="n"/>
      <c r="BT109" s="128" t="n"/>
      <c r="BU109" s="128" t="n"/>
      <c r="BV109" s="128" t="n"/>
      <c r="BW109" s="128" t="n"/>
    </row>
    <row r="110" ht="20" customHeight="1">
      <c r="B110" s="125" t="n">
        <v>104</v>
      </c>
      <c r="C110" s="72" t="n"/>
      <c r="D110" s="72" t="n"/>
      <c r="E110" s="72" t="n"/>
      <c r="F110" s="72" t="n"/>
      <c r="G110" s="89" t="n"/>
      <c r="H110" s="89" t="n"/>
      <c r="I110" s="108" t="n"/>
      <c r="J110" s="126">
        <f>IF(OR(D110="",ProjStart=""),"",MAX(ProjStart,IF(I110&lt;&gt;"",I110,0),IF(H110="",0,IFERROR(INDEX($L$6:L109,MATCH(H110,$B$6:B109,0))+1,0))))</f>
        <v/>
      </c>
      <c r="K110" s="89" t="n"/>
      <c r="L110" s="126">
        <f>IF(J110="","",J110+MAX(1,G110)+IF(K110="",0,K110)-1)</f>
        <v/>
      </c>
      <c r="M110" s="72" t="n"/>
      <c r="N110" s="108" t="n"/>
      <c r="O110" s="127">
        <f>IF(D110="","",COUNTIF($H$7:$H$156,B110))</f>
        <v/>
      </c>
      <c r="P110" s="78">
        <f>IF(D110="","",IF(AND(H110&lt;&gt;"",H110&gt;=B110),"⚠️ Predecessor must be above",IF(M110="Done","✓ Done",IF(Q110=3,"🔴 Late",IF(M110="In progress","In progress","")))))</f>
        <v/>
      </c>
      <c r="Q110" s="79">
        <f>IF(OR(D110="",L110=""),"",IF(M110="Done",2,IF(AsOf&gt;L110,3,1)))</f>
        <v/>
      </c>
      <c r="R110" s="79">
        <f>IF(OR(E110="",F110=""),0,IF(COUNTIFS($E$7:E110,E110,$F$7:F110,F110)=1,1,0))</f>
        <v/>
      </c>
      <c r="S110" s="79">
        <f>IF(R110=1,E110&amp;"|"&amp;SUMIFS($R$7:R110,$E$7:E110,E110),"")</f>
        <v/>
      </c>
      <c r="T110" s="111">
        <f>IF(Q110="","",IF(Q110=3,L110,IF(OR(M110="Not started",M110=""),J110,"")))</f>
        <v/>
      </c>
      <c r="U110" s="79">
        <f>IF(T110="","",IF(Q110=3,1,IF(T110="","",IF(T110&lt;AsOf,1,IF(T110&lt;=AsOf+AlertDays,2,IF(T110&lt;=AsOf+2*AlertDays,3,""))))))</f>
        <v/>
      </c>
      <c r="V110" s="79">
        <f>IF(U110="","",IF(Q110=3,"Late task: "&amp;D110,IF(T110&lt;AsOf,"Should have started: ","Starts soon: ")&amp;D110)&amp;IF(F110="",""," — "&amp;F110))</f>
        <v/>
      </c>
      <c r="X110" s="128" t="n"/>
      <c r="Y110" s="128" t="n"/>
      <c r="Z110" s="128" t="n"/>
      <c r="AA110" s="128" t="n"/>
      <c r="AB110" s="128" t="n"/>
      <c r="AC110" s="128" t="n"/>
      <c r="AD110" s="128" t="n"/>
      <c r="AE110" s="128" t="n"/>
      <c r="AF110" s="128" t="n"/>
      <c r="AG110" s="128" t="n"/>
      <c r="AH110" s="128" t="n"/>
      <c r="AI110" s="128" t="n"/>
      <c r="AJ110" s="128" t="n"/>
      <c r="AK110" s="128" t="n"/>
      <c r="AL110" s="128" t="n"/>
      <c r="AM110" s="128" t="n"/>
      <c r="AN110" s="128" t="n"/>
      <c r="AO110" s="128" t="n"/>
      <c r="AP110" s="128" t="n"/>
      <c r="AQ110" s="128" t="n"/>
      <c r="AR110" s="128" t="n"/>
      <c r="AS110" s="128" t="n"/>
      <c r="AT110" s="128" t="n"/>
      <c r="AU110" s="128" t="n"/>
      <c r="AV110" s="128" t="n"/>
      <c r="AW110" s="128" t="n"/>
      <c r="AX110" s="128" t="n"/>
      <c r="AY110" s="128" t="n"/>
      <c r="AZ110" s="128" t="n"/>
      <c r="BA110" s="128" t="n"/>
      <c r="BB110" s="128" t="n"/>
      <c r="BC110" s="128" t="n"/>
      <c r="BD110" s="128" t="n"/>
      <c r="BE110" s="128" t="n"/>
      <c r="BF110" s="128" t="n"/>
      <c r="BG110" s="128" t="n"/>
      <c r="BH110" s="128" t="n"/>
      <c r="BI110" s="128" t="n"/>
      <c r="BJ110" s="128" t="n"/>
      <c r="BK110" s="128" t="n"/>
      <c r="BL110" s="128" t="n"/>
      <c r="BM110" s="128" t="n"/>
      <c r="BN110" s="128" t="n"/>
      <c r="BO110" s="128" t="n"/>
      <c r="BP110" s="128" t="n"/>
      <c r="BQ110" s="128" t="n"/>
      <c r="BR110" s="128" t="n"/>
      <c r="BS110" s="128" t="n"/>
      <c r="BT110" s="128" t="n"/>
      <c r="BU110" s="128" t="n"/>
      <c r="BV110" s="128" t="n"/>
      <c r="BW110" s="128" t="n"/>
    </row>
    <row r="111" ht="20" customHeight="1">
      <c r="B111" s="125" t="n">
        <v>105</v>
      </c>
      <c r="C111" s="72" t="n"/>
      <c r="D111" s="72" t="n"/>
      <c r="E111" s="72" t="n"/>
      <c r="F111" s="72" t="n"/>
      <c r="G111" s="89" t="n"/>
      <c r="H111" s="89" t="n"/>
      <c r="I111" s="108" t="n"/>
      <c r="J111" s="126">
        <f>IF(OR(D111="",ProjStart=""),"",MAX(ProjStart,IF(I111&lt;&gt;"",I111,0),IF(H111="",0,IFERROR(INDEX($L$6:L110,MATCH(H111,$B$6:B110,0))+1,0))))</f>
        <v/>
      </c>
      <c r="K111" s="89" t="n"/>
      <c r="L111" s="126">
        <f>IF(J111="","",J111+MAX(1,G111)+IF(K111="",0,K111)-1)</f>
        <v/>
      </c>
      <c r="M111" s="72" t="n"/>
      <c r="N111" s="108" t="n"/>
      <c r="O111" s="127">
        <f>IF(D111="","",COUNTIF($H$7:$H$156,B111))</f>
        <v/>
      </c>
      <c r="P111" s="78">
        <f>IF(D111="","",IF(AND(H111&lt;&gt;"",H111&gt;=B111),"⚠️ Predecessor must be above",IF(M111="Done","✓ Done",IF(Q111=3,"🔴 Late",IF(M111="In progress","In progress","")))))</f>
        <v/>
      </c>
      <c r="Q111" s="79">
        <f>IF(OR(D111="",L111=""),"",IF(M111="Done",2,IF(AsOf&gt;L111,3,1)))</f>
        <v/>
      </c>
      <c r="R111" s="79">
        <f>IF(OR(E111="",F111=""),0,IF(COUNTIFS($E$7:E111,E111,$F$7:F111,F111)=1,1,0))</f>
        <v/>
      </c>
      <c r="S111" s="79">
        <f>IF(R111=1,E111&amp;"|"&amp;SUMIFS($R$7:R111,$E$7:E111,E111),"")</f>
        <v/>
      </c>
      <c r="T111" s="111">
        <f>IF(Q111="","",IF(Q111=3,L111,IF(OR(M111="Not started",M111=""),J111,"")))</f>
        <v/>
      </c>
      <c r="U111" s="79">
        <f>IF(T111="","",IF(Q111=3,1,IF(T111="","",IF(T111&lt;AsOf,1,IF(T111&lt;=AsOf+AlertDays,2,IF(T111&lt;=AsOf+2*AlertDays,3,""))))))</f>
        <v/>
      </c>
      <c r="V111" s="79">
        <f>IF(U111="","",IF(Q111=3,"Late task: "&amp;D111,IF(T111&lt;AsOf,"Should have started: ","Starts soon: ")&amp;D111)&amp;IF(F111="",""," — "&amp;F111))</f>
        <v/>
      </c>
      <c r="X111" s="128" t="n"/>
      <c r="Y111" s="128" t="n"/>
      <c r="Z111" s="128" t="n"/>
      <c r="AA111" s="128" t="n"/>
      <c r="AB111" s="128" t="n"/>
      <c r="AC111" s="128" t="n"/>
      <c r="AD111" s="128" t="n"/>
      <c r="AE111" s="128" t="n"/>
      <c r="AF111" s="128" t="n"/>
      <c r="AG111" s="128" t="n"/>
      <c r="AH111" s="128" t="n"/>
      <c r="AI111" s="128" t="n"/>
      <c r="AJ111" s="128" t="n"/>
      <c r="AK111" s="128" t="n"/>
      <c r="AL111" s="128" t="n"/>
      <c r="AM111" s="128" t="n"/>
      <c r="AN111" s="128" t="n"/>
      <c r="AO111" s="128" t="n"/>
      <c r="AP111" s="128" t="n"/>
      <c r="AQ111" s="128" t="n"/>
      <c r="AR111" s="128" t="n"/>
      <c r="AS111" s="128" t="n"/>
      <c r="AT111" s="128" t="n"/>
      <c r="AU111" s="128" t="n"/>
      <c r="AV111" s="128" t="n"/>
      <c r="AW111" s="128" t="n"/>
      <c r="AX111" s="128" t="n"/>
      <c r="AY111" s="128" t="n"/>
      <c r="AZ111" s="128" t="n"/>
      <c r="BA111" s="128" t="n"/>
      <c r="BB111" s="128" t="n"/>
      <c r="BC111" s="128" t="n"/>
      <c r="BD111" s="128" t="n"/>
      <c r="BE111" s="128" t="n"/>
      <c r="BF111" s="128" t="n"/>
      <c r="BG111" s="128" t="n"/>
      <c r="BH111" s="128" t="n"/>
      <c r="BI111" s="128" t="n"/>
      <c r="BJ111" s="128" t="n"/>
      <c r="BK111" s="128" t="n"/>
      <c r="BL111" s="128" t="n"/>
      <c r="BM111" s="128" t="n"/>
      <c r="BN111" s="128" t="n"/>
      <c r="BO111" s="128" t="n"/>
      <c r="BP111" s="128" t="n"/>
      <c r="BQ111" s="128" t="n"/>
      <c r="BR111" s="128" t="n"/>
      <c r="BS111" s="128" t="n"/>
      <c r="BT111" s="128" t="n"/>
      <c r="BU111" s="128" t="n"/>
      <c r="BV111" s="128" t="n"/>
      <c r="BW111" s="128" t="n"/>
    </row>
    <row r="112" ht="20" customHeight="1">
      <c r="B112" s="125" t="n">
        <v>106</v>
      </c>
      <c r="C112" s="72" t="n"/>
      <c r="D112" s="72" t="n"/>
      <c r="E112" s="72" t="n"/>
      <c r="F112" s="72" t="n"/>
      <c r="G112" s="89" t="n"/>
      <c r="H112" s="89" t="n"/>
      <c r="I112" s="108" t="n"/>
      <c r="J112" s="126">
        <f>IF(OR(D112="",ProjStart=""),"",MAX(ProjStart,IF(I112&lt;&gt;"",I112,0),IF(H112="",0,IFERROR(INDEX($L$6:L111,MATCH(H112,$B$6:B111,0))+1,0))))</f>
        <v/>
      </c>
      <c r="K112" s="89" t="n"/>
      <c r="L112" s="126">
        <f>IF(J112="","",J112+MAX(1,G112)+IF(K112="",0,K112)-1)</f>
        <v/>
      </c>
      <c r="M112" s="72" t="n"/>
      <c r="N112" s="108" t="n"/>
      <c r="O112" s="127">
        <f>IF(D112="","",COUNTIF($H$7:$H$156,B112))</f>
        <v/>
      </c>
      <c r="P112" s="78">
        <f>IF(D112="","",IF(AND(H112&lt;&gt;"",H112&gt;=B112),"⚠️ Predecessor must be above",IF(M112="Done","✓ Done",IF(Q112=3,"🔴 Late",IF(M112="In progress","In progress","")))))</f>
        <v/>
      </c>
      <c r="Q112" s="79">
        <f>IF(OR(D112="",L112=""),"",IF(M112="Done",2,IF(AsOf&gt;L112,3,1)))</f>
        <v/>
      </c>
      <c r="R112" s="79">
        <f>IF(OR(E112="",F112=""),0,IF(COUNTIFS($E$7:E112,E112,$F$7:F112,F112)=1,1,0))</f>
        <v/>
      </c>
      <c r="S112" s="79">
        <f>IF(R112=1,E112&amp;"|"&amp;SUMIFS($R$7:R112,$E$7:E112,E112),"")</f>
        <v/>
      </c>
      <c r="T112" s="111">
        <f>IF(Q112="","",IF(Q112=3,L112,IF(OR(M112="Not started",M112=""),J112,"")))</f>
        <v/>
      </c>
      <c r="U112" s="79">
        <f>IF(T112="","",IF(Q112=3,1,IF(T112="","",IF(T112&lt;AsOf,1,IF(T112&lt;=AsOf+AlertDays,2,IF(T112&lt;=AsOf+2*AlertDays,3,""))))))</f>
        <v/>
      </c>
      <c r="V112" s="79">
        <f>IF(U112="","",IF(Q112=3,"Late task: "&amp;D112,IF(T112&lt;AsOf,"Should have started: ","Starts soon: ")&amp;D112)&amp;IF(F112="",""," — "&amp;F112))</f>
        <v/>
      </c>
      <c r="X112" s="128" t="n"/>
      <c r="Y112" s="128" t="n"/>
      <c r="Z112" s="128" t="n"/>
      <c r="AA112" s="128" t="n"/>
      <c r="AB112" s="128" t="n"/>
      <c r="AC112" s="128" t="n"/>
      <c r="AD112" s="128" t="n"/>
      <c r="AE112" s="128" t="n"/>
      <c r="AF112" s="128" t="n"/>
      <c r="AG112" s="128" t="n"/>
      <c r="AH112" s="128" t="n"/>
      <c r="AI112" s="128" t="n"/>
      <c r="AJ112" s="128" t="n"/>
      <c r="AK112" s="128" t="n"/>
      <c r="AL112" s="128" t="n"/>
      <c r="AM112" s="128" t="n"/>
      <c r="AN112" s="128" t="n"/>
      <c r="AO112" s="128" t="n"/>
      <c r="AP112" s="128" t="n"/>
      <c r="AQ112" s="128" t="n"/>
      <c r="AR112" s="128" t="n"/>
      <c r="AS112" s="128" t="n"/>
      <c r="AT112" s="128" t="n"/>
      <c r="AU112" s="128" t="n"/>
      <c r="AV112" s="128" t="n"/>
      <c r="AW112" s="128" t="n"/>
      <c r="AX112" s="128" t="n"/>
      <c r="AY112" s="128" t="n"/>
      <c r="AZ112" s="128" t="n"/>
      <c r="BA112" s="128" t="n"/>
      <c r="BB112" s="128" t="n"/>
      <c r="BC112" s="128" t="n"/>
      <c r="BD112" s="128" t="n"/>
      <c r="BE112" s="128" t="n"/>
      <c r="BF112" s="128" t="n"/>
      <c r="BG112" s="128" t="n"/>
      <c r="BH112" s="128" t="n"/>
      <c r="BI112" s="128" t="n"/>
      <c r="BJ112" s="128" t="n"/>
      <c r="BK112" s="128" t="n"/>
      <c r="BL112" s="128" t="n"/>
      <c r="BM112" s="128" t="n"/>
      <c r="BN112" s="128" t="n"/>
      <c r="BO112" s="128" t="n"/>
      <c r="BP112" s="128" t="n"/>
      <c r="BQ112" s="128" t="n"/>
      <c r="BR112" s="128" t="n"/>
      <c r="BS112" s="128" t="n"/>
      <c r="BT112" s="128" t="n"/>
      <c r="BU112" s="128" t="n"/>
      <c r="BV112" s="128" t="n"/>
      <c r="BW112" s="128" t="n"/>
    </row>
    <row r="113" ht="20" customHeight="1">
      <c r="B113" s="125" t="n">
        <v>107</v>
      </c>
      <c r="C113" s="72" t="n"/>
      <c r="D113" s="72" t="n"/>
      <c r="E113" s="72" t="n"/>
      <c r="F113" s="72" t="n"/>
      <c r="G113" s="89" t="n"/>
      <c r="H113" s="89" t="n"/>
      <c r="I113" s="108" t="n"/>
      <c r="J113" s="126">
        <f>IF(OR(D113="",ProjStart=""),"",MAX(ProjStart,IF(I113&lt;&gt;"",I113,0),IF(H113="",0,IFERROR(INDEX($L$6:L112,MATCH(H113,$B$6:B112,0))+1,0))))</f>
        <v/>
      </c>
      <c r="K113" s="89" t="n"/>
      <c r="L113" s="126">
        <f>IF(J113="","",J113+MAX(1,G113)+IF(K113="",0,K113)-1)</f>
        <v/>
      </c>
      <c r="M113" s="72" t="n"/>
      <c r="N113" s="108" t="n"/>
      <c r="O113" s="127">
        <f>IF(D113="","",COUNTIF($H$7:$H$156,B113))</f>
        <v/>
      </c>
      <c r="P113" s="78">
        <f>IF(D113="","",IF(AND(H113&lt;&gt;"",H113&gt;=B113),"⚠️ Predecessor must be above",IF(M113="Done","✓ Done",IF(Q113=3,"🔴 Late",IF(M113="In progress","In progress","")))))</f>
        <v/>
      </c>
      <c r="Q113" s="79">
        <f>IF(OR(D113="",L113=""),"",IF(M113="Done",2,IF(AsOf&gt;L113,3,1)))</f>
        <v/>
      </c>
      <c r="R113" s="79">
        <f>IF(OR(E113="",F113=""),0,IF(COUNTIFS($E$7:E113,E113,$F$7:F113,F113)=1,1,0))</f>
        <v/>
      </c>
      <c r="S113" s="79">
        <f>IF(R113=1,E113&amp;"|"&amp;SUMIFS($R$7:R113,$E$7:E113,E113),"")</f>
        <v/>
      </c>
      <c r="T113" s="111">
        <f>IF(Q113="","",IF(Q113=3,L113,IF(OR(M113="Not started",M113=""),J113,"")))</f>
        <v/>
      </c>
      <c r="U113" s="79">
        <f>IF(T113="","",IF(Q113=3,1,IF(T113="","",IF(T113&lt;AsOf,1,IF(T113&lt;=AsOf+AlertDays,2,IF(T113&lt;=AsOf+2*AlertDays,3,""))))))</f>
        <v/>
      </c>
      <c r="V113" s="79">
        <f>IF(U113="","",IF(Q113=3,"Late task: "&amp;D113,IF(T113&lt;AsOf,"Should have started: ","Starts soon: ")&amp;D113)&amp;IF(F113="",""," — "&amp;F113))</f>
        <v/>
      </c>
      <c r="X113" s="128" t="n"/>
      <c r="Y113" s="128" t="n"/>
      <c r="Z113" s="128" t="n"/>
      <c r="AA113" s="128" t="n"/>
      <c r="AB113" s="128" t="n"/>
      <c r="AC113" s="128" t="n"/>
      <c r="AD113" s="128" t="n"/>
      <c r="AE113" s="128" t="n"/>
      <c r="AF113" s="128" t="n"/>
      <c r="AG113" s="128" t="n"/>
      <c r="AH113" s="128" t="n"/>
      <c r="AI113" s="128" t="n"/>
      <c r="AJ113" s="128" t="n"/>
      <c r="AK113" s="128" t="n"/>
      <c r="AL113" s="128" t="n"/>
      <c r="AM113" s="128" t="n"/>
      <c r="AN113" s="128" t="n"/>
      <c r="AO113" s="128" t="n"/>
      <c r="AP113" s="128" t="n"/>
      <c r="AQ113" s="128" t="n"/>
      <c r="AR113" s="128" t="n"/>
      <c r="AS113" s="128" t="n"/>
      <c r="AT113" s="128" t="n"/>
      <c r="AU113" s="128" t="n"/>
      <c r="AV113" s="128" t="n"/>
      <c r="AW113" s="128" t="n"/>
      <c r="AX113" s="128" t="n"/>
      <c r="AY113" s="128" t="n"/>
      <c r="AZ113" s="128" t="n"/>
      <c r="BA113" s="128" t="n"/>
      <c r="BB113" s="128" t="n"/>
      <c r="BC113" s="128" t="n"/>
      <c r="BD113" s="128" t="n"/>
      <c r="BE113" s="128" t="n"/>
      <c r="BF113" s="128" t="n"/>
      <c r="BG113" s="128" t="n"/>
      <c r="BH113" s="128" t="n"/>
      <c r="BI113" s="128" t="n"/>
      <c r="BJ113" s="128" t="n"/>
      <c r="BK113" s="128" t="n"/>
      <c r="BL113" s="128" t="n"/>
      <c r="BM113" s="128" t="n"/>
      <c r="BN113" s="128" t="n"/>
      <c r="BO113" s="128" t="n"/>
      <c r="BP113" s="128" t="n"/>
      <c r="BQ113" s="128" t="n"/>
      <c r="BR113" s="128" t="n"/>
      <c r="BS113" s="128" t="n"/>
      <c r="BT113" s="128" t="n"/>
      <c r="BU113" s="128" t="n"/>
      <c r="BV113" s="128" t="n"/>
      <c r="BW113" s="128" t="n"/>
    </row>
    <row r="114" ht="20" customHeight="1">
      <c r="B114" s="125" t="n">
        <v>108</v>
      </c>
      <c r="C114" s="72" t="n"/>
      <c r="D114" s="72" t="n"/>
      <c r="E114" s="72" t="n"/>
      <c r="F114" s="72" t="n"/>
      <c r="G114" s="89" t="n"/>
      <c r="H114" s="89" t="n"/>
      <c r="I114" s="108" t="n"/>
      <c r="J114" s="126">
        <f>IF(OR(D114="",ProjStart=""),"",MAX(ProjStart,IF(I114&lt;&gt;"",I114,0),IF(H114="",0,IFERROR(INDEX($L$6:L113,MATCH(H114,$B$6:B113,0))+1,0))))</f>
        <v/>
      </c>
      <c r="K114" s="89" t="n"/>
      <c r="L114" s="126">
        <f>IF(J114="","",J114+MAX(1,G114)+IF(K114="",0,K114)-1)</f>
        <v/>
      </c>
      <c r="M114" s="72" t="n"/>
      <c r="N114" s="108" t="n"/>
      <c r="O114" s="127">
        <f>IF(D114="","",COUNTIF($H$7:$H$156,B114))</f>
        <v/>
      </c>
      <c r="P114" s="78">
        <f>IF(D114="","",IF(AND(H114&lt;&gt;"",H114&gt;=B114),"⚠️ Predecessor must be above",IF(M114="Done","✓ Done",IF(Q114=3,"🔴 Late",IF(M114="In progress","In progress","")))))</f>
        <v/>
      </c>
      <c r="Q114" s="79">
        <f>IF(OR(D114="",L114=""),"",IF(M114="Done",2,IF(AsOf&gt;L114,3,1)))</f>
        <v/>
      </c>
      <c r="R114" s="79">
        <f>IF(OR(E114="",F114=""),0,IF(COUNTIFS($E$7:E114,E114,$F$7:F114,F114)=1,1,0))</f>
        <v/>
      </c>
      <c r="S114" s="79">
        <f>IF(R114=1,E114&amp;"|"&amp;SUMIFS($R$7:R114,$E$7:E114,E114),"")</f>
        <v/>
      </c>
      <c r="T114" s="111">
        <f>IF(Q114="","",IF(Q114=3,L114,IF(OR(M114="Not started",M114=""),J114,"")))</f>
        <v/>
      </c>
      <c r="U114" s="79">
        <f>IF(T114="","",IF(Q114=3,1,IF(T114="","",IF(T114&lt;AsOf,1,IF(T114&lt;=AsOf+AlertDays,2,IF(T114&lt;=AsOf+2*AlertDays,3,""))))))</f>
        <v/>
      </c>
      <c r="V114" s="79">
        <f>IF(U114="","",IF(Q114=3,"Late task: "&amp;D114,IF(T114&lt;AsOf,"Should have started: ","Starts soon: ")&amp;D114)&amp;IF(F114="",""," — "&amp;F114))</f>
        <v/>
      </c>
      <c r="X114" s="128" t="n"/>
      <c r="Y114" s="128" t="n"/>
      <c r="Z114" s="128" t="n"/>
      <c r="AA114" s="128" t="n"/>
      <c r="AB114" s="128" t="n"/>
      <c r="AC114" s="128" t="n"/>
      <c r="AD114" s="128" t="n"/>
      <c r="AE114" s="128" t="n"/>
      <c r="AF114" s="128" t="n"/>
      <c r="AG114" s="128" t="n"/>
      <c r="AH114" s="128" t="n"/>
      <c r="AI114" s="128" t="n"/>
      <c r="AJ114" s="128" t="n"/>
      <c r="AK114" s="128" t="n"/>
      <c r="AL114" s="128" t="n"/>
      <c r="AM114" s="128" t="n"/>
      <c r="AN114" s="128" t="n"/>
      <c r="AO114" s="128" t="n"/>
      <c r="AP114" s="128" t="n"/>
      <c r="AQ114" s="128" t="n"/>
      <c r="AR114" s="128" t="n"/>
      <c r="AS114" s="128" t="n"/>
      <c r="AT114" s="128" t="n"/>
      <c r="AU114" s="128" t="n"/>
      <c r="AV114" s="128" t="n"/>
      <c r="AW114" s="128" t="n"/>
      <c r="AX114" s="128" t="n"/>
      <c r="AY114" s="128" t="n"/>
      <c r="AZ114" s="128" t="n"/>
      <c r="BA114" s="128" t="n"/>
      <c r="BB114" s="128" t="n"/>
      <c r="BC114" s="128" t="n"/>
      <c r="BD114" s="128" t="n"/>
      <c r="BE114" s="128" t="n"/>
      <c r="BF114" s="128" t="n"/>
      <c r="BG114" s="128" t="n"/>
      <c r="BH114" s="128" t="n"/>
      <c r="BI114" s="128" t="n"/>
      <c r="BJ114" s="128" t="n"/>
      <c r="BK114" s="128" t="n"/>
      <c r="BL114" s="128" t="n"/>
      <c r="BM114" s="128" t="n"/>
      <c r="BN114" s="128" t="n"/>
      <c r="BO114" s="128" t="n"/>
      <c r="BP114" s="128" t="n"/>
      <c r="BQ114" s="128" t="n"/>
      <c r="BR114" s="128" t="n"/>
      <c r="BS114" s="128" t="n"/>
      <c r="BT114" s="128" t="n"/>
      <c r="BU114" s="128" t="n"/>
      <c r="BV114" s="128" t="n"/>
      <c r="BW114" s="128" t="n"/>
    </row>
    <row r="115" ht="20" customHeight="1">
      <c r="B115" s="125" t="n">
        <v>109</v>
      </c>
      <c r="C115" s="72" t="n"/>
      <c r="D115" s="72" t="n"/>
      <c r="E115" s="72" t="n"/>
      <c r="F115" s="72" t="n"/>
      <c r="G115" s="89" t="n"/>
      <c r="H115" s="89" t="n"/>
      <c r="I115" s="108" t="n"/>
      <c r="J115" s="126">
        <f>IF(OR(D115="",ProjStart=""),"",MAX(ProjStart,IF(I115&lt;&gt;"",I115,0),IF(H115="",0,IFERROR(INDEX($L$6:L114,MATCH(H115,$B$6:B114,0))+1,0))))</f>
        <v/>
      </c>
      <c r="K115" s="89" t="n"/>
      <c r="L115" s="126">
        <f>IF(J115="","",J115+MAX(1,G115)+IF(K115="",0,K115)-1)</f>
        <v/>
      </c>
      <c r="M115" s="72" t="n"/>
      <c r="N115" s="108" t="n"/>
      <c r="O115" s="127">
        <f>IF(D115="","",COUNTIF($H$7:$H$156,B115))</f>
        <v/>
      </c>
      <c r="P115" s="78">
        <f>IF(D115="","",IF(AND(H115&lt;&gt;"",H115&gt;=B115),"⚠️ Predecessor must be above",IF(M115="Done","✓ Done",IF(Q115=3,"🔴 Late",IF(M115="In progress","In progress","")))))</f>
        <v/>
      </c>
      <c r="Q115" s="79">
        <f>IF(OR(D115="",L115=""),"",IF(M115="Done",2,IF(AsOf&gt;L115,3,1)))</f>
        <v/>
      </c>
      <c r="R115" s="79">
        <f>IF(OR(E115="",F115=""),0,IF(COUNTIFS($E$7:E115,E115,$F$7:F115,F115)=1,1,0))</f>
        <v/>
      </c>
      <c r="S115" s="79">
        <f>IF(R115=1,E115&amp;"|"&amp;SUMIFS($R$7:R115,$E$7:E115,E115),"")</f>
        <v/>
      </c>
      <c r="T115" s="111">
        <f>IF(Q115="","",IF(Q115=3,L115,IF(OR(M115="Not started",M115=""),J115,"")))</f>
        <v/>
      </c>
      <c r="U115" s="79">
        <f>IF(T115="","",IF(Q115=3,1,IF(T115="","",IF(T115&lt;AsOf,1,IF(T115&lt;=AsOf+AlertDays,2,IF(T115&lt;=AsOf+2*AlertDays,3,""))))))</f>
        <v/>
      </c>
      <c r="V115" s="79">
        <f>IF(U115="","",IF(Q115=3,"Late task: "&amp;D115,IF(T115&lt;AsOf,"Should have started: ","Starts soon: ")&amp;D115)&amp;IF(F115="",""," — "&amp;F115))</f>
        <v/>
      </c>
      <c r="X115" s="128" t="n"/>
      <c r="Y115" s="128" t="n"/>
      <c r="Z115" s="128" t="n"/>
      <c r="AA115" s="128" t="n"/>
      <c r="AB115" s="128" t="n"/>
      <c r="AC115" s="128" t="n"/>
      <c r="AD115" s="128" t="n"/>
      <c r="AE115" s="128" t="n"/>
      <c r="AF115" s="128" t="n"/>
      <c r="AG115" s="128" t="n"/>
      <c r="AH115" s="128" t="n"/>
      <c r="AI115" s="128" t="n"/>
      <c r="AJ115" s="128" t="n"/>
      <c r="AK115" s="128" t="n"/>
      <c r="AL115" s="128" t="n"/>
      <c r="AM115" s="128" t="n"/>
      <c r="AN115" s="128" t="n"/>
      <c r="AO115" s="128" t="n"/>
      <c r="AP115" s="128" t="n"/>
      <c r="AQ115" s="128" t="n"/>
      <c r="AR115" s="128" t="n"/>
      <c r="AS115" s="128" t="n"/>
      <c r="AT115" s="128" t="n"/>
      <c r="AU115" s="128" t="n"/>
      <c r="AV115" s="128" t="n"/>
      <c r="AW115" s="128" t="n"/>
      <c r="AX115" s="128" t="n"/>
      <c r="AY115" s="128" t="n"/>
      <c r="AZ115" s="128" t="n"/>
      <c r="BA115" s="128" t="n"/>
      <c r="BB115" s="128" t="n"/>
      <c r="BC115" s="128" t="n"/>
      <c r="BD115" s="128" t="n"/>
      <c r="BE115" s="128" t="n"/>
      <c r="BF115" s="128" t="n"/>
      <c r="BG115" s="128" t="n"/>
      <c r="BH115" s="128" t="n"/>
      <c r="BI115" s="128" t="n"/>
      <c r="BJ115" s="128" t="n"/>
      <c r="BK115" s="128" t="n"/>
      <c r="BL115" s="128" t="n"/>
      <c r="BM115" s="128" t="n"/>
      <c r="BN115" s="128" t="n"/>
      <c r="BO115" s="128" t="n"/>
      <c r="BP115" s="128" t="n"/>
      <c r="BQ115" s="128" t="n"/>
      <c r="BR115" s="128" t="n"/>
      <c r="BS115" s="128" t="n"/>
      <c r="BT115" s="128" t="n"/>
      <c r="BU115" s="128" t="n"/>
      <c r="BV115" s="128" t="n"/>
      <c r="BW115" s="128" t="n"/>
    </row>
    <row r="116" ht="20" customHeight="1">
      <c r="B116" s="125" t="n">
        <v>110</v>
      </c>
      <c r="C116" s="72" t="n"/>
      <c r="D116" s="72" t="n"/>
      <c r="E116" s="72" t="n"/>
      <c r="F116" s="72" t="n"/>
      <c r="G116" s="89" t="n"/>
      <c r="H116" s="89" t="n"/>
      <c r="I116" s="108" t="n"/>
      <c r="J116" s="126">
        <f>IF(OR(D116="",ProjStart=""),"",MAX(ProjStart,IF(I116&lt;&gt;"",I116,0),IF(H116="",0,IFERROR(INDEX($L$6:L115,MATCH(H116,$B$6:B115,0))+1,0))))</f>
        <v/>
      </c>
      <c r="K116" s="89" t="n"/>
      <c r="L116" s="126">
        <f>IF(J116="","",J116+MAX(1,G116)+IF(K116="",0,K116)-1)</f>
        <v/>
      </c>
      <c r="M116" s="72" t="n"/>
      <c r="N116" s="108" t="n"/>
      <c r="O116" s="127">
        <f>IF(D116="","",COUNTIF($H$7:$H$156,B116))</f>
        <v/>
      </c>
      <c r="P116" s="78">
        <f>IF(D116="","",IF(AND(H116&lt;&gt;"",H116&gt;=B116),"⚠️ Predecessor must be above",IF(M116="Done","✓ Done",IF(Q116=3,"🔴 Late",IF(M116="In progress","In progress","")))))</f>
        <v/>
      </c>
      <c r="Q116" s="79">
        <f>IF(OR(D116="",L116=""),"",IF(M116="Done",2,IF(AsOf&gt;L116,3,1)))</f>
        <v/>
      </c>
      <c r="R116" s="79">
        <f>IF(OR(E116="",F116=""),0,IF(COUNTIFS($E$7:E116,E116,$F$7:F116,F116)=1,1,0))</f>
        <v/>
      </c>
      <c r="S116" s="79">
        <f>IF(R116=1,E116&amp;"|"&amp;SUMIFS($R$7:R116,$E$7:E116,E116),"")</f>
        <v/>
      </c>
      <c r="T116" s="111">
        <f>IF(Q116="","",IF(Q116=3,L116,IF(OR(M116="Not started",M116=""),J116,"")))</f>
        <v/>
      </c>
      <c r="U116" s="79">
        <f>IF(T116="","",IF(Q116=3,1,IF(T116="","",IF(T116&lt;AsOf,1,IF(T116&lt;=AsOf+AlertDays,2,IF(T116&lt;=AsOf+2*AlertDays,3,""))))))</f>
        <v/>
      </c>
      <c r="V116" s="79">
        <f>IF(U116="","",IF(Q116=3,"Late task: "&amp;D116,IF(T116&lt;AsOf,"Should have started: ","Starts soon: ")&amp;D116)&amp;IF(F116="",""," — "&amp;F116))</f>
        <v/>
      </c>
      <c r="X116" s="128" t="n"/>
      <c r="Y116" s="128" t="n"/>
      <c r="Z116" s="128" t="n"/>
      <c r="AA116" s="128" t="n"/>
      <c r="AB116" s="128" t="n"/>
      <c r="AC116" s="128" t="n"/>
      <c r="AD116" s="128" t="n"/>
      <c r="AE116" s="128" t="n"/>
      <c r="AF116" s="128" t="n"/>
      <c r="AG116" s="128" t="n"/>
      <c r="AH116" s="128" t="n"/>
      <c r="AI116" s="128" t="n"/>
      <c r="AJ116" s="128" t="n"/>
      <c r="AK116" s="128" t="n"/>
      <c r="AL116" s="128" t="n"/>
      <c r="AM116" s="128" t="n"/>
      <c r="AN116" s="128" t="n"/>
      <c r="AO116" s="128" t="n"/>
      <c r="AP116" s="128" t="n"/>
      <c r="AQ116" s="128" t="n"/>
      <c r="AR116" s="128" t="n"/>
      <c r="AS116" s="128" t="n"/>
      <c r="AT116" s="128" t="n"/>
      <c r="AU116" s="128" t="n"/>
      <c r="AV116" s="128" t="n"/>
      <c r="AW116" s="128" t="n"/>
      <c r="AX116" s="128" t="n"/>
      <c r="AY116" s="128" t="n"/>
      <c r="AZ116" s="128" t="n"/>
      <c r="BA116" s="128" t="n"/>
      <c r="BB116" s="128" t="n"/>
      <c r="BC116" s="128" t="n"/>
      <c r="BD116" s="128" t="n"/>
      <c r="BE116" s="128" t="n"/>
      <c r="BF116" s="128" t="n"/>
      <c r="BG116" s="128" t="n"/>
      <c r="BH116" s="128" t="n"/>
      <c r="BI116" s="128" t="n"/>
      <c r="BJ116" s="128" t="n"/>
      <c r="BK116" s="128" t="n"/>
      <c r="BL116" s="128" t="n"/>
      <c r="BM116" s="128" t="n"/>
      <c r="BN116" s="128" t="n"/>
      <c r="BO116" s="128" t="n"/>
      <c r="BP116" s="128" t="n"/>
      <c r="BQ116" s="128" t="n"/>
      <c r="BR116" s="128" t="n"/>
      <c r="BS116" s="128" t="n"/>
      <c r="BT116" s="128" t="n"/>
      <c r="BU116" s="128" t="n"/>
      <c r="BV116" s="128" t="n"/>
      <c r="BW116" s="128" t="n"/>
    </row>
    <row r="117" ht="20" customHeight="1">
      <c r="B117" s="125" t="n">
        <v>111</v>
      </c>
      <c r="C117" s="72" t="n"/>
      <c r="D117" s="72" t="n"/>
      <c r="E117" s="72" t="n"/>
      <c r="F117" s="72" t="n"/>
      <c r="G117" s="89" t="n"/>
      <c r="H117" s="89" t="n"/>
      <c r="I117" s="108" t="n"/>
      <c r="J117" s="126">
        <f>IF(OR(D117="",ProjStart=""),"",MAX(ProjStart,IF(I117&lt;&gt;"",I117,0),IF(H117="",0,IFERROR(INDEX($L$6:L116,MATCH(H117,$B$6:B116,0))+1,0))))</f>
        <v/>
      </c>
      <c r="K117" s="89" t="n"/>
      <c r="L117" s="126">
        <f>IF(J117="","",J117+MAX(1,G117)+IF(K117="",0,K117)-1)</f>
        <v/>
      </c>
      <c r="M117" s="72" t="n"/>
      <c r="N117" s="108" t="n"/>
      <c r="O117" s="127">
        <f>IF(D117="","",COUNTIF($H$7:$H$156,B117))</f>
        <v/>
      </c>
      <c r="P117" s="78">
        <f>IF(D117="","",IF(AND(H117&lt;&gt;"",H117&gt;=B117),"⚠️ Predecessor must be above",IF(M117="Done","✓ Done",IF(Q117=3,"🔴 Late",IF(M117="In progress","In progress","")))))</f>
        <v/>
      </c>
      <c r="Q117" s="79">
        <f>IF(OR(D117="",L117=""),"",IF(M117="Done",2,IF(AsOf&gt;L117,3,1)))</f>
        <v/>
      </c>
      <c r="R117" s="79">
        <f>IF(OR(E117="",F117=""),0,IF(COUNTIFS($E$7:E117,E117,$F$7:F117,F117)=1,1,0))</f>
        <v/>
      </c>
      <c r="S117" s="79">
        <f>IF(R117=1,E117&amp;"|"&amp;SUMIFS($R$7:R117,$E$7:E117,E117),"")</f>
        <v/>
      </c>
      <c r="T117" s="111">
        <f>IF(Q117="","",IF(Q117=3,L117,IF(OR(M117="Not started",M117=""),J117,"")))</f>
        <v/>
      </c>
      <c r="U117" s="79">
        <f>IF(T117="","",IF(Q117=3,1,IF(T117="","",IF(T117&lt;AsOf,1,IF(T117&lt;=AsOf+AlertDays,2,IF(T117&lt;=AsOf+2*AlertDays,3,""))))))</f>
        <v/>
      </c>
      <c r="V117" s="79">
        <f>IF(U117="","",IF(Q117=3,"Late task: "&amp;D117,IF(T117&lt;AsOf,"Should have started: ","Starts soon: ")&amp;D117)&amp;IF(F117="",""," — "&amp;F117))</f>
        <v/>
      </c>
      <c r="X117" s="128" t="n"/>
      <c r="Y117" s="128" t="n"/>
      <c r="Z117" s="128" t="n"/>
      <c r="AA117" s="128" t="n"/>
      <c r="AB117" s="128" t="n"/>
      <c r="AC117" s="128" t="n"/>
      <c r="AD117" s="128" t="n"/>
      <c r="AE117" s="128" t="n"/>
      <c r="AF117" s="128" t="n"/>
      <c r="AG117" s="128" t="n"/>
      <c r="AH117" s="128" t="n"/>
      <c r="AI117" s="128" t="n"/>
      <c r="AJ117" s="128" t="n"/>
      <c r="AK117" s="128" t="n"/>
      <c r="AL117" s="128" t="n"/>
      <c r="AM117" s="128" t="n"/>
      <c r="AN117" s="128" t="n"/>
      <c r="AO117" s="128" t="n"/>
      <c r="AP117" s="128" t="n"/>
      <c r="AQ117" s="128" t="n"/>
      <c r="AR117" s="128" t="n"/>
      <c r="AS117" s="128" t="n"/>
      <c r="AT117" s="128" t="n"/>
      <c r="AU117" s="128" t="n"/>
      <c r="AV117" s="128" t="n"/>
      <c r="AW117" s="128" t="n"/>
      <c r="AX117" s="128" t="n"/>
      <c r="AY117" s="128" t="n"/>
      <c r="AZ117" s="128" t="n"/>
      <c r="BA117" s="128" t="n"/>
      <c r="BB117" s="128" t="n"/>
      <c r="BC117" s="128" t="n"/>
      <c r="BD117" s="128" t="n"/>
      <c r="BE117" s="128" t="n"/>
      <c r="BF117" s="128" t="n"/>
      <c r="BG117" s="128" t="n"/>
      <c r="BH117" s="128" t="n"/>
      <c r="BI117" s="128" t="n"/>
      <c r="BJ117" s="128" t="n"/>
      <c r="BK117" s="128" t="n"/>
      <c r="BL117" s="128" t="n"/>
      <c r="BM117" s="128" t="n"/>
      <c r="BN117" s="128" t="n"/>
      <c r="BO117" s="128" t="n"/>
      <c r="BP117" s="128" t="n"/>
      <c r="BQ117" s="128" t="n"/>
      <c r="BR117" s="128" t="n"/>
      <c r="BS117" s="128" t="n"/>
      <c r="BT117" s="128" t="n"/>
      <c r="BU117" s="128" t="n"/>
      <c r="BV117" s="128" t="n"/>
      <c r="BW117" s="128" t="n"/>
    </row>
    <row r="118" ht="20" customHeight="1">
      <c r="B118" s="125" t="n">
        <v>112</v>
      </c>
      <c r="C118" s="72" t="n"/>
      <c r="D118" s="72" t="n"/>
      <c r="E118" s="72" t="n"/>
      <c r="F118" s="72" t="n"/>
      <c r="G118" s="89" t="n"/>
      <c r="H118" s="89" t="n"/>
      <c r="I118" s="108" t="n"/>
      <c r="J118" s="126">
        <f>IF(OR(D118="",ProjStart=""),"",MAX(ProjStart,IF(I118&lt;&gt;"",I118,0),IF(H118="",0,IFERROR(INDEX($L$6:L117,MATCH(H118,$B$6:B117,0))+1,0))))</f>
        <v/>
      </c>
      <c r="K118" s="89" t="n"/>
      <c r="L118" s="126">
        <f>IF(J118="","",J118+MAX(1,G118)+IF(K118="",0,K118)-1)</f>
        <v/>
      </c>
      <c r="M118" s="72" t="n"/>
      <c r="N118" s="108" t="n"/>
      <c r="O118" s="127">
        <f>IF(D118="","",COUNTIF($H$7:$H$156,B118))</f>
        <v/>
      </c>
      <c r="P118" s="78">
        <f>IF(D118="","",IF(AND(H118&lt;&gt;"",H118&gt;=B118),"⚠️ Predecessor must be above",IF(M118="Done","✓ Done",IF(Q118=3,"🔴 Late",IF(M118="In progress","In progress","")))))</f>
        <v/>
      </c>
      <c r="Q118" s="79">
        <f>IF(OR(D118="",L118=""),"",IF(M118="Done",2,IF(AsOf&gt;L118,3,1)))</f>
        <v/>
      </c>
      <c r="R118" s="79">
        <f>IF(OR(E118="",F118=""),0,IF(COUNTIFS($E$7:E118,E118,$F$7:F118,F118)=1,1,0))</f>
        <v/>
      </c>
      <c r="S118" s="79">
        <f>IF(R118=1,E118&amp;"|"&amp;SUMIFS($R$7:R118,$E$7:E118,E118),"")</f>
        <v/>
      </c>
      <c r="T118" s="111">
        <f>IF(Q118="","",IF(Q118=3,L118,IF(OR(M118="Not started",M118=""),J118,"")))</f>
        <v/>
      </c>
      <c r="U118" s="79">
        <f>IF(T118="","",IF(Q118=3,1,IF(T118="","",IF(T118&lt;AsOf,1,IF(T118&lt;=AsOf+AlertDays,2,IF(T118&lt;=AsOf+2*AlertDays,3,""))))))</f>
        <v/>
      </c>
      <c r="V118" s="79">
        <f>IF(U118="","",IF(Q118=3,"Late task: "&amp;D118,IF(T118&lt;AsOf,"Should have started: ","Starts soon: ")&amp;D118)&amp;IF(F118="",""," — "&amp;F118))</f>
        <v/>
      </c>
      <c r="X118" s="128" t="n"/>
      <c r="Y118" s="128" t="n"/>
      <c r="Z118" s="128" t="n"/>
      <c r="AA118" s="128" t="n"/>
      <c r="AB118" s="128" t="n"/>
      <c r="AC118" s="128" t="n"/>
      <c r="AD118" s="128" t="n"/>
      <c r="AE118" s="128" t="n"/>
      <c r="AF118" s="128" t="n"/>
      <c r="AG118" s="128" t="n"/>
      <c r="AH118" s="128" t="n"/>
      <c r="AI118" s="128" t="n"/>
      <c r="AJ118" s="128" t="n"/>
      <c r="AK118" s="128" t="n"/>
      <c r="AL118" s="128" t="n"/>
      <c r="AM118" s="128" t="n"/>
      <c r="AN118" s="128" t="n"/>
      <c r="AO118" s="128" t="n"/>
      <c r="AP118" s="128" t="n"/>
      <c r="AQ118" s="128" t="n"/>
      <c r="AR118" s="128" t="n"/>
      <c r="AS118" s="128" t="n"/>
      <c r="AT118" s="128" t="n"/>
      <c r="AU118" s="128" t="n"/>
      <c r="AV118" s="128" t="n"/>
      <c r="AW118" s="128" t="n"/>
      <c r="AX118" s="128" t="n"/>
      <c r="AY118" s="128" t="n"/>
      <c r="AZ118" s="128" t="n"/>
      <c r="BA118" s="128" t="n"/>
      <c r="BB118" s="128" t="n"/>
      <c r="BC118" s="128" t="n"/>
      <c r="BD118" s="128" t="n"/>
      <c r="BE118" s="128" t="n"/>
      <c r="BF118" s="128" t="n"/>
      <c r="BG118" s="128" t="n"/>
      <c r="BH118" s="128" t="n"/>
      <c r="BI118" s="128" t="n"/>
      <c r="BJ118" s="128" t="n"/>
      <c r="BK118" s="128" t="n"/>
      <c r="BL118" s="128" t="n"/>
      <c r="BM118" s="128" t="n"/>
      <c r="BN118" s="128" t="n"/>
      <c r="BO118" s="128" t="n"/>
      <c r="BP118" s="128" t="n"/>
      <c r="BQ118" s="128" t="n"/>
      <c r="BR118" s="128" t="n"/>
      <c r="BS118" s="128" t="n"/>
      <c r="BT118" s="128" t="n"/>
      <c r="BU118" s="128" t="n"/>
      <c r="BV118" s="128" t="n"/>
      <c r="BW118" s="128" t="n"/>
    </row>
    <row r="119" ht="20" customHeight="1">
      <c r="B119" s="125" t="n">
        <v>113</v>
      </c>
      <c r="C119" s="72" t="n"/>
      <c r="D119" s="72" t="n"/>
      <c r="E119" s="72" t="n"/>
      <c r="F119" s="72" t="n"/>
      <c r="G119" s="89" t="n"/>
      <c r="H119" s="89" t="n"/>
      <c r="I119" s="108" t="n"/>
      <c r="J119" s="126">
        <f>IF(OR(D119="",ProjStart=""),"",MAX(ProjStart,IF(I119&lt;&gt;"",I119,0),IF(H119="",0,IFERROR(INDEX($L$6:L118,MATCH(H119,$B$6:B118,0))+1,0))))</f>
        <v/>
      </c>
      <c r="K119" s="89" t="n"/>
      <c r="L119" s="126">
        <f>IF(J119="","",J119+MAX(1,G119)+IF(K119="",0,K119)-1)</f>
        <v/>
      </c>
      <c r="M119" s="72" t="n"/>
      <c r="N119" s="108" t="n"/>
      <c r="O119" s="127">
        <f>IF(D119="","",COUNTIF($H$7:$H$156,B119))</f>
        <v/>
      </c>
      <c r="P119" s="78">
        <f>IF(D119="","",IF(AND(H119&lt;&gt;"",H119&gt;=B119),"⚠️ Predecessor must be above",IF(M119="Done","✓ Done",IF(Q119=3,"🔴 Late",IF(M119="In progress","In progress","")))))</f>
        <v/>
      </c>
      <c r="Q119" s="79">
        <f>IF(OR(D119="",L119=""),"",IF(M119="Done",2,IF(AsOf&gt;L119,3,1)))</f>
        <v/>
      </c>
      <c r="R119" s="79">
        <f>IF(OR(E119="",F119=""),0,IF(COUNTIFS($E$7:E119,E119,$F$7:F119,F119)=1,1,0))</f>
        <v/>
      </c>
      <c r="S119" s="79">
        <f>IF(R119=1,E119&amp;"|"&amp;SUMIFS($R$7:R119,$E$7:E119,E119),"")</f>
        <v/>
      </c>
      <c r="T119" s="111">
        <f>IF(Q119="","",IF(Q119=3,L119,IF(OR(M119="Not started",M119=""),J119,"")))</f>
        <v/>
      </c>
      <c r="U119" s="79">
        <f>IF(T119="","",IF(Q119=3,1,IF(T119="","",IF(T119&lt;AsOf,1,IF(T119&lt;=AsOf+AlertDays,2,IF(T119&lt;=AsOf+2*AlertDays,3,""))))))</f>
        <v/>
      </c>
      <c r="V119" s="79">
        <f>IF(U119="","",IF(Q119=3,"Late task: "&amp;D119,IF(T119&lt;AsOf,"Should have started: ","Starts soon: ")&amp;D119)&amp;IF(F119="",""," — "&amp;F119))</f>
        <v/>
      </c>
      <c r="X119" s="128" t="n"/>
      <c r="Y119" s="128" t="n"/>
      <c r="Z119" s="128" t="n"/>
      <c r="AA119" s="128" t="n"/>
      <c r="AB119" s="128" t="n"/>
      <c r="AC119" s="128" t="n"/>
      <c r="AD119" s="128" t="n"/>
      <c r="AE119" s="128" t="n"/>
      <c r="AF119" s="128" t="n"/>
      <c r="AG119" s="128" t="n"/>
      <c r="AH119" s="128" t="n"/>
      <c r="AI119" s="128" t="n"/>
      <c r="AJ119" s="128" t="n"/>
      <c r="AK119" s="128" t="n"/>
      <c r="AL119" s="128" t="n"/>
      <c r="AM119" s="128" t="n"/>
      <c r="AN119" s="128" t="n"/>
      <c r="AO119" s="128" t="n"/>
      <c r="AP119" s="128" t="n"/>
      <c r="AQ119" s="128" t="n"/>
      <c r="AR119" s="128" t="n"/>
      <c r="AS119" s="128" t="n"/>
      <c r="AT119" s="128" t="n"/>
      <c r="AU119" s="128" t="n"/>
      <c r="AV119" s="128" t="n"/>
      <c r="AW119" s="128" t="n"/>
      <c r="AX119" s="128" t="n"/>
      <c r="AY119" s="128" t="n"/>
      <c r="AZ119" s="128" t="n"/>
      <c r="BA119" s="128" t="n"/>
      <c r="BB119" s="128" t="n"/>
      <c r="BC119" s="128" t="n"/>
      <c r="BD119" s="128" t="n"/>
      <c r="BE119" s="128" t="n"/>
      <c r="BF119" s="128" t="n"/>
      <c r="BG119" s="128" t="n"/>
      <c r="BH119" s="128" t="n"/>
      <c r="BI119" s="128" t="n"/>
      <c r="BJ119" s="128" t="n"/>
      <c r="BK119" s="128" t="n"/>
      <c r="BL119" s="128" t="n"/>
      <c r="BM119" s="128" t="n"/>
      <c r="BN119" s="128" t="n"/>
      <c r="BO119" s="128" t="n"/>
      <c r="BP119" s="128" t="n"/>
      <c r="BQ119" s="128" t="n"/>
      <c r="BR119" s="128" t="n"/>
      <c r="BS119" s="128" t="n"/>
      <c r="BT119" s="128" t="n"/>
      <c r="BU119" s="128" t="n"/>
      <c r="BV119" s="128" t="n"/>
      <c r="BW119" s="128" t="n"/>
    </row>
    <row r="120" ht="20" customHeight="1">
      <c r="B120" s="125" t="n">
        <v>114</v>
      </c>
      <c r="C120" s="72" t="n"/>
      <c r="D120" s="72" t="n"/>
      <c r="E120" s="72" t="n"/>
      <c r="F120" s="72" t="n"/>
      <c r="G120" s="89" t="n"/>
      <c r="H120" s="89" t="n"/>
      <c r="I120" s="108" t="n"/>
      <c r="J120" s="126">
        <f>IF(OR(D120="",ProjStart=""),"",MAX(ProjStart,IF(I120&lt;&gt;"",I120,0),IF(H120="",0,IFERROR(INDEX($L$6:L119,MATCH(H120,$B$6:B119,0))+1,0))))</f>
        <v/>
      </c>
      <c r="K120" s="89" t="n"/>
      <c r="L120" s="126">
        <f>IF(J120="","",J120+MAX(1,G120)+IF(K120="",0,K120)-1)</f>
        <v/>
      </c>
      <c r="M120" s="72" t="n"/>
      <c r="N120" s="108" t="n"/>
      <c r="O120" s="127">
        <f>IF(D120="","",COUNTIF($H$7:$H$156,B120))</f>
        <v/>
      </c>
      <c r="P120" s="78">
        <f>IF(D120="","",IF(AND(H120&lt;&gt;"",H120&gt;=B120),"⚠️ Predecessor must be above",IF(M120="Done","✓ Done",IF(Q120=3,"🔴 Late",IF(M120="In progress","In progress","")))))</f>
        <v/>
      </c>
      <c r="Q120" s="79">
        <f>IF(OR(D120="",L120=""),"",IF(M120="Done",2,IF(AsOf&gt;L120,3,1)))</f>
        <v/>
      </c>
      <c r="R120" s="79">
        <f>IF(OR(E120="",F120=""),0,IF(COUNTIFS($E$7:E120,E120,$F$7:F120,F120)=1,1,0))</f>
        <v/>
      </c>
      <c r="S120" s="79">
        <f>IF(R120=1,E120&amp;"|"&amp;SUMIFS($R$7:R120,$E$7:E120,E120),"")</f>
        <v/>
      </c>
      <c r="T120" s="111">
        <f>IF(Q120="","",IF(Q120=3,L120,IF(OR(M120="Not started",M120=""),J120,"")))</f>
        <v/>
      </c>
      <c r="U120" s="79">
        <f>IF(T120="","",IF(Q120=3,1,IF(T120="","",IF(T120&lt;AsOf,1,IF(T120&lt;=AsOf+AlertDays,2,IF(T120&lt;=AsOf+2*AlertDays,3,""))))))</f>
        <v/>
      </c>
      <c r="V120" s="79">
        <f>IF(U120="","",IF(Q120=3,"Late task: "&amp;D120,IF(T120&lt;AsOf,"Should have started: ","Starts soon: ")&amp;D120)&amp;IF(F120="",""," — "&amp;F120))</f>
        <v/>
      </c>
      <c r="X120" s="128" t="n"/>
      <c r="Y120" s="128" t="n"/>
      <c r="Z120" s="128" t="n"/>
      <c r="AA120" s="128" t="n"/>
      <c r="AB120" s="128" t="n"/>
      <c r="AC120" s="128" t="n"/>
      <c r="AD120" s="128" t="n"/>
      <c r="AE120" s="128" t="n"/>
      <c r="AF120" s="128" t="n"/>
      <c r="AG120" s="128" t="n"/>
      <c r="AH120" s="128" t="n"/>
      <c r="AI120" s="128" t="n"/>
      <c r="AJ120" s="128" t="n"/>
      <c r="AK120" s="128" t="n"/>
      <c r="AL120" s="128" t="n"/>
      <c r="AM120" s="128" t="n"/>
      <c r="AN120" s="128" t="n"/>
      <c r="AO120" s="128" t="n"/>
      <c r="AP120" s="128" t="n"/>
      <c r="AQ120" s="128" t="n"/>
      <c r="AR120" s="128" t="n"/>
      <c r="AS120" s="128" t="n"/>
      <c r="AT120" s="128" t="n"/>
      <c r="AU120" s="128" t="n"/>
      <c r="AV120" s="128" t="n"/>
      <c r="AW120" s="128" t="n"/>
      <c r="AX120" s="128" t="n"/>
      <c r="AY120" s="128" t="n"/>
      <c r="AZ120" s="128" t="n"/>
      <c r="BA120" s="128" t="n"/>
      <c r="BB120" s="128" t="n"/>
      <c r="BC120" s="128" t="n"/>
      <c r="BD120" s="128" t="n"/>
      <c r="BE120" s="128" t="n"/>
      <c r="BF120" s="128" t="n"/>
      <c r="BG120" s="128" t="n"/>
      <c r="BH120" s="128" t="n"/>
      <c r="BI120" s="128" t="n"/>
      <c r="BJ120" s="128" t="n"/>
      <c r="BK120" s="128" t="n"/>
      <c r="BL120" s="128" t="n"/>
      <c r="BM120" s="128" t="n"/>
      <c r="BN120" s="128" t="n"/>
      <c r="BO120" s="128" t="n"/>
      <c r="BP120" s="128" t="n"/>
      <c r="BQ120" s="128" t="n"/>
      <c r="BR120" s="128" t="n"/>
      <c r="BS120" s="128" t="n"/>
      <c r="BT120" s="128" t="n"/>
      <c r="BU120" s="128" t="n"/>
      <c r="BV120" s="128" t="n"/>
      <c r="BW120" s="128" t="n"/>
    </row>
    <row r="121" ht="20" customHeight="1">
      <c r="B121" s="125" t="n">
        <v>115</v>
      </c>
      <c r="C121" s="72" t="n"/>
      <c r="D121" s="72" t="n"/>
      <c r="E121" s="72" t="n"/>
      <c r="F121" s="72" t="n"/>
      <c r="G121" s="89" t="n"/>
      <c r="H121" s="89" t="n"/>
      <c r="I121" s="108" t="n"/>
      <c r="J121" s="126">
        <f>IF(OR(D121="",ProjStart=""),"",MAX(ProjStart,IF(I121&lt;&gt;"",I121,0),IF(H121="",0,IFERROR(INDEX($L$6:L120,MATCH(H121,$B$6:B120,0))+1,0))))</f>
        <v/>
      </c>
      <c r="K121" s="89" t="n"/>
      <c r="L121" s="126">
        <f>IF(J121="","",J121+MAX(1,G121)+IF(K121="",0,K121)-1)</f>
        <v/>
      </c>
      <c r="M121" s="72" t="n"/>
      <c r="N121" s="108" t="n"/>
      <c r="O121" s="127">
        <f>IF(D121="","",COUNTIF($H$7:$H$156,B121))</f>
        <v/>
      </c>
      <c r="P121" s="78">
        <f>IF(D121="","",IF(AND(H121&lt;&gt;"",H121&gt;=B121),"⚠️ Predecessor must be above",IF(M121="Done","✓ Done",IF(Q121=3,"🔴 Late",IF(M121="In progress","In progress","")))))</f>
        <v/>
      </c>
      <c r="Q121" s="79">
        <f>IF(OR(D121="",L121=""),"",IF(M121="Done",2,IF(AsOf&gt;L121,3,1)))</f>
        <v/>
      </c>
      <c r="R121" s="79">
        <f>IF(OR(E121="",F121=""),0,IF(COUNTIFS($E$7:E121,E121,$F$7:F121,F121)=1,1,0))</f>
        <v/>
      </c>
      <c r="S121" s="79">
        <f>IF(R121=1,E121&amp;"|"&amp;SUMIFS($R$7:R121,$E$7:E121,E121),"")</f>
        <v/>
      </c>
      <c r="T121" s="111">
        <f>IF(Q121="","",IF(Q121=3,L121,IF(OR(M121="Not started",M121=""),J121,"")))</f>
        <v/>
      </c>
      <c r="U121" s="79">
        <f>IF(T121="","",IF(Q121=3,1,IF(T121="","",IF(T121&lt;AsOf,1,IF(T121&lt;=AsOf+AlertDays,2,IF(T121&lt;=AsOf+2*AlertDays,3,""))))))</f>
        <v/>
      </c>
      <c r="V121" s="79">
        <f>IF(U121="","",IF(Q121=3,"Late task: "&amp;D121,IF(T121&lt;AsOf,"Should have started: ","Starts soon: ")&amp;D121)&amp;IF(F121="",""," — "&amp;F121))</f>
        <v/>
      </c>
      <c r="X121" s="128" t="n"/>
      <c r="Y121" s="128" t="n"/>
      <c r="Z121" s="128" t="n"/>
      <c r="AA121" s="128" t="n"/>
      <c r="AB121" s="128" t="n"/>
      <c r="AC121" s="128" t="n"/>
      <c r="AD121" s="128" t="n"/>
      <c r="AE121" s="128" t="n"/>
      <c r="AF121" s="128" t="n"/>
      <c r="AG121" s="128" t="n"/>
      <c r="AH121" s="128" t="n"/>
      <c r="AI121" s="128" t="n"/>
      <c r="AJ121" s="128" t="n"/>
      <c r="AK121" s="128" t="n"/>
      <c r="AL121" s="128" t="n"/>
      <c r="AM121" s="128" t="n"/>
      <c r="AN121" s="128" t="n"/>
      <c r="AO121" s="128" t="n"/>
      <c r="AP121" s="128" t="n"/>
      <c r="AQ121" s="128" t="n"/>
      <c r="AR121" s="128" t="n"/>
      <c r="AS121" s="128" t="n"/>
      <c r="AT121" s="128" t="n"/>
      <c r="AU121" s="128" t="n"/>
      <c r="AV121" s="128" t="n"/>
      <c r="AW121" s="128" t="n"/>
      <c r="AX121" s="128" t="n"/>
      <c r="AY121" s="128" t="n"/>
      <c r="AZ121" s="128" t="n"/>
      <c r="BA121" s="128" t="n"/>
      <c r="BB121" s="128" t="n"/>
      <c r="BC121" s="128" t="n"/>
      <c r="BD121" s="128" t="n"/>
      <c r="BE121" s="128" t="n"/>
      <c r="BF121" s="128" t="n"/>
      <c r="BG121" s="128" t="n"/>
      <c r="BH121" s="128" t="n"/>
      <c r="BI121" s="128" t="n"/>
      <c r="BJ121" s="128" t="n"/>
      <c r="BK121" s="128" t="n"/>
      <c r="BL121" s="128" t="n"/>
      <c r="BM121" s="128" t="n"/>
      <c r="BN121" s="128" t="n"/>
      <c r="BO121" s="128" t="n"/>
      <c r="BP121" s="128" t="n"/>
      <c r="BQ121" s="128" t="n"/>
      <c r="BR121" s="128" t="n"/>
      <c r="BS121" s="128" t="n"/>
      <c r="BT121" s="128" t="n"/>
      <c r="BU121" s="128" t="n"/>
      <c r="BV121" s="128" t="n"/>
      <c r="BW121" s="128" t="n"/>
    </row>
    <row r="122" ht="20" customHeight="1">
      <c r="B122" s="125" t="n">
        <v>116</v>
      </c>
      <c r="C122" s="72" t="n"/>
      <c r="D122" s="72" t="n"/>
      <c r="E122" s="72" t="n"/>
      <c r="F122" s="72" t="n"/>
      <c r="G122" s="89" t="n"/>
      <c r="H122" s="89" t="n"/>
      <c r="I122" s="108" t="n"/>
      <c r="J122" s="126">
        <f>IF(OR(D122="",ProjStart=""),"",MAX(ProjStart,IF(I122&lt;&gt;"",I122,0),IF(H122="",0,IFERROR(INDEX($L$6:L121,MATCH(H122,$B$6:B121,0))+1,0))))</f>
        <v/>
      </c>
      <c r="K122" s="89" t="n"/>
      <c r="L122" s="126">
        <f>IF(J122="","",J122+MAX(1,G122)+IF(K122="",0,K122)-1)</f>
        <v/>
      </c>
      <c r="M122" s="72" t="n"/>
      <c r="N122" s="108" t="n"/>
      <c r="O122" s="127">
        <f>IF(D122="","",COUNTIF($H$7:$H$156,B122))</f>
        <v/>
      </c>
      <c r="P122" s="78">
        <f>IF(D122="","",IF(AND(H122&lt;&gt;"",H122&gt;=B122),"⚠️ Predecessor must be above",IF(M122="Done","✓ Done",IF(Q122=3,"🔴 Late",IF(M122="In progress","In progress","")))))</f>
        <v/>
      </c>
      <c r="Q122" s="79">
        <f>IF(OR(D122="",L122=""),"",IF(M122="Done",2,IF(AsOf&gt;L122,3,1)))</f>
        <v/>
      </c>
      <c r="R122" s="79">
        <f>IF(OR(E122="",F122=""),0,IF(COUNTIFS($E$7:E122,E122,$F$7:F122,F122)=1,1,0))</f>
        <v/>
      </c>
      <c r="S122" s="79">
        <f>IF(R122=1,E122&amp;"|"&amp;SUMIFS($R$7:R122,$E$7:E122,E122),"")</f>
        <v/>
      </c>
      <c r="T122" s="111">
        <f>IF(Q122="","",IF(Q122=3,L122,IF(OR(M122="Not started",M122=""),J122,"")))</f>
        <v/>
      </c>
      <c r="U122" s="79">
        <f>IF(T122="","",IF(Q122=3,1,IF(T122="","",IF(T122&lt;AsOf,1,IF(T122&lt;=AsOf+AlertDays,2,IF(T122&lt;=AsOf+2*AlertDays,3,""))))))</f>
        <v/>
      </c>
      <c r="V122" s="79">
        <f>IF(U122="","",IF(Q122=3,"Late task: "&amp;D122,IF(T122&lt;AsOf,"Should have started: ","Starts soon: ")&amp;D122)&amp;IF(F122="",""," — "&amp;F122))</f>
        <v/>
      </c>
      <c r="X122" s="128" t="n"/>
      <c r="Y122" s="128" t="n"/>
      <c r="Z122" s="128" t="n"/>
      <c r="AA122" s="128" t="n"/>
      <c r="AB122" s="128" t="n"/>
      <c r="AC122" s="128" t="n"/>
      <c r="AD122" s="128" t="n"/>
      <c r="AE122" s="128" t="n"/>
      <c r="AF122" s="128" t="n"/>
      <c r="AG122" s="128" t="n"/>
      <c r="AH122" s="128" t="n"/>
      <c r="AI122" s="128" t="n"/>
      <c r="AJ122" s="128" t="n"/>
      <c r="AK122" s="128" t="n"/>
      <c r="AL122" s="128" t="n"/>
      <c r="AM122" s="128" t="n"/>
      <c r="AN122" s="128" t="n"/>
      <c r="AO122" s="128" t="n"/>
      <c r="AP122" s="128" t="n"/>
      <c r="AQ122" s="128" t="n"/>
      <c r="AR122" s="128" t="n"/>
      <c r="AS122" s="128" t="n"/>
      <c r="AT122" s="128" t="n"/>
      <c r="AU122" s="128" t="n"/>
      <c r="AV122" s="128" t="n"/>
      <c r="AW122" s="128" t="n"/>
      <c r="AX122" s="128" t="n"/>
      <c r="AY122" s="128" t="n"/>
      <c r="AZ122" s="128" t="n"/>
      <c r="BA122" s="128" t="n"/>
      <c r="BB122" s="128" t="n"/>
      <c r="BC122" s="128" t="n"/>
      <c r="BD122" s="128" t="n"/>
      <c r="BE122" s="128" t="n"/>
      <c r="BF122" s="128" t="n"/>
      <c r="BG122" s="128" t="n"/>
      <c r="BH122" s="128" t="n"/>
      <c r="BI122" s="128" t="n"/>
      <c r="BJ122" s="128" t="n"/>
      <c r="BK122" s="128" t="n"/>
      <c r="BL122" s="128" t="n"/>
      <c r="BM122" s="128" t="n"/>
      <c r="BN122" s="128" t="n"/>
      <c r="BO122" s="128" t="n"/>
      <c r="BP122" s="128" t="n"/>
      <c r="BQ122" s="128" t="n"/>
      <c r="BR122" s="128" t="n"/>
      <c r="BS122" s="128" t="n"/>
      <c r="BT122" s="128" t="n"/>
      <c r="BU122" s="128" t="n"/>
      <c r="BV122" s="128" t="n"/>
      <c r="BW122" s="128" t="n"/>
    </row>
    <row r="123" ht="20" customHeight="1">
      <c r="B123" s="125" t="n">
        <v>117</v>
      </c>
      <c r="C123" s="72" t="n"/>
      <c r="D123" s="72" t="n"/>
      <c r="E123" s="72" t="n"/>
      <c r="F123" s="72" t="n"/>
      <c r="G123" s="89" t="n"/>
      <c r="H123" s="89" t="n"/>
      <c r="I123" s="108" t="n"/>
      <c r="J123" s="126">
        <f>IF(OR(D123="",ProjStart=""),"",MAX(ProjStart,IF(I123&lt;&gt;"",I123,0),IF(H123="",0,IFERROR(INDEX($L$6:L122,MATCH(H123,$B$6:B122,0))+1,0))))</f>
        <v/>
      </c>
      <c r="K123" s="89" t="n"/>
      <c r="L123" s="126">
        <f>IF(J123="","",J123+MAX(1,G123)+IF(K123="",0,K123)-1)</f>
        <v/>
      </c>
      <c r="M123" s="72" t="n"/>
      <c r="N123" s="108" t="n"/>
      <c r="O123" s="127">
        <f>IF(D123="","",COUNTIF($H$7:$H$156,B123))</f>
        <v/>
      </c>
      <c r="P123" s="78">
        <f>IF(D123="","",IF(AND(H123&lt;&gt;"",H123&gt;=B123),"⚠️ Predecessor must be above",IF(M123="Done","✓ Done",IF(Q123=3,"🔴 Late",IF(M123="In progress","In progress","")))))</f>
        <v/>
      </c>
      <c r="Q123" s="79">
        <f>IF(OR(D123="",L123=""),"",IF(M123="Done",2,IF(AsOf&gt;L123,3,1)))</f>
        <v/>
      </c>
      <c r="R123" s="79">
        <f>IF(OR(E123="",F123=""),0,IF(COUNTIFS($E$7:E123,E123,$F$7:F123,F123)=1,1,0))</f>
        <v/>
      </c>
      <c r="S123" s="79">
        <f>IF(R123=1,E123&amp;"|"&amp;SUMIFS($R$7:R123,$E$7:E123,E123),"")</f>
        <v/>
      </c>
      <c r="T123" s="111">
        <f>IF(Q123="","",IF(Q123=3,L123,IF(OR(M123="Not started",M123=""),J123,"")))</f>
        <v/>
      </c>
      <c r="U123" s="79">
        <f>IF(T123="","",IF(Q123=3,1,IF(T123="","",IF(T123&lt;AsOf,1,IF(T123&lt;=AsOf+AlertDays,2,IF(T123&lt;=AsOf+2*AlertDays,3,""))))))</f>
        <v/>
      </c>
      <c r="V123" s="79">
        <f>IF(U123="","",IF(Q123=3,"Late task: "&amp;D123,IF(T123&lt;AsOf,"Should have started: ","Starts soon: ")&amp;D123)&amp;IF(F123="",""," — "&amp;F123))</f>
        <v/>
      </c>
      <c r="X123" s="128" t="n"/>
      <c r="Y123" s="128" t="n"/>
      <c r="Z123" s="128" t="n"/>
      <c r="AA123" s="128" t="n"/>
      <c r="AB123" s="128" t="n"/>
      <c r="AC123" s="128" t="n"/>
      <c r="AD123" s="128" t="n"/>
      <c r="AE123" s="128" t="n"/>
      <c r="AF123" s="128" t="n"/>
      <c r="AG123" s="128" t="n"/>
      <c r="AH123" s="128" t="n"/>
      <c r="AI123" s="128" t="n"/>
      <c r="AJ123" s="128" t="n"/>
      <c r="AK123" s="128" t="n"/>
      <c r="AL123" s="128" t="n"/>
      <c r="AM123" s="128" t="n"/>
      <c r="AN123" s="128" t="n"/>
      <c r="AO123" s="128" t="n"/>
      <c r="AP123" s="128" t="n"/>
      <c r="AQ123" s="128" t="n"/>
      <c r="AR123" s="128" t="n"/>
      <c r="AS123" s="128" t="n"/>
      <c r="AT123" s="128" t="n"/>
      <c r="AU123" s="128" t="n"/>
      <c r="AV123" s="128" t="n"/>
      <c r="AW123" s="128" t="n"/>
      <c r="AX123" s="128" t="n"/>
      <c r="AY123" s="128" t="n"/>
      <c r="AZ123" s="128" t="n"/>
      <c r="BA123" s="128" t="n"/>
      <c r="BB123" s="128" t="n"/>
      <c r="BC123" s="128" t="n"/>
      <c r="BD123" s="128" t="n"/>
      <c r="BE123" s="128" t="n"/>
      <c r="BF123" s="128" t="n"/>
      <c r="BG123" s="128" t="n"/>
      <c r="BH123" s="128" t="n"/>
      <c r="BI123" s="128" t="n"/>
      <c r="BJ123" s="128" t="n"/>
      <c r="BK123" s="128" t="n"/>
      <c r="BL123" s="128" t="n"/>
      <c r="BM123" s="128" t="n"/>
      <c r="BN123" s="128" t="n"/>
      <c r="BO123" s="128" t="n"/>
      <c r="BP123" s="128" t="n"/>
      <c r="BQ123" s="128" t="n"/>
      <c r="BR123" s="128" t="n"/>
      <c r="BS123" s="128" t="n"/>
      <c r="BT123" s="128" t="n"/>
      <c r="BU123" s="128" t="n"/>
      <c r="BV123" s="128" t="n"/>
      <c r="BW123" s="128" t="n"/>
    </row>
    <row r="124" ht="20" customHeight="1">
      <c r="B124" s="125" t="n">
        <v>118</v>
      </c>
      <c r="C124" s="72" t="n"/>
      <c r="D124" s="72" t="n"/>
      <c r="E124" s="72" t="n"/>
      <c r="F124" s="72" t="n"/>
      <c r="G124" s="89" t="n"/>
      <c r="H124" s="89" t="n"/>
      <c r="I124" s="108" t="n"/>
      <c r="J124" s="126">
        <f>IF(OR(D124="",ProjStart=""),"",MAX(ProjStart,IF(I124&lt;&gt;"",I124,0),IF(H124="",0,IFERROR(INDEX($L$6:L123,MATCH(H124,$B$6:B123,0))+1,0))))</f>
        <v/>
      </c>
      <c r="K124" s="89" t="n"/>
      <c r="L124" s="126">
        <f>IF(J124="","",J124+MAX(1,G124)+IF(K124="",0,K124)-1)</f>
        <v/>
      </c>
      <c r="M124" s="72" t="n"/>
      <c r="N124" s="108" t="n"/>
      <c r="O124" s="127">
        <f>IF(D124="","",COUNTIF($H$7:$H$156,B124))</f>
        <v/>
      </c>
      <c r="P124" s="78">
        <f>IF(D124="","",IF(AND(H124&lt;&gt;"",H124&gt;=B124),"⚠️ Predecessor must be above",IF(M124="Done","✓ Done",IF(Q124=3,"🔴 Late",IF(M124="In progress","In progress","")))))</f>
        <v/>
      </c>
      <c r="Q124" s="79">
        <f>IF(OR(D124="",L124=""),"",IF(M124="Done",2,IF(AsOf&gt;L124,3,1)))</f>
        <v/>
      </c>
      <c r="R124" s="79">
        <f>IF(OR(E124="",F124=""),0,IF(COUNTIFS($E$7:E124,E124,$F$7:F124,F124)=1,1,0))</f>
        <v/>
      </c>
      <c r="S124" s="79">
        <f>IF(R124=1,E124&amp;"|"&amp;SUMIFS($R$7:R124,$E$7:E124,E124),"")</f>
        <v/>
      </c>
      <c r="T124" s="111">
        <f>IF(Q124="","",IF(Q124=3,L124,IF(OR(M124="Not started",M124=""),J124,"")))</f>
        <v/>
      </c>
      <c r="U124" s="79">
        <f>IF(T124="","",IF(Q124=3,1,IF(T124="","",IF(T124&lt;AsOf,1,IF(T124&lt;=AsOf+AlertDays,2,IF(T124&lt;=AsOf+2*AlertDays,3,""))))))</f>
        <v/>
      </c>
      <c r="V124" s="79">
        <f>IF(U124="","",IF(Q124=3,"Late task: "&amp;D124,IF(T124&lt;AsOf,"Should have started: ","Starts soon: ")&amp;D124)&amp;IF(F124="",""," — "&amp;F124))</f>
        <v/>
      </c>
      <c r="X124" s="128" t="n"/>
      <c r="Y124" s="128" t="n"/>
      <c r="Z124" s="128" t="n"/>
      <c r="AA124" s="128" t="n"/>
      <c r="AB124" s="128" t="n"/>
      <c r="AC124" s="128" t="n"/>
      <c r="AD124" s="128" t="n"/>
      <c r="AE124" s="128" t="n"/>
      <c r="AF124" s="128" t="n"/>
      <c r="AG124" s="128" t="n"/>
      <c r="AH124" s="128" t="n"/>
      <c r="AI124" s="128" t="n"/>
      <c r="AJ124" s="128" t="n"/>
      <c r="AK124" s="128" t="n"/>
      <c r="AL124" s="128" t="n"/>
      <c r="AM124" s="128" t="n"/>
      <c r="AN124" s="128" t="n"/>
      <c r="AO124" s="128" t="n"/>
      <c r="AP124" s="128" t="n"/>
      <c r="AQ124" s="128" t="n"/>
      <c r="AR124" s="128" t="n"/>
      <c r="AS124" s="128" t="n"/>
      <c r="AT124" s="128" t="n"/>
      <c r="AU124" s="128" t="n"/>
      <c r="AV124" s="128" t="n"/>
      <c r="AW124" s="128" t="n"/>
      <c r="AX124" s="128" t="n"/>
      <c r="AY124" s="128" t="n"/>
      <c r="AZ124" s="128" t="n"/>
      <c r="BA124" s="128" t="n"/>
      <c r="BB124" s="128" t="n"/>
      <c r="BC124" s="128" t="n"/>
      <c r="BD124" s="128" t="n"/>
      <c r="BE124" s="128" t="n"/>
      <c r="BF124" s="128" t="n"/>
      <c r="BG124" s="128" t="n"/>
      <c r="BH124" s="128" t="n"/>
      <c r="BI124" s="128" t="n"/>
      <c r="BJ124" s="128" t="n"/>
      <c r="BK124" s="128" t="n"/>
      <c r="BL124" s="128" t="n"/>
      <c r="BM124" s="128" t="n"/>
      <c r="BN124" s="128" t="n"/>
      <c r="BO124" s="128" t="n"/>
      <c r="BP124" s="128" t="n"/>
      <c r="BQ124" s="128" t="n"/>
      <c r="BR124" s="128" t="n"/>
      <c r="BS124" s="128" t="n"/>
      <c r="BT124" s="128" t="n"/>
      <c r="BU124" s="128" t="n"/>
      <c r="BV124" s="128" t="n"/>
      <c r="BW124" s="128" t="n"/>
    </row>
    <row r="125" ht="20" customHeight="1">
      <c r="B125" s="125" t="n">
        <v>119</v>
      </c>
      <c r="C125" s="72" t="n"/>
      <c r="D125" s="72" t="n"/>
      <c r="E125" s="72" t="n"/>
      <c r="F125" s="72" t="n"/>
      <c r="G125" s="89" t="n"/>
      <c r="H125" s="89" t="n"/>
      <c r="I125" s="108" t="n"/>
      <c r="J125" s="126">
        <f>IF(OR(D125="",ProjStart=""),"",MAX(ProjStart,IF(I125&lt;&gt;"",I125,0),IF(H125="",0,IFERROR(INDEX($L$6:L124,MATCH(H125,$B$6:B124,0))+1,0))))</f>
        <v/>
      </c>
      <c r="K125" s="89" t="n"/>
      <c r="L125" s="126">
        <f>IF(J125="","",J125+MAX(1,G125)+IF(K125="",0,K125)-1)</f>
        <v/>
      </c>
      <c r="M125" s="72" t="n"/>
      <c r="N125" s="108" t="n"/>
      <c r="O125" s="127">
        <f>IF(D125="","",COUNTIF($H$7:$H$156,B125))</f>
        <v/>
      </c>
      <c r="P125" s="78">
        <f>IF(D125="","",IF(AND(H125&lt;&gt;"",H125&gt;=B125),"⚠️ Predecessor must be above",IF(M125="Done","✓ Done",IF(Q125=3,"🔴 Late",IF(M125="In progress","In progress","")))))</f>
        <v/>
      </c>
      <c r="Q125" s="79">
        <f>IF(OR(D125="",L125=""),"",IF(M125="Done",2,IF(AsOf&gt;L125,3,1)))</f>
        <v/>
      </c>
      <c r="R125" s="79">
        <f>IF(OR(E125="",F125=""),0,IF(COUNTIFS($E$7:E125,E125,$F$7:F125,F125)=1,1,0))</f>
        <v/>
      </c>
      <c r="S125" s="79">
        <f>IF(R125=1,E125&amp;"|"&amp;SUMIFS($R$7:R125,$E$7:E125,E125),"")</f>
        <v/>
      </c>
      <c r="T125" s="111">
        <f>IF(Q125="","",IF(Q125=3,L125,IF(OR(M125="Not started",M125=""),J125,"")))</f>
        <v/>
      </c>
      <c r="U125" s="79">
        <f>IF(T125="","",IF(Q125=3,1,IF(T125="","",IF(T125&lt;AsOf,1,IF(T125&lt;=AsOf+AlertDays,2,IF(T125&lt;=AsOf+2*AlertDays,3,""))))))</f>
        <v/>
      </c>
      <c r="V125" s="79">
        <f>IF(U125="","",IF(Q125=3,"Late task: "&amp;D125,IF(T125&lt;AsOf,"Should have started: ","Starts soon: ")&amp;D125)&amp;IF(F125="",""," — "&amp;F125))</f>
        <v/>
      </c>
      <c r="X125" s="128" t="n"/>
      <c r="Y125" s="128" t="n"/>
      <c r="Z125" s="128" t="n"/>
      <c r="AA125" s="128" t="n"/>
      <c r="AB125" s="128" t="n"/>
      <c r="AC125" s="128" t="n"/>
      <c r="AD125" s="128" t="n"/>
      <c r="AE125" s="128" t="n"/>
      <c r="AF125" s="128" t="n"/>
      <c r="AG125" s="128" t="n"/>
      <c r="AH125" s="128" t="n"/>
      <c r="AI125" s="128" t="n"/>
      <c r="AJ125" s="128" t="n"/>
      <c r="AK125" s="128" t="n"/>
      <c r="AL125" s="128" t="n"/>
      <c r="AM125" s="128" t="n"/>
      <c r="AN125" s="128" t="n"/>
      <c r="AO125" s="128" t="n"/>
      <c r="AP125" s="128" t="n"/>
      <c r="AQ125" s="128" t="n"/>
      <c r="AR125" s="128" t="n"/>
      <c r="AS125" s="128" t="n"/>
      <c r="AT125" s="128" t="n"/>
      <c r="AU125" s="128" t="n"/>
      <c r="AV125" s="128" t="n"/>
      <c r="AW125" s="128" t="n"/>
      <c r="AX125" s="128" t="n"/>
      <c r="AY125" s="128" t="n"/>
      <c r="AZ125" s="128" t="n"/>
      <c r="BA125" s="128" t="n"/>
      <c r="BB125" s="128" t="n"/>
      <c r="BC125" s="128" t="n"/>
      <c r="BD125" s="128" t="n"/>
      <c r="BE125" s="128" t="n"/>
      <c r="BF125" s="128" t="n"/>
      <c r="BG125" s="128" t="n"/>
      <c r="BH125" s="128" t="n"/>
      <c r="BI125" s="128" t="n"/>
      <c r="BJ125" s="128" t="n"/>
      <c r="BK125" s="128" t="n"/>
      <c r="BL125" s="128" t="n"/>
      <c r="BM125" s="128" t="n"/>
      <c r="BN125" s="128" t="n"/>
      <c r="BO125" s="128" t="n"/>
      <c r="BP125" s="128" t="n"/>
      <c r="BQ125" s="128" t="n"/>
      <c r="BR125" s="128" t="n"/>
      <c r="BS125" s="128" t="n"/>
      <c r="BT125" s="128" t="n"/>
      <c r="BU125" s="128" t="n"/>
      <c r="BV125" s="128" t="n"/>
      <c r="BW125" s="128" t="n"/>
    </row>
    <row r="126" ht="20" customHeight="1">
      <c r="B126" s="125" t="n">
        <v>120</v>
      </c>
      <c r="C126" s="72" t="n"/>
      <c r="D126" s="72" t="n"/>
      <c r="E126" s="72" t="n"/>
      <c r="F126" s="72" t="n"/>
      <c r="G126" s="89" t="n"/>
      <c r="H126" s="89" t="n"/>
      <c r="I126" s="108" t="n"/>
      <c r="J126" s="126">
        <f>IF(OR(D126="",ProjStart=""),"",MAX(ProjStart,IF(I126&lt;&gt;"",I126,0),IF(H126="",0,IFERROR(INDEX($L$6:L125,MATCH(H126,$B$6:B125,0))+1,0))))</f>
        <v/>
      </c>
      <c r="K126" s="89" t="n"/>
      <c r="L126" s="126">
        <f>IF(J126="","",J126+MAX(1,G126)+IF(K126="",0,K126)-1)</f>
        <v/>
      </c>
      <c r="M126" s="72" t="n"/>
      <c r="N126" s="108" t="n"/>
      <c r="O126" s="127">
        <f>IF(D126="","",COUNTIF($H$7:$H$156,B126))</f>
        <v/>
      </c>
      <c r="P126" s="78">
        <f>IF(D126="","",IF(AND(H126&lt;&gt;"",H126&gt;=B126),"⚠️ Predecessor must be above",IF(M126="Done","✓ Done",IF(Q126=3,"🔴 Late",IF(M126="In progress","In progress","")))))</f>
        <v/>
      </c>
      <c r="Q126" s="79">
        <f>IF(OR(D126="",L126=""),"",IF(M126="Done",2,IF(AsOf&gt;L126,3,1)))</f>
        <v/>
      </c>
      <c r="R126" s="79">
        <f>IF(OR(E126="",F126=""),0,IF(COUNTIFS($E$7:E126,E126,$F$7:F126,F126)=1,1,0))</f>
        <v/>
      </c>
      <c r="S126" s="79">
        <f>IF(R126=1,E126&amp;"|"&amp;SUMIFS($R$7:R126,$E$7:E126,E126),"")</f>
        <v/>
      </c>
      <c r="T126" s="111">
        <f>IF(Q126="","",IF(Q126=3,L126,IF(OR(M126="Not started",M126=""),J126,"")))</f>
        <v/>
      </c>
      <c r="U126" s="79">
        <f>IF(T126="","",IF(Q126=3,1,IF(T126="","",IF(T126&lt;AsOf,1,IF(T126&lt;=AsOf+AlertDays,2,IF(T126&lt;=AsOf+2*AlertDays,3,""))))))</f>
        <v/>
      </c>
      <c r="V126" s="79">
        <f>IF(U126="","",IF(Q126=3,"Late task: "&amp;D126,IF(T126&lt;AsOf,"Should have started: ","Starts soon: ")&amp;D126)&amp;IF(F126="",""," — "&amp;F126))</f>
        <v/>
      </c>
      <c r="X126" s="128" t="n"/>
      <c r="Y126" s="128" t="n"/>
      <c r="Z126" s="128" t="n"/>
      <c r="AA126" s="128" t="n"/>
      <c r="AB126" s="128" t="n"/>
      <c r="AC126" s="128" t="n"/>
      <c r="AD126" s="128" t="n"/>
      <c r="AE126" s="128" t="n"/>
      <c r="AF126" s="128" t="n"/>
      <c r="AG126" s="128" t="n"/>
      <c r="AH126" s="128" t="n"/>
      <c r="AI126" s="128" t="n"/>
      <c r="AJ126" s="128" t="n"/>
      <c r="AK126" s="128" t="n"/>
      <c r="AL126" s="128" t="n"/>
      <c r="AM126" s="128" t="n"/>
      <c r="AN126" s="128" t="n"/>
      <c r="AO126" s="128" t="n"/>
      <c r="AP126" s="128" t="n"/>
      <c r="AQ126" s="128" t="n"/>
      <c r="AR126" s="128" t="n"/>
      <c r="AS126" s="128" t="n"/>
      <c r="AT126" s="128" t="n"/>
      <c r="AU126" s="128" t="n"/>
      <c r="AV126" s="128" t="n"/>
      <c r="AW126" s="128" t="n"/>
      <c r="AX126" s="128" t="n"/>
      <c r="AY126" s="128" t="n"/>
      <c r="AZ126" s="128" t="n"/>
      <c r="BA126" s="128" t="n"/>
      <c r="BB126" s="128" t="n"/>
      <c r="BC126" s="128" t="n"/>
      <c r="BD126" s="128" t="n"/>
      <c r="BE126" s="128" t="n"/>
      <c r="BF126" s="128" t="n"/>
      <c r="BG126" s="128" t="n"/>
      <c r="BH126" s="128" t="n"/>
      <c r="BI126" s="128" t="n"/>
      <c r="BJ126" s="128" t="n"/>
      <c r="BK126" s="128" t="n"/>
      <c r="BL126" s="128" t="n"/>
      <c r="BM126" s="128" t="n"/>
      <c r="BN126" s="128" t="n"/>
      <c r="BO126" s="128" t="n"/>
      <c r="BP126" s="128" t="n"/>
      <c r="BQ126" s="128" t="n"/>
      <c r="BR126" s="128" t="n"/>
      <c r="BS126" s="128" t="n"/>
      <c r="BT126" s="128" t="n"/>
      <c r="BU126" s="128" t="n"/>
      <c r="BV126" s="128" t="n"/>
      <c r="BW126" s="128" t="n"/>
    </row>
    <row r="127" ht="20" customHeight="1">
      <c r="B127" s="125" t="n">
        <v>121</v>
      </c>
      <c r="C127" s="72" t="n"/>
      <c r="D127" s="72" t="n"/>
      <c r="E127" s="72" t="n"/>
      <c r="F127" s="72" t="n"/>
      <c r="G127" s="89" t="n"/>
      <c r="H127" s="89" t="n"/>
      <c r="I127" s="108" t="n"/>
      <c r="J127" s="126">
        <f>IF(OR(D127="",ProjStart=""),"",MAX(ProjStart,IF(I127&lt;&gt;"",I127,0),IF(H127="",0,IFERROR(INDEX($L$6:L126,MATCH(H127,$B$6:B126,0))+1,0))))</f>
        <v/>
      </c>
      <c r="K127" s="89" t="n"/>
      <c r="L127" s="126">
        <f>IF(J127="","",J127+MAX(1,G127)+IF(K127="",0,K127)-1)</f>
        <v/>
      </c>
      <c r="M127" s="72" t="n"/>
      <c r="N127" s="108" t="n"/>
      <c r="O127" s="127">
        <f>IF(D127="","",COUNTIF($H$7:$H$156,B127))</f>
        <v/>
      </c>
      <c r="P127" s="78">
        <f>IF(D127="","",IF(AND(H127&lt;&gt;"",H127&gt;=B127),"⚠️ Predecessor must be above",IF(M127="Done","✓ Done",IF(Q127=3,"🔴 Late",IF(M127="In progress","In progress","")))))</f>
        <v/>
      </c>
      <c r="Q127" s="79">
        <f>IF(OR(D127="",L127=""),"",IF(M127="Done",2,IF(AsOf&gt;L127,3,1)))</f>
        <v/>
      </c>
      <c r="R127" s="79">
        <f>IF(OR(E127="",F127=""),0,IF(COUNTIFS($E$7:E127,E127,$F$7:F127,F127)=1,1,0))</f>
        <v/>
      </c>
      <c r="S127" s="79">
        <f>IF(R127=1,E127&amp;"|"&amp;SUMIFS($R$7:R127,$E$7:E127,E127),"")</f>
        <v/>
      </c>
      <c r="T127" s="111">
        <f>IF(Q127="","",IF(Q127=3,L127,IF(OR(M127="Not started",M127=""),J127,"")))</f>
        <v/>
      </c>
      <c r="U127" s="79">
        <f>IF(T127="","",IF(Q127=3,1,IF(T127="","",IF(T127&lt;AsOf,1,IF(T127&lt;=AsOf+AlertDays,2,IF(T127&lt;=AsOf+2*AlertDays,3,""))))))</f>
        <v/>
      </c>
      <c r="V127" s="79">
        <f>IF(U127="","",IF(Q127=3,"Late task: "&amp;D127,IF(T127&lt;AsOf,"Should have started: ","Starts soon: ")&amp;D127)&amp;IF(F127="",""," — "&amp;F127))</f>
        <v/>
      </c>
      <c r="X127" s="128" t="n"/>
      <c r="Y127" s="128" t="n"/>
      <c r="Z127" s="128" t="n"/>
      <c r="AA127" s="128" t="n"/>
      <c r="AB127" s="128" t="n"/>
      <c r="AC127" s="128" t="n"/>
      <c r="AD127" s="128" t="n"/>
      <c r="AE127" s="128" t="n"/>
      <c r="AF127" s="128" t="n"/>
      <c r="AG127" s="128" t="n"/>
      <c r="AH127" s="128" t="n"/>
      <c r="AI127" s="128" t="n"/>
      <c r="AJ127" s="128" t="n"/>
      <c r="AK127" s="128" t="n"/>
      <c r="AL127" s="128" t="n"/>
      <c r="AM127" s="128" t="n"/>
      <c r="AN127" s="128" t="n"/>
      <c r="AO127" s="128" t="n"/>
      <c r="AP127" s="128" t="n"/>
      <c r="AQ127" s="128" t="n"/>
      <c r="AR127" s="128" t="n"/>
      <c r="AS127" s="128" t="n"/>
      <c r="AT127" s="128" t="n"/>
      <c r="AU127" s="128" t="n"/>
      <c r="AV127" s="128" t="n"/>
      <c r="AW127" s="128" t="n"/>
      <c r="AX127" s="128" t="n"/>
      <c r="AY127" s="128" t="n"/>
      <c r="AZ127" s="128" t="n"/>
      <c r="BA127" s="128" t="n"/>
      <c r="BB127" s="128" t="n"/>
      <c r="BC127" s="128" t="n"/>
      <c r="BD127" s="128" t="n"/>
      <c r="BE127" s="128" t="n"/>
      <c r="BF127" s="128" t="n"/>
      <c r="BG127" s="128" t="n"/>
      <c r="BH127" s="128" t="n"/>
      <c r="BI127" s="128" t="n"/>
      <c r="BJ127" s="128" t="n"/>
      <c r="BK127" s="128" t="n"/>
      <c r="BL127" s="128" t="n"/>
      <c r="BM127" s="128" t="n"/>
      <c r="BN127" s="128" t="n"/>
      <c r="BO127" s="128" t="n"/>
      <c r="BP127" s="128" t="n"/>
      <c r="BQ127" s="128" t="n"/>
      <c r="BR127" s="128" t="n"/>
      <c r="BS127" s="128" t="n"/>
      <c r="BT127" s="128" t="n"/>
      <c r="BU127" s="128" t="n"/>
      <c r="BV127" s="128" t="n"/>
      <c r="BW127" s="128" t="n"/>
    </row>
    <row r="128" ht="20" customHeight="1">
      <c r="B128" s="125" t="n">
        <v>122</v>
      </c>
      <c r="C128" s="72" t="n"/>
      <c r="D128" s="72" t="n"/>
      <c r="E128" s="72" t="n"/>
      <c r="F128" s="72" t="n"/>
      <c r="G128" s="89" t="n"/>
      <c r="H128" s="89" t="n"/>
      <c r="I128" s="108" t="n"/>
      <c r="J128" s="126">
        <f>IF(OR(D128="",ProjStart=""),"",MAX(ProjStart,IF(I128&lt;&gt;"",I128,0),IF(H128="",0,IFERROR(INDEX($L$6:L127,MATCH(H128,$B$6:B127,0))+1,0))))</f>
        <v/>
      </c>
      <c r="K128" s="89" t="n"/>
      <c r="L128" s="126">
        <f>IF(J128="","",J128+MAX(1,G128)+IF(K128="",0,K128)-1)</f>
        <v/>
      </c>
      <c r="M128" s="72" t="n"/>
      <c r="N128" s="108" t="n"/>
      <c r="O128" s="127">
        <f>IF(D128="","",COUNTIF($H$7:$H$156,B128))</f>
        <v/>
      </c>
      <c r="P128" s="78">
        <f>IF(D128="","",IF(AND(H128&lt;&gt;"",H128&gt;=B128),"⚠️ Predecessor must be above",IF(M128="Done","✓ Done",IF(Q128=3,"🔴 Late",IF(M128="In progress","In progress","")))))</f>
        <v/>
      </c>
      <c r="Q128" s="79">
        <f>IF(OR(D128="",L128=""),"",IF(M128="Done",2,IF(AsOf&gt;L128,3,1)))</f>
        <v/>
      </c>
      <c r="R128" s="79">
        <f>IF(OR(E128="",F128=""),0,IF(COUNTIFS($E$7:E128,E128,$F$7:F128,F128)=1,1,0))</f>
        <v/>
      </c>
      <c r="S128" s="79">
        <f>IF(R128=1,E128&amp;"|"&amp;SUMIFS($R$7:R128,$E$7:E128,E128),"")</f>
        <v/>
      </c>
      <c r="T128" s="111">
        <f>IF(Q128="","",IF(Q128=3,L128,IF(OR(M128="Not started",M128=""),J128,"")))</f>
        <v/>
      </c>
      <c r="U128" s="79">
        <f>IF(T128="","",IF(Q128=3,1,IF(T128="","",IF(T128&lt;AsOf,1,IF(T128&lt;=AsOf+AlertDays,2,IF(T128&lt;=AsOf+2*AlertDays,3,""))))))</f>
        <v/>
      </c>
      <c r="V128" s="79">
        <f>IF(U128="","",IF(Q128=3,"Late task: "&amp;D128,IF(T128&lt;AsOf,"Should have started: ","Starts soon: ")&amp;D128)&amp;IF(F128="",""," — "&amp;F128))</f>
        <v/>
      </c>
      <c r="X128" s="128" t="n"/>
      <c r="Y128" s="128" t="n"/>
      <c r="Z128" s="128" t="n"/>
      <c r="AA128" s="128" t="n"/>
      <c r="AB128" s="128" t="n"/>
      <c r="AC128" s="128" t="n"/>
      <c r="AD128" s="128" t="n"/>
      <c r="AE128" s="128" t="n"/>
      <c r="AF128" s="128" t="n"/>
      <c r="AG128" s="128" t="n"/>
      <c r="AH128" s="128" t="n"/>
      <c r="AI128" s="128" t="n"/>
      <c r="AJ128" s="128" t="n"/>
      <c r="AK128" s="128" t="n"/>
      <c r="AL128" s="128" t="n"/>
      <c r="AM128" s="128" t="n"/>
      <c r="AN128" s="128" t="n"/>
      <c r="AO128" s="128" t="n"/>
      <c r="AP128" s="128" t="n"/>
      <c r="AQ128" s="128" t="n"/>
      <c r="AR128" s="128" t="n"/>
      <c r="AS128" s="128" t="n"/>
      <c r="AT128" s="128" t="n"/>
      <c r="AU128" s="128" t="n"/>
      <c r="AV128" s="128" t="n"/>
      <c r="AW128" s="128" t="n"/>
      <c r="AX128" s="128" t="n"/>
      <c r="AY128" s="128" t="n"/>
      <c r="AZ128" s="128" t="n"/>
      <c r="BA128" s="128" t="n"/>
      <c r="BB128" s="128" t="n"/>
      <c r="BC128" s="128" t="n"/>
      <c r="BD128" s="128" t="n"/>
      <c r="BE128" s="128" t="n"/>
      <c r="BF128" s="128" t="n"/>
      <c r="BG128" s="128" t="n"/>
      <c r="BH128" s="128" t="n"/>
      <c r="BI128" s="128" t="n"/>
      <c r="BJ128" s="128" t="n"/>
      <c r="BK128" s="128" t="n"/>
      <c r="BL128" s="128" t="n"/>
      <c r="BM128" s="128" t="n"/>
      <c r="BN128" s="128" t="n"/>
      <c r="BO128" s="128" t="n"/>
      <c r="BP128" s="128" t="n"/>
      <c r="BQ128" s="128" t="n"/>
      <c r="BR128" s="128" t="n"/>
      <c r="BS128" s="128" t="n"/>
      <c r="BT128" s="128" t="n"/>
      <c r="BU128" s="128" t="n"/>
      <c r="BV128" s="128" t="n"/>
      <c r="BW128" s="128" t="n"/>
    </row>
    <row r="129" ht="20" customHeight="1">
      <c r="B129" s="125" t="n">
        <v>123</v>
      </c>
      <c r="C129" s="72" t="n"/>
      <c r="D129" s="72" t="n"/>
      <c r="E129" s="72" t="n"/>
      <c r="F129" s="72" t="n"/>
      <c r="G129" s="89" t="n"/>
      <c r="H129" s="89" t="n"/>
      <c r="I129" s="108" t="n"/>
      <c r="J129" s="126">
        <f>IF(OR(D129="",ProjStart=""),"",MAX(ProjStart,IF(I129&lt;&gt;"",I129,0),IF(H129="",0,IFERROR(INDEX($L$6:L128,MATCH(H129,$B$6:B128,0))+1,0))))</f>
        <v/>
      </c>
      <c r="K129" s="89" t="n"/>
      <c r="L129" s="126">
        <f>IF(J129="","",J129+MAX(1,G129)+IF(K129="",0,K129)-1)</f>
        <v/>
      </c>
      <c r="M129" s="72" t="n"/>
      <c r="N129" s="108" t="n"/>
      <c r="O129" s="127">
        <f>IF(D129="","",COUNTIF($H$7:$H$156,B129))</f>
        <v/>
      </c>
      <c r="P129" s="78">
        <f>IF(D129="","",IF(AND(H129&lt;&gt;"",H129&gt;=B129),"⚠️ Predecessor must be above",IF(M129="Done","✓ Done",IF(Q129=3,"🔴 Late",IF(M129="In progress","In progress","")))))</f>
        <v/>
      </c>
      <c r="Q129" s="79">
        <f>IF(OR(D129="",L129=""),"",IF(M129="Done",2,IF(AsOf&gt;L129,3,1)))</f>
        <v/>
      </c>
      <c r="R129" s="79">
        <f>IF(OR(E129="",F129=""),0,IF(COUNTIFS($E$7:E129,E129,$F$7:F129,F129)=1,1,0))</f>
        <v/>
      </c>
      <c r="S129" s="79">
        <f>IF(R129=1,E129&amp;"|"&amp;SUMIFS($R$7:R129,$E$7:E129,E129),"")</f>
        <v/>
      </c>
      <c r="T129" s="111">
        <f>IF(Q129="","",IF(Q129=3,L129,IF(OR(M129="Not started",M129=""),J129,"")))</f>
        <v/>
      </c>
      <c r="U129" s="79">
        <f>IF(T129="","",IF(Q129=3,1,IF(T129="","",IF(T129&lt;AsOf,1,IF(T129&lt;=AsOf+AlertDays,2,IF(T129&lt;=AsOf+2*AlertDays,3,""))))))</f>
        <v/>
      </c>
      <c r="V129" s="79">
        <f>IF(U129="","",IF(Q129=3,"Late task: "&amp;D129,IF(T129&lt;AsOf,"Should have started: ","Starts soon: ")&amp;D129)&amp;IF(F129="",""," — "&amp;F129))</f>
        <v/>
      </c>
      <c r="X129" s="128" t="n"/>
      <c r="Y129" s="128" t="n"/>
      <c r="Z129" s="128" t="n"/>
      <c r="AA129" s="128" t="n"/>
      <c r="AB129" s="128" t="n"/>
      <c r="AC129" s="128" t="n"/>
      <c r="AD129" s="128" t="n"/>
      <c r="AE129" s="128" t="n"/>
      <c r="AF129" s="128" t="n"/>
      <c r="AG129" s="128" t="n"/>
      <c r="AH129" s="128" t="n"/>
      <c r="AI129" s="128" t="n"/>
      <c r="AJ129" s="128" t="n"/>
      <c r="AK129" s="128" t="n"/>
      <c r="AL129" s="128" t="n"/>
      <c r="AM129" s="128" t="n"/>
      <c r="AN129" s="128" t="n"/>
      <c r="AO129" s="128" t="n"/>
      <c r="AP129" s="128" t="n"/>
      <c r="AQ129" s="128" t="n"/>
      <c r="AR129" s="128" t="n"/>
      <c r="AS129" s="128" t="n"/>
      <c r="AT129" s="128" t="n"/>
      <c r="AU129" s="128" t="n"/>
      <c r="AV129" s="128" t="n"/>
      <c r="AW129" s="128" t="n"/>
      <c r="AX129" s="128" t="n"/>
      <c r="AY129" s="128" t="n"/>
      <c r="AZ129" s="128" t="n"/>
      <c r="BA129" s="128" t="n"/>
      <c r="BB129" s="128" t="n"/>
      <c r="BC129" s="128" t="n"/>
      <c r="BD129" s="128" t="n"/>
      <c r="BE129" s="128" t="n"/>
      <c r="BF129" s="128" t="n"/>
      <c r="BG129" s="128" t="n"/>
      <c r="BH129" s="128" t="n"/>
      <c r="BI129" s="128" t="n"/>
      <c r="BJ129" s="128" t="n"/>
      <c r="BK129" s="128" t="n"/>
      <c r="BL129" s="128" t="n"/>
      <c r="BM129" s="128" t="n"/>
      <c r="BN129" s="128" t="n"/>
      <c r="BO129" s="128" t="n"/>
      <c r="BP129" s="128" t="n"/>
      <c r="BQ129" s="128" t="n"/>
      <c r="BR129" s="128" t="n"/>
      <c r="BS129" s="128" t="n"/>
      <c r="BT129" s="128" t="n"/>
      <c r="BU129" s="128" t="n"/>
      <c r="BV129" s="128" t="n"/>
      <c r="BW129" s="128" t="n"/>
    </row>
    <row r="130" ht="20" customHeight="1">
      <c r="B130" s="125" t="n">
        <v>124</v>
      </c>
      <c r="C130" s="72" t="n"/>
      <c r="D130" s="72" t="n"/>
      <c r="E130" s="72" t="n"/>
      <c r="F130" s="72" t="n"/>
      <c r="G130" s="89" t="n"/>
      <c r="H130" s="89" t="n"/>
      <c r="I130" s="108" t="n"/>
      <c r="J130" s="126">
        <f>IF(OR(D130="",ProjStart=""),"",MAX(ProjStart,IF(I130&lt;&gt;"",I130,0),IF(H130="",0,IFERROR(INDEX($L$6:L129,MATCH(H130,$B$6:B129,0))+1,0))))</f>
        <v/>
      </c>
      <c r="K130" s="89" t="n"/>
      <c r="L130" s="126">
        <f>IF(J130="","",J130+MAX(1,G130)+IF(K130="",0,K130)-1)</f>
        <v/>
      </c>
      <c r="M130" s="72" t="n"/>
      <c r="N130" s="108" t="n"/>
      <c r="O130" s="127">
        <f>IF(D130="","",COUNTIF($H$7:$H$156,B130))</f>
        <v/>
      </c>
      <c r="P130" s="78">
        <f>IF(D130="","",IF(AND(H130&lt;&gt;"",H130&gt;=B130),"⚠️ Predecessor must be above",IF(M130="Done","✓ Done",IF(Q130=3,"🔴 Late",IF(M130="In progress","In progress","")))))</f>
        <v/>
      </c>
      <c r="Q130" s="79">
        <f>IF(OR(D130="",L130=""),"",IF(M130="Done",2,IF(AsOf&gt;L130,3,1)))</f>
        <v/>
      </c>
      <c r="R130" s="79">
        <f>IF(OR(E130="",F130=""),0,IF(COUNTIFS($E$7:E130,E130,$F$7:F130,F130)=1,1,0))</f>
        <v/>
      </c>
      <c r="S130" s="79">
        <f>IF(R130=1,E130&amp;"|"&amp;SUMIFS($R$7:R130,$E$7:E130,E130),"")</f>
        <v/>
      </c>
      <c r="T130" s="111">
        <f>IF(Q130="","",IF(Q130=3,L130,IF(OR(M130="Not started",M130=""),J130,"")))</f>
        <v/>
      </c>
      <c r="U130" s="79">
        <f>IF(T130="","",IF(Q130=3,1,IF(T130="","",IF(T130&lt;AsOf,1,IF(T130&lt;=AsOf+AlertDays,2,IF(T130&lt;=AsOf+2*AlertDays,3,""))))))</f>
        <v/>
      </c>
      <c r="V130" s="79">
        <f>IF(U130="","",IF(Q130=3,"Late task: "&amp;D130,IF(T130&lt;AsOf,"Should have started: ","Starts soon: ")&amp;D130)&amp;IF(F130="",""," — "&amp;F130))</f>
        <v/>
      </c>
      <c r="X130" s="128" t="n"/>
      <c r="Y130" s="128" t="n"/>
      <c r="Z130" s="128" t="n"/>
      <c r="AA130" s="128" t="n"/>
      <c r="AB130" s="128" t="n"/>
      <c r="AC130" s="128" t="n"/>
      <c r="AD130" s="128" t="n"/>
      <c r="AE130" s="128" t="n"/>
      <c r="AF130" s="128" t="n"/>
      <c r="AG130" s="128" t="n"/>
      <c r="AH130" s="128" t="n"/>
      <c r="AI130" s="128" t="n"/>
      <c r="AJ130" s="128" t="n"/>
      <c r="AK130" s="128" t="n"/>
      <c r="AL130" s="128" t="n"/>
      <c r="AM130" s="128" t="n"/>
      <c r="AN130" s="128" t="n"/>
      <c r="AO130" s="128" t="n"/>
      <c r="AP130" s="128" t="n"/>
      <c r="AQ130" s="128" t="n"/>
      <c r="AR130" s="128" t="n"/>
      <c r="AS130" s="128" t="n"/>
      <c r="AT130" s="128" t="n"/>
      <c r="AU130" s="128" t="n"/>
      <c r="AV130" s="128" t="n"/>
      <c r="AW130" s="128" t="n"/>
      <c r="AX130" s="128" t="n"/>
      <c r="AY130" s="128" t="n"/>
      <c r="AZ130" s="128" t="n"/>
      <c r="BA130" s="128" t="n"/>
      <c r="BB130" s="128" t="n"/>
      <c r="BC130" s="128" t="n"/>
      <c r="BD130" s="128" t="n"/>
      <c r="BE130" s="128" t="n"/>
      <c r="BF130" s="128" t="n"/>
      <c r="BG130" s="128" t="n"/>
      <c r="BH130" s="128" t="n"/>
      <c r="BI130" s="128" t="n"/>
      <c r="BJ130" s="128" t="n"/>
      <c r="BK130" s="128" t="n"/>
      <c r="BL130" s="128" t="n"/>
      <c r="BM130" s="128" t="n"/>
      <c r="BN130" s="128" t="n"/>
      <c r="BO130" s="128" t="n"/>
      <c r="BP130" s="128" t="n"/>
      <c r="BQ130" s="128" t="n"/>
      <c r="BR130" s="128" t="n"/>
      <c r="BS130" s="128" t="n"/>
      <c r="BT130" s="128" t="n"/>
      <c r="BU130" s="128" t="n"/>
      <c r="BV130" s="128" t="n"/>
      <c r="BW130" s="128" t="n"/>
    </row>
    <row r="131" ht="20" customHeight="1">
      <c r="B131" s="125" t="n">
        <v>125</v>
      </c>
      <c r="C131" s="72" t="n"/>
      <c r="D131" s="72" t="n"/>
      <c r="E131" s="72" t="n"/>
      <c r="F131" s="72" t="n"/>
      <c r="G131" s="89" t="n"/>
      <c r="H131" s="89" t="n"/>
      <c r="I131" s="108" t="n"/>
      <c r="J131" s="126">
        <f>IF(OR(D131="",ProjStart=""),"",MAX(ProjStart,IF(I131&lt;&gt;"",I131,0),IF(H131="",0,IFERROR(INDEX($L$6:L130,MATCH(H131,$B$6:B130,0))+1,0))))</f>
        <v/>
      </c>
      <c r="K131" s="89" t="n"/>
      <c r="L131" s="126">
        <f>IF(J131="","",J131+MAX(1,G131)+IF(K131="",0,K131)-1)</f>
        <v/>
      </c>
      <c r="M131" s="72" t="n"/>
      <c r="N131" s="108" t="n"/>
      <c r="O131" s="127">
        <f>IF(D131="","",COUNTIF($H$7:$H$156,B131))</f>
        <v/>
      </c>
      <c r="P131" s="78">
        <f>IF(D131="","",IF(AND(H131&lt;&gt;"",H131&gt;=B131),"⚠️ Predecessor must be above",IF(M131="Done","✓ Done",IF(Q131=3,"🔴 Late",IF(M131="In progress","In progress","")))))</f>
        <v/>
      </c>
      <c r="Q131" s="79">
        <f>IF(OR(D131="",L131=""),"",IF(M131="Done",2,IF(AsOf&gt;L131,3,1)))</f>
        <v/>
      </c>
      <c r="R131" s="79">
        <f>IF(OR(E131="",F131=""),0,IF(COUNTIFS($E$7:E131,E131,$F$7:F131,F131)=1,1,0))</f>
        <v/>
      </c>
      <c r="S131" s="79">
        <f>IF(R131=1,E131&amp;"|"&amp;SUMIFS($R$7:R131,$E$7:E131,E131),"")</f>
        <v/>
      </c>
      <c r="T131" s="111">
        <f>IF(Q131="","",IF(Q131=3,L131,IF(OR(M131="Not started",M131=""),J131,"")))</f>
        <v/>
      </c>
      <c r="U131" s="79">
        <f>IF(T131="","",IF(Q131=3,1,IF(T131="","",IF(T131&lt;AsOf,1,IF(T131&lt;=AsOf+AlertDays,2,IF(T131&lt;=AsOf+2*AlertDays,3,""))))))</f>
        <v/>
      </c>
      <c r="V131" s="79">
        <f>IF(U131="","",IF(Q131=3,"Late task: "&amp;D131,IF(T131&lt;AsOf,"Should have started: ","Starts soon: ")&amp;D131)&amp;IF(F131="",""," — "&amp;F131))</f>
        <v/>
      </c>
      <c r="X131" s="128" t="n"/>
      <c r="Y131" s="128" t="n"/>
      <c r="Z131" s="128" t="n"/>
      <c r="AA131" s="128" t="n"/>
      <c r="AB131" s="128" t="n"/>
      <c r="AC131" s="128" t="n"/>
      <c r="AD131" s="128" t="n"/>
      <c r="AE131" s="128" t="n"/>
      <c r="AF131" s="128" t="n"/>
      <c r="AG131" s="128" t="n"/>
      <c r="AH131" s="128" t="n"/>
      <c r="AI131" s="128" t="n"/>
      <c r="AJ131" s="128" t="n"/>
      <c r="AK131" s="128" t="n"/>
      <c r="AL131" s="128" t="n"/>
      <c r="AM131" s="128" t="n"/>
      <c r="AN131" s="128" t="n"/>
      <c r="AO131" s="128" t="n"/>
      <c r="AP131" s="128" t="n"/>
      <c r="AQ131" s="128" t="n"/>
      <c r="AR131" s="128" t="n"/>
      <c r="AS131" s="128" t="n"/>
      <c r="AT131" s="128" t="n"/>
      <c r="AU131" s="128" t="n"/>
      <c r="AV131" s="128" t="n"/>
      <c r="AW131" s="128" t="n"/>
      <c r="AX131" s="128" t="n"/>
      <c r="AY131" s="128" t="n"/>
      <c r="AZ131" s="128" t="n"/>
      <c r="BA131" s="128" t="n"/>
      <c r="BB131" s="128" t="n"/>
      <c r="BC131" s="128" t="n"/>
      <c r="BD131" s="128" t="n"/>
      <c r="BE131" s="128" t="n"/>
      <c r="BF131" s="128" t="n"/>
      <c r="BG131" s="128" t="n"/>
      <c r="BH131" s="128" t="n"/>
      <c r="BI131" s="128" t="n"/>
      <c r="BJ131" s="128" t="n"/>
      <c r="BK131" s="128" t="n"/>
      <c r="BL131" s="128" t="n"/>
      <c r="BM131" s="128" t="n"/>
      <c r="BN131" s="128" t="n"/>
      <c r="BO131" s="128" t="n"/>
      <c r="BP131" s="128" t="n"/>
      <c r="BQ131" s="128" t="n"/>
      <c r="BR131" s="128" t="n"/>
      <c r="BS131" s="128" t="n"/>
      <c r="BT131" s="128" t="n"/>
      <c r="BU131" s="128" t="n"/>
      <c r="BV131" s="128" t="n"/>
      <c r="BW131" s="128" t="n"/>
    </row>
    <row r="132" ht="20" customHeight="1">
      <c r="B132" s="125" t="n">
        <v>126</v>
      </c>
      <c r="C132" s="72" t="n"/>
      <c r="D132" s="72" t="n"/>
      <c r="E132" s="72" t="n"/>
      <c r="F132" s="72" t="n"/>
      <c r="G132" s="89" t="n"/>
      <c r="H132" s="89" t="n"/>
      <c r="I132" s="108" t="n"/>
      <c r="J132" s="126">
        <f>IF(OR(D132="",ProjStart=""),"",MAX(ProjStart,IF(I132&lt;&gt;"",I132,0),IF(H132="",0,IFERROR(INDEX($L$6:L131,MATCH(H132,$B$6:B131,0))+1,0))))</f>
        <v/>
      </c>
      <c r="K132" s="89" t="n"/>
      <c r="L132" s="126">
        <f>IF(J132="","",J132+MAX(1,G132)+IF(K132="",0,K132)-1)</f>
        <v/>
      </c>
      <c r="M132" s="72" t="n"/>
      <c r="N132" s="108" t="n"/>
      <c r="O132" s="127">
        <f>IF(D132="","",COUNTIF($H$7:$H$156,B132))</f>
        <v/>
      </c>
      <c r="P132" s="78">
        <f>IF(D132="","",IF(AND(H132&lt;&gt;"",H132&gt;=B132),"⚠️ Predecessor must be above",IF(M132="Done","✓ Done",IF(Q132=3,"🔴 Late",IF(M132="In progress","In progress","")))))</f>
        <v/>
      </c>
      <c r="Q132" s="79">
        <f>IF(OR(D132="",L132=""),"",IF(M132="Done",2,IF(AsOf&gt;L132,3,1)))</f>
        <v/>
      </c>
      <c r="R132" s="79">
        <f>IF(OR(E132="",F132=""),0,IF(COUNTIFS($E$7:E132,E132,$F$7:F132,F132)=1,1,0))</f>
        <v/>
      </c>
      <c r="S132" s="79">
        <f>IF(R132=1,E132&amp;"|"&amp;SUMIFS($R$7:R132,$E$7:E132,E132),"")</f>
        <v/>
      </c>
      <c r="T132" s="111">
        <f>IF(Q132="","",IF(Q132=3,L132,IF(OR(M132="Not started",M132=""),J132,"")))</f>
        <v/>
      </c>
      <c r="U132" s="79">
        <f>IF(T132="","",IF(Q132=3,1,IF(T132="","",IF(T132&lt;AsOf,1,IF(T132&lt;=AsOf+AlertDays,2,IF(T132&lt;=AsOf+2*AlertDays,3,""))))))</f>
        <v/>
      </c>
      <c r="V132" s="79">
        <f>IF(U132="","",IF(Q132=3,"Late task: "&amp;D132,IF(T132&lt;AsOf,"Should have started: ","Starts soon: ")&amp;D132)&amp;IF(F132="",""," — "&amp;F132))</f>
        <v/>
      </c>
      <c r="X132" s="128" t="n"/>
      <c r="Y132" s="128" t="n"/>
      <c r="Z132" s="128" t="n"/>
      <c r="AA132" s="128" t="n"/>
      <c r="AB132" s="128" t="n"/>
      <c r="AC132" s="128" t="n"/>
      <c r="AD132" s="128" t="n"/>
      <c r="AE132" s="128" t="n"/>
      <c r="AF132" s="128" t="n"/>
      <c r="AG132" s="128" t="n"/>
      <c r="AH132" s="128" t="n"/>
      <c r="AI132" s="128" t="n"/>
      <c r="AJ132" s="128" t="n"/>
      <c r="AK132" s="128" t="n"/>
      <c r="AL132" s="128" t="n"/>
      <c r="AM132" s="128" t="n"/>
      <c r="AN132" s="128" t="n"/>
      <c r="AO132" s="128" t="n"/>
      <c r="AP132" s="128" t="n"/>
      <c r="AQ132" s="128" t="n"/>
      <c r="AR132" s="128" t="n"/>
      <c r="AS132" s="128" t="n"/>
      <c r="AT132" s="128" t="n"/>
      <c r="AU132" s="128" t="n"/>
      <c r="AV132" s="128" t="n"/>
      <c r="AW132" s="128" t="n"/>
      <c r="AX132" s="128" t="n"/>
      <c r="AY132" s="128" t="n"/>
      <c r="AZ132" s="128" t="n"/>
      <c r="BA132" s="128" t="n"/>
      <c r="BB132" s="128" t="n"/>
      <c r="BC132" s="128" t="n"/>
      <c r="BD132" s="128" t="n"/>
      <c r="BE132" s="128" t="n"/>
      <c r="BF132" s="128" t="n"/>
      <c r="BG132" s="128" t="n"/>
      <c r="BH132" s="128" t="n"/>
      <c r="BI132" s="128" t="n"/>
      <c r="BJ132" s="128" t="n"/>
      <c r="BK132" s="128" t="n"/>
      <c r="BL132" s="128" t="n"/>
      <c r="BM132" s="128" t="n"/>
      <c r="BN132" s="128" t="n"/>
      <c r="BO132" s="128" t="n"/>
      <c r="BP132" s="128" t="n"/>
      <c r="BQ132" s="128" t="n"/>
      <c r="BR132" s="128" t="n"/>
      <c r="BS132" s="128" t="n"/>
      <c r="BT132" s="128" t="n"/>
      <c r="BU132" s="128" t="n"/>
      <c r="BV132" s="128" t="n"/>
      <c r="BW132" s="128" t="n"/>
    </row>
    <row r="133" ht="20" customHeight="1">
      <c r="B133" s="125" t="n">
        <v>127</v>
      </c>
      <c r="C133" s="72" t="n"/>
      <c r="D133" s="72" t="n"/>
      <c r="E133" s="72" t="n"/>
      <c r="F133" s="72" t="n"/>
      <c r="G133" s="89" t="n"/>
      <c r="H133" s="89" t="n"/>
      <c r="I133" s="108" t="n"/>
      <c r="J133" s="126">
        <f>IF(OR(D133="",ProjStart=""),"",MAX(ProjStart,IF(I133&lt;&gt;"",I133,0),IF(H133="",0,IFERROR(INDEX($L$6:L132,MATCH(H133,$B$6:B132,0))+1,0))))</f>
        <v/>
      </c>
      <c r="K133" s="89" t="n"/>
      <c r="L133" s="126">
        <f>IF(J133="","",J133+MAX(1,G133)+IF(K133="",0,K133)-1)</f>
        <v/>
      </c>
      <c r="M133" s="72" t="n"/>
      <c r="N133" s="108" t="n"/>
      <c r="O133" s="127">
        <f>IF(D133="","",COUNTIF($H$7:$H$156,B133))</f>
        <v/>
      </c>
      <c r="P133" s="78">
        <f>IF(D133="","",IF(AND(H133&lt;&gt;"",H133&gt;=B133),"⚠️ Predecessor must be above",IF(M133="Done","✓ Done",IF(Q133=3,"🔴 Late",IF(M133="In progress","In progress","")))))</f>
        <v/>
      </c>
      <c r="Q133" s="79">
        <f>IF(OR(D133="",L133=""),"",IF(M133="Done",2,IF(AsOf&gt;L133,3,1)))</f>
        <v/>
      </c>
      <c r="R133" s="79">
        <f>IF(OR(E133="",F133=""),0,IF(COUNTIFS($E$7:E133,E133,$F$7:F133,F133)=1,1,0))</f>
        <v/>
      </c>
      <c r="S133" s="79">
        <f>IF(R133=1,E133&amp;"|"&amp;SUMIFS($R$7:R133,$E$7:E133,E133),"")</f>
        <v/>
      </c>
      <c r="T133" s="111">
        <f>IF(Q133="","",IF(Q133=3,L133,IF(OR(M133="Not started",M133=""),J133,"")))</f>
        <v/>
      </c>
      <c r="U133" s="79">
        <f>IF(T133="","",IF(Q133=3,1,IF(T133="","",IF(T133&lt;AsOf,1,IF(T133&lt;=AsOf+AlertDays,2,IF(T133&lt;=AsOf+2*AlertDays,3,""))))))</f>
        <v/>
      </c>
      <c r="V133" s="79">
        <f>IF(U133="","",IF(Q133=3,"Late task: "&amp;D133,IF(T133&lt;AsOf,"Should have started: ","Starts soon: ")&amp;D133)&amp;IF(F133="",""," — "&amp;F133))</f>
        <v/>
      </c>
      <c r="X133" s="128" t="n"/>
      <c r="Y133" s="128" t="n"/>
      <c r="Z133" s="128" t="n"/>
      <c r="AA133" s="128" t="n"/>
      <c r="AB133" s="128" t="n"/>
      <c r="AC133" s="128" t="n"/>
      <c r="AD133" s="128" t="n"/>
      <c r="AE133" s="128" t="n"/>
      <c r="AF133" s="128" t="n"/>
      <c r="AG133" s="128" t="n"/>
      <c r="AH133" s="128" t="n"/>
      <c r="AI133" s="128" t="n"/>
      <c r="AJ133" s="128" t="n"/>
      <c r="AK133" s="128" t="n"/>
      <c r="AL133" s="128" t="n"/>
      <c r="AM133" s="128" t="n"/>
      <c r="AN133" s="128" t="n"/>
      <c r="AO133" s="128" t="n"/>
      <c r="AP133" s="128" t="n"/>
      <c r="AQ133" s="128" t="n"/>
      <c r="AR133" s="128" t="n"/>
      <c r="AS133" s="128" t="n"/>
      <c r="AT133" s="128" t="n"/>
      <c r="AU133" s="128" t="n"/>
      <c r="AV133" s="128" t="n"/>
      <c r="AW133" s="128" t="n"/>
      <c r="AX133" s="128" t="n"/>
      <c r="AY133" s="128" t="n"/>
      <c r="AZ133" s="128" t="n"/>
      <c r="BA133" s="128" t="n"/>
      <c r="BB133" s="128" t="n"/>
      <c r="BC133" s="128" t="n"/>
      <c r="BD133" s="128" t="n"/>
      <c r="BE133" s="128" t="n"/>
      <c r="BF133" s="128" t="n"/>
      <c r="BG133" s="128" t="n"/>
      <c r="BH133" s="128" t="n"/>
      <c r="BI133" s="128" t="n"/>
      <c r="BJ133" s="128" t="n"/>
      <c r="BK133" s="128" t="n"/>
      <c r="BL133" s="128" t="n"/>
      <c r="BM133" s="128" t="n"/>
      <c r="BN133" s="128" t="n"/>
      <c r="BO133" s="128" t="n"/>
      <c r="BP133" s="128" t="n"/>
      <c r="BQ133" s="128" t="n"/>
      <c r="BR133" s="128" t="n"/>
      <c r="BS133" s="128" t="n"/>
      <c r="BT133" s="128" t="n"/>
      <c r="BU133" s="128" t="n"/>
      <c r="BV133" s="128" t="n"/>
      <c r="BW133" s="128" t="n"/>
    </row>
    <row r="134" ht="20" customHeight="1">
      <c r="B134" s="125" t="n">
        <v>128</v>
      </c>
      <c r="C134" s="72" t="n"/>
      <c r="D134" s="72" t="n"/>
      <c r="E134" s="72" t="n"/>
      <c r="F134" s="72" t="n"/>
      <c r="G134" s="89" t="n"/>
      <c r="H134" s="89" t="n"/>
      <c r="I134" s="108" t="n"/>
      <c r="J134" s="126">
        <f>IF(OR(D134="",ProjStart=""),"",MAX(ProjStart,IF(I134&lt;&gt;"",I134,0),IF(H134="",0,IFERROR(INDEX($L$6:L133,MATCH(H134,$B$6:B133,0))+1,0))))</f>
        <v/>
      </c>
      <c r="K134" s="89" t="n"/>
      <c r="L134" s="126">
        <f>IF(J134="","",J134+MAX(1,G134)+IF(K134="",0,K134)-1)</f>
        <v/>
      </c>
      <c r="M134" s="72" t="n"/>
      <c r="N134" s="108" t="n"/>
      <c r="O134" s="127">
        <f>IF(D134="","",COUNTIF($H$7:$H$156,B134))</f>
        <v/>
      </c>
      <c r="P134" s="78">
        <f>IF(D134="","",IF(AND(H134&lt;&gt;"",H134&gt;=B134),"⚠️ Predecessor must be above",IF(M134="Done","✓ Done",IF(Q134=3,"🔴 Late",IF(M134="In progress","In progress","")))))</f>
        <v/>
      </c>
      <c r="Q134" s="79">
        <f>IF(OR(D134="",L134=""),"",IF(M134="Done",2,IF(AsOf&gt;L134,3,1)))</f>
        <v/>
      </c>
      <c r="R134" s="79">
        <f>IF(OR(E134="",F134=""),0,IF(COUNTIFS($E$7:E134,E134,$F$7:F134,F134)=1,1,0))</f>
        <v/>
      </c>
      <c r="S134" s="79">
        <f>IF(R134=1,E134&amp;"|"&amp;SUMIFS($R$7:R134,$E$7:E134,E134),"")</f>
        <v/>
      </c>
      <c r="T134" s="111">
        <f>IF(Q134="","",IF(Q134=3,L134,IF(OR(M134="Not started",M134=""),J134,"")))</f>
        <v/>
      </c>
      <c r="U134" s="79">
        <f>IF(T134="","",IF(Q134=3,1,IF(T134="","",IF(T134&lt;AsOf,1,IF(T134&lt;=AsOf+AlertDays,2,IF(T134&lt;=AsOf+2*AlertDays,3,""))))))</f>
        <v/>
      </c>
      <c r="V134" s="79">
        <f>IF(U134="","",IF(Q134=3,"Late task: "&amp;D134,IF(T134&lt;AsOf,"Should have started: ","Starts soon: ")&amp;D134)&amp;IF(F134="",""," — "&amp;F134))</f>
        <v/>
      </c>
      <c r="X134" s="128" t="n"/>
      <c r="Y134" s="128" t="n"/>
      <c r="Z134" s="128" t="n"/>
      <c r="AA134" s="128" t="n"/>
      <c r="AB134" s="128" t="n"/>
      <c r="AC134" s="128" t="n"/>
      <c r="AD134" s="128" t="n"/>
      <c r="AE134" s="128" t="n"/>
      <c r="AF134" s="128" t="n"/>
      <c r="AG134" s="128" t="n"/>
      <c r="AH134" s="128" t="n"/>
      <c r="AI134" s="128" t="n"/>
      <c r="AJ134" s="128" t="n"/>
      <c r="AK134" s="128" t="n"/>
      <c r="AL134" s="128" t="n"/>
      <c r="AM134" s="128" t="n"/>
      <c r="AN134" s="128" t="n"/>
      <c r="AO134" s="128" t="n"/>
      <c r="AP134" s="128" t="n"/>
      <c r="AQ134" s="128" t="n"/>
      <c r="AR134" s="128" t="n"/>
      <c r="AS134" s="128" t="n"/>
      <c r="AT134" s="128" t="n"/>
      <c r="AU134" s="128" t="n"/>
      <c r="AV134" s="128" t="n"/>
      <c r="AW134" s="128" t="n"/>
      <c r="AX134" s="128" t="n"/>
      <c r="AY134" s="128" t="n"/>
      <c r="AZ134" s="128" t="n"/>
      <c r="BA134" s="128" t="n"/>
      <c r="BB134" s="128" t="n"/>
      <c r="BC134" s="128" t="n"/>
      <c r="BD134" s="128" t="n"/>
      <c r="BE134" s="128" t="n"/>
      <c r="BF134" s="128" t="n"/>
      <c r="BG134" s="128" t="n"/>
      <c r="BH134" s="128" t="n"/>
      <c r="BI134" s="128" t="n"/>
      <c r="BJ134" s="128" t="n"/>
      <c r="BK134" s="128" t="n"/>
      <c r="BL134" s="128" t="n"/>
      <c r="BM134" s="128" t="n"/>
      <c r="BN134" s="128" t="n"/>
      <c r="BO134" s="128" t="n"/>
      <c r="BP134" s="128" t="n"/>
      <c r="BQ134" s="128" t="n"/>
      <c r="BR134" s="128" t="n"/>
      <c r="BS134" s="128" t="n"/>
      <c r="BT134" s="128" t="n"/>
      <c r="BU134" s="128" t="n"/>
      <c r="BV134" s="128" t="n"/>
      <c r="BW134" s="128" t="n"/>
    </row>
    <row r="135" ht="20" customHeight="1">
      <c r="B135" s="125" t="n">
        <v>129</v>
      </c>
      <c r="C135" s="72" t="n"/>
      <c r="D135" s="72" t="n"/>
      <c r="E135" s="72" t="n"/>
      <c r="F135" s="72" t="n"/>
      <c r="G135" s="89" t="n"/>
      <c r="H135" s="89" t="n"/>
      <c r="I135" s="108" t="n"/>
      <c r="J135" s="126">
        <f>IF(OR(D135="",ProjStart=""),"",MAX(ProjStart,IF(I135&lt;&gt;"",I135,0),IF(H135="",0,IFERROR(INDEX($L$6:L134,MATCH(H135,$B$6:B134,0))+1,0))))</f>
        <v/>
      </c>
      <c r="K135" s="89" t="n"/>
      <c r="L135" s="126">
        <f>IF(J135="","",J135+MAX(1,G135)+IF(K135="",0,K135)-1)</f>
        <v/>
      </c>
      <c r="M135" s="72" t="n"/>
      <c r="N135" s="108" t="n"/>
      <c r="O135" s="127">
        <f>IF(D135="","",COUNTIF($H$7:$H$156,B135))</f>
        <v/>
      </c>
      <c r="P135" s="78">
        <f>IF(D135="","",IF(AND(H135&lt;&gt;"",H135&gt;=B135),"⚠️ Predecessor must be above",IF(M135="Done","✓ Done",IF(Q135=3,"🔴 Late",IF(M135="In progress","In progress","")))))</f>
        <v/>
      </c>
      <c r="Q135" s="79">
        <f>IF(OR(D135="",L135=""),"",IF(M135="Done",2,IF(AsOf&gt;L135,3,1)))</f>
        <v/>
      </c>
      <c r="R135" s="79">
        <f>IF(OR(E135="",F135=""),0,IF(COUNTIFS($E$7:E135,E135,$F$7:F135,F135)=1,1,0))</f>
        <v/>
      </c>
      <c r="S135" s="79">
        <f>IF(R135=1,E135&amp;"|"&amp;SUMIFS($R$7:R135,$E$7:E135,E135),"")</f>
        <v/>
      </c>
      <c r="T135" s="111">
        <f>IF(Q135="","",IF(Q135=3,L135,IF(OR(M135="Not started",M135=""),J135,"")))</f>
        <v/>
      </c>
      <c r="U135" s="79">
        <f>IF(T135="","",IF(Q135=3,1,IF(T135="","",IF(T135&lt;AsOf,1,IF(T135&lt;=AsOf+AlertDays,2,IF(T135&lt;=AsOf+2*AlertDays,3,""))))))</f>
        <v/>
      </c>
      <c r="V135" s="79">
        <f>IF(U135="","",IF(Q135=3,"Late task: "&amp;D135,IF(T135&lt;AsOf,"Should have started: ","Starts soon: ")&amp;D135)&amp;IF(F135="",""," — "&amp;F135))</f>
        <v/>
      </c>
      <c r="X135" s="128" t="n"/>
      <c r="Y135" s="128" t="n"/>
      <c r="Z135" s="128" t="n"/>
      <c r="AA135" s="128" t="n"/>
      <c r="AB135" s="128" t="n"/>
      <c r="AC135" s="128" t="n"/>
      <c r="AD135" s="128" t="n"/>
      <c r="AE135" s="128" t="n"/>
      <c r="AF135" s="128" t="n"/>
      <c r="AG135" s="128" t="n"/>
      <c r="AH135" s="128" t="n"/>
      <c r="AI135" s="128" t="n"/>
      <c r="AJ135" s="128" t="n"/>
      <c r="AK135" s="128" t="n"/>
      <c r="AL135" s="128" t="n"/>
      <c r="AM135" s="128" t="n"/>
      <c r="AN135" s="128" t="n"/>
      <c r="AO135" s="128" t="n"/>
      <c r="AP135" s="128" t="n"/>
      <c r="AQ135" s="128" t="n"/>
      <c r="AR135" s="128" t="n"/>
      <c r="AS135" s="128" t="n"/>
      <c r="AT135" s="128" t="n"/>
      <c r="AU135" s="128" t="n"/>
      <c r="AV135" s="128" t="n"/>
      <c r="AW135" s="128" t="n"/>
      <c r="AX135" s="128" t="n"/>
      <c r="AY135" s="128" t="n"/>
      <c r="AZ135" s="128" t="n"/>
      <c r="BA135" s="128" t="n"/>
      <c r="BB135" s="128" t="n"/>
      <c r="BC135" s="128" t="n"/>
      <c r="BD135" s="128" t="n"/>
      <c r="BE135" s="128" t="n"/>
      <c r="BF135" s="128" t="n"/>
      <c r="BG135" s="128" t="n"/>
      <c r="BH135" s="128" t="n"/>
      <c r="BI135" s="128" t="n"/>
      <c r="BJ135" s="128" t="n"/>
      <c r="BK135" s="128" t="n"/>
      <c r="BL135" s="128" t="n"/>
      <c r="BM135" s="128" t="n"/>
      <c r="BN135" s="128" t="n"/>
      <c r="BO135" s="128" t="n"/>
      <c r="BP135" s="128" t="n"/>
      <c r="BQ135" s="128" t="n"/>
      <c r="BR135" s="128" t="n"/>
      <c r="BS135" s="128" t="n"/>
      <c r="BT135" s="128" t="n"/>
      <c r="BU135" s="128" t="n"/>
      <c r="BV135" s="128" t="n"/>
      <c r="BW135" s="128" t="n"/>
    </row>
    <row r="136" ht="20" customHeight="1">
      <c r="B136" s="125" t="n">
        <v>130</v>
      </c>
      <c r="C136" s="72" t="n"/>
      <c r="D136" s="72" t="n"/>
      <c r="E136" s="72" t="n"/>
      <c r="F136" s="72" t="n"/>
      <c r="G136" s="89" t="n"/>
      <c r="H136" s="89" t="n"/>
      <c r="I136" s="108" t="n"/>
      <c r="J136" s="126">
        <f>IF(OR(D136="",ProjStart=""),"",MAX(ProjStart,IF(I136&lt;&gt;"",I136,0),IF(H136="",0,IFERROR(INDEX($L$6:L135,MATCH(H136,$B$6:B135,0))+1,0))))</f>
        <v/>
      </c>
      <c r="K136" s="89" t="n"/>
      <c r="L136" s="126">
        <f>IF(J136="","",J136+MAX(1,G136)+IF(K136="",0,K136)-1)</f>
        <v/>
      </c>
      <c r="M136" s="72" t="n"/>
      <c r="N136" s="108" t="n"/>
      <c r="O136" s="127">
        <f>IF(D136="","",COUNTIF($H$7:$H$156,B136))</f>
        <v/>
      </c>
      <c r="P136" s="78">
        <f>IF(D136="","",IF(AND(H136&lt;&gt;"",H136&gt;=B136),"⚠️ Predecessor must be above",IF(M136="Done","✓ Done",IF(Q136=3,"🔴 Late",IF(M136="In progress","In progress","")))))</f>
        <v/>
      </c>
      <c r="Q136" s="79">
        <f>IF(OR(D136="",L136=""),"",IF(M136="Done",2,IF(AsOf&gt;L136,3,1)))</f>
        <v/>
      </c>
      <c r="R136" s="79">
        <f>IF(OR(E136="",F136=""),0,IF(COUNTIFS($E$7:E136,E136,$F$7:F136,F136)=1,1,0))</f>
        <v/>
      </c>
      <c r="S136" s="79">
        <f>IF(R136=1,E136&amp;"|"&amp;SUMIFS($R$7:R136,$E$7:E136,E136),"")</f>
        <v/>
      </c>
      <c r="T136" s="111">
        <f>IF(Q136="","",IF(Q136=3,L136,IF(OR(M136="Not started",M136=""),J136,"")))</f>
        <v/>
      </c>
      <c r="U136" s="79">
        <f>IF(T136="","",IF(Q136=3,1,IF(T136="","",IF(T136&lt;AsOf,1,IF(T136&lt;=AsOf+AlertDays,2,IF(T136&lt;=AsOf+2*AlertDays,3,""))))))</f>
        <v/>
      </c>
      <c r="V136" s="79">
        <f>IF(U136="","",IF(Q136=3,"Late task: "&amp;D136,IF(T136&lt;AsOf,"Should have started: ","Starts soon: ")&amp;D136)&amp;IF(F136="",""," — "&amp;F136))</f>
        <v/>
      </c>
      <c r="X136" s="128" t="n"/>
      <c r="Y136" s="128" t="n"/>
      <c r="Z136" s="128" t="n"/>
      <c r="AA136" s="128" t="n"/>
      <c r="AB136" s="128" t="n"/>
      <c r="AC136" s="128" t="n"/>
      <c r="AD136" s="128" t="n"/>
      <c r="AE136" s="128" t="n"/>
      <c r="AF136" s="128" t="n"/>
      <c r="AG136" s="128" t="n"/>
      <c r="AH136" s="128" t="n"/>
      <c r="AI136" s="128" t="n"/>
      <c r="AJ136" s="128" t="n"/>
      <c r="AK136" s="128" t="n"/>
      <c r="AL136" s="128" t="n"/>
      <c r="AM136" s="128" t="n"/>
      <c r="AN136" s="128" t="n"/>
      <c r="AO136" s="128" t="n"/>
      <c r="AP136" s="128" t="n"/>
      <c r="AQ136" s="128" t="n"/>
      <c r="AR136" s="128" t="n"/>
      <c r="AS136" s="128" t="n"/>
      <c r="AT136" s="128" t="n"/>
      <c r="AU136" s="128" t="n"/>
      <c r="AV136" s="128" t="n"/>
      <c r="AW136" s="128" t="n"/>
      <c r="AX136" s="128" t="n"/>
      <c r="AY136" s="128" t="n"/>
      <c r="AZ136" s="128" t="n"/>
      <c r="BA136" s="128" t="n"/>
      <c r="BB136" s="128" t="n"/>
      <c r="BC136" s="128" t="n"/>
      <c r="BD136" s="128" t="n"/>
      <c r="BE136" s="128" t="n"/>
      <c r="BF136" s="128" t="n"/>
      <c r="BG136" s="128" t="n"/>
      <c r="BH136" s="128" t="n"/>
      <c r="BI136" s="128" t="n"/>
      <c r="BJ136" s="128" t="n"/>
      <c r="BK136" s="128" t="n"/>
      <c r="BL136" s="128" t="n"/>
      <c r="BM136" s="128" t="n"/>
      <c r="BN136" s="128" t="n"/>
      <c r="BO136" s="128" t="n"/>
      <c r="BP136" s="128" t="n"/>
      <c r="BQ136" s="128" t="n"/>
      <c r="BR136" s="128" t="n"/>
      <c r="BS136" s="128" t="n"/>
      <c r="BT136" s="128" t="n"/>
      <c r="BU136" s="128" t="n"/>
      <c r="BV136" s="128" t="n"/>
      <c r="BW136" s="128" t="n"/>
    </row>
    <row r="137" ht="20" customHeight="1">
      <c r="B137" s="125" t="n">
        <v>131</v>
      </c>
      <c r="C137" s="72" t="n"/>
      <c r="D137" s="72" t="n"/>
      <c r="E137" s="72" t="n"/>
      <c r="F137" s="72" t="n"/>
      <c r="G137" s="89" t="n"/>
      <c r="H137" s="89" t="n"/>
      <c r="I137" s="108" t="n"/>
      <c r="J137" s="126">
        <f>IF(OR(D137="",ProjStart=""),"",MAX(ProjStart,IF(I137&lt;&gt;"",I137,0),IF(H137="",0,IFERROR(INDEX($L$6:L136,MATCH(H137,$B$6:B136,0))+1,0))))</f>
        <v/>
      </c>
      <c r="K137" s="89" t="n"/>
      <c r="L137" s="126">
        <f>IF(J137="","",J137+MAX(1,G137)+IF(K137="",0,K137)-1)</f>
        <v/>
      </c>
      <c r="M137" s="72" t="n"/>
      <c r="N137" s="108" t="n"/>
      <c r="O137" s="127">
        <f>IF(D137="","",COUNTIF($H$7:$H$156,B137))</f>
        <v/>
      </c>
      <c r="P137" s="78">
        <f>IF(D137="","",IF(AND(H137&lt;&gt;"",H137&gt;=B137),"⚠️ Predecessor must be above",IF(M137="Done","✓ Done",IF(Q137=3,"🔴 Late",IF(M137="In progress","In progress","")))))</f>
        <v/>
      </c>
      <c r="Q137" s="79">
        <f>IF(OR(D137="",L137=""),"",IF(M137="Done",2,IF(AsOf&gt;L137,3,1)))</f>
        <v/>
      </c>
      <c r="R137" s="79">
        <f>IF(OR(E137="",F137=""),0,IF(COUNTIFS($E$7:E137,E137,$F$7:F137,F137)=1,1,0))</f>
        <v/>
      </c>
      <c r="S137" s="79">
        <f>IF(R137=1,E137&amp;"|"&amp;SUMIFS($R$7:R137,$E$7:E137,E137),"")</f>
        <v/>
      </c>
      <c r="T137" s="111">
        <f>IF(Q137="","",IF(Q137=3,L137,IF(OR(M137="Not started",M137=""),J137,"")))</f>
        <v/>
      </c>
      <c r="U137" s="79">
        <f>IF(T137="","",IF(Q137=3,1,IF(T137="","",IF(T137&lt;AsOf,1,IF(T137&lt;=AsOf+AlertDays,2,IF(T137&lt;=AsOf+2*AlertDays,3,""))))))</f>
        <v/>
      </c>
      <c r="V137" s="79">
        <f>IF(U137="","",IF(Q137=3,"Late task: "&amp;D137,IF(T137&lt;AsOf,"Should have started: ","Starts soon: ")&amp;D137)&amp;IF(F137="",""," — "&amp;F137))</f>
        <v/>
      </c>
      <c r="X137" s="128" t="n"/>
      <c r="Y137" s="128" t="n"/>
      <c r="Z137" s="128" t="n"/>
      <c r="AA137" s="128" t="n"/>
      <c r="AB137" s="128" t="n"/>
      <c r="AC137" s="128" t="n"/>
      <c r="AD137" s="128" t="n"/>
      <c r="AE137" s="128" t="n"/>
      <c r="AF137" s="128" t="n"/>
      <c r="AG137" s="128" t="n"/>
      <c r="AH137" s="128" t="n"/>
      <c r="AI137" s="128" t="n"/>
      <c r="AJ137" s="128" t="n"/>
      <c r="AK137" s="128" t="n"/>
      <c r="AL137" s="128" t="n"/>
      <c r="AM137" s="128" t="n"/>
      <c r="AN137" s="128" t="n"/>
      <c r="AO137" s="128" t="n"/>
      <c r="AP137" s="128" t="n"/>
      <c r="AQ137" s="128" t="n"/>
      <c r="AR137" s="128" t="n"/>
      <c r="AS137" s="128" t="n"/>
      <c r="AT137" s="128" t="n"/>
      <c r="AU137" s="128" t="n"/>
      <c r="AV137" s="128" t="n"/>
      <c r="AW137" s="128" t="n"/>
      <c r="AX137" s="128" t="n"/>
      <c r="AY137" s="128" t="n"/>
      <c r="AZ137" s="128" t="n"/>
      <c r="BA137" s="128" t="n"/>
      <c r="BB137" s="128" t="n"/>
      <c r="BC137" s="128" t="n"/>
      <c r="BD137" s="128" t="n"/>
      <c r="BE137" s="128" t="n"/>
      <c r="BF137" s="128" t="n"/>
      <c r="BG137" s="128" t="n"/>
      <c r="BH137" s="128" t="n"/>
      <c r="BI137" s="128" t="n"/>
      <c r="BJ137" s="128" t="n"/>
      <c r="BK137" s="128" t="n"/>
      <c r="BL137" s="128" t="n"/>
      <c r="BM137" s="128" t="n"/>
      <c r="BN137" s="128" t="n"/>
      <c r="BO137" s="128" t="n"/>
      <c r="BP137" s="128" t="n"/>
      <c r="BQ137" s="128" t="n"/>
      <c r="BR137" s="128" t="n"/>
      <c r="BS137" s="128" t="n"/>
      <c r="BT137" s="128" t="n"/>
      <c r="BU137" s="128" t="n"/>
      <c r="BV137" s="128" t="n"/>
      <c r="BW137" s="128" t="n"/>
    </row>
    <row r="138" ht="20" customHeight="1">
      <c r="B138" s="125" t="n">
        <v>132</v>
      </c>
      <c r="C138" s="72" t="n"/>
      <c r="D138" s="72" t="n"/>
      <c r="E138" s="72" t="n"/>
      <c r="F138" s="72" t="n"/>
      <c r="G138" s="89" t="n"/>
      <c r="H138" s="89" t="n"/>
      <c r="I138" s="108" t="n"/>
      <c r="J138" s="126">
        <f>IF(OR(D138="",ProjStart=""),"",MAX(ProjStart,IF(I138&lt;&gt;"",I138,0),IF(H138="",0,IFERROR(INDEX($L$6:L137,MATCH(H138,$B$6:B137,0))+1,0))))</f>
        <v/>
      </c>
      <c r="K138" s="89" t="n"/>
      <c r="L138" s="126">
        <f>IF(J138="","",J138+MAX(1,G138)+IF(K138="",0,K138)-1)</f>
        <v/>
      </c>
      <c r="M138" s="72" t="n"/>
      <c r="N138" s="108" t="n"/>
      <c r="O138" s="127">
        <f>IF(D138="","",COUNTIF($H$7:$H$156,B138))</f>
        <v/>
      </c>
      <c r="P138" s="78">
        <f>IF(D138="","",IF(AND(H138&lt;&gt;"",H138&gt;=B138),"⚠️ Predecessor must be above",IF(M138="Done","✓ Done",IF(Q138=3,"🔴 Late",IF(M138="In progress","In progress","")))))</f>
        <v/>
      </c>
      <c r="Q138" s="79">
        <f>IF(OR(D138="",L138=""),"",IF(M138="Done",2,IF(AsOf&gt;L138,3,1)))</f>
        <v/>
      </c>
      <c r="R138" s="79">
        <f>IF(OR(E138="",F138=""),0,IF(COUNTIFS($E$7:E138,E138,$F$7:F138,F138)=1,1,0))</f>
        <v/>
      </c>
      <c r="S138" s="79">
        <f>IF(R138=1,E138&amp;"|"&amp;SUMIFS($R$7:R138,$E$7:E138,E138),"")</f>
        <v/>
      </c>
      <c r="T138" s="111">
        <f>IF(Q138="","",IF(Q138=3,L138,IF(OR(M138="Not started",M138=""),J138,"")))</f>
        <v/>
      </c>
      <c r="U138" s="79">
        <f>IF(T138="","",IF(Q138=3,1,IF(T138="","",IF(T138&lt;AsOf,1,IF(T138&lt;=AsOf+AlertDays,2,IF(T138&lt;=AsOf+2*AlertDays,3,""))))))</f>
        <v/>
      </c>
      <c r="V138" s="79">
        <f>IF(U138="","",IF(Q138=3,"Late task: "&amp;D138,IF(T138&lt;AsOf,"Should have started: ","Starts soon: ")&amp;D138)&amp;IF(F138="",""," — "&amp;F138))</f>
        <v/>
      </c>
      <c r="X138" s="128" t="n"/>
      <c r="Y138" s="128" t="n"/>
      <c r="Z138" s="128" t="n"/>
      <c r="AA138" s="128" t="n"/>
      <c r="AB138" s="128" t="n"/>
      <c r="AC138" s="128" t="n"/>
      <c r="AD138" s="128" t="n"/>
      <c r="AE138" s="128" t="n"/>
      <c r="AF138" s="128" t="n"/>
      <c r="AG138" s="128" t="n"/>
      <c r="AH138" s="128" t="n"/>
      <c r="AI138" s="128" t="n"/>
      <c r="AJ138" s="128" t="n"/>
      <c r="AK138" s="128" t="n"/>
      <c r="AL138" s="128" t="n"/>
      <c r="AM138" s="128" t="n"/>
      <c r="AN138" s="128" t="n"/>
      <c r="AO138" s="128" t="n"/>
      <c r="AP138" s="128" t="n"/>
      <c r="AQ138" s="128" t="n"/>
      <c r="AR138" s="128" t="n"/>
      <c r="AS138" s="128" t="n"/>
      <c r="AT138" s="128" t="n"/>
      <c r="AU138" s="128" t="n"/>
      <c r="AV138" s="128" t="n"/>
      <c r="AW138" s="128" t="n"/>
      <c r="AX138" s="128" t="n"/>
      <c r="AY138" s="128" t="n"/>
      <c r="AZ138" s="128" t="n"/>
      <c r="BA138" s="128" t="n"/>
      <c r="BB138" s="128" t="n"/>
      <c r="BC138" s="128" t="n"/>
      <c r="BD138" s="128" t="n"/>
      <c r="BE138" s="128" t="n"/>
      <c r="BF138" s="128" t="n"/>
      <c r="BG138" s="128" t="n"/>
      <c r="BH138" s="128" t="n"/>
      <c r="BI138" s="128" t="n"/>
      <c r="BJ138" s="128" t="n"/>
      <c r="BK138" s="128" t="n"/>
      <c r="BL138" s="128" t="n"/>
      <c r="BM138" s="128" t="n"/>
      <c r="BN138" s="128" t="n"/>
      <c r="BO138" s="128" t="n"/>
      <c r="BP138" s="128" t="n"/>
      <c r="BQ138" s="128" t="n"/>
      <c r="BR138" s="128" t="n"/>
      <c r="BS138" s="128" t="n"/>
      <c r="BT138" s="128" t="n"/>
      <c r="BU138" s="128" t="n"/>
      <c r="BV138" s="128" t="n"/>
      <c r="BW138" s="128" t="n"/>
    </row>
    <row r="139" ht="20" customHeight="1">
      <c r="B139" s="125" t="n">
        <v>133</v>
      </c>
      <c r="C139" s="72" t="n"/>
      <c r="D139" s="72" t="n"/>
      <c r="E139" s="72" t="n"/>
      <c r="F139" s="72" t="n"/>
      <c r="G139" s="89" t="n"/>
      <c r="H139" s="89" t="n"/>
      <c r="I139" s="108" t="n"/>
      <c r="J139" s="126">
        <f>IF(OR(D139="",ProjStart=""),"",MAX(ProjStart,IF(I139&lt;&gt;"",I139,0),IF(H139="",0,IFERROR(INDEX($L$6:L138,MATCH(H139,$B$6:B138,0))+1,0))))</f>
        <v/>
      </c>
      <c r="K139" s="89" t="n"/>
      <c r="L139" s="126">
        <f>IF(J139="","",J139+MAX(1,G139)+IF(K139="",0,K139)-1)</f>
        <v/>
      </c>
      <c r="M139" s="72" t="n"/>
      <c r="N139" s="108" t="n"/>
      <c r="O139" s="127">
        <f>IF(D139="","",COUNTIF($H$7:$H$156,B139))</f>
        <v/>
      </c>
      <c r="P139" s="78">
        <f>IF(D139="","",IF(AND(H139&lt;&gt;"",H139&gt;=B139),"⚠️ Predecessor must be above",IF(M139="Done","✓ Done",IF(Q139=3,"🔴 Late",IF(M139="In progress","In progress","")))))</f>
        <v/>
      </c>
      <c r="Q139" s="79">
        <f>IF(OR(D139="",L139=""),"",IF(M139="Done",2,IF(AsOf&gt;L139,3,1)))</f>
        <v/>
      </c>
      <c r="R139" s="79">
        <f>IF(OR(E139="",F139=""),0,IF(COUNTIFS($E$7:E139,E139,$F$7:F139,F139)=1,1,0))</f>
        <v/>
      </c>
      <c r="S139" s="79">
        <f>IF(R139=1,E139&amp;"|"&amp;SUMIFS($R$7:R139,$E$7:E139,E139),"")</f>
        <v/>
      </c>
      <c r="T139" s="111">
        <f>IF(Q139="","",IF(Q139=3,L139,IF(OR(M139="Not started",M139=""),J139,"")))</f>
        <v/>
      </c>
      <c r="U139" s="79">
        <f>IF(T139="","",IF(Q139=3,1,IF(T139="","",IF(T139&lt;AsOf,1,IF(T139&lt;=AsOf+AlertDays,2,IF(T139&lt;=AsOf+2*AlertDays,3,""))))))</f>
        <v/>
      </c>
      <c r="V139" s="79">
        <f>IF(U139="","",IF(Q139=3,"Late task: "&amp;D139,IF(T139&lt;AsOf,"Should have started: ","Starts soon: ")&amp;D139)&amp;IF(F139="",""," — "&amp;F139))</f>
        <v/>
      </c>
      <c r="X139" s="128" t="n"/>
      <c r="Y139" s="128" t="n"/>
      <c r="Z139" s="128" t="n"/>
      <c r="AA139" s="128" t="n"/>
      <c r="AB139" s="128" t="n"/>
      <c r="AC139" s="128" t="n"/>
      <c r="AD139" s="128" t="n"/>
      <c r="AE139" s="128" t="n"/>
      <c r="AF139" s="128" t="n"/>
      <c r="AG139" s="128" t="n"/>
      <c r="AH139" s="128" t="n"/>
      <c r="AI139" s="128" t="n"/>
      <c r="AJ139" s="128" t="n"/>
      <c r="AK139" s="128" t="n"/>
      <c r="AL139" s="128" t="n"/>
      <c r="AM139" s="128" t="n"/>
      <c r="AN139" s="128" t="n"/>
      <c r="AO139" s="128" t="n"/>
      <c r="AP139" s="128" t="n"/>
      <c r="AQ139" s="128" t="n"/>
      <c r="AR139" s="128" t="n"/>
      <c r="AS139" s="128" t="n"/>
      <c r="AT139" s="128" t="n"/>
      <c r="AU139" s="128" t="n"/>
      <c r="AV139" s="128" t="n"/>
      <c r="AW139" s="128" t="n"/>
      <c r="AX139" s="128" t="n"/>
      <c r="AY139" s="128" t="n"/>
      <c r="AZ139" s="128" t="n"/>
      <c r="BA139" s="128" t="n"/>
      <c r="BB139" s="128" t="n"/>
      <c r="BC139" s="128" t="n"/>
      <c r="BD139" s="128" t="n"/>
      <c r="BE139" s="128" t="n"/>
      <c r="BF139" s="128" t="n"/>
      <c r="BG139" s="128" t="n"/>
      <c r="BH139" s="128" t="n"/>
      <c r="BI139" s="128" t="n"/>
      <c r="BJ139" s="128" t="n"/>
      <c r="BK139" s="128" t="n"/>
      <c r="BL139" s="128" t="n"/>
      <c r="BM139" s="128" t="n"/>
      <c r="BN139" s="128" t="n"/>
      <c r="BO139" s="128" t="n"/>
      <c r="BP139" s="128" t="n"/>
      <c r="BQ139" s="128" t="n"/>
      <c r="BR139" s="128" t="n"/>
      <c r="BS139" s="128" t="n"/>
      <c r="BT139" s="128" t="n"/>
      <c r="BU139" s="128" t="n"/>
      <c r="BV139" s="128" t="n"/>
      <c r="BW139" s="128" t="n"/>
    </row>
    <row r="140" ht="20" customHeight="1">
      <c r="B140" s="125" t="n">
        <v>134</v>
      </c>
      <c r="C140" s="72" t="n"/>
      <c r="D140" s="72" t="n"/>
      <c r="E140" s="72" t="n"/>
      <c r="F140" s="72" t="n"/>
      <c r="G140" s="89" t="n"/>
      <c r="H140" s="89" t="n"/>
      <c r="I140" s="108" t="n"/>
      <c r="J140" s="126">
        <f>IF(OR(D140="",ProjStart=""),"",MAX(ProjStart,IF(I140&lt;&gt;"",I140,0),IF(H140="",0,IFERROR(INDEX($L$6:L139,MATCH(H140,$B$6:B139,0))+1,0))))</f>
        <v/>
      </c>
      <c r="K140" s="89" t="n"/>
      <c r="L140" s="126">
        <f>IF(J140="","",J140+MAX(1,G140)+IF(K140="",0,K140)-1)</f>
        <v/>
      </c>
      <c r="M140" s="72" t="n"/>
      <c r="N140" s="108" t="n"/>
      <c r="O140" s="127">
        <f>IF(D140="","",COUNTIF($H$7:$H$156,B140))</f>
        <v/>
      </c>
      <c r="P140" s="78">
        <f>IF(D140="","",IF(AND(H140&lt;&gt;"",H140&gt;=B140),"⚠️ Predecessor must be above",IF(M140="Done","✓ Done",IF(Q140=3,"🔴 Late",IF(M140="In progress","In progress","")))))</f>
        <v/>
      </c>
      <c r="Q140" s="79">
        <f>IF(OR(D140="",L140=""),"",IF(M140="Done",2,IF(AsOf&gt;L140,3,1)))</f>
        <v/>
      </c>
      <c r="R140" s="79">
        <f>IF(OR(E140="",F140=""),0,IF(COUNTIFS($E$7:E140,E140,$F$7:F140,F140)=1,1,0))</f>
        <v/>
      </c>
      <c r="S140" s="79">
        <f>IF(R140=1,E140&amp;"|"&amp;SUMIFS($R$7:R140,$E$7:E140,E140),"")</f>
        <v/>
      </c>
      <c r="T140" s="111">
        <f>IF(Q140="","",IF(Q140=3,L140,IF(OR(M140="Not started",M140=""),J140,"")))</f>
        <v/>
      </c>
      <c r="U140" s="79">
        <f>IF(T140="","",IF(Q140=3,1,IF(T140="","",IF(T140&lt;AsOf,1,IF(T140&lt;=AsOf+AlertDays,2,IF(T140&lt;=AsOf+2*AlertDays,3,""))))))</f>
        <v/>
      </c>
      <c r="V140" s="79">
        <f>IF(U140="","",IF(Q140=3,"Late task: "&amp;D140,IF(T140&lt;AsOf,"Should have started: ","Starts soon: ")&amp;D140)&amp;IF(F140="",""," — "&amp;F140))</f>
        <v/>
      </c>
      <c r="X140" s="128" t="n"/>
      <c r="Y140" s="128" t="n"/>
      <c r="Z140" s="128" t="n"/>
      <c r="AA140" s="128" t="n"/>
      <c r="AB140" s="128" t="n"/>
      <c r="AC140" s="128" t="n"/>
      <c r="AD140" s="128" t="n"/>
      <c r="AE140" s="128" t="n"/>
      <c r="AF140" s="128" t="n"/>
      <c r="AG140" s="128" t="n"/>
      <c r="AH140" s="128" t="n"/>
      <c r="AI140" s="128" t="n"/>
      <c r="AJ140" s="128" t="n"/>
      <c r="AK140" s="128" t="n"/>
      <c r="AL140" s="128" t="n"/>
      <c r="AM140" s="128" t="n"/>
      <c r="AN140" s="128" t="n"/>
      <c r="AO140" s="128" t="n"/>
      <c r="AP140" s="128" t="n"/>
      <c r="AQ140" s="128" t="n"/>
      <c r="AR140" s="128" t="n"/>
      <c r="AS140" s="128" t="n"/>
      <c r="AT140" s="128" t="n"/>
      <c r="AU140" s="128" t="n"/>
      <c r="AV140" s="128" t="n"/>
      <c r="AW140" s="128" t="n"/>
      <c r="AX140" s="128" t="n"/>
      <c r="AY140" s="128" t="n"/>
      <c r="AZ140" s="128" t="n"/>
      <c r="BA140" s="128" t="n"/>
      <c r="BB140" s="128" t="n"/>
      <c r="BC140" s="128" t="n"/>
      <c r="BD140" s="128" t="n"/>
      <c r="BE140" s="128" t="n"/>
      <c r="BF140" s="128" t="n"/>
      <c r="BG140" s="128" t="n"/>
      <c r="BH140" s="128" t="n"/>
      <c r="BI140" s="128" t="n"/>
      <c r="BJ140" s="128" t="n"/>
      <c r="BK140" s="128" t="n"/>
      <c r="BL140" s="128" t="n"/>
      <c r="BM140" s="128" t="n"/>
      <c r="BN140" s="128" t="n"/>
      <c r="BO140" s="128" t="n"/>
      <c r="BP140" s="128" t="n"/>
      <c r="BQ140" s="128" t="n"/>
      <c r="BR140" s="128" t="n"/>
      <c r="BS140" s="128" t="n"/>
      <c r="BT140" s="128" t="n"/>
      <c r="BU140" s="128" t="n"/>
      <c r="BV140" s="128" t="n"/>
      <c r="BW140" s="128" t="n"/>
    </row>
    <row r="141" ht="20" customHeight="1">
      <c r="B141" s="125" t="n">
        <v>135</v>
      </c>
      <c r="C141" s="72" t="n"/>
      <c r="D141" s="72" t="n"/>
      <c r="E141" s="72" t="n"/>
      <c r="F141" s="72" t="n"/>
      <c r="G141" s="89" t="n"/>
      <c r="H141" s="89" t="n"/>
      <c r="I141" s="108" t="n"/>
      <c r="J141" s="126">
        <f>IF(OR(D141="",ProjStart=""),"",MAX(ProjStart,IF(I141&lt;&gt;"",I141,0),IF(H141="",0,IFERROR(INDEX($L$6:L140,MATCH(H141,$B$6:B140,0))+1,0))))</f>
        <v/>
      </c>
      <c r="K141" s="89" t="n"/>
      <c r="L141" s="126">
        <f>IF(J141="","",J141+MAX(1,G141)+IF(K141="",0,K141)-1)</f>
        <v/>
      </c>
      <c r="M141" s="72" t="n"/>
      <c r="N141" s="108" t="n"/>
      <c r="O141" s="127">
        <f>IF(D141="","",COUNTIF($H$7:$H$156,B141))</f>
        <v/>
      </c>
      <c r="P141" s="78">
        <f>IF(D141="","",IF(AND(H141&lt;&gt;"",H141&gt;=B141),"⚠️ Predecessor must be above",IF(M141="Done","✓ Done",IF(Q141=3,"🔴 Late",IF(M141="In progress","In progress","")))))</f>
        <v/>
      </c>
      <c r="Q141" s="79">
        <f>IF(OR(D141="",L141=""),"",IF(M141="Done",2,IF(AsOf&gt;L141,3,1)))</f>
        <v/>
      </c>
      <c r="R141" s="79">
        <f>IF(OR(E141="",F141=""),0,IF(COUNTIFS($E$7:E141,E141,$F$7:F141,F141)=1,1,0))</f>
        <v/>
      </c>
      <c r="S141" s="79">
        <f>IF(R141=1,E141&amp;"|"&amp;SUMIFS($R$7:R141,$E$7:E141,E141),"")</f>
        <v/>
      </c>
      <c r="T141" s="111">
        <f>IF(Q141="","",IF(Q141=3,L141,IF(OR(M141="Not started",M141=""),J141,"")))</f>
        <v/>
      </c>
      <c r="U141" s="79">
        <f>IF(T141="","",IF(Q141=3,1,IF(T141="","",IF(T141&lt;AsOf,1,IF(T141&lt;=AsOf+AlertDays,2,IF(T141&lt;=AsOf+2*AlertDays,3,""))))))</f>
        <v/>
      </c>
      <c r="V141" s="79">
        <f>IF(U141="","",IF(Q141=3,"Late task: "&amp;D141,IF(T141&lt;AsOf,"Should have started: ","Starts soon: ")&amp;D141)&amp;IF(F141="",""," — "&amp;F141))</f>
        <v/>
      </c>
      <c r="X141" s="128" t="n"/>
      <c r="Y141" s="128" t="n"/>
      <c r="Z141" s="128" t="n"/>
      <c r="AA141" s="128" t="n"/>
      <c r="AB141" s="128" t="n"/>
      <c r="AC141" s="128" t="n"/>
      <c r="AD141" s="128" t="n"/>
      <c r="AE141" s="128" t="n"/>
      <c r="AF141" s="128" t="n"/>
      <c r="AG141" s="128" t="n"/>
      <c r="AH141" s="128" t="n"/>
      <c r="AI141" s="128" t="n"/>
      <c r="AJ141" s="128" t="n"/>
      <c r="AK141" s="128" t="n"/>
      <c r="AL141" s="128" t="n"/>
      <c r="AM141" s="128" t="n"/>
      <c r="AN141" s="128" t="n"/>
      <c r="AO141" s="128" t="n"/>
      <c r="AP141" s="128" t="n"/>
      <c r="AQ141" s="128" t="n"/>
      <c r="AR141" s="128" t="n"/>
      <c r="AS141" s="128" t="n"/>
      <c r="AT141" s="128" t="n"/>
      <c r="AU141" s="128" t="n"/>
      <c r="AV141" s="128" t="n"/>
      <c r="AW141" s="128" t="n"/>
      <c r="AX141" s="128" t="n"/>
      <c r="AY141" s="128" t="n"/>
      <c r="AZ141" s="128" t="n"/>
      <c r="BA141" s="128" t="n"/>
      <c r="BB141" s="128" t="n"/>
      <c r="BC141" s="128" t="n"/>
      <c r="BD141" s="128" t="n"/>
      <c r="BE141" s="128" t="n"/>
      <c r="BF141" s="128" t="n"/>
      <c r="BG141" s="128" t="n"/>
      <c r="BH141" s="128" t="n"/>
      <c r="BI141" s="128" t="n"/>
      <c r="BJ141" s="128" t="n"/>
      <c r="BK141" s="128" t="n"/>
      <c r="BL141" s="128" t="n"/>
      <c r="BM141" s="128" t="n"/>
      <c r="BN141" s="128" t="n"/>
      <c r="BO141" s="128" t="n"/>
      <c r="BP141" s="128" t="n"/>
      <c r="BQ141" s="128" t="n"/>
      <c r="BR141" s="128" t="n"/>
      <c r="BS141" s="128" t="n"/>
      <c r="BT141" s="128" t="n"/>
      <c r="BU141" s="128" t="n"/>
      <c r="BV141" s="128" t="n"/>
      <c r="BW141" s="128" t="n"/>
    </row>
    <row r="142" ht="20" customHeight="1">
      <c r="B142" s="125" t="n">
        <v>136</v>
      </c>
      <c r="C142" s="72" t="n"/>
      <c r="D142" s="72" t="n"/>
      <c r="E142" s="72" t="n"/>
      <c r="F142" s="72" t="n"/>
      <c r="G142" s="89" t="n"/>
      <c r="H142" s="89" t="n"/>
      <c r="I142" s="108" t="n"/>
      <c r="J142" s="126">
        <f>IF(OR(D142="",ProjStart=""),"",MAX(ProjStart,IF(I142&lt;&gt;"",I142,0),IF(H142="",0,IFERROR(INDEX($L$6:L141,MATCH(H142,$B$6:B141,0))+1,0))))</f>
        <v/>
      </c>
      <c r="K142" s="89" t="n"/>
      <c r="L142" s="126">
        <f>IF(J142="","",J142+MAX(1,G142)+IF(K142="",0,K142)-1)</f>
        <v/>
      </c>
      <c r="M142" s="72" t="n"/>
      <c r="N142" s="108" t="n"/>
      <c r="O142" s="127">
        <f>IF(D142="","",COUNTIF($H$7:$H$156,B142))</f>
        <v/>
      </c>
      <c r="P142" s="78">
        <f>IF(D142="","",IF(AND(H142&lt;&gt;"",H142&gt;=B142),"⚠️ Predecessor must be above",IF(M142="Done","✓ Done",IF(Q142=3,"🔴 Late",IF(M142="In progress","In progress","")))))</f>
        <v/>
      </c>
      <c r="Q142" s="79">
        <f>IF(OR(D142="",L142=""),"",IF(M142="Done",2,IF(AsOf&gt;L142,3,1)))</f>
        <v/>
      </c>
      <c r="R142" s="79">
        <f>IF(OR(E142="",F142=""),0,IF(COUNTIFS($E$7:E142,E142,$F$7:F142,F142)=1,1,0))</f>
        <v/>
      </c>
      <c r="S142" s="79">
        <f>IF(R142=1,E142&amp;"|"&amp;SUMIFS($R$7:R142,$E$7:E142,E142),"")</f>
        <v/>
      </c>
      <c r="T142" s="111">
        <f>IF(Q142="","",IF(Q142=3,L142,IF(OR(M142="Not started",M142=""),J142,"")))</f>
        <v/>
      </c>
      <c r="U142" s="79">
        <f>IF(T142="","",IF(Q142=3,1,IF(T142="","",IF(T142&lt;AsOf,1,IF(T142&lt;=AsOf+AlertDays,2,IF(T142&lt;=AsOf+2*AlertDays,3,""))))))</f>
        <v/>
      </c>
      <c r="V142" s="79">
        <f>IF(U142="","",IF(Q142=3,"Late task: "&amp;D142,IF(T142&lt;AsOf,"Should have started: ","Starts soon: ")&amp;D142)&amp;IF(F142="",""," — "&amp;F142))</f>
        <v/>
      </c>
      <c r="X142" s="128" t="n"/>
      <c r="Y142" s="128" t="n"/>
      <c r="Z142" s="128" t="n"/>
      <c r="AA142" s="128" t="n"/>
      <c r="AB142" s="128" t="n"/>
      <c r="AC142" s="128" t="n"/>
      <c r="AD142" s="128" t="n"/>
      <c r="AE142" s="128" t="n"/>
      <c r="AF142" s="128" t="n"/>
      <c r="AG142" s="128" t="n"/>
      <c r="AH142" s="128" t="n"/>
      <c r="AI142" s="128" t="n"/>
      <c r="AJ142" s="128" t="n"/>
      <c r="AK142" s="128" t="n"/>
      <c r="AL142" s="128" t="n"/>
      <c r="AM142" s="128" t="n"/>
      <c r="AN142" s="128" t="n"/>
      <c r="AO142" s="128" t="n"/>
      <c r="AP142" s="128" t="n"/>
      <c r="AQ142" s="128" t="n"/>
      <c r="AR142" s="128" t="n"/>
      <c r="AS142" s="128" t="n"/>
      <c r="AT142" s="128" t="n"/>
      <c r="AU142" s="128" t="n"/>
      <c r="AV142" s="128" t="n"/>
      <c r="AW142" s="128" t="n"/>
      <c r="AX142" s="128" t="n"/>
      <c r="AY142" s="128" t="n"/>
      <c r="AZ142" s="128" t="n"/>
      <c r="BA142" s="128" t="n"/>
      <c r="BB142" s="128" t="n"/>
      <c r="BC142" s="128" t="n"/>
      <c r="BD142" s="128" t="n"/>
      <c r="BE142" s="128" t="n"/>
      <c r="BF142" s="128" t="n"/>
      <c r="BG142" s="128" t="n"/>
      <c r="BH142" s="128" t="n"/>
      <c r="BI142" s="128" t="n"/>
      <c r="BJ142" s="128" t="n"/>
      <c r="BK142" s="128" t="n"/>
      <c r="BL142" s="128" t="n"/>
      <c r="BM142" s="128" t="n"/>
      <c r="BN142" s="128" t="n"/>
      <c r="BO142" s="128" t="n"/>
      <c r="BP142" s="128" t="n"/>
      <c r="BQ142" s="128" t="n"/>
      <c r="BR142" s="128" t="n"/>
      <c r="BS142" s="128" t="n"/>
      <c r="BT142" s="128" t="n"/>
      <c r="BU142" s="128" t="n"/>
      <c r="BV142" s="128" t="n"/>
      <c r="BW142" s="128" t="n"/>
    </row>
    <row r="143" ht="20" customHeight="1">
      <c r="B143" s="125" t="n">
        <v>137</v>
      </c>
      <c r="C143" s="72" t="n"/>
      <c r="D143" s="72" t="n"/>
      <c r="E143" s="72" t="n"/>
      <c r="F143" s="72" t="n"/>
      <c r="G143" s="89" t="n"/>
      <c r="H143" s="89" t="n"/>
      <c r="I143" s="108" t="n"/>
      <c r="J143" s="126">
        <f>IF(OR(D143="",ProjStart=""),"",MAX(ProjStart,IF(I143&lt;&gt;"",I143,0),IF(H143="",0,IFERROR(INDEX($L$6:L142,MATCH(H143,$B$6:B142,0))+1,0))))</f>
        <v/>
      </c>
      <c r="K143" s="89" t="n"/>
      <c r="L143" s="126">
        <f>IF(J143="","",J143+MAX(1,G143)+IF(K143="",0,K143)-1)</f>
        <v/>
      </c>
      <c r="M143" s="72" t="n"/>
      <c r="N143" s="108" t="n"/>
      <c r="O143" s="127">
        <f>IF(D143="","",COUNTIF($H$7:$H$156,B143))</f>
        <v/>
      </c>
      <c r="P143" s="78">
        <f>IF(D143="","",IF(AND(H143&lt;&gt;"",H143&gt;=B143),"⚠️ Predecessor must be above",IF(M143="Done","✓ Done",IF(Q143=3,"🔴 Late",IF(M143="In progress","In progress","")))))</f>
        <v/>
      </c>
      <c r="Q143" s="79">
        <f>IF(OR(D143="",L143=""),"",IF(M143="Done",2,IF(AsOf&gt;L143,3,1)))</f>
        <v/>
      </c>
      <c r="R143" s="79">
        <f>IF(OR(E143="",F143=""),0,IF(COUNTIFS($E$7:E143,E143,$F$7:F143,F143)=1,1,0))</f>
        <v/>
      </c>
      <c r="S143" s="79">
        <f>IF(R143=1,E143&amp;"|"&amp;SUMIFS($R$7:R143,$E$7:E143,E143),"")</f>
        <v/>
      </c>
      <c r="T143" s="111">
        <f>IF(Q143="","",IF(Q143=3,L143,IF(OR(M143="Not started",M143=""),J143,"")))</f>
        <v/>
      </c>
      <c r="U143" s="79">
        <f>IF(T143="","",IF(Q143=3,1,IF(T143="","",IF(T143&lt;AsOf,1,IF(T143&lt;=AsOf+AlertDays,2,IF(T143&lt;=AsOf+2*AlertDays,3,""))))))</f>
        <v/>
      </c>
      <c r="V143" s="79">
        <f>IF(U143="","",IF(Q143=3,"Late task: "&amp;D143,IF(T143&lt;AsOf,"Should have started: ","Starts soon: ")&amp;D143)&amp;IF(F143="",""," — "&amp;F143))</f>
        <v/>
      </c>
      <c r="X143" s="128" t="n"/>
      <c r="Y143" s="128" t="n"/>
      <c r="Z143" s="128" t="n"/>
      <c r="AA143" s="128" t="n"/>
      <c r="AB143" s="128" t="n"/>
      <c r="AC143" s="128" t="n"/>
      <c r="AD143" s="128" t="n"/>
      <c r="AE143" s="128" t="n"/>
      <c r="AF143" s="128" t="n"/>
      <c r="AG143" s="128" t="n"/>
      <c r="AH143" s="128" t="n"/>
      <c r="AI143" s="128" t="n"/>
      <c r="AJ143" s="128" t="n"/>
      <c r="AK143" s="128" t="n"/>
      <c r="AL143" s="128" t="n"/>
      <c r="AM143" s="128" t="n"/>
      <c r="AN143" s="128" t="n"/>
      <c r="AO143" s="128" t="n"/>
      <c r="AP143" s="128" t="n"/>
      <c r="AQ143" s="128" t="n"/>
      <c r="AR143" s="128" t="n"/>
      <c r="AS143" s="128" t="n"/>
      <c r="AT143" s="128" t="n"/>
      <c r="AU143" s="128" t="n"/>
      <c r="AV143" s="128" t="n"/>
      <c r="AW143" s="128" t="n"/>
      <c r="AX143" s="128" t="n"/>
      <c r="AY143" s="128" t="n"/>
      <c r="AZ143" s="128" t="n"/>
      <c r="BA143" s="128" t="n"/>
      <c r="BB143" s="128" t="n"/>
      <c r="BC143" s="128" t="n"/>
      <c r="BD143" s="128" t="n"/>
      <c r="BE143" s="128" t="n"/>
      <c r="BF143" s="128" t="n"/>
      <c r="BG143" s="128" t="n"/>
      <c r="BH143" s="128" t="n"/>
      <c r="BI143" s="128" t="n"/>
      <c r="BJ143" s="128" t="n"/>
      <c r="BK143" s="128" t="n"/>
      <c r="BL143" s="128" t="n"/>
      <c r="BM143" s="128" t="n"/>
      <c r="BN143" s="128" t="n"/>
      <c r="BO143" s="128" t="n"/>
      <c r="BP143" s="128" t="n"/>
      <c r="BQ143" s="128" t="n"/>
      <c r="BR143" s="128" t="n"/>
      <c r="BS143" s="128" t="n"/>
      <c r="BT143" s="128" t="n"/>
      <c r="BU143" s="128" t="n"/>
      <c r="BV143" s="128" t="n"/>
      <c r="BW143" s="128" t="n"/>
    </row>
    <row r="144" ht="20" customHeight="1">
      <c r="B144" s="125" t="n">
        <v>138</v>
      </c>
      <c r="C144" s="72" t="n"/>
      <c r="D144" s="72" t="n"/>
      <c r="E144" s="72" t="n"/>
      <c r="F144" s="72" t="n"/>
      <c r="G144" s="89" t="n"/>
      <c r="H144" s="89" t="n"/>
      <c r="I144" s="108" t="n"/>
      <c r="J144" s="126">
        <f>IF(OR(D144="",ProjStart=""),"",MAX(ProjStart,IF(I144&lt;&gt;"",I144,0),IF(H144="",0,IFERROR(INDEX($L$6:L143,MATCH(H144,$B$6:B143,0))+1,0))))</f>
        <v/>
      </c>
      <c r="K144" s="89" t="n"/>
      <c r="L144" s="126">
        <f>IF(J144="","",J144+MAX(1,G144)+IF(K144="",0,K144)-1)</f>
        <v/>
      </c>
      <c r="M144" s="72" t="n"/>
      <c r="N144" s="108" t="n"/>
      <c r="O144" s="127">
        <f>IF(D144="","",COUNTIF($H$7:$H$156,B144))</f>
        <v/>
      </c>
      <c r="P144" s="78">
        <f>IF(D144="","",IF(AND(H144&lt;&gt;"",H144&gt;=B144),"⚠️ Predecessor must be above",IF(M144="Done","✓ Done",IF(Q144=3,"🔴 Late",IF(M144="In progress","In progress","")))))</f>
        <v/>
      </c>
      <c r="Q144" s="79">
        <f>IF(OR(D144="",L144=""),"",IF(M144="Done",2,IF(AsOf&gt;L144,3,1)))</f>
        <v/>
      </c>
      <c r="R144" s="79">
        <f>IF(OR(E144="",F144=""),0,IF(COUNTIFS($E$7:E144,E144,$F$7:F144,F144)=1,1,0))</f>
        <v/>
      </c>
      <c r="S144" s="79">
        <f>IF(R144=1,E144&amp;"|"&amp;SUMIFS($R$7:R144,$E$7:E144,E144),"")</f>
        <v/>
      </c>
      <c r="T144" s="111">
        <f>IF(Q144="","",IF(Q144=3,L144,IF(OR(M144="Not started",M144=""),J144,"")))</f>
        <v/>
      </c>
      <c r="U144" s="79">
        <f>IF(T144="","",IF(Q144=3,1,IF(T144="","",IF(T144&lt;AsOf,1,IF(T144&lt;=AsOf+AlertDays,2,IF(T144&lt;=AsOf+2*AlertDays,3,""))))))</f>
        <v/>
      </c>
      <c r="V144" s="79">
        <f>IF(U144="","",IF(Q144=3,"Late task: "&amp;D144,IF(T144&lt;AsOf,"Should have started: ","Starts soon: ")&amp;D144)&amp;IF(F144="",""," — "&amp;F144))</f>
        <v/>
      </c>
      <c r="X144" s="128" t="n"/>
      <c r="Y144" s="128" t="n"/>
      <c r="Z144" s="128" t="n"/>
      <c r="AA144" s="128" t="n"/>
      <c r="AB144" s="128" t="n"/>
      <c r="AC144" s="128" t="n"/>
      <c r="AD144" s="128" t="n"/>
      <c r="AE144" s="128" t="n"/>
      <c r="AF144" s="128" t="n"/>
      <c r="AG144" s="128" t="n"/>
      <c r="AH144" s="128" t="n"/>
      <c r="AI144" s="128" t="n"/>
      <c r="AJ144" s="128" t="n"/>
      <c r="AK144" s="128" t="n"/>
      <c r="AL144" s="128" t="n"/>
      <c r="AM144" s="128" t="n"/>
      <c r="AN144" s="128" t="n"/>
      <c r="AO144" s="128" t="n"/>
      <c r="AP144" s="128" t="n"/>
      <c r="AQ144" s="128" t="n"/>
      <c r="AR144" s="128" t="n"/>
      <c r="AS144" s="128" t="n"/>
      <c r="AT144" s="128" t="n"/>
      <c r="AU144" s="128" t="n"/>
      <c r="AV144" s="128" t="n"/>
      <c r="AW144" s="128" t="n"/>
      <c r="AX144" s="128" t="n"/>
      <c r="AY144" s="128" t="n"/>
      <c r="AZ144" s="128" t="n"/>
      <c r="BA144" s="128" t="n"/>
      <c r="BB144" s="128" t="n"/>
      <c r="BC144" s="128" t="n"/>
      <c r="BD144" s="128" t="n"/>
      <c r="BE144" s="128" t="n"/>
      <c r="BF144" s="128" t="n"/>
      <c r="BG144" s="128" t="n"/>
      <c r="BH144" s="128" t="n"/>
      <c r="BI144" s="128" t="n"/>
      <c r="BJ144" s="128" t="n"/>
      <c r="BK144" s="128" t="n"/>
      <c r="BL144" s="128" t="n"/>
      <c r="BM144" s="128" t="n"/>
      <c r="BN144" s="128" t="n"/>
      <c r="BO144" s="128" t="n"/>
      <c r="BP144" s="128" t="n"/>
      <c r="BQ144" s="128" t="n"/>
      <c r="BR144" s="128" t="n"/>
      <c r="BS144" s="128" t="n"/>
      <c r="BT144" s="128" t="n"/>
      <c r="BU144" s="128" t="n"/>
      <c r="BV144" s="128" t="n"/>
      <c r="BW144" s="128" t="n"/>
    </row>
    <row r="145" ht="20" customHeight="1">
      <c r="B145" s="125" t="n">
        <v>139</v>
      </c>
      <c r="C145" s="72" t="n"/>
      <c r="D145" s="72" t="n"/>
      <c r="E145" s="72" t="n"/>
      <c r="F145" s="72" t="n"/>
      <c r="G145" s="89" t="n"/>
      <c r="H145" s="89" t="n"/>
      <c r="I145" s="108" t="n"/>
      <c r="J145" s="126">
        <f>IF(OR(D145="",ProjStart=""),"",MAX(ProjStart,IF(I145&lt;&gt;"",I145,0),IF(H145="",0,IFERROR(INDEX($L$6:L144,MATCH(H145,$B$6:B144,0))+1,0))))</f>
        <v/>
      </c>
      <c r="K145" s="89" t="n"/>
      <c r="L145" s="126">
        <f>IF(J145="","",J145+MAX(1,G145)+IF(K145="",0,K145)-1)</f>
        <v/>
      </c>
      <c r="M145" s="72" t="n"/>
      <c r="N145" s="108" t="n"/>
      <c r="O145" s="127">
        <f>IF(D145="","",COUNTIF($H$7:$H$156,B145))</f>
        <v/>
      </c>
      <c r="P145" s="78">
        <f>IF(D145="","",IF(AND(H145&lt;&gt;"",H145&gt;=B145),"⚠️ Predecessor must be above",IF(M145="Done","✓ Done",IF(Q145=3,"🔴 Late",IF(M145="In progress","In progress","")))))</f>
        <v/>
      </c>
      <c r="Q145" s="79">
        <f>IF(OR(D145="",L145=""),"",IF(M145="Done",2,IF(AsOf&gt;L145,3,1)))</f>
        <v/>
      </c>
      <c r="R145" s="79">
        <f>IF(OR(E145="",F145=""),0,IF(COUNTIFS($E$7:E145,E145,$F$7:F145,F145)=1,1,0))</f>
        <v/>
      </c>
      <c r="S145" s="79">
        <f>IF(R145=1,E145&amp;"|"&amp;SUMIFS($R$7:R145,$E$7:E145,E145),"")</f>
        <v/>
      </c>
      <c r="T145" s="111">
        <f>IF(Q145="","",IF(Q145=3,L145,IF(OR(M145="Not started",M145=""),J145,"")))</f>
        <v/>
      </c>
      <c r="U145" s="79">
        <f>IF(T145="","",IF(Q145=3,1,IF(T145="","",IF(T145&lt;AsOf,1,IF(T145&lt;=AsOf+AlertDays,2,IF(T145&lt;=AsOf+2*AlertDays,3,""))))))</f>
        <v/>
      </c>
      <c r="V145" s="79">
        <f>IF(U145="","",IF(Q145=3,"Late task: "&amp;D145,IF(T145&lt;AsOf,"Should have started: ","Starts soon: ")&amp;D145)&amp;IF(F145="",""," — "&amp;F145))</f>
        <v/>
      </c>
      <c r="X145" s="128" t="n"/>
      <c r="Y145" s="128" t="n"/>
      <c r="Z145" s="128" t="n"/>
      <c r="AA145" s="128" t="n"/>
      <c r="AB145" s="128" t="n"/>
      <c r="AC145" s="128" t="n"/>
      <c r="AD145" s="128" t="n"/>
      <c r="AE145" s="128" t="n"/>
      <c r="AF145" s="128" t="n"/>
      <c r="AG145" s="128" t="n"/>
      <c r="AH145" s="128" t="n"/>
      <c r="AI145" s="128" t="n"/>
      <c r="AJ145" s="128" t="n"/>
      <c r="AK145" s="128" t="n"/>
      <c r="AL145" s="128" t="n"/>
      <c r="AM145" s="128" t="n"/>
      <c r="AN145" s="128" t="n"/>
      <c r="AO145" s="128" t="n"/>
      <c r="AP145" s="128" t="n"/>
      <c r="AQ145" s="128" t="n"/>
      <c r="AR145" s="128" t="n"/>
      <c r="AS145" s="128" t="n"/>
      <c r="AT145" s="128" t="n"/>
      <c r="AU145" s="128" t="n"/>
      <c r="AV145" s="128" t="n"/>
      <c r="AW145" s="128" t="n"/>
      <c r="AX145" s="128" t="n"/>
      <c r="AY145" s="128" t="n"/>
      <c r="AZ145" s="128" t="n"/>
      <c r="BA145" s="128" t="n"/>
      <c r="BB145" s="128" t="n"/>
      <c r="BC145" s="128" t="n"/>
      <c r="BD145" s="128" t="n"/>
      <c r="BE145" s="128" t="n"/>
      <c r="BF145" s="128" t="n"/>
      <c r="BG145" s="128" t="n"/>
      <c r="BH145" s="128" t="n"/>
      <c r="BI145" s="128" t="n"/>
      <c r="BJ145" s="128" t="n"/>
      <c r="BK145" s="128" t="n"/>
      <c r="BL145" s="128" t="n"/>
      <c r="BM145" s="128" t="n"/>
      <c r="BN145" s="128" t="n"/>
      <c r="BO145" s="128" t="n"/>
      <c r="BP145" s="128" t="n"/>
      <c r="BQ145" s="128" t="n"/>
      <c r="BR145" s="128" t="n"/>
      <c r="BS145" s="128" t="n"/>
      <c r="BT145" s="128" t="n"/>
      <c r="BU145" s="128" t="n"/>
      <c r="BV145" s="128" t="n"/>
      <c r="BW145" s="128" t="n"/>
    </row>
    <row r="146" ht="20" customHeight="1">
      <c r="B146" s="125" t="n">
        <v>140</v>
      </c>
      <c r="C146" s="72" t="n"/>
      <c r="D146" s="72" t="n"/>
      <c r="E146" s="72" t="n"/>
      <c r="F146" s="72" t="n"/>
      <c r="G146" s="89" t="n"/>
      <c r="H146" s="89" t="n"/>
      <c r="I146" s="108" t="n"/>
      <c r="J146" s="126">
        <f>IF(OR(D146="",ProjStart=""),"",MAX(ProjStart,IF(I146&lt;&gt;"",I146,0),IF(H146="",0,IFERROR(INDEX($L$6:L145,MATCH(H146,$B$6:B145,0))+1,0))))</f>
        <v/>
      </c>
      <c r="K146" s="89" t="n"/>
      <c r="L146" s="126">
        <f>IF(J146="","",J146+MAX(1,G146)+IF(K146="",0,K146)-1)</f>
        <v/>
      </c>
      <c r="M146" s="72" t="n"/>
      <c r="N146" s="108" t="n"/>
      <c r="O146" s="127">
        <f>IF(D146="","",COUNTIF($H$7:$H$156,B146))</f>
        <v/>
      </c>
      <c r="P146" s="78">
        <f>IF(D146="","",IF(AND(H146&lt;&gt;"",H146&gt;=B146),"⚠️ Predecessor must be above",IF(M146="Done","✓ Done",IF(Q146=3,"🔴 Late",IF(M146="In progress","In progress","")))))</f>
        <v/>
      </c>
      <c r="Q146" s="79">
        <f>IF(OR(D146="",L146=""),"",IF(M146="Done",2,IF(AsOf&gt;L146,3,1)))</f>
        <v/>
      </c>
      <c r="R146" s="79">
        <f>IF(OR(E146="",F146=""),0,IF(COUNTIFS($E$7:E146,E146,$F$7:F146,F146)=1,1,0))</f>
        <v/>
      </c>
      <c r="S146" s="79">
        <f>IF(R146=1,E146&amp;"|"&amp;SUMIFS($R$7:R146,$E$7:E146,E146),"")</f>
        <v/>
      </c>
      <c r="T146" s="111">
        <f>IF(Q146="","",IF(Q146=3,L146,IF(OR(M146="Not started",M146=""),J146,"")))</f>
        <v/>
      </c>
      <c r="U146" s="79">
        <f>IF(T146="","",IF(Q146=3,1,IF(T146="","",IF(T146&lt;AsOf,1,IF(T146&lt;=AsOf+AlertDays,2,IF(T146&lt;=AsOf+2*AlertDays,3,""))))))</f>
        <v/>
      </c>
      <c r="V146" s="79">
        <f>IF(U146="","",IF(Q146=3,"Late task: "&amp;D146,IF(T146&lt;AsOf,"Should have started: ","Starts soon: ")&amp;D146)&amp;IF(F146="",""," — "&amp;F146))</f>
        <v/>
      </c>
      <c r="X146" s="128" t="n"/>
      <c r="Y146" s="128" t="n"/>
      <c r="Z146" s="128" t="n"/>
      <c r="AA146" s="128" t="n"/>
      <c r="AB146" s="128" t="n"/>
      <c r="AC146" s="128" t="n"/>
      <c r="AD146" s="128" t="n"/>
      <c r="AE146" s="128" t="n"/>
      <c r="AF146" s="128" t="n"/>
      <c r="AG146" s="128" t="n"/>
      <c r="AH146" s="128" t="n"/>
      <c r="AI146" s="128" t="n"/>
      <c r="AJ146" s="128" t="n"/>
      <c r="AK146" s="128" t="n"/>
      <c r="AL146" s="128" t="n"/>
      <c r="AM146" s="128" t="n"/>
      <c r="AN146" s="128" t="n"/>
      <c r="AO146" s="128" t="n"/>
      <c r="AP146" s="128" t="n"/>
      <c r="AQ146" s="128" t="n"/>
      <c r="AR146" s="128" t="n"/>
      <c r="AS146" s="128" t="n"/>
      <c r="AT146" s="128" t="n"/>
      <c r="AU146" s="128" t="n"/>
      <c r="AV146" s="128" t="n"/>
      <c r="AW146" s="128" t="n"/>
      <c r="AX146" s="128" t="n"/>
      <c r="AY146" s="128" t="n"/>
      <c r="AZ146" s="128" t="n"/>
      <c r="BA146" s="128" t="n"/>
      <c r="BB146" s="128" t="n"/>
      <c r="BC146" s="128" t="n"/>
      <c r="BD146" s="128" t="n"/>
      <c r="BE146" s="128" t="n"/>
      <c r="BF146" s="128" t="n"/>
      <c r="BG146" s="128" t="n"/>
      <c r="BH146" s="128" t="n"/>
      <c r="BI146" s="128" t="n"/>
      <c r="BJ146" s="128" t="n"/>
      <c r="BK146" s="128" t="n"/>
      <c r="BL146" s="128" t="n"/>
      <c r="BM146" s="128" t="n"/>
      <c r="BN146" s="128" t="n"/>
      <c r="BO146" s="128" t="n"/>
      <c r="BP146" s="128" t="n"/>
      <c r="BQ146" s="128" t="n"/>
      <c r="BR146" s="128" t="n"/>
      <c r="BS146" s="128" t="n"/>
      <c r="BT146" s="128" t="n"/>
      <c r="BU146" s="128" t="n"/>
      <c r="BV146" s="128" t="n"/>
      <c r="BW146" s="128" t="n"/>
    </row>
    <row r="147" ht="20" customHeight="1">
      <c r="B147" s="125" t="n">
        <v>141</v>
      </c>
      <c r="C147" s="72" t="n"/>
      <c r="D147" s="72" t="n"/>
      <c r="E147" s="72" t="n"/>
      <c r="F147" s="72" t="n"/>
      <c r="G147" s="89" t="n"/>
      <c r="H147" s="89" t="n"/>
      <c r="I147" s="108" t="n"/>
      <c r="J147" s="126">
        <f>IF(OR(D147="",ProjStart=""),"",MAX(ProjStart,IF(I147&lt;&gt;"",I147,0),IF(H147="",0,IFERROR(INDEX($L$6:L146,MATCH(H147,$B$6:B146,0))+1,0))))</f>
        <v/>
      </c>
      <c r="K147" s="89" t="n"/>
      <c r="L147" s="126">
        <f>IF(J147="","",J147+MAX(1,G147)+IF(K147="",0,K147)-1)</f>
        <v/>
      </c>
      <c r="M147" s="72" t="n"/>
      <c r="N147" s="108" t="n"/>
      <c r="O147" s="127">
        <f>IF(D147="","",COUNTIF($H$7:$H$156,B147))</f>
        <v/>
      </c>
      <c r="P147" s="78">
        <f>IF(D147="","",IF(AND(H147&lt;&gt;"",H147&gt;=B147),"⚠️ Predecessor must be above",IF(M147="Done","✓ Done",IF(Q147=3,"🔴 Late",IF(M147="In progress","In progress","")))))</f>
        <v/>
      </c>
      <c r="Q147" s="79">
        <f>IF(OR(D147="",L147=""),"",IF(M147="Done",2,IF(AsOf&gt;L147,3,1)))</f>
        <v/>
      </c>
      <c r="R147" s="79">
        <f>IF(OR(E147="",F147=""),0,IF(COUNTIFS($E$7:E147,E147,$F$7:F147,F147)=1,1,0))</f>
        <v/>
      </c>
      <c r="S147" s="79">
        <f>IF(R147=1,E147&amp;"|"&amp;SUMIFS($R$7:R147,$E$7:E147,E147),"")</f>
        <v/>
      </c>
      <c r="T147" s="111">
        <f>IF(Q147="","",IF(Q147=3,L147,IF(OR(M147="Not started",M147=""),J147,"")))</f>
        <v/>
      </c>
      <c r="U147" s="79">
        <f>IF(T147="","",IF(Q147=3,1,IF(T147="","",IF(T147&lt;AsOf,1,IF(T147&lt;=AsOf+AlertDays,2,IF(T147&lt;=AsOf+2*AlertDays,3,""))))))</f>
        <v/>
      </c>
      <c r="V147" s="79">
        <f>IF(U147="","",IF(Q147=3,"Late task: "&amp;D147,IF(T147&lt;AsOf,"Should have started: ","Starts soon: ")&amp;D147)&amp;IF(F147="",""," — "&amp;F147))</f>
        <v/>
      </c>
      <c r="X147" s="128" t="n"/>
      <c r="Y147" s="128" t="n"/>
      <c r="Z147" s="128" t="n"/>
      <c r="AA147" s="128" t="n"/>
      <c r="AB147" s="128" t="n"/>
      <c r="AC147" s="128" t="n"/>
      <c r="AD147" s="128" t="n"/>
      <c r="AE147" s="128" t="n"/>
      <c r="AF147" s="128" t="n"/>
      <c r="AG147" s="128" t="n"/>
      <c r="AH147" s="128" t="n"/>
      <c r="AI147" s="128" t="n"/>
      <c r="AJ147" s="128" t="n"/>
      <c r="AK147" s="128" t="n"/>
      <c r="AL147" s="128" t="n"/>
      <c r="AM147" s="128" t="n"/>
      <c r="AN147" s="128" t="n"/>
      <c r="AO147" s="128" t="n"/>
      <c r="AP147" s="128" t="n"/>
      <c r="AQ147" s="128" t="n"/>
      <c r="AR147" s="128" t="n"/>
      <c r="AS147" s="128" t="n"/>
      <c r="AT147" s="128" t="n"/>
      <c r="AU147" s="128" t="n"/>
      <c r="AV147" s="128" t="n"/>
      <c r="AW147" s="128" t="n"/>
      <c r="AX147" s="128" t="n"/>
      <c r="AY147" s="128" t="n"/>
      <c r="AZ147" s="128" t="n"/>
      <c r="BA147" s="128" t="n"/>
      <c r="BB147" s="128" t="n"/>
      <c r="BC147" s="128" t="n"/>
      <c r="BD147" s="128" t="n"/>
      <c r="BE147" s="128" t="n"/>
      <c r="BF147" s="128" t="n"/>
      <c r="BG147" s="128" t="n"/>
      <c r="BH147" s="128" t="n"/>
      <c r="BI147" s="128" t="n"/>
      <c r="BJ147" s="128" t="n"/>
      <c r="BK147" s="128" t="n"/>
      <c r="BL147" s="128" t="n"/>
      <c r="BM147" s="128" t="n"/>
      <c r="BN147" s="128" t="n"/>
      <c r="BO147" s="128" t="n"/>
      <c r="BP147" s="128" t="n"/>
      <c r="BQ147" s="128" t="n"/>
      <c r="BR147" s="128" t="n"/>
      <c r="BS147" s="128" t="n"/>
      <c r="BT147" s="128" t="n"/>
      <c r="BU147" s="128" t="n"/>
      <c r="BV147" s="128" t="n"/>
      <c r="BW147" s="128" t="n"/>
    </row>
    <row r="148" ht="20" customHeight="1">
      <c r="B148" s="125" t="n">
        <v>142</v>
      </c>
      <c r="C148" s="72" t="n"/>
      <c r="D148" s="72" t="n"/>
      <c r="E148" s="72" t="n"/>
      <c r="F148" s="72" t="n"/>
      <c r="G148" s="89" t="n"/>
      <c r="H148" s="89" t="n"/>
      <c r="I148" s="108" t="n"/>
      <c r="J148" s="126">
        <f>IF(OR(D148="",ProjStart=""),"",MAX(ProjStart,IF(I148&lt;&gt;"",I148,0),IF(H148="",0,IFERROR(INDEX($L$6:L147,MATCH(H148,$B$6:B147,0))+1,0))))</f>
        <v/>
      </c>
      <c r="K148" s="89" t="n"/>
      <c r="L148" s="126">
        <f>IF(J148="","",J148+MAX(1,G148)+IF(K148="",0,K148)-1)</f>
        <v/>
      </c>
      <c r="M148" s="72" t="n"/>
      <c r="N148" s="108" t="n"/>
      <c r="O148" s="127">
        <f>IF(D148="","",COUNTIF($H$7:$H$156,B148))</f>
        <v/>
      </c>
      <c r="P148" s="78">
        <f>IF(D148="","",IF(AND(H148&lt;&gt;"",H148&gt;=B148),"⚠️ Predecessor must be above",IF(M148="Done","✓ Done",IF(Q148=3,"🔴 Late",IF(M148="In progress","In progress","")))))</f>
        <v/>
      </c>
      <c r="Q148" s="79">
        <f>IF(OR(D148="",L148=""),"",IF(M148="Done",2,IF(AsOf&gt;L148,3,1)))</f>
        <v/>
      </c>
      <c r="R148" s="79">
        <f>IF(OR(E148="",F148=""),0,IF(COUNTIFS($E$7:E148,E148,$F$7:F148,F148)=1,1,0))</f>
        <v/>
      </c>
      <c r="S148" s="79">
        <f>IF(R148=1,E148&amp;"|"&amp;SUMIFS($R$7:R148,$E$7:E148,E148),"")</f>
        <v/>
      </c>
      <c r="T148" s="111">
        <f>IF(Q148="","",IF(Q148=3,L148,IF(OR(M148="Not started",M148=""),J148,"")))</f>
        <v/>
      </c>
      <c r="U148" s="79">
        <f>IF(T148="","",IF(Q148=3,1,IF(T148="","",IF(T148&lt;AsOf,1,IF(T148&lt;=AsOf+AlertDays,2,IF(T148&lt;=AsOf+2*AlertDays,3,""))))))</f>
        <v/>
      </c>
      <c r="V148" s="79">
        <f>IF(U148="","",IF(Q148=3,"Late task: "&amp;D148,IF(T148&lt;AsOf,"Should have started: ","Starts soon: ")&amp;D148)&amp;IF(F148="",""," — "&amp;F148))</f>
        <v/>
      </c>
      <c r="X148" s="128" t="n"/>
      <c r="Y148" s="128" t="n"/>
      <c r="Z148" s="128" t="n"/>
      <c r="AA148" s="128" t="n"/>
      <c r="AB148" s="128" t="n"/>
      <c r="AC148" s="128" t="n"/>
      <c r="AD148" s="128" t="n"/>
      <c r="AE148" s="128" t="n"/>
      <c r="AF148" s="128" t="n"/>
      <c r="AG148" s="128" t="n"/>
      <c r="AH148" s="128" t="n"/>
      <c r="AI148" s="128" t="n"/>
      <c r="AJ148" s="128" t="n"/>
      <c r="AK148" s="128" t="n"/>
      <c r="AL148" s="128" t="n"/>
      <c r="AM148" s="128" t="n"/>
      <c r="AN148" s="128" t="n"/>
      <c r="AO148" s="128" t="n"/>
      <c r="AP148" s="128" t="n"/>
      <c r="AQ148" s="128" t="n"/>
      <c r="AR148" s="128" t="n"/>
      <c r="AS148" s="128" t="n"/>
      <c r="AT148" s="128" t="n"/>
      <c r="AU148" s="128" t="n"/>
      <c r="AV148" s="128" t="n"/>
      <c r="AW148" s="128" t="n"/>
      <c r="AX148" s="128" t="n"/>
      <c r="AY148" s="128" t="n"/>
      <c r="AZ148" s="128" t="n"/>
      <c r="BA148" s="128" t="n"/>
      <c r="BB148" s="128" t="n"/>
      <c r="BC148" s="128" t="n"/>
      <c r="BD148" s="128" t="n"/>
      <c r="BE148" s="128" t="n"/>
      <c r="BF148" s="128" t="n"/>
      <c r="BG148" s="128" t="n"/>
      <c r="BH148" s="128" t="n"/>
      <c r="BI148" s="128" t="n"/>
      <c r="BJ148" s="128" t="n"/>
      <c r="BK148" s="128" t="n"/>
      <c r="BL148" s="128" t="n"/>
      <c r="BM148" s="128" t="n"/>
      <c r="BN148" s="128" t="n"/>
      <c r="BO148" s="128" t="n"/>
      <c r="BP148" s="128" t="n"/>
      <c r="BQ148" s="128" t="n"/>
      <c r="BR148" s="128" t="n"/>
      <c r="BS148" s="128" t="n"/>
      <c r="BT148" s="128" t="n"/>
      <c r="BU148" s="128" t="n"/>
      <c r="BV148" s="128" t="n"/>
      <c r="BW148" s="128" t="n"/>
    </row>
    <row r="149" ht="20" customHeight="1">
      <c r="B149" s="125" t="n">
        <v>143</v>
      </c>
      <c r="C149" s="72" t="n"/>
      <c r="D149" s="72" t="n"/>
      <c r="E149" s="72" t="n"/>
      <c r="F149" s="72" t="n"/>
      <c r="G149" s="89" t="n"/>
      <c r="H149" s="89" t="n"/>
      <c r="I149" s="108" t="n"/>
      <c r="J149" s="126">
        <f>IF(OR(D149="",ProjStart=""),"",MAX(ProjStart,IF(I149&lt;&gt;"",I149,0),IF(H149="",0,IFERROR(INDEX($L$6:L148,MATCH(H149,$B$6:B148,0))+1,0))))</f>
        <v/>
      </c>
      <c r="K149" s="89" t="n"/>
      <c r="L149" s="126">
        <f>IF(J149="","",J149+MAX(1,G149)+IF(K149="",0,K149)-1)</f>
        <v/>
      </c>
      <c r="M149" s="72" t="n"/>
      <c r="N149" s="108" t="n"/>
      <c r="O149" s="127">
        <f>IF(D149="","",COUNTIF($H$7:$H$156,B149))</f>
        <v/>
      </c>
      <c r="P149" s="78">
        <f>IF(D149="","",IF(AND(H149&lt;&gt;"",H149&gt;=B149),"⚠️ Predecessor must be above",IF(M149="Done","✓ Done",IF(Q149=3,"🔴 Late",IF(M149="In progress","In progress","")))))</f>
        <v/>
      </c>
      <c r="Q149" s="79">
        <f>IF(OR(D149="",L149=""),"",IF(M149="Done",2,IF(AsOf&gt;L149,3,1)))</f>
        <v/>
      </c>
      <c r="R149" s="79">
        <f>IF(OR(E149="",F149=""),0,IF(COUNTIFS($E$7:E149,E149,$F$7:F149,F149)=1,1,0))</f>
        <v/>
      </c>
      <c r="S149" s="79">
        <f>IF(R149=1,E149&amp;"|"&amp;SUMIFS($R$7:R149,$E$7:E149,E149),"")</f>
        <v/>
      </c>
      <c r="T149" s="111">
        <f>IF(Q149="","",IF(Q149=3,L149,IF(OR(M149="Not started",M149=""),J149,"")))</f>
        <v/>
      </c>
      <c r="U149" s="79">
        <f>IF(T149="","",IF(Q149=3,1,IF(T149="","",IF(T149&lt;AsOf,1,IF(T149&lt;=AsOf+AlertDays,2,IF(T149&lt;=AsOf+2*AlertDays,3,""))))))</f>
        <v/>
      </c>
      <c r="V149" s="79">
        <f>IF(U149="","",IF(Q149=3,"Late task: "&amp;D149,IF(T149&lt;AsOf,"Should have started: ","Starts soon: ")&amp;D149)&amp;IF(F149="",""," — "&amp;F149))</f>
        <v/>
      </c>
      <c r="X149" s="128" t="n"/>
      <c r="Y149" s="128" t="n"/>
      <c r="Z149" s="128" t="n"/>
      <c r="AA149" s="128" t="n"/>
      <c r="AB149" s="128" t="n"/>
      <c r="AC149" s="128" t="n"/>
      <c r="AD149" s="128" t="n"/>
      <c r="AE149" s="128" t="n"/>
      <c r="AF149" s="128" t="n"/>
      <c r="AG149" s="128" t="n"/>
      <c r="AH149" s="128" t="n"/>
      <c r="AI149" s="128" t="n"/>
      <c r="AJ149" s="128" t="n"/>
      <c r="AK149" s="128" t="n"/>
      <c r="AL149" s="128" t="n"/>
      <c r="AM149" s="128" t="n"/>
      <c r="AN149" s="128" t="n"/>
      <c r="AO149" s="128" t="n"/>
      <c r="AP149" s="128" t="n"/>
      <c r="AQ149" s="128" t="n"/>
      <c r="AR149" s="128" t="n"/>
      <c r="AS149" s="128" t="n"/>
      <c r="AT149" s="128" t="n"/>
      <c r="AU149" s="128" t="n"/>
      <c r="AV149" s="128" t="n"/>
      <c r="AW149" s="128" t="n"/>
      <c r="AX149" s="128" t="n"/>
      <c r="AY149" s="128" t="n"/>
      <c r="AZ149" s="128" t="n"/>
      <c r="BA149" s="128" t="n"/>
      <c r="BB149" s="128" t="n"/>
      <c r="BC149" s="128" t="n"/>
      <c r="BD149" s="128" t="n"/>
      <c r="BE149" s="128" t="n"/>
      <c r="BF149" s="128" t="n"/>
      <c r="BG149" s="128" t="n"/>
      <c r="BH149" s="128" t="n"/>
      <c r="BI149" s="128" t="n"/>
      <c r="BJ149" s="128" t="n"/>
      <c r="BK149" s="128" t="n"/>
      <c r="BL149" s="128" t="n"/>
      <c r="BM149" s="128" t="n"/>
      <c r="BN149" s="128" t="n"/>
      <c r="BO149" s="128" t="n"/>
      <c r="BP149" s="128" t="n"/>
      <c r="BQ149" s="128" t="n"/>
      <c r="BR149" s="128" t="n"/>
      <c r="BS149" s="128" t="n"/>
      <c r="BT149" s="128" t="n"/>
      <c r="BU149" s="128" t="n"/>
      <c r="BV149" s="128" t="n"/>
      <c r="BW149" s="128" t="n"/>
    </row>
    <row r="150" ht="20" customHeight="1">
      <c r="B150" s="125" t="n">
        <v>144</v>
      </c>
      <c r="C150" s="72" t="n"/>
      <c r="D150" s="72" t="n"/>
      <c r="E150" s="72" t="n"/>
      <c r="F150" s="72" t="n"/>
      <c r="G150" s="89" t="n"/>
      <c r="H150" s="89" t="n"/>
      <c r="I150" s="108" t="n"/>
      <c r="J150" s="126">
        <f>IF(OR(D150="",ProjStart=""),"",MAX(ProjStart,IF(I150&lt;&gt;"",I150,0),IF(H150="",0,IFERROR(INDEX($L$6:L149,MATCH(H150,$B$6:B149,0))+1,0))))</f>
        <v/>
      </c>
      <c r="K150" s="89" t="n"/>
      <c r="L150" s="126">
        <f>IF(J150="","",J150+MAX(1,G150)+IF(K150="",0,K150)-1)</f>
        <v/>
      </c>
      <c r="M150" s="72" t="n"/>
      <c r="N150" s="108" t="n"/>
      <c r="O150" s="127">
        <f>IF(D150="","",COUNTIF($H$7:$H$156,B150))</f>
        <v/>
      </c>
      <c r="P150" s="78">
        <f>IF(D150="","",IF(AND(H150&lt;&gt;"",H150&gt;=B150),"⚠️ Predecessor must be above",IF(M150="Done","✓ Done",IF(Q150=3,"🔴 Late",IF(M150="In progress","In progress","")))))</f>
        <v/>
      </c>
      <c r="Q150" s="79">
        <f>IF(OR(D150="",L150=""),"",IF(M150="Done",2,IF(AsOf&gt;L150,3,1)))</f>
        <v/>
      </c>
      <c r="R150" s="79">
        <f>IF(OR(E150="",F150=""),0,IF(COUNTIFS($E$7:E150,E150,$F$7:F150,F150)=1,1,0))</f>
        <v/>
      </c>
      <c r="S150" s="79">
        <f>IF(R150=1,E150&amp;"|"&amp;SUMIFS($R$7:R150,$E$7:E150,E150),"")</f>
        <v/>
      </c>
      <c r="T150" s="111">
        <f>IF(Q150="","",IF(Q150=3,L150,IF(OR(M150="Not started",M150=""),J150,"")))</f>
        <v/>
      </c>
      <c r="U150" s="79">
        <f>IF(T150="","",IF(Q150=3,1,IF(T150="","",IF(T150&lt;AsOf,1,IF(T150&lt;=AsOf+AlertDays,2,IF(T150&lt;=AsOf+2*AlertDays,3,""))))))</f>
        <v/>
      </c>
      <c r="V150" s="79">
        <f>IF(U150="","",IF(Q150=3,"Late task: "&amp;D150,IF(T150&lt;AsOf,"Should have started: ","Starts soon: ")&amp;D150)&amp;IF(F150="",""," — "&amp;F150))</f>
        <v/>
      </c>
      <c r="X150" s="128" t="n"/>
      <c r="Y150" s="128" t="n"/>
      <c r="Z150" s="128" t="n"/>
      <c r="AA150" s="128" t="n"/>
      <c r="AB150" s="128" t="n"/>
      <c r="AC150" s="128" t="n"/>
      <c r="AD150" s="128" t="n"/>
      <c r="AE150" s="128" t="n"/>
      <c r="AF150" s="128" t="n"/>
      <c r="AG150" s="128" t="n"/>
      <c r="AH150" s="128" t="n"/>
      <c r="AI150" s="128" t="n"/>
      <c r="AJ150" s="128" t="n"/>
      <c r="AK150" s="128" t="n"/>
      <c r="AL150" s="128" t="n"/>
      <c r="AM150" s="128" t="n"/>
      <c r="AN150" s="128" t="n"/>
      <c r="AO150" s="128" t="n"/>
      <c r="AP150" s="128" t="n"/>
      <c r="AQ150" s="128" t="n"/>
      <c r="AR150" s="128" t="n"/>
      <c r="AS150" s="128" t="n"/>
      <c r="AT150" s="128" t="n"/>
      <c r="AU150" s="128" t="n"/>
      <c r="AV150" s="128" t="n"/>
      <c r="AW150" s="128" t="n"/>
      <c r="AX150" s="128" t="n"/>
      <c r="AY150" s="128" t="n"/>
      <c r="AZ150" s="128" t="n"/>
      <c r="BA150" s="128" t="n"/>
      <c r="BB150" s="128" t="n"/>
      <c r="BC150" s="128" t="n"/>
      <c r="BD150" s="128" t="n"/>
      <c r="BE150" s="128" t="n"/>
      <c r="BF150" s="128" t="n"/>
      <c r="BG150" s="128" t="n"/>
      <c r="BH150" s="128" t="n"/>
      <c r="BI150" s="128" t="n"/>
      <c r="BJ150" s="128" t="n"/>
      <c r="BK150" s="128" t="n"/>
      <c r="BL150" s="128" t="n"/>
      <c r="BM150" s="128" t="n"/>
      <c r="BN150" s="128" t="n"/>
      <c r="BO150" s="128" t="n"/>
      <c r="BP150" s="128" t="n"/>
      <c r="BQ150" s="128" t="n"/>
      <c r="BR150" s="128" t="n"/>
      <c r="BS150" s="128" t="n"/>
      <c r="BT150" s="128" t="n"/>
      <c r="BU150" s="128" t="n"/>
      <c r="BV150" s="128" t="n"/>
      <c r="BW150" s="128" t="n"/>
    </row>
    <row r="151" ht="20" customHeight="1">
      <c r="B151" s="125" t="n">
        <v>145</v>
      </c>
      <c r="C151" s="72" t="n"/>
      <c r="D151" s="72" t="n"/>
      <c r="E151" s="72" t="n"/>
      <c r="F151" s="72" t="n"/>
      <c r="G151" s="89" t="n"/>
      <c r="H151" s="89" t="n"/>
      <c r="I151" s="108" t="n"/>
      <c r="J151" s="126">
        <f>IF(OR(D151="",ProjStart=""),"",MAX(ProjStart,IF(I151&lt;&gt;"",I151,0),IF(H151="",0,IFERROR(INDEX($L$6:L150,MATCH(H151,$B$6:B150,0))+1,0))))</f>
        <v/>
      </c>
      <c r="K151" s="89" t="n"/>
      <c r="L151" s="126">
        <f>IF(J151="","",J151+MAX(1,G151)+IF(K151="",0,K151)-1)</f>
        <v/>
      </c>
      <c r="M151" s="72" t="n"/>
      <c r="N151" s="108" t="n"/>
      <c r="O151" s="127">
        <f>IF(D151="","",COUNTIF($H$7:$H$156,B151))</f>
        <v/>
      </c>
      <c r="P151" s="78">
        <f>IF(D151="","",IF(AND(H151&lt;&gt;"",H151&gt;=B151),"⚠️ Predecessor must be above",IF(M151="Done","✓ Done",IF(Q151=3,"🔴 Late",IF(M151="In progress","In progress","")))))</f>
        <v/>
      </c>
      <c r="Q151" s="79">
        <f>IF(OR(D151="",L151=""),"",IF(M151="Done",2,IF(AsOf&gt;L151,3,1)))</f>
        <v/>
      </c>
      <c r="R151" s="79">
        <f>IF(OR(E151="",F151=""),0,IF(COUNTIFS($E$7:E151,E151,$F$7:F151,F151)=1,1,0))</f>
        <v/>
      </c>
      <c r="S151" s="79">
        <f>IF(R151=1,E151&amp;"|"&amp;SUMIFS($R$7:R151,$E$7:E151,E151),"")</f>
        <v/>
      </c>
      <c r="T151" s="111">
        <f>IF(Q151="","",IF(Q151=3,L151,IF(OR(M151="Not started",M151=""),J151,"")))</f>
        <v/>
      </c>
      <c r="U151" s="79">
        <f>IF(T151="","",IF(Q151=3,1,IF(T151="","",IF(T151&lt;AsOf,1,IF(T151&lt;=AsOf+AlertDays,2,IF(T151&lt;=AsOf+2*AlertDays,3,""))))))</f>
        <v/>
      </c>
      <c r="V151" s="79">
        <f>IF(U151="","",IF(Q151=3,"Late task: "&amp;D151,IF(T151&lt;AsOf,"Should have started: ","Starts soon: ")&amp;D151)&amp;IF(F151="",""," — "&amp;F151))</f>
        <v/>
      </c>
      <c r="X151" s="128" t="n"/>
      <c r="Y151" s="128" t="n"/>
      <c r="Z151" s="128" t="n"/>
      <c r="AA151" s="128" t="n"/>
      <c r="AB151" s="128" t="n"/>
      <c r="AC151" s="128" t="n"/>
      <c r="AD151" s="128" t="n"/>
      <c r="AE151" s="128" t="n"/>
      <c r="AF151" s="128" t="n"/>
      <c r="AG151" s="128" t="n"/>
      <c r="AH151" s="128" t="n"/>
      <c r="AI151" s="128" t="n"/>
      <c r="AJ151" s="128" t="n"/>
      <c r="AK151" s="128" t="n"/>
      <c r="AL151" s="128" t="n"/>
      <c r="AM151" s="128" t="n"/>
      <c r="AN151" s="128" t="n"/>
      <c r="AO151" s="128" t="n"/>
      <c r="AP151" s="128" t="n"/>
      <c r="AQ151" s="128" t="n"/>
      <c r="AR151" s="128" t="n"/>
      <c r="AS151" s="128" t="n"/>
      <c r="AT151" s="128" t="n"/>
      <c r="AU151" s="128" t="n"/>
      <c r="AV151" s="128" t="n"/>
      <c r="AW151" s="128" t="n"/>
      <c r="AX151" s="128" t="n"/>
      <c r="AY151" s="128" t="n"/>
      <c r="AZ151" s="128" t="n"/>
      <c r="BA151" s="128" t="n"/>
      <c r="BB151" s="128" t="n"/>
      <c r="BC151" s="128" t="n"/>
      <c r="BD151" s="128" t="n"/>
      <c r="BE151" s="128" t="n"/>
      <c r="BF151" s="128" t="n"/>
      <c r="BG151" s="128" t="n"/>
      <c r="BH151" s="128" t="n"/>
      <c r="BI151" s="128" t="n"/>
      <c r="BJ151" s="128" t="n"/>
      <c r="BK151" s="128" t="n"/>
      <c r="BL151" s="128" t="n"/>
      <c r="BM151" s="128" t="n"/>
      <c r="BN151" s="128" t="n"/>
      <c r="BO151" s="128" t="n"/>
      <c r="BP151" s="128" t="n"/>
      <c r="BQ151" s="128" t="n"/>
      <c r="BR151" s="128" t="n"/>
      <c r="BS151" s="128" t="n"/>
      <c r="BT151" s="128" t="n"/>
      <c r="BU151" s="128" t="n"/>
      <c r="BV151" s="128" t="n"/>
      <c r="BW151" s="128" t="n"/>
    </row>
    <row r="152" ht="20" customHeight="1">
      <c r="B152" s="125" t="n">
        <v>146</v>
      </c>
      <c r="C152" s="72" t="n"/>
      <c r="D152" s="72" t="n"/>
      <c r="E152" s="72" t="n"/>
      <c r="F152" s="72" t="n"/>
      <c r="G152" s="89" t="n"/>
      <c r="H152" s="89" t="n"/>
      <c r="I152" s="108" t="n"/>
      <c r="J152" s="126">
        <f>IF(OR(D152="",ProjStart=""),"",MAX(ProjStart,IF(I152&lt;&gt;"",I152,0),IF(H152="",0,IFERROR(INDEX($L$6:L151,MATCH(H152,$B$6:B151,0))+1,0))))</f>
        <v/>
      </c>
      <c r="K152" s="89" t="n"/>
      <c r="L152" s="126">
        <f>IF(J152="","",J152+MAX(1,G152)+IF(K152="",0,K152)-1)</f>
        <v/>
      </c>
      <c r="M152" s="72" t="n"/>
      <c r="N152" s="108" t="n"/>
      <c r="O152" s="127">
        <f>IF(D152="","",COUNTIF($H$7:$H$156,B152))</f>
        <v/>
      </c>
      <c r="P152" s="78">
        <f>IF(D152="","",IF(AND(H152&lt;&gt;"",H152&gt;=B152),"⚠️ Predecessor must be above",IF(M152="Done","✓ Done",IF(Q152=3,"🔴 Late",IF(M152="In progress","In progress","")))))</f>
        <v/>
      </c>
      <c r="Q152" s="79">
        <f>IF(OR(D152="",L152=""),"",IF(M152="Done",2,IF(AsOf&gt;L152,3,1)))</f>
        <v/>
      </c>
      <c r="R152" s="79">
        <f>IF(OR(E152="",F152=""),0,IF(COUNTIFS($E$7:E152,E152,$F$7:F152,F152)=1,1,0))</f>
        <v/>
      </c>
      <c r="S152" s="79">
        <f>IF(R152=1,E152&amp;"|"&amp;SUMIFS($R$7:R152,$E$7:E152,E152),"")</f>
        <v/>
      </c>
      <c r="T152" s="111">
        <f>IF(Q152="","",IF(Q152=3,L152,IF(OR(M152="Not started",M152=""),J152,"")))</f>
        <v/>
      </c>
      <c r="U152" s="79">
        <f>IF(T152="","",IF(Q152=3,1,IF(T152="","",IF(T152&lt;AsOf,1,IF(T152&lt;=AsOf+AlertDays,2,IF(T152&lt;=AsOf+2*AlertDays,3,""))))))</f>
        <v/>
      </c>
      <c r="V152" s="79">
        <f>IF(U152="","",IF(Q152=3,"Late task: "&amp;D152,IF(T152&lt;AsOf,"Should have started: ","Starts soon: ")&amp;D152)&amp;IF(F152="",""," — "&amp;F152))</f>
        <v/>
      </c>
      <c r="X152" s="128" t="n"/>
      <c r="Y152" s="128" t="n"/>
      <c r="Z152" s="128" t="n"/>
      <c r="AA152" s="128" t="n"/>
      <c r="AB152" s="128" t="n"/>
      <c r="AC152" s="128" t="n"/>
      <c r="AD152" s="128" t="n"/>
      <c r="AE152" s="128" t="n"/>
      <c r="AF152" s="128" t="n"/>
      <c r="AG152" s="128" t="n"/>
      <c r="AH152" s="128" t="n"/>
      <c r="AI152" s="128" t="n"/>
      <c r="AJ152" s="128" t="n"/>
      <c r="AK152" s="128" t="n"/>
      <c r="AL152" s="128" t="n"/>
      <c r="AM152" s="128" t="n"/>
      <c r="AN152" s="128" t="n"/>
      <c r="AO152" s="128" t="n"/>
      <c r="AP152" s="128" t="n"/>
      <c r="AQ152" s="128" t="n"/>
      <c r="AR152" s="128" t="n"/>
      <c r="AS152" s="128" t="n"/>
      <c r="AT152" s="128" t="n"/>
      <c r="AU152" s="128" t="n"/>
      <c r="AV152" s="128" t="n"/>
      <c r="AW152" s="128" t="n"/>
      <c r="AX152" s="128" t="n"/>
      <c r="AY152" s="128" t="n"/>
      <c r="AZ152" s="128" t="n"/>
      <c r="BA152" s="128" t="n"/>
      <c r="BB152" s="128" t="n"/>
      <c r="BC152" s="128" t="n"/>
      <c r="BD152" s="128" t="n"/>
      <c r="BE152" s="128" t="n"/>
      <c r="BF152" s="128" t="n"/>
      <c r="BG152" s="128" t="n"/>
      <c r="BH152" s="128" t="n"/>
      <c r="BI152" s="128" t="n"/>
      <c r="BJ152" s="128" t="n"/>
      <c r="BK152" s="128" t="n"/>
      <c r="BL152" s="128" t="n"/>
      <c r="BM152" s="128" t="n"/>
      <c r="BN152" s="128" t="n"/>
      <c r="BO152" s="128" t="n"/>
      <c r="BP152" s="128" t="n"/>
      <c r="BQ152" s="128" t="n"/>
      <c r="BR152" s="128" t="n"/>
      <c r="BS152" s="128" t="n"/>
      <c r="BT152" s="128" t="n"/>
      <c r="BU152" s="128" t="n"/>
      <c r="BV152" s="128" t="n"/>
      <c r="BW152" s="128" t="n"/>
    </row>
    <row r="153" ht="20" customHeight="1">
      <c r="B153" s="125" t="n">
        <v>147</v>
      </c>
      <c r="C153" s="72" t="n"/>
      <c r="D153" s="72" t="n"/>
      <c r="E153" s="72" t="n"/>
      <c r="F153" s="72" t="n"/>
      <c r="G153" s="89" t="n"/>
      <c r="H153" s="89" t="n"/>
      <c r="I153" s="108" t="n"/>
      <c r="J153" s="126">
        <f>IF(OR(D153="",ProjStart=""),"",MAX(ProjStart,IF(I153&lt;&gt;"",I153,0),IF(H153="",0,IFERROR(INDEX($L$6:L152,MATCH(H153,$B$6:B152,0))+1,0))))</f>
        <v/>
      </c>
      <c r="K153" s="89" t="n"/>
      <c r="L153" s="126">
        <f>IF(J153="","",J153+MAX(1,G153)+IF(K153="",0,K153)-1)</f>
        <v/>
      </c>
      <c r="M153" s="72" t="n"/>
      <c r="N153" s="108" t="n"/>
      <c r="O153" s="127">
        <f>IF(D153="","",COUNTIF($H$7:$H$156,B153))</f>
        <v/>
      </c>
      <c r="P153" s="78">
        <f>IF(D153="","",IF(AND(H153&lt;&gt;"",H153&gt;=B153),"⚠️ Predecessor must be above",IF(M153="Done","✓ Done",IF(Q153=3,"🔴 Late",IF(M153="In progress","In progress","")))))</f>
        <v/>
      </c>
      <c r="Q153" s="79">
        <f>IF(OR(D153="",L153=""),"",IF(M153="Done",2,IF(AsOf&gt;L153,3,1)))</f>
        <v/>
      </c>
      <c r="R153" s="79">
        <f>IF(OR(E153="",F153=""),0,IF(COUNTIFS($E$7:E153,E153,$F$7:F153,F153)=1,1,0))</f>
        <v/>
      </c>
      <c r="S153" s="79">
        <f>IF(R153=1,E153&amp;"|"&amp;SUMIFS($R$7:R153,$E$7:E153,E153),"")</f>
        <v/>
      </c>
      <c r="T153" s="111">
        <f>IF(Q153="","",IF(Q153=3,L153,IF(OR(M153="Not started",M153=""),J153,"")))</f>
        <v/>
      </c>
      <c r="U153" s="79">
        <f>IF(T153="","",IF(Q153=3,1,IF(T153="","",IF(T153&lt;AsOf,1,IF(T153&lt;=AsOf+AlertDays,2,IF(T153&lt;=AsOf+2*AlertDays,3,""))))))</f>
        <v/>
      </c>
      <c r="V153" s="79">
        <f>IF(U153="","",IF(Q153=3,"Late task: "&amp;D153,IF(T153&lt;AsOf,"Should have started: ","Starts soon: ")&amp;D153)&amp;IF(F153="",""," — "&amp;F153))</f>
        <v/>
      </c>
      <c r="X153" s="128" t="n"/>
      <c r="Y153" s="128" t="n"/>
      <c r="Z153" s="128" t="n"/>
      <c r="AA153" s="128" t="n"/>
      <c r="AB153" s="128" t="n"/>
      <c r="AC153" s="128" t="n"/>
      <c r="AD153" s="128" t="n"/>
      <c r="AE153" s="128" t="n"/>
      <c r="AF153" s="128" t="n"/>
      <c r="AG153" s="128" t="n"/>
      <c r="AH153" s="128" t="n"/>
      <c r="AI153" s="128" t="n"/>
      <c r="AJ153" s="128" t="n"/>
      <c r="AK153" s="128" t="n"/>
      <c r="AL153" s="128" t="n"/>
      <c r="AM153" s="128" t="n"/>
      <c r="AN153" s="128" t="n"/>
      <c r="AO153" s="128" t="n"/>
      <c r="AP153" s="128" t="n"/>
      <c r="AQ153" s="128" t="n"/>
      <c r="AR153" s="128" t="n"/>
      <c r="AS153" s="128" t="n"/>
      <c r="AT153" s="128" t="n"/>
      <c r="AU153" s="128" t="n"/>
      <c r="AV153" s="128" t="n"/>
      <c r="AW153" s="128" t="n"/>
      <c r="AX153" s="128" t="n"/>
      <c r="AY153" s="128" t="n"/>
      <c r="AZ153" s="128" t="n"/>
      <c r="BA153" s="128" t="n"/>
      <c r="BB153" s="128" t="n"/>
      <c r="BC153" s="128" t="n"/>
      <c r="BD153" s="128" t="n"/>
      <c r="BE153" s="128" t="n"/>
      <c r="BF153" s="128" t="n"/>
      <c r="BG153" s="128" t="n"/>
      <c r="BH153" s="128" t="n"/>
      <c r="BI153" s="128" t="n"/>
      <c r="BJ153" s="128" t="n"/>
      <c r="BK153" s="128" t="n"/>
      <c r="BL153" s="128" t="n"/>
      <c r="BM153" s="128" t="n"/>
      <c r="BN153" s="128" t="n"/>
      <c r="BO153" s="128" t="n"/>
      <c r="BP153" s="128" t="n"/>
      <c r="BQ153" s="128" t="n"/>
      <c r="BR153" s="128" t="n"/>
      <c r="BS153" s="128" t="n"/>
      <c r="BT153" s="128" t="n"/>
      <c r="BU153" s="128" t="n"/>
      <c r="BV153" s="128" t="n"/>
      <c r="BW153" s="128" t="n"/>
    </row>
    <row r="154" ht="20" customHeight="1">
      <c r="B154" s="125" t="n">
        <v>148</v>
      </c>
      <c r="C154" s="72" t="n"/>
      <c r="D154" s="72" t="n"/>
      <c r="E154" s="72" t="n"/>
      <c r="F154" s="72" t="n"/>
      <c r="G154" s="89" t="n"/>
      <c r="H154" s="89" t="n"/>
      <c r="I154" s="108" t="n"/>
      <c r="J154" s="126">
        <f>IF(OR(D154="",ProjStart=""),"",MAX(ProjStart,IF(I154&lt;&gt;"",I154,0),IF(H154="",0,IFERROR(INDEX($L$6:L153,MATCH(H154,$B$6:B153,0))+1,0))))</f>
        <v/>
      </c>
      <c r="K154" s="89" t="n"/>
      <c r="L154" s="126">
        <f>IF(J154="","",J154+MAX(1,G154)+IF(K154="",0,K154)-1)</f>
        <v/>
      </c>
      <c r="M154" s="72" t="n"/>
      <c r="N154" s="108" t="n"/>
      <c r="O154" s="127">
        <f>IF(D154="","",COUNTIF($H$7:$H$156,B154))</f>
        <v/>
      </c>
      <c r="P154" s="78">
        <f>IF(D154="","",IF(AND(H154&lt;&gt;"",H154&gt;=B154),"⚠️ Predecessor must be above",IF(M154="Done","✓ Done",IF(Q154=3,"🔴 Late",IF(M154="In progress","In progress","")))))</f>
        <v/>
      </c>
      <c r="Q154" s="79">
        <f>IF(OR(D154="",L154=""),"",IF(M154="Done",2,IF(AsOf&gt;L154,3,1)))</f>
        <v/>
      </c>
      <c r="R154" s="79">
        <f>IF(OR(E154="",F154=""),0,IF(COUNTIFS($E$7:E154,E154,$F$7:F154,F154)=1,1,0))</f>
        <v/>
      </c>
      <c r="S154" s="79">
        <f>IF(R154=1,E154&amp;"|"&amp;SUMIFS($R$7:R154,$E$7:E154,E154),"")</f>
        <v/>
      </c>
      <c r="T154" s="111">
        <f>IF(Q154="","",IF(Q154=3,L154,IF(OR(M154="Not started",M154=""),J154,"")))</f>
        <v/>
      </c>
      <c r="U154" s="79">
        <f>IF(T154="","",IF(Q154=3,1,IF(T154="","",IF(T154&lt;AsOf,1,IF(T154&lt;=AsOf+AlertDays,2,IF(T154&lt;=AsOf+2*AlertDays,3,""))))))</f>
        <v/>
      </c>
      <c r="V154" s="79">
        <f>IF(U154="","",IF(Q154=3,"Late task: "&amp;D154,IF(T154&lt;AsOf,"Should have started: ","Starts soon: ")&amp;D154)&amp;IF(F154="",""," — "&amp;F154))</f>
        <v/>
      </c>
      <c r="X154" s="128" t="n"/>
      <c r="Y154" s="128" t="n"/>
      <c r="Z154" s="128" t="n"/>
      <c r="AA154" s="128" t="n"/>
      <c r="AB154" s="128" t="n"/>
      <c r="AC154" s="128" t="n"/>
      <c r="AD154" s="128" t="n"/>
      <c r="AE154" s="128" t="n"/>
      <c r="AF154" s="128" t="n"/>
      <c r="AG154" s="128" t="n"/>
      <c r="AH154" s="128" t="n"/>
      <c r="AI154" s="128" t="n"/>
      <c r="AJ154" s="128" t="n"/>
      <c r="AK154" s="128" t="n"/>
      <c r="AL154" s="128" t="n"/>
      <c r="AM154" s="128" t="n"/>
      <c r="AN154" s="128" t="n"/>
      <c r="AO154" s="128" t="n"/>
      <c r="AP154" s="128" t="n"/>
      <c r="AQ154" s="128" t="n"/>
      <c r="AR154" s="128" t="n"/>
      <c r="AS154" s="128" t="n"/>
      <c r="AT154" s="128" t="n"/>
      <c r="AU154" s="128" t="n"/>
      <c r="AV154" s="128" t="n"/>
      <c r="AW154" s="128" t="n"/>
      <c r="AX154" s="128" t="n"/>
      <c r="AY154" s="128" t="n"/>
      <c r="AZ154" s="128" t="n"/>
      <c r="BA154" s="128" t="n"/>
      <c r="BB154" s="128" t="n"/>
      <c r="BC154" s="128" t="n"/>
      <c r="BD154" s="128" t="n"/>
      <c r="BE154" s="128" t="n"/>
      <c r="BF154" s="128" t="n"/>
      <c r="BG154" s="128" t="n"/>
      <c r="BH154" s="128" t="n"/>
      <c r="BI154" s="128" t="n"/>
      <c r="BJ154" s="128" t="n"/>
      <c r="BK154" s="128" t="n"/>
      <c r="BL154" s="128" t="n"/>
      <c r="BM154" s="128" t="n"/>
      <c r="BN154" s="128" t="n"/>
      <c r="BO154" s="128" t="n"/>
      <c r="BP154" s="128" t="n"/>
      <c r="BQ154" s="128" t="n"/>
      <c r="BR154" s="128" t="n"/>
      <c r="BS154" s="128" t="n"/>
      <c r="BT154" s="128" t="n"/>
      <c r="BU154" s="128" t="n"/>
      <c r="BV154" s="128" t="n"/>
      <c r="BW154" s="128" t="n"/>
    </row>
    <row r="155" ht="20" customHeight="1">
      <c r="B155" s="125" t="n">
        <v>149</v>
      </c>
      <c r="C155" s="72" t="n"/>
      <c r="D155" s="72" t="n"/>
      <c r="E155" s="72" t="n"/>
      <c r="F155" s="72" t="n"/>
      <c r="G155" s="89" t="n"/>
      <c r="H155" s="89" t="n"/>
      <c r="I155" s="108" t="n"/>
      <c r="J155" s="126">
        <f>IF(OR(D155="",ProjStart=""),"",MAX(ProjStart,IF(I155&lt;&gt;"",I155,0),IF(H155="",0,IFERROR(INDEX($L$6:L154,MATCH(H155,$B$6:B154,0))+1,0))))</f>
        <v/>
      </c>
      <c r="K155" s="89" t="n"/>
      <c r="L155" s="126">
        <f>IF(J155="","",J155+MAX(1,G155)+IF(K155="",0,K155)-1)</f>
        <v/>
      </c>
      <c r="M155" s="72" t="n"/>
      <c r="N155" s="108" t="n"/>
      <c r="O155" s="127">
        <f>IF(D155="","",COUNTIF($H$7:$H$156,B155))</f>
        <v/>
      </c>
      <c r="P155" s="78">
        <f>IF(D155="","",IF(AND(H155&lt;&gt;"",H155&gt;=B155),"⚠️ Predecessor must be above",IF(M155="Done","✓ Done",IF(Q155=3,"🔴 Late",IF(M155="In progress","In progress","")))))</f>
        <v/>
      </c>
      <c r="Q155" s="79">
        <f>IF(OR(D155="",L155=""),"",IF(M155="Done",2,IF(AsOf&gt;L155,3,1)))</f>
        <v/>
      </c>
      <c r="R155" s="79">
        <f>IF(OR(E155="",F155=""),0,IF(COUNTIFS($E$7:E155,E155,$F$7:F155,F155)=1,1,0))</f>
        <v/>
      </c>
      <c r="S155" s="79">
        <f>IF(R155=1,E155&amp;"|"&amp;SUMIFS($R$7:R155,$E$7:E155,E155),"")</f>
        <v/>
      </c>
      <c r="T155" s="111">
        <f>IF(Q155="","",IF(Q155=3,L155,IF(OR(M155="Not started",M155=""),J155,"")))</f>
        <v/>
      </c>
      <c r="U155" s="79">
        <f>IF(T155="","",IF(Q155=3,1,IF(T155="","",IF(T155&lt;AsOf,1,IF(T155&lt;=AsOf+AlertDays,2,IF(T155&lt;=AsOf+2*AlertDays,3,""))))))</f>
        <v/>
      </c>
      <c r="V155" s="79">
        <f>IF(U155="","",IF(Q155=3,"Late task: "&amp;D155,IF(T155&lt;AsOf,"Should have started: ","Starts soon: ")&amp;D155)&amp;IF(F155="",""," — "&amp;F155))</f>
        <v/>
      </c>
      <c r="X155" s="128" t="n"/>
      <c r="Y155" s="128" t="n"/>
      <c r="Z155" s="128" t="n"/>
      <c r="AA155" s="128" t="n"/>
      <c r="AB155" s="128" t="n"/>
      <c r="AC155" s="128" t="n"/>
      <c r="AD155" s="128" t="n"/>
      <c r="AE155" s="128" t="n"/>
      <c r="AF155" s="128" t="n"/>
      <c r="AG155" s="128" t="n"/>
      <c r="AH155" s="128" t="n"/>
      <c r="AI155" s="128" t="n"/>
      <c r="AJ155" s="128" t="n"/>
      <c r="AK155" s="128" t="n"/>
      <c r="AL155" s="128" t="n"/>
      <c r="AM155" s="128" t="n"/>
      <c r="AN155" s="128" t="n"/>
      <c r="AO155" s="128" t="n"/>
      <c r="AP155" s="128" t="n"/>
      <c r="AQ155" s="128" t="n"/>
      <c r="AR155" s="128" t="n"/>
      <c r="AS155" s="128" t="n"/>
      <c r="AT155" s="128" t="n"/>
      <c r="AU155" s="128" t="n"/>
      <c r="AV155" s="128" t="n"/>
      <c r="AW155" s="128" t="n"/>
      <c r="AX155" s="128" t="n"/>
      <c r="AY155" s="128" t="n"/>
      <c r="AZ155" s="128" t="n"/>
      <c r="BA155" s="128" t="n"/>
      <c r="BB155" s="128" t="n"/>
      <c r="BC155" s="128" t="n"/>
      <c r="BD155" s="128" t="n"/>
      <c r="BE155" s="128" t="n"/>
      <c r="BF155" s="128" t="n"/>
      <c r="BG155" s="128" t="n"/>
      <c r="BH155" s="128" t="n"/>
      <c r="BI155" s="128" t="n"/>
      <c r="BJ155" s="128" t="n"/>
      <c r="BK155" s="128" t="n"/>
      <c r="BL155" s="128" t="n"/>
      <c r="BM155" s="128" t="n"/>
      <c r="BN155" s="128" t="n"/>
      <c r="BO155" s="128" t="n"/>
      <c r="BP155" s="128" t="n"/>
      <c r="BQ155" s="128" t="n"/>
      <c r="BR155" s="128" t="n"/>
      <c r="BS155" s="128" t="n"/>
      <c r="BT155" s="128" t="n"/>
      <c r="BU155" s="128" t="n"/>
      <c r="BV155" s="128" t="n"/>
      <c r="BW155" s="128" t="n"/>
    </row>
    <row r="156" ht="20" customHeight="1">
      <c r="B156" s="125" t="n">
        <v>150</v>
      </c>
      <c r="C156" s="72" t="n"/>
      <c r="D156" s="72" t="n"/>
      <c r="E156" s="72" t="n"/>
      <c r="F156" s="72" t="n"/>
      <c r="G156" s="89" t="n"/>
      <c r="H156" s="89" t="n"/>
      <c r="I156" s="108" t="n"/>
      <c r="J156" s="126">
        <f>IF(OR(D156="",ProjStart=""),"",MAX(ProjStart,IF(I156&lt;&gt;"",I156,0),IF(H156="",0,IFERROR(INDEX($L$6:L155,MATCH(H156,$B$6:B155,0))+1,0))))</f>
        <v/>
      </c>
      <c r="K156" s="89" t="n"/>
      <c r="L156" s="126">
        <f>IF(J156="","",J156+MAX(1,G156)+IF(K156="",0,K156)-1)</f>
        <v/>
      </c>
      <c r="M156" s="72" t="n"/>
      <c r="N156" s="108" t="n"/>
      <c r="O156" s="127">
        <f>IF(D156="","",COUNTIF($H$7:$H$156,B156))</f>
        <v/>
      </c>
      <c r="P156" s="78">
        <f>IF(D156="","",IF(AND(H156&lt;&gt;"",H156&gt;=B156),"⚠️ Predecessor must be above",IF(M156="Done","✓ Done",IF(Q156=3,"🔴 Late",IF(M156="In progress","In progress","")))))</f>
        <v/>
      </c>
      <c r="Q156" s="79">
        <f>IF(OR(D156="",L156=""),"",IF(M156="Done",2,IF(AsOf&gt;L156,3,1)))</f>
        <v/>
      </c>
      <c r="R156" s="79">
        <f>IF(OR(E156="",F156=""),0,IF(COUNTIFS($E$7:E156,E156,$F$7:F156,F156)=1,1,0))</f>
        <v/>
      </c>
      <c r="S156" s="79">
        <f>IF(R156=1,E156&amp;"|"&amp;SUMIFS($R$7:R156,$E$7:E156,E156),"")</f>
        <v/>
      </c>
      <c r="T156" s="111">
        <f>IF(Q156="","",IF(Q156=3,L156,IF(OR(M156="Not started",M156=""),J156,"")))</f>
        <v/>
      </c>
      <c r="U156" s="79">
        <f>IF(T156="","",IF(Q156=3,1,IF(T156="","",IF(T156&lt;AsOf,1,IF(T156&lt;=AsOf+AlertDays,2,IF(T156&lt;=AsOf+2*AlertDays,3,""))))))</f>
        <v/>
      </c>
      <c r="V156" s="79">
        <f>IF(U156="","",IF(Q156=3,"Late task: "&amp;D156,IF(T156&lt;AsOf,"Should have started: ","Starts soon: ")&amp;D156)&amp;IF(F156="",""," — "&amp;F156))</f>
        <v/>
      </c>
      <c r="X156" s="128" t="n"/>
      <c r="Y156" s="128" t="n"/>
      <c r="Z156" s="128" t="n"/>
      <c r="AA156" s="128" t="n"/>
      <c r="AB156" s="128" t="n"/>
      <c r="AC156" s="128" t="n"/>
      <c r="AD156" s="128" t="n"/>
      <c r="AE156" s="128" t="n"/>
      <c r="AF156" s="128" t="n"/>
      <c r="AG156" s="128" t="n"/>
      <c r="AH156" s="128" t="n"/>
      <c r="AI156" s="128" t="n"/>
      <c r="AJ156" s="128" t="n"/>
      <c r="AK156" s="128" t="n"/>
      <c r="AL156" s="128" t="n"/>
      <c r="AM156" s="128" t="n"/>
      <c r="AN156" s="128" t="n"/>
      <c r="AO156" s="128" t="n"/>
      <c r="AP156" s="128" t="n"/>
      <c r="AQ156" s="128" t="n"/>
      <c r="AR156" s="128" t="n"/>
      <c r="AS156" s="128" t="n"/>
      <c r="AT156" s="128" t="n"/>
      <c r="AU156" s="128" t="n"/>
      <c r="AV156" s="128" t="n"/>
      <c r="AW156" s="128" t="n"/>
      <c r="AX156" s="128" t="n"/>
      <c r="AY156" s="128" t="n"/>
      <c r="AZ156" s="128" t="n"/>
      <c r="BA156" s="128" t="n"/>
      <c r="BB156" s="128" t="n"/>
      <c r="BC156" s="128" t="n"/>
      <c r="BD156" s="128" t="n"/>
      <c r="BE156" s="128" t="n"/>
      <c r="BF156" s="128" t="n"/>
      <c r="BG156" s="128" t="n"/>
      <c r="BH156" s="128" t="n"/>
      <c r="BI156" s="128" t="n"/>
      <c r="BJ156" s="128" t="n"/>
      <c r="BK156" s="128" t="n"/>
      <c r="BL156" s="128" t="n"/>
      <c r="BM156" s="128" t="n"/>
      <c r="BN156" s="128" t="n"/>
      <c r="BO156" s="128" t="n"/>
      <c r="BP156" s="128" t="n"/>
      <c r="BQ156" s="128" t="n"/>
      <c r="BR156" s="128" t="n"/>
      <c r="BS156" s="128" t="n"/>
      <c r="BT156" s="128" t="n"/>
      <c r="BU156" s="128" t="n"/>
      <c r="BV156" s="128" t="n"/>
      <c r="BW156" s="128" t="n"/>
    </row>
  </sheetData>
  <sheetProtection selectLockedCells="1" selectUnlockedCells="0" sheet="1" objects="0" insertRows="1" insertHyperlinks="1" autoFilter="1" scenarios="0" formatColumns="0" deleteColumns="1" insertColumns="1" pivotTables="1" deleteRows="1" formatCells="1" formatRows="0" sort="1" password="CD61"/>
  <mergeCells count="3">
    <mergeCell ref="G4:H4"/>
    <mergeCell ref="E4:F4"/>
    <mergeCell ref="I4:L4"/>
  </mergeCells>
  <conditionalFormatting sqref="X7:BW156">
    <cfRule type="expression" priority="1" dxfId="8" stopIfTrue="1">
      <formula>AND(AND(X$6&lt;&gt;"",$J7&lt;&gt;"",$J7&lt;=X$6+6,$L7&gt;=X$6),$Q7=3)</formula>
    </cfRule>
    <cfRule type="expression" priority="2" dxfId="9" stopIfTrue="1">
      <formula>AND(AND(X$6&lt;&gt;"",$J7&lt;&gt;"",$J7&lt;=X$6+6,$L7&gt;=X$6),$Q7=2)</formula>
    </cfRule>
    <cfRule type="expression" priority="3" dxfId="10" stopIfTrue="1">
      <formula>AND(X$6&lt;&gt;"",$J7&lt;&gt;"",$J7&lt;=X$6+6,$L7&gt;=X$6)</formula>
    </cfRule>
    <cfRule type="expression" priority="4" dxfId="11" stopIfTrue="0">
      <formula>AND(X$6&lt;&gt;"",$R$4&gt;=X$6,$R$4&lt;X$6+7)</formula>
    </cfRule>
  </conditionalFormatting>
  <conditionalFormatting sqref="X6:BW6">
    <cfRule type="expression" priority="5" dxfId="12" stopIfTrue="0">
      <formula>AND(X$6&lt;&gt;"",$R$4&gt;=X$6,$R$4&lt;X$6+7)</formula>
    </cfRule>
  </conditionalFormatting>
  <conditionalFormatting sqref="P7:P156">
    <cfRule type="expression" priority="6" dxfId="0" stopIfTrue="0">
      <formula>$Q7=3</formula>
    </cfRule>
    <cfRule type="expression" priority="7" dxfId="3" stopIfTrue="0">
      <formula>$Q7=2</formula>
    </cfRule>
    <cfRule type="expression" priority="8" dxfId="0" stopIfTrue="0">
      <formula>LEFT(P7,1)="⚠"</formula>
    </cfRule>
  </conditionalFormatting>
  <dataValidations count="4">
    <dataValidation sqref="C7:C156" showDropDown="0" showInputMessage="0" showErrorMessage="1" allowBlank="1" errorTitle="Renovation OS" error="Please pick a value from the dropdown list." type="list">
      <formula1>='Lists'!$G$2:$G$4</formula1>
    </dataValidation>
    <dataValidation sqref="E7:E156" showDropDown="0" showInputMessage="0" showErrorMessage="1" allowBlank="1" errorTitle="Renovation OS" error="Please pick a value from the dropdown list." type="list">
      <formula1>='Lists'!$W$2:$W$12</formula1>
    </dataValidation>
    <dataValidation sqref="F7:F156" showDropDown="0" showInputMessage="0" showErrorMessage="1" allowBlank="1" errorTitle="Renovation OS" error="This name is not in the list. Keep it anyway?" type="list" errorStyle="warning">
      <formula1>='Lists'!$X$2:$X$31</formula1>
    </dataValidation>
    <dataValidation sqref="M7:M156" showDropDown="0" showInputMessage="0" showErrorMessage="1" allowBlank="1" errorTitle="Renovation OS" error="Please pick a value from the dropdown list." type="list">
      <formula1>='Lists'!$H$2:$H$4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E07B00"/>
    <outlinePr summaryBelow="1" summaryRight="1"/>
    <pageSetUpPr/>
  </sheetPr>
  <dimension ref="A1:AH63"/>
  <sheetViews>
    <sheetView showGridLines="0" workbookViewId="0">
      <selection activeCell="A1" sqref="A1"/>
    </sheetView>
  </sheetViews>
  <sheetFormatPr baseColWidth="8" defaultRowHeight="15"/>
  <cols>
    <col width="2.5" customWidth="1" min="1" max="1"/>
    <col width="15" customWidth="1" min="2" max="2"/>
    <col width="11" customWidth="1" min="3" max="3"/>
    <col width="13" customWidth="1" min="4" max="4"/>
    <col width="15" customWidth="1" min="5" max="5"/>
    <col width="13" customWidth="1" min="6" max="6"/>
    <col width="3" customWidth="1" min="7" max="7"/>
    <col width="15" customWidth="1" min="8" max="8"/>
    <col width="11" customWidth="1" min="9" max="9"/>
    <col width="13" customWidth="1" min="10" max="10"/>
    <col width="15" customWidth="1" min="11" max="11"/>
    <col width="13" customWidth="1" min="12" max="12"/>
    <col width="3" customWidth="1" min="13" max="13"/>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6" customHeight="1">
      <c r="B1" s="1" t="inlineStr">
        <is>
          <t>🛋️ Rooms</t>
        </is>
      </c>
    </row>
    <row r="2" ht="20" customHeight="1">
      <c r="B2" s="2" t="inlineStr">
        <is>
          <t>What this tab does: one card per room — money, progress, decisions and problems. Rename rooms in the yellow title cells; every dropdown follows.</t>
        </is>
      </c>
    </row>
    <row r="3">
      <c r="B3" s="3" t="inlineStr">
        <is>
          <t>© 2026 Hang Nguyen — Renovation OS. Licensed to the original purchaser for personal use only. Do not share, copy, resell or redistribute.</t>
        </is>
      </c>
    </row>
    <row r="4"/>
    <row r="5" ht="28" customHeight="1">
      <c r="B5" s="129" t="inlineStr">
        <is>
          <t>Kitchen</t>
        </is>
      </c>
      <c r="C5" s="130" t="n"/>
      <c r="D5" s="130" t="n"/>
      <c r="E5" s="130" t="n"/>
      <c r="F5" s="107">
        <f>IF(AC6="","",IF(AC6=0,"🟢 OK",IF(AC6=1,"🟡 Watch","🔴 Act")))</f>
        <v/>
      </c>
      <c r="H5" s="129" t="inlineStr">
        <is>
          <t>Bathroom 1</t>
        </is>
      </c>
      <c r="I5" s="130" t="n"/>
      <c r="J5" s="130" t="n"/>
      <c r="K5" s="130" t="n"/>
      <c r="L5" s="107">
        <f>IF(AC7="","",IF(AC7=0,"🟢 OK",IF(AC7=1,"🟡 Watch","🔴 Act")))</f>
        <v/>
      </c>
      <c r="Q5" t="inlineStr">
        <is>
          <t>name</t>
        </is>
      </c>
      <c r="R5" t="inlineStr">
        <is>
          <t>area</t>
        </is>
      </c>
      <c r="S5" t="inlineStr">
        <is>
          <t>budget</t>
        </is>
      </c>
      <c r="T5" t="inlineStr">
        <is>
          <t>committed</t>
        </is>
      </c>
      <c r="U5" t="inlineStr">
        <is>
          <t>paid</t>
        </is>
      </c>
      <c r="V5" t="inlineStr">
        <is>
          <t>t_total</t>
        </is>
      </c>
      <c r="W5" t="inlineStr">
        <is>
          <t>t_done</t>
        </is>
      </c>
      <c r="X5" t="inlineStr">
        <is>
          <t>progress</t>
        </is>
      </c>
      <c r="Y5" t="inlineStr">
        <is>
          <t>decisions</t>
        </is>
      </c>
      <c r="Z5" t="inlineStr">
        <is>
          <t>open_issues</t>
        </is>
      </c>
      <c r="AA5" t="inlineStr">
        <is>
          <t>open_high</t>
        </is>
      </c>
      <c r="AB5" t="inlineStr">
        <is>
          <t>late</t>
        </is>
      </c>
      <c r="AC5" t="inlineStr">
        <is>
          <t>lvl</t>
        </is>
      </c>
      <c r="AD5" t="inlineStr">
        <is>
          <t>c1</t>
        </is>
      </c>
      <c r="AE5" t="inlineStr">
        <is>
          <t>c2</t>
        </is>
      </c>
      <c r="AF5" t="inlineStr">
        <is>
          <t>c3</t>
        </is>
      </c>
      <c r="AG5" t="inlineStr">
        <is>
          <t>per_area</t>
        </is>
      </c>
      <c r="AH5" t="inlineStr">
        <is>
          <t>forecast_room</t>
        </is>
      </c>
    </row>
    <row r="6" ht="21" customHeight="1">
      <c r="B6" s="131">
        <f>"Floor area ("&amp;AreaUnit&amp;")"</f>
        <v/>
      </c>
      <c r="C6" s="132" t="n"/>
      <c r="D6" s="133" t="n">
        <v>18</v>
      </c>
      <c r="E6" s="131">
        <f>"Budget ("&amp;CurSym&amp;")"</f>
        <v/>
      </c>
      <c r="F6" s="73" t="n">
        <v>25000</v>
      </c>
      <c r="H6" s="131">
        <f>"Floor area ("&amp;AreaUnit&amp;")"</f>
        <v/>
      </c>
      <c r="I6" s="132" t="n"/>
      <c r="J6" s="133" t="n">
        <v>7</v>
      </c>
      <c r="K6" s="131">
        <f>"Budget ("&amp;CurSym&amp;")"</f>
        <v/>
      </c>
      <c r="L6" s="73" t="n">
        <v>17000</v>
      </c>
      <c r="Q6" s="46">
        <f>IF(B5="","",B5)</f>
        <v/>
      </c>
      <c r="R6" s="46">
        <f>IF(D6="","",D6)</f>
        <v/>
      </c>
      <c r="S6" s="46">
        <f>IF(F6="","",F6)</f>
        <v/>
      </c>
      <c r="T6" s="46">
        <f>IF(Q6="","",SUMIFS('Contractors'!$I$6:$I$35,'Contractors'!$E$6:$E$35,Q6,'Contractors'!$L$6:$L$35,"Yes")+SUMIFS('Selections &amp; Orders'!$L$8:$L$157,'Selections &amp; Orders'!$C$8:$C$157,Q6)+SUMIFS('Change Orders'!$J$7:$J$106,'Change Orders'!$G$7:$G$106,Q6,'Change Orders'!$L$7:$L$106,"Approved"))</f>
        <v/>
      </c>
      <c r="U6" s="46">
        <f>IF(Q6="","",SUMIFS('Payments'!$N$6:$N$205,'Payments'!$Q$6:$Q$205,Q6))</f>
        <v/>
      </c>
      <c r="V6" s="46">
        <f>IF(Q6="",0,COUNTIFS('Timeline'!$E$7:$E$156,Q6))</f>
        <v/>
      </c>
      <c r="W6" s="46">
        <f>IF(Q6="",0,COUNTIFS('Timeline'!$E$7:$E$156,Q6,'Timeline'!$M$7:$M$156,"Done"))</f>
        <v/>
      </c>
      <c r="X6" s="46">
        <f>IF(V6=0,"",W6/V6)</f>
        <v/>
      </c>
      <c r="Y6" s="46">
        <f>IF(Q6="",0,SUMIFS('Selections &amp; Orders'!$AD$8:$AD$157,'Selections &amp; Orders'!$C$8:$C$157,Q6))</f>
        <v/>
      </c>
      <c r="Z6" s="46">
        <f>IF(Q6="",0,SUMIFS('Issues &amp; Punch List'!$O$8:$O$207,'Issues &amp; Punch List'!$E$8:$E$207,Q6))</f>
        <v/>
      </c>
      <c r="AA6" s="46">
        <f>IF(Q6="",0,SUMIFS('Issues &amp; Punch List'!$U$8:$U$207,'Issues &amp; Punch List'!$E$8:$E$207,Q6))</f>
        <v/>
      </c>
      <c r="AB6" s="46">
        <f>IF(Q6="",0,COUNTIFS('Timeline'!$E$7:$E$156,Q6,'Timeline'!$Q$7:$Q$156,3))</f>
        <v/>
      </c>
      <c r="AC6" s="46">
        <f>IF(Q6="","",IF(OR(AA6&gt;0,AB6&gt;0,AND(S6&lt;&gt;"",T6&gt;IF(S6="",0,S6),IF(S6="",0,S6)&gt;0)),2,IF(OR(Z6&gt;0,Y6&gt;0),1,0)))</f>
        <v/>
      </c>
      <c r="AD6" s="46">
        <f>IF(Q6="","",IFERROR(INDEX('Timeline'!$F$7:$F$156,MATCH(Q6&amp;"|1",'Timeline'!$S$7:$S$156,0)),""))</f>
        <v/>
      </c>
      <c r="AE6" s="46">
        <f>IF(Q6="","",IFERROR(INDEX('Timeline'!$F$7:$F$156,MATCH(Q6&amp;"|2",'Timeline'!$S$7:$S$156,0)),""))</f>
        <v/>
      </c>
      <c r="AF6" s="46">
        <f>IF(Q6="","",IFERROR(INDEX('Timeline'!$F$7:$F$156,MATCH(Q6&amp;"|3",'Timeline'!$S$7:$S$156,0)),""))</f>
        <v/>
      </c>
      <c r="AG6" s="46">
        <f>IF(OR(Q6="",R6=""),"",IF(R6=0,"",T6/R6))</f>
        <v/>
      </c>
      <c r="AH6" s="46">
        <f>IF(Q6="","",MAX(IF(S6="",0,S6),T6))</f>
        <v/>
      </c>
    </row>
    <row r="7" ht="21" customHeight="1">
      <c r="B7" s="131">
        <f>"Committed ("&amp;CurSym&amp;")"</f>
        <v/>
      </c>
      <c r="C7" s="132" t="n"/>
      <c r="D7" s="134">
        <f>T6</f>
        <v/>
      </c>
      <c r="E7" s="131">
        <f>"Paid ("&amp;CurSym&amp;")"</f>
        <v/>
      </c>
      <c r="F7" s="134">
        <f>U6</f>
        <v/>
      </c>
      <c r="H7" s="131">
        <f>"Committed ("&amp;CurSym&amp;")"</f>
        <v/>
      </c>
      <c r="I7" s="132" t="n"/>
      <c r="J7" s="134">
        <f>T7</f>
        <v/>
      </c>
      <c r="K7" s="131">
        <f>"Paid ("&amp;CurSym&amp;")"</f>
        <v/>
      </c>
      <c r="L7" s="134">
        <f>U7</f>
        <v/>
      </c>
      <c r="Q7" s="46">
        <f>IF(H5="","",H5)</f>
        <v/>
      </c>
      <c r="R7" s="46">
        <f>IF(J6="","",J6)</f>
        <v/>
      </c>
      <c r="S7" s="46">
        <f>IF(L6="","",L6)</f>
        <v/>
      </c>
      <c r="T7" s="46">
        <f>IF(Q7="","",SUMIFS('Contractors'!$I$6:$I$35,'Contractors'!$E$6:$E$35,Q7,'Contractors'!$L$6:$L$35,"Yes")+SUMIFS('Selections &amp; Orders'!$L$8:$L$157,'Selections &amp; Orders'!$C$8:$C$157,Q7)+SUMIFS('Change Orders'!$J$7:$J$106,'Change Orders'!$G$7:$G$106,Q7,'Change Orders'!$L$7:$L$106,"Approved"))</f>
        <v/>
      </c>
      <c r="U7" s="46">
        <f>IF(Q7="","",SUMIFS('Payments'!$N$6:$N$205,'Payments'!$Q$6:$Q$205,Q7))</f>
        <v/>
      </c>
      <c r="V7" s="46">
        <f>IF(Q7="",0,COUNTIFS('Timeline'!$E$7:$E$156,Q7))</f>
        <v/>
      </c>
      <c r="W7" s="46">
        <f>IF(Q7="",0,COUNTIFS('Timeline'!$E$7:$E$156,Q7,'Timeline'!$M$7:$M$156,"Done"))</f>
        <v/>
      </c>
      <c r="X7" s="46">
        <f>IF(V7=0,"",W7/V7)</f>
        <v/>
      </c>
      <c r="Y7" s="46">
        <f>IF(Q7="",0,SUMIFS('Selections &amp; Orders'!$AD$8:$AD$157,'Selections &amp; Orders'!$C$8:$C$157,Q7))</f>
        <v/>
      </c>
      <c r="Z7" s="46">
        <f>IF(Q7="",0,SUMIFS('Issues &amp; Punch List'!$O$8:$O$207,'Issues &amp; Punch List'!$E$8:$E$207,Q7))</f>
        <v/>
      </c>
      <c r="AA7" s="46">
        <f>IF(Q7="",0,SUMIFS('Issues &amp; Punch List'!$U$8:$U$207,'Issues &amp; Punch List'!$E$8:$E$207,Q7))</f>
        <v/>
      </c>
      <c r="AB7" s="46">
        <f>IF(Q7="",0,COUNTIFS('Timeline'!$E$7:$E$156,Q7,'Timeline'!$Q$7:$Q$156,3))</f>
        <v/>
      </c>
      <c r="AC7" s="46">
        <f>IF(Q7="","",IF(OR(AA7&gt;0,AB7&gt;0,AND(S7&lt;&gt;"",T7&gt;IF(S7="",0,S7),IF(S7="",0,S7)&gt;0)),2,IF(OR(Z7&gt;0,Y7&gt;0),1,0)))</f>
        <v/>
      </c>
      <c r="AD7" s="46">
        <f>IF(Q7="","",IFERROR(INDEX('Timeline'!$F$7:$F$156,MATCH(Q7&amp;"|1",'Timeline'!$S$7:$S$156,0)),""))</f>
        <v/>
      </c>
      <c r="AE7" s="46">
        <f>IF(Q7="","",IFERROR(INDEX('Timeline'!$F$7:$F$156,MATCH(Q7&amp;"|2",'Timeline'!$S$7:$S$156,0)),""))</f>
        <v/>
      </c>
      <c r="AF7" s="46">
        <f>IF(Q7="","",IFERROR(INDEX('Timeline'!$F$7:$F$156,MATCH(Q7&amp;"|3",'Timeline'!$S$7:$S$156,0)),""))</f>
        <v/>
      </c>
      <c r="AG7" s="46">
        <f>IF(OR(Q7="",R7=""),"",IF(R7=0,"",T7/R7))</f>
        <v/>
      </c>
      <c r="AH7" s="46">
        <f>IF(Q7="","",MAX(IF(S7="",0,S7),T7))</f>
        <v/>
      </c>
    </row>
    <row r="8" ht="21" customHeight="1">
      <c r="B8" s="135" t="inlineStr">
        <is>
          <t>Budget used</t>
        </is>
      </c>
      <c r="C8" s="132" t="n"/>
      <c r="D8" s="136">
        <f>IF(OR(S6="",S6=0),"",REPT("█",ROUND(MIN(1,IF(OR(S6="",S6=0),0,T6/S6))*10,0))&amp;REPT("░",10-ROUND(MIN(1,IF(OR(S6="",S6=0),0,T6/S6))*10,0)))</f>
        <v/>
      </c>
      <c r="F8" s="137">
        <f>IF(OR(S6="",S6=0),"–",IF(OR(S6="",S6=0),0,T6/S6))</f>
        <v/>
      </c>
      <c r="H8" s="135" t="inlineStr">
        <is>
          <t>Budget used</t>
        </is>
      </c>
      <c r="I8" s="132" t="n"/>
      <c r="J8" s="136">
        <f>IF(OR(S7="",S7=0),"",REPT("█",ROUND(MIN(1,IF(OR(S7="",S7=0),0,T7/S7))*10,0))&amp;REPT("░",10-ROUND(MIN(1,IF(OR(S7="",S7=0),0,T7/S7))*10,0)))</f>
        <v/>
      </c>
      <c r="L8" s="137">
        <f>IF(OR(S7="",S7=0),"–",IF(OR(S7="",S7=0),0,T7/S7))</f>
        <v/>
      </c>
      <c r="Q8" s="46">
        <f>IF(B17="","",B17)</f>
        <v/>
      </c>
      <c r="R8" s="46">
        <f>IF(D18="","",D18)</f>
        <v/>
      </c>
      <c r="S8" s="46">
        <f>IF(F18="","",F18)</f>
        <v/>
      </c>
      <c r="T8" s="46">
        <f>IF(Q8="","",SUMIFS('Contractors'!$I$6:$I$35,'Contractors'!$E$6:$E$35,Q8,'Contractors'!$L$6:$L$35,"Yes")+SUMIFS('Selections &amp; Orders'!$L$8:$L$157,'Selections &amp; Orders'!$C$8:$C$157,Q8)+SUMIFS('Change Orders'!$J$7:$J$106,'Change Orders'!$G$7:$G$106,Q8,'Change Orders'!$L$7:$L$106,"Approved"))</f>
        <v/>
      </c>
      <c r="U8" s="46">
        <f>IF(Q8="","",SUMIFS('Payments'!$N$6:$N$205,'Payments'!$Q$6:$Q$205,Q8))</f>
        <v/>
      </c>
      <c r="V8" s="46">
        <f>IF(Q8="",0,COUNTIFS('Timeline'!$E$7:$E$156,Q8))</f>
        <v/>
      </c>
      <c r="W8" s="46">
        <f>IF(Q8="",0,COUNTIFS('Timeline'!$E$7:$E$156,Q8,'Timeline'!$M$7:$M$156,"Done"))</f>
        <v/>
      </c>
      <c r="X8" s="46">
        <f>IF(V8=0,"",W8/V8)</f>
        <v/>
      </c>
      <c r="Y8" s="46">
        <f>IF(Q8="",0,SUMIFS('Selections &amp; Orders'!$AD$8:$AD$157,'Selections &amp; Orders'!$C$8:$C$157,Q8))</f>
        <v/>
      </c>
      <c r="Z8" s="46">
        <f>IF(Q8="",0,SUMIFS('Issues &amp; Punch List'!$O$8:$O$207,'Issues &amp; Punch List'!$E$8:$E$207,Q8))</f>
        <v/>
      </c>
      <c r="AA8" s="46">
        <f>IF(Q8="",0,SUMIFS('Issues &amp; Punch List'!$U$8:$U$207,'Issues &amp; Punch List'!$E$8:$E$207,Q8))</f>
        <v/>
      </c>
      <c r="AB8" s="46">
        <f>IF(Q8="",0,COUNTIFS('Timeline'!$E$7:$E$156,Q8,'Timeline'!$Q$7:$Q$156,3))</f>
        <v/>
      </c>
      <c r="AC8" s="46">
        <f>IF(Q8="","",IF(OR(AA8&gt;0,AB8&gt;0,AND(S8&lt;&gt;"",T8&gt;IF(S8="",0,S8),IF(S8="",0,S8)&gt;0)),2,IF(OR(Z8&gt;0,Y8&gt;0),1,0)))</f>
        <v/>
      </c>
      <c r="AD8" s="46">
        <f>IF(Q8="","",IFERROR(INDEX('Timeline'!$F$7:$F$156,MATCH(Q8&amp;"|1",'Timeline'!$S$7:$S$156,0)),""))</f>
        <v/>
      </c>
      <c r="AE8" s="46">
        <f>IF(Q8="","",IFERROR(INDEX('Timeline'!$F$7:$F$156,MATCH(Q8&amp;"|2",'Timeline'!$S$7:$S$156,0)),""))</f>
        <v/>
      </c>
      <c r="AF8" s="46">
        <f>IF(Q8="","",IFERROR(INDEX('Timeline'!$F$7:$F$156,MATCH(Q8&amp;"|3",'Timeline'!$S$7:$S$156,0)),""))</f>
        <v/>
      </c>
      <c r="AG8" s="46">
        <f>IF(OR(Q8="",R8=""),"",IF(R8=0,"",T8/R8))</f>
        <v/>
      </c>
      <c r="AH8" s="46">
        <f>IF(Q8="","",MAX(IF(S8="",0,S8),T8))</f>
        <v/>
      </c>
    </row>
    <row r="9" ht="21" customHeight="1">
      <c r="B9" s="135" t="inlineStr">
        <is>
          <t>Progress</t>
        </is>
      </c>
      <c r="C9" s="132" t="n"/>
      <c r="D9" s="138">
        <f>IF(X6="","",REPT("█",ROUND(MIN(1,X6)*10,0))&amp;REPT("░",10-ROUND(MIN(1,X6)*10,0)))</f>
        <v/>
      </c>
      <c r="F9" s="137">
        <f>IF(X6="","–",X6)</f>
        <v/>
      </c>
      <c r="H9" s="135" t="inlineStr">
        <is>
          <t>Progress</t>
        </is>
      </c>
      <c r="I9" s="132" t="n"/>
      <c r="J9" s="138">
        <f>IF(X7="","",REPT("█",ROUND(MIN(1,X7)*10,0))&amp;REPT("░",10-ROUND(MIN(1,X7)*10,0)))</f>
        <v/>
      </c>
      <c r="L9" s="137">
        <f>IF(X7="","–",X7)</f>
        <v/>
      </c>
      <c r="Q9" s="46">
        <f>IF(H17="","",H17)</f>
        <v/>
      </c>
      <c r="R9" s="46">
        <f>IF(J18="","",J18)</f>
        <v/>
      </c>
      <c r="S9" s="46">
        <f>IF(L18="","",L18)</f>
        <v/>
      </c>
      <c r="T9" s="46">
        <f>IF(Q9="","",SUMIFS('Contractors'!$I$6:$I$35,'Contractors'!$E$6:$E$35,Q9,'Contractors'!$L$6:$L$35,"Yes")+SUMIFS('Selections &amp; Orders'!$L$8:$L$157,'Selections &amp; Orders'!$C$8:$C$157,Q9)+SUMIFS('Change Orders'!$J$7:$J$106,'Change Orders'!$G$7:$G$106,Q9,'Change Orders'!$L$7:$L$106,"Approved"))</f>
        <v/>
      </c>
      <c r="U9" s="46">
        <f>IF(Q9="","",SUMIFS('Payments'!$N$6:$N$205,'Payments'!$Q$6:$Q$205,Q9))</f>
        <v/>
      </c>
      <c r="V9" s="46">
        <f>IF(Q9="",0,COUNTIFS('Timeline'!$E$7:$E$156,Q9))</f>
        <v/>
      </c>
      <c r="W9" s="46">
        <f>IF(Q9="",0,COUNTIFS('Timeline'!$E$7:$E$156,Q9,'Timeline'!$M$7:$M$156,"Done"))</f>
        <v/>
      </c>
      <c r="X9" s="46">
        <f>IF(V9=0,"",W9/V9)</f>
        <v/>
      </c>
      <c r="Y9" s="46">
        <f>IF(Q9="",0,SUMIFS('Selections &amp; Orders'!$AD$8:$AD$157,'Selections &amp; Orders'!$C$8:$C$157,Q9))</f>
        <v/>
      </c>
      <c r="Z9" s="46">
        <f>IF(Q9="",0,SUMIFS('Issues &amp; Punch List'!$O$8:$O$207,'Issues &amp; Punch List'!$E$8:$E$207,Q9))</f>
        <v/>
      </c>
      <c r="AA9" s="46">
        <f>IF(Q9="",0,SUMIFS('Issues &amp; Punch List'!$U$8:$U$207,'Issues &amp; Punch List'!$E$8:$E$207,Q9))</f>
        <v/>
      </c>
      <c r="AB9" s="46">
        <f>IF(Q9="",0,COUNTIFS('Timeline'!$E$7:$E$156,Q9,'Timeline'!$Q$7:$Q$156,3))</f>
        <v/>
      </c>
      <c r="AC9" s="46">
        <f>IF(Q9="","",IF(OR(AA9&gt;0,AB9&gt;0,AND(S9&lt;&gt;"",T9&gt;IF(S9="",0,S9),IF(S9="",0,S9)&gt;0)),2,IF(OR(Z9&gt;0,Y9&gt;0),1,0)))</f>
        <v/>
      </c>
      <c r="AD9" s="46">
        <f>IF(Q9="","",IFERROR(INDEX('Timeline'!$F$7:$F$156,MATCH(Q9&amp;"|1",'Timeline'!$S$7:$S$156,0)),""))</f>
        <v/>
      </c>
      <c r="AE9" s="46">
        <f>IF(Q9="","",IFERROR(INDEX('Timeline'!$F$7:$F$156,MATCH(Q9&amp;"|2",'Timeline'!$S$7:$S$156,0)),""))</f>
        <v/>
      </c>
      <c r="AF9" s="46">
        <f>IF(Q9="","",IFERROR(INDEX('Timeline'!$F$7:$F$156,MATCH(Q9&amp;"|3",'Timeline'!$S$7:$S$156,0)),""))</f>
        <v/>
      </c>
      <c r="AG9" s="46">
        <f>IF(OR(Q9="",R9=""),"",IF(R9=0,"",T9/R9))</f>
        <v/>
      </c>
      <c r="AH9" s="46">
        <f>IF(Q9="","",MAX(IF(S9="",0,S9),T9))</f>
        <v/>
      </c>
    </row>
    <row r="10" ht="21" customHeight="1">
      <c r="B10" s="135" t="inlineStr">
        <is>
          <t>Tasks done</t>
        </is>
      </c>
      <c r="C10" s="132" t="n"/>
      <c r="D10" s="139">
        <f>W6&amp;" / "&amp;V6</f>
        <v/>
      </c>
      <c r="E10" s="135" t="inlineStr">
        <is>
          <t>Late tasks</t>
        </is>
      </c>
      <c r="F10" s="140">
        <f>AB6</f>
        <v/>
      </c>
      <c r="H10" s="135" t="inlineStr">
        <is>
          <t>Tasks done</t>
        </is>
      </c>
      <c r="I10" s="132" t="n"/>
      <c r="J10" s="139">
        <f>W7&amp;" / "&amp;V7</f>
        <v/>
      </c>
      <c r="K10" s="135" t="inlineStr">
        <is>
          <t>Late tasks</t>
        </is>
      </c>
      <c r="L10" s="140">
        <f>AB7</f>
        <v/>
      </c>
      <c r="Q10" s="46">
        <f>IF(B29="","",B29)</f>
        <v/>
      </c>
      <c r="R10" s="46">
        <f>IF(D30="","",D30)</f>
        <v/>
      </c>
      <c r="S10" s="46">
        <f>IF(F30="","",F30)</f>
        <v/>
      </c>
      <c r="T10" s="46">
        <f>IF(Q10="","",SUMIFS('Contractors'!$I$6:$I$35,'Contractors'!$E$6:$E$35,Q10,'Contractors'!$L$6:$L$35,"Yes")+SUMIFS('Selections &amp; Orders'!$L$8:$L$157,'Selections &amp; Orders'!$C$8:$C$157,Q10)+SUMIFS('Change Orders'!$J$7:$J$106,'Change Orders'!$G$7:$G$106,Q10,'Change Orders'!$L$7:$L$106,"Approved"))</f>
        <v/>
      </c>
      <c r="U10" s="46">
        <f>IF(Q10="","",SUMIFS('Payments'!$N$6:$N$205,'Payments'!$Q$6:$Q$205,Q10))</f>
        <v/>
      </c>
      <c r="V10" s="46">
        <f>IF(Q10="",0,COUNTIFS('Timeline'!$E$7:$E$156,Q10))</f>
        <v/>
      </c>
      <c r="W10" s="46">
        <f>IF(Q10="",0,COUNTIFS('Timeline'!$E$7:$E$156,Q10,'Timeline'!$M$7:$M$156,"Done"))</f>
        <v/>
      </c>
      <c r="X10" s="46">
        <f>IF(V10=0,"",W10/V10)</f>
        <v/>
      </c>
      <c r="Y10" s="46">
        <f>IF(Q10="",0,SUMIFS('Selections &amp; Orders'!$AD$8:$AD$157,'Selections &amp; Orders'!$C$8:$C$157,Q10))</f>
        <v/>
      </c>
      <c r="Z10" s="46">
        <f>IF(Q10="",0,SUMIFS('Issues &amp; Punch List'!$O$8:$O$207,'Issues &amp; Punch List'!$E$8:$E$207,Q10))</f>
        <v/>
      </c>
      <c r="AA10" s="46">
        <f>IF(Q10="",0,SUMIFS('Issues &amp; Punch List'!$U$8:$U$207,'Issues &amp; Punch List'!$E$8:$E$207,Q10))</f>
        <v/>
      </c>
      <c r="AB10" s="46">
        <f>IF(Q10="",0,COUNTIFS('Timeline'!$E$7:$E$156,Q10,'Timeline'!$Q$7:$Q$156,3))</f>
        <v/>
      </c>
      <c r="AC10" s="46">
        <f>IF(Q10="","",IF(OR(AA10&gt;0,AB10&gt;0,AND(S10&lt;&gt;"",T10&gt;IF(S10="",0,S10),IF(S10="",0,S10)&gt;0)),2,IF(OR(Z10&gt;0,Y10&gt;0),1,0)))</f>
        <v/>
      </c>
      <c r="AD10" s="46">
        <f>IF(Q10="","",IFERROR(INDEX('Timeline'!$F$7:$F$156,MATCH(Q10&amp;"|1",'Timeline'!$S$7:$S$156,0)),""))</f>
        <v/>
      </c>
      <c r="AE10" s="46">
        <f>IF(Q10="","",IFERROR(INDEX('Timeline'!$F$7:$F$156,MATCH(Q10&amp;"|2",'Timeline'!$S$7:$S$156,0)),""))</f>
        <v/>
      </c>
      <c r="AF10" s="46">
        <f>IF(Q10="","",IFERROR(INDEX('Timeline'!$F$7:$F$156,MATCH(Q10&amp;"|3",'Timeline'!$S$7:$S$156,0)),""))</f>
        <v/>
      </c>
      <c r="AG10" s="46">
        <f>IF(OR(Q10="",R10=""),"",IF(R10=0,"",T10/R10))</f>
        <v/>
      </c>
      <c r="AH10" s="46">
        <f>IF(Q10="","",MAX(IF(S10="",0,S10),T10))</f>
        <v/>
      </c>
    </row>
    <row r="11" ht="21" customHeight="1">
      <c r="B11" s="135" t="inlineStr">
        <is>
          <t>Decisions waiting</t>
        </is>
      </c>
      <c r="C11" s="132" t="n"/>
      <c r="D11" s="140">
        <f>Y6</f>
        <v/>
      </c>
      <c r="E11" s="135" t="inlineStr">
        <is>
          <t>Open issues</t>
        </is>
      </c>
      <c r="F11" s="140">
        <f>Z6</f>
        <v/>
      </c>
      <c r="H11" s="135" t="inlineStr">
        <is>
          <t>Decisions waiting</t>
        </is>
      </c>
      <c r="I11" s="132" t="n"/>
      <c r="J11" s="140">
        <f>Y7</f>
        <v/>
      </c>
      <c r="K11" s="135" t="inlineStr">
        <is>
          <t>Open issues</t>
        </is>
      </c>
      <c r="L11" s="140">
        <f>Z7</f>
        <v/>
      </c>
      <c r="Q11" s="46">
        <f>IF(H29="","",H29)</f>
        <v/>
      </c>
      <c r="R11" s="46">
        <f>IF(J30="","",J30)</f>
        <v/>
      </c>
      <c r="S11" s="46">
        <f>IF(L30="","",L30)</f>
        <v/>
      </c>
      <c r="T11" s="46">
        <f>IF(Q11="","",SUMIFS('Contractors'!$I$6:$I$35,'Contractors'!$E$6:$E$35,Q11,'Contractors'!$L$6:$L$35,"Yes")+SUMIFS('Selections &amp; Orders'!$L$8:$L$157,'Selections &amp; Orders'!$C$8:$C$157,Q11)+SUMIFS('Change Orders'!$J$7:$J$106,'Change Orders'!$G$7:$G$106,Q11,'Change Orders'!$L$7:$L$106,"Approved"))</f>
        <v/>
      </c>
      <c r="U11" s="46">
        <f>IF(Q11="","",SUMIFS('Payments'!$N$6:$N$205,'Payments'!$Q$6:$Q$205,Q11))</f>
        <v/>
      </c>
      <c r="V11" s="46">
        <f>IF(Q11="",0,COUNTIFS('Timeline'!$E$7:$E$156,Q11))</f>
        <v/>
      </c>
      <c r="W11" s="46">
        <f>IF(Q11="",0,COUNTIFS('Timeline'!$E$7:$E$156,Q11,'Timeline'!$M$7:$M$156,"Done"))</f>
        <v/>
      </c>
      <c r="X11" s="46">
        <f>IF(V11=0,"",W11/V11)</f>
        <v/>
      </c>
      <c r="Y11" s="46">
        <f>IF(Q11="",0,SUMIFS('Selections &amp; Orders'!$AD$8:$AD$157,'Selections &amp; Orders'!$C$8:$C$157,Q11))</f>
        <v/>
      </c>
      <c r="Z11" s="46">
        <f>IF(Q11="",0,SUMIFS('Issues &amp; Punch List'!$O$8:$O$207,'Issues &amp; Punch List'!$E$8:$E$207,Q11))</f>
        <v/>
      </c>
      <c r="AA11" s="46">
        <f>IF(Q11="",0,SUMIFS('Issues &amp; Punch List'!$U$8:$U$207,'Issues &amp; Punch List'!$E$8:$E$207,Q11))</f>
        <v/>
      </c>
      <c r="AB11" s="46">
        <f>IF(Q11="",0,COUNTIFS('Timeline'!$E$7:$E$156,Q11,'Timeline'!$Q$7:$Q$156,3))</f>
        <v/>
      </c>
      <c r="AC11" s="46">
        <f>IF(Q11="","",IF(OR(AA11&gt;0,AB11&gt;0,AND(S11&lt;&gt;"",T11&gt;IF(S11="",0,S11),IF(S11="",0,S11)&gt;0)),2,IF(OR(Z11&gt;0,Y11&gt;0),1,0)))</f>
        <v/>
      </c>
      <c r="AD11" s="46">
        <f>IF(Q11="","",IFERROR(INDEX('Timeline'!$F$7:$F$156,MATCH(Q11&amp;"|1",'Timeline'!$S$7:$S$156,0)),""))</f>
        <v/>
      </c>
      <c r="AE11" s="46">
        <f>IF(Q11="","",IFERROR(INDEX('Timeline'!$F$7:$F$156,MATCH(Q11&amp;"|2",'Timeline'!$S$7:$S$156,0)),""))</f>
        <v/>
      </c>
      <c r="AF11" s="46">
        <f>IF(Q11="","",IFERROR(INDEX('Timeline'!$F$7:$F$156,MATCH(Q11&amp;"|3",'Timeline'!$S$7:$S$156,0)),""))</f>
        <v/>
      </c>
      <c r="AG11" s="46">
        <f>IF(OR(Q11="",R11=""),"",IF(R11=0,"",T11/R11))</f>
        <v/>
      </c>
      <c r="AH11" s="46">
        <f>IF(Q11="","",MAX(IF(S11="",0,S11),T11))</f>
        <v/>
      </c>
    </row>
    <row r="12" ht="21" customHeight="1">
      <c r="B12" s="131">
        <f>"Cost per "&amp;AreaUnit</f>
        <v/>
      </c>
      <c r="C12" s="132" t="n"/>
      <c r="D12" s="134">
        <f>AG6</f>
        <v/>
      </c>
      <c r="E12" s="135" t="inlineStr">
        <is>
          <t>High-severity</t>
        </is>
      </c>
      <c r="F12" s="140">
        <f>AA6</f>
        <v/>
      </c>
      <c r="H12" s="131">
        <f>"Cost per "&amp;AreaUnit</f>
        <v/>
      </c>
      <c r="I12" s="132" t="n"/>
      <c r="J12" s="134">
        <f>AG7</f>
        <v/>
      </c>
      <c r="K12" s="135" t="inlineStr">
        <is>
          <t>High-severity</t>
        </is>
      </c>
      <c r="L12" s="140">
        <f>AA7</f>
        <v/>
      </c>
      <c r="Q12" s="46">
        <f>IF(B41="","",B41)</f>
        <v/>
      </c>
      <c r="R12" s="46">
        <f>IF(D42="","",D42)</f>
        <v/>
      </c>
      <c r="S12" s="46">
        <f>IF(F42="","",F42)</f>
        <v/>
      </c>
      <c r="T12" s="46">
        <f>IF(Q12="","",SUMIFS('Contractors'!$I$6:$I$35,'Contractors'!$E$6:$E$35,Q12,'Contractors'!$L$6:$L$35,"Yes")+SUMIFS('Selections &amp; Orders'!$L$8:$L$157,'Selections &amp; Orders'!$C$8:$C$157,Q12)+SUMIFS('Change Orders'!$J$7:$J$106,'Change Orders'!$G$7:$G$106,Q12,'Change Orders'!$L$7:$L$106,"Approved"))</f>
        <v/>
      </c>
      <c r="U12" s="46">
        <f>IF(Q12="","",SUMIFS('Payments'!$N$6:$N$205,'Payments'!$Q$6:$Q$205,Q12))</f>
        <v/>
      </c>
      <c r="V12" s="46">
        <f>IF(Q12="",0,COUNTIFS('Timeline'!$E$7:$E$156,Q12))</f>
        <v/>
      </c>
      <c r="W12" s="46">
        <f>IF(Q12="",0,COUNTIFS('Timeline'!$E$7:$E$156,Q12,'Timeline'!$M$7:$M$156,"Done"))</f>
        <v/>
      </c>
      <c r="X12" s="46">
        <f>IF(V12=0,"",W12/V12)</f>
        <v/>
      </c>
      <c r="Y12" s="46">
        <f>IF(Q12="",0,SUMIFS('Selections &amp; Orders'!$AD$8:$AD$157,'Selections &amp; Orders'!$C$8:$C$157,Q12))</f>
        <v/>
      </c>
      <c r="Z12" s="46">
        <f>IF(Q12="",0,SUMIFS('Issues &amp; Punch List'!$O$8:$O$207,'Issues &amp; Punch List'!$E$8:$E$207,Q12))</f>
        <v/>
      </c>
      <c r="AA12" s="46">
        <f>IF(Q12="",0,SUMIFS('Issues &amp; Punch List'!$U$8:$U$207,'Issues &amp; Punch List'!$E$8:$E$207,Q12))</f>
        <v/>
      </c>
      <c r="AB12" s="46">
        <f>IF(Q12="",0,COUNTIFS('Timeline'!$E$7:$E$156,Q12,'Timeline'!$Q$7:$Q$156,3))</f>
        <v/>
      </c>
      <c r="AC12" s="46">
        <f>IF(Q12="","",IF(OR(AA12&gt;0,AB12&gt;0,AND(S12&lt;&gt;"",T12&gt;IF(S12="",0,S12),IF(S12="",0,S12)&gt;0)),2,IF(OR(Z12&gt;0,Y12&gt;0),1,0)))</f>
        <v/>
      </c>
      <c r="AD12" s="46">
        <f>IF(Q12="","",IFERROR(INDEX('Timeline'!$F$7:$F$156,MATCH(Q12&amp;"|1",'Timeline'!$S$7:$S$156,0)),""))</f>
        <v/>
      </c>
      <c r="AE12" s="46">
        <f>IF(Q12="","",IFERROR(INDEX('Timeline'!$F$7:$F$156,MATCH(Q12&amp;"|2",'Timeline'!$S$7:$S$156,0)),""))</f>
        <v/>
      </c>
      <c r="AF12" s="46">
        <f>IF(Q12="","",IFERROR(INDEX('Timeline'!$F$7:$F$156,MATCH(Q12&amp;"|3",'Timeline'!$S$7:$S$156,0)),""))</f>
        <v/>
      </c>
      <c r="AG12" s="46">
        <f>IF(OR(Q12="",R12=""),"",IF(R12=0,"",T12/R12))</f>
        <v/>
      </c>
      <c r="AH12" s="46">
        <f>IF(Q12="","",MAX(IF(S12="",0,S12),T12))</f>
        <v/>
      </c>
    </row>
    <row r="13" ht="21" customHeight="1">
      <c r="B13" s="135" t="inlineStr">
        <is>
          <t>Contractors</t>
        </is>
      </c>
      <c r="C13" s="141">
        <f>IF(AD6="","–",AD6&amp;IF(AE6="","",", "&amp;AE6)&amp;IF(AF6="","",", "&amp;AF6))</f>
        <v/>
      </c>
      <c r="H13" s="135" t="inlineStr">
        <is>
          <t>Contractors</t>
        </is>
      </c>
      <c r="I13" s="141">
        <f>IF(AD7="","–",AD7&amp;IF(AE7="","",", "&amp;AE7)&amp;IF(AF7="","",", "&amp;AF7))</f>
        <v/>
      </c>
      <c r="Q13" s="46">
        <f>IF(H41="","",H41)</f>
        <v/>
      </c>
      <c r="R13" s="46">
        <f>IF(J42="","",J42)</f>
        <v/>
      </c>
      <c r="S13" s="46">
        <f>IF(L42="","",L42)</f>
        <v/>
      </c>
      <c r="T13" s="46">
        <f>IF(Q13="","",SUMIFS('Contractors'!$I$6:$I$35,'Contractors'!$E$6:$E$35,Q13,'Contractors'!$L$6:$L$35,"Yes")+SUMIFS('Selections &amp; Orders'!$L$8:$L$157,'Selections &amp; Orders'!$C$8:$C$157,Q13)+SUMIFS('Change Orders'!$J$7:$J$106,'Change Orders'!$G$7:$G$106,Q13,'Change Orders'!$L$7:$L$106,"Approved"))</f>
        <v/>
      </c>
      <c r="U13" s="46">
        <f>IF(Q13="","",SUMIFS('Payments'!$N$6:$N$205,'Payments'!$Q$6:$Q$205,Q13))</f>
        <v/>
      </c>
      <c r="V13" s="46">
        <f>IF(Q13="",0,COUNTIFS('Timeline'!$E$7:$E$156,Q13))</f>
        <v/>
      </c>
      <c r="W13" s="46">
        <f>IF(Q13="",0,COUNTIFS('Timeline'!$E$7:$E$156,Q13,'Timeline'!$M$7:$M$156,"Done"))</f>
        <v/>
      </c>
      <c r="X13" s="46">
        <f>IF(V13=0,"",W13/V13)</f>
        <v/>
      </c>
      <c r="Y13" s="46">
        <f>IF(Q13="",0,SUMIFS('Selections &amp; Orders'!$AD$8:$AD$157,'Selections &amp; Orders'!$C$8:$C$157,Q13))</f>
        <v/>
      </c>
      <c r="Z13" s="46">
        <f>IF(Q13="",0,SUMIFS('Issues &amp; Punch List'!$O$8:$O$207,'Issues &amp; Punch List'!$E$8:$E$207,Q13))</f>
        <v/>
      </c>
      <c r="AA13" s="46">
        <f>IF(Q13="",0,SUMIFS('Issues &amp; Punch List'!$U$8:$U$207,'Issues &amp; Punch List'!$E$8:$E$207,Q13))</f>
        <v/>
      </c>
      <c r="AB13" s="46">
        <f>IF(Q13="",0,COUNTIFS('Timeline'!$E$7:$E$156,Q13,'Timeline'!$Q$7:$Q$156,3))</f>
        <v/>
      </c>
      <c r="AC13" s="46">
        <f>IF(Q13="","",IF(OR(AA13&gt;0,AB13&gt;0,AND(S13&lt;&gt;"",T13&gt;IF(S13="",0,S13),IF(S13="",0,S13)&gt;0)),2,IF(OR(Z13&gt;0,Y13&gt;0),1,0)))</f>
        <v/>
      </c>
      <c r="AD13" s="46">
        <f>IF(Q13="","",IFERROR(INDEX('Timeline'!$F$7:$F$156,MATCH(Q13&amp;"|1",'Timeline'!$S$7:$S$156,0)),""))</f>
        <v/>
      </c>
      <c r="AE13" s="46">
        <f>IF(Q13="","",IFERROR(INDEX('Timeline'!$F$7:$F$156,MATCH(Q13&amp;"|2",'Timeline'!$S$7:$S$156,0)),""))</f>
        <v/>
      </c>
      <c r="AF13" s="46">
        <f>IF(Q13="","",IFERROR(INDEX('Timeline'!$F$7:$F$156,MATCH(Q13&amp;"|3",'Timeline'!$S$7:$S$156,0)),""))</f>
        <v/>
      </c>
      <c r="AG13" s="46">
        <f>IF(OR(Q13="",R13=""),"",IF(R13=0,"",T13/R13))</f>
        <v/>
      </c>
      <c r="AH13" s="46">
        <f>IF(Q13="","",MAX(IF(S13="",0,S13),T13))</f>
        <v/>
      </c>
    </row>
    <row r="14" ht="21" customHeight="1">
      <c r="B14" s="132" t="n"/>
      <c r="C14" s="132" t="n"/>
      <c r="D14" s="132" t="n"/>
      <c r="E14" s="132" t="n"/>
      <c r="F14" s="132" t="n"/>
      <c r="H14" s="132" t="n"/>
      <c r="I14" s="132" t="n"/>
      <c r="J14" s="132" t="n"/>
      <c r="K14" s="132" t="n"/>
      <c r="L14" s="132" t="n"/>
      <c r="Q14" s="46">
        <f>IF(B53="","",B53)</f>
        <v/>
      </c>
      <c r="R14" s="46">
        <f>IF(D54="","",D54)</f>
        <v/>
      </c>
      <c r="S14" s="46">
        <f>IF(F54="","",F54)</f>
        <v/>
      </c>
      <c r="T14" s="46">
        <f>IF(Q14="","",SUMIFS('Contractors'!$I$6:$I$35,'Contractors'!$E$6:$E$35,Q14,'Contractors'!$L$6:$L$35,"Yes")+SUMIFS('Selections &amp; Orders'!$L$8:$L$157,'Selections &amp; Orders'!$C$8:$C$157,Q14)+SUMIFS('Change Orders'!$J$7:$J$106,'Change Orders'!$G$7:$G$106,Q14,'Change Orders'!$L$7:$L$106,"Approved"))</f>
        <v/>
      </c>
      <c r="U14" s="46">
        <f>IF(Q14="","",SUMIFS('Payments'!$N$6:$N$205,'Payments'!$Q$6:$Q$205,Q14))</f>
        <v/>
      </c>
      <c r="V14" s="46">
        <f>IF(Q14="",0,COUNTIFS('Timeline'!$E$7:$E$156,Q14))</f>
        <v/>
      </c>
      <c r="W14" s="46">
        <f>IF(Q14="",0,COUNTIFS('Timeline'!$E$7:$E$156,Q14,'Timeline'!$M$7:$M$156,"Done"))</f>
        <v/>
      </c>
      <c r="X14" s="46">
        <f>IF(V14=0,"",W14/V14)</f>
        <v/>
      </c>
      <c r="Y14" s="46">
        <f>IF(Q14="",0,SUMIFS('Selections &amp; Orders'!$AD$8:$AD$157,'Selections &amp; Orders'!$C$8:$C$157,Q14))</f>
        <v/>
      </c>
      <c r="Z14" s="46">
        <f>IF(Q14="",0,SUMIFS('Issues &amp; Punch List'!$O$8:$O$207,'Issues &amp; Punch List'!$E$8:$E$207,Q14))</f>
        <v/>
      </c>
      <c r="AA14" s="46">
        <f>IF(Q14="",0,SUMIFS('Issues &amp; Punch List'!$U$8:$U$207,'Issues &amp; Punch List'!$E$8:$E$207,Q14))</f>
        <v/>
      </c>
      <c r="AB14" s="46">
        <f>IF(Q14="",0,COUNTIFS('Timeline'!$E$7:$E$156,Q14,'Timeline'!$Q$7:$Q$156,3))</f>
        <v/>
      </c>
      <c r="AC14" s="46">
        <f>IF(Q14="","",IF(OR(AA14&gt;0,AB14&gt;0,AND(S14&lt;&gt;"",T14&gt;IF(S14="",0,S14),IF(S14="",0,S14)&gt;0)),2,IF(OR(Z14&gt;0,Y14&gt;0),1,0)))</f>
        <v/>
      </c>
      <c r="AD14" s="46">
        <f>IF(Q14="","",IFERROR(INDEX('Timeline'!$F$7:$F$156,MATCH(Q14&amp;"|1",'Timeline'!$S$7:$S$156,0)),""))</f>
        <v/>
      </c>
      <c r="AE14" s="46">
        <f>IF(Q14="","",IFERROR(INDEX('Timeline'!$F$7:$F$156,MATCH(Q14&amp;"|2",'Timeline'!$S$7:$S$156,0)),""))</f>
        <v/>
      </c>
      <c r="AF14" s="46">
        <f>IF(Q14="","",IFERROR(INDEX('Timeline'!$F$7:$F$156,MATCH(Q14&amp;"|3",'Timeline'!$S$7:$S$156,0)),""))</f>
        <v/>
      </c>
      <c r="AG14" s="46">
        <f>IF(OR(Q14="",R14=""),"",IF(R14=0,"",T14/R14))</f>
        <v/>
      </c>
      <c r="AH14" s="46">
        <f>IF(Q14="","",MAX(IF(S14="",0,S14),T14))</f>
        <v/>
      </c>
    </row>
    <row r="15" ht="21" customHeight="1">
      <c r="B15" s="142" t="n"/>
      <c r="C15" s="142" t="n"/>
      <c r="D15" s="142" t="n"/>
      <c r="E15" s="142" t="n"/>
      <c r="F15" s="142" t="n"/>
      <c r="H15" s="142" t="n"/>
      <c r="I15" s="142" t="n"/>
      <c r="J15" s="142" t="n"/>
      <c r="K15" s="142" t="n"/>
      <c r="L15" s="142" t="n"/>
      <c r="Q15" s="46">
        <f>IF(H53="","",H53)</f>
        <v/>
      </c>
      <c r="R15" s="46">
        <f>IF(J54="","",J54)</f>
        <v/>
      </c>
      <c r="S15" s="46">
        <f>IF(L54="","",L54)</f>
        <v/>
      </c>
      <c r="T15" s="46">
        <f>IF(Q15="","",SUMIFS('Contractors'!$I$6:$I$35,'Contractors'!$E$6:$E$35,Q15,'Contractors'!$L$6:$L$35,"Yes")+SUMIFS('Selections &amp; Orders'!$L$8:$L$157,'Selections &amp; Orders'!$C$8:$C$157,Q15)+SUMIFS('Change Orders'!$J$7:$J$106,'Change Orders'!$G$7:$G$106,Q15,'Change Orders'!$L$7:$L$106,"Approved"))</f>
        <v/>
      </c>
      <c r="U15" s="46">
        <f>IF(Q15="","",SUMIFS('Payments'!$N$6:$N$205,'Payments'!$Q$6:$Q$205,Q15))</f>
        <v/>
      </c>
      <c r="V15" s="46">
        <f>IF(Q15="",0,COUNTIFS('Timeline'!$E$7:$E$156,Q15))</f>
        <v/>
      </c>
      <c r="W15" s="46">
        <f>IF(Q15="",0,COUNTIFS('Timeline'!$E$7:$E$156,Q15,'Timeline'!$M$7:$M$156,"Done"))</f>
        <v/>
      </c>
      <c r="X15" s="46">
        <f>IF(V15=0,"",W15/V15)</f>
        <v/>
      </c>
      <c r="Y15" s="46">
        <f>IF(Q15="",0,SUMIFS('Selections &amp; Orders'!$AD$8:$AD$157,'Selections &amp; Orders'!$C$8:$C$157,Q15))</f>
        <v/>
      </c>
      <c r="Z15" s="46">
        <f>IF(Q15="",0,SUMIFS('Issues &amp; Punch List'!$O$8:$O$207,'Issues &amp; Punch List'!$E$8:$E$207,Q15))</f>
        <v/>
      </c>
      <c r="AA15" s="46">
        <f>IF(Q15="",0,SUMIFS('Issues &amp; Punch List'!$U$8:$U$207,'Issues &amp; Punch List'!$E$8:$E$207,Q15))</f>
        <v/>
      </c>
      <c r="AB15" s="46">
        <f>IF(Q15="",0,COUNTIFS('Timeline'!$E$7:$E$156,Q15,'Timeline'!$Q$7:$Q$156,3))</f>
        <v/>
      </c>
      <c r="AC15" s="46">
        <f>IF(Q15="","",IF(OR(AA15&gt;0,AB15&gt;0,AND(S15&lt;&gt;"",T15&gt;IF(S15="",0,S15),IF(S15="",0,S15)&gt;0)),2,IF(OR(Z15&gt;0,Y15&gt;0),1,0)))</f>
        <v/>
      </c>
      <c r="AD15" s="46">
        <f>IF(Q15="","",IFERROR(INDEX('Timeline'!$F$7:$F$156,MATCH(Q15&amp;"|1",'Timeline'!$S$7:$S$156,0)),""))</f>
        <v/>
      </c>
      <c r="AE15" s="46">
        <f>IF(Q15="","",IFERROR(INDEX('Timeline'!$F$7:$F$156,MATCH(Q15&amp;"|2",'Timeline'!$S$7:$S$156,0)),""))</f>
        <v/>
      </c>
      <c r="AF15" s="46">
        <f>IF(Q15="","",IFERROR(INDEX('Timeline'!$F$7:$F$156,MATCH(Q15&amp;"|3",'Timeline'!$S$7:$S$156,0)),""))</f>
        <v/>
      </c>
      <c r="AG15" s="46">
        <f>IF(OR(Q15="",R15=""),"",IF(R15=0,"",T15/R15))</f>
        <v/>
      </c>
      <c r="AH15" s="46">
        <f>IF(Q15="","",MAX(IF(S15="",0,S15),T15))</f>
        <v/>
      </c>
    </row>
    <row r="16"/>
    <row r="17" ht="28" customHeight="1">
      <c r="B17" s="129" t="inlineStr">
        <is>
          <t>Bathroom 2</t>
        </is>
      </c>
      <c r="C17" s="130" t="n"/>
      <c r="D17" s="130" t="n"/>
      <c r="E17" s="130" t="n"/>
      <c r="F17" s="107">
        <f>IF(AC8="","",IF(AC8=0,"🟢 OK",IF(AC8=1,"🟡 Watch","🔴 Act")))</f>
        <v/>
      </c>
      <c r="H17" s="129" t="inlineStr">
        <is>
          <t>Master bedroom</t>
        </is>
      </c>
      <c r="I17" s="130" t="n"/>
      <c r="J17" s="130" t="n"/>
      <c r="K17" s="130" t="n"/>
      <c r="L17" s="107">
        <f>IF(AC9="","",IF(AC9=0,"🟢 OK",IF(AC9=1,"🟡 Watch","🔴 Act")))</f>
        <v/>
      </c>
    </row>
    <row r="18" ht="21" customHeight="1">
      <c r="B18" s="131">
        <f>"Floor area ("&amp;AreaUnit&amp;")"</f>
        <v/>
      </c>
      <c r="C18" s="132" t="n"/>
      <c r="D18" s="133" t="n">
        <v>5</v>
      </c>
      <c r="E18" s="131">
        <f>"Budget ("&amp;CurSym&amp;")"</f>
        <v/>
      </c>
      <c r="F18" s="73" t="n">
        <v>8000</v>
      </c>
      <c r="H18" s="131">
        <f>"Floor area ("&amp;AreaUnit&amp;")"</f>
        <v/>
      </c>
      <c r="I18" s="132" t="n"/>
      <c r="J18" s="133" t="n">
        <v>16</v>
      </c>
      <c r="K18" s="131">
        <f>"Budget ("&amp;CurSym&amp;")"</f>
        <v/>
      </c>
      <c r="L18" s="73" t="n">
        <v>4000</v>
      </c>
    </row>
    <row r="19" ht="21" customHeight="1">
      <c r="B19" s="131">
        <f>"Committed ("&amp;CurSym&amp;")"</f>
        <v/>
      </c>
      <c r="C19" s="132" t="n"/>
      <c r="D19" s="134">
        <f>T8</f>
        <v/>
      </c>
      <c r="E19" s="131">
        <f>"Paid ("&amp;CurSym&amp;")"</f>
        <v/>
      </c>
      <c r="F19" s="134">
        <f>U8</f>
        <v/>
      </c>
      <c r="H19" s="131">
        <f>"Committed ("&amp;CurSym&amp;")"</f>
        <v/>
      </c>
      <c r="I19" s="132" t="n"/>
      <c r="J19" s="134">
        <f>T9</f>
        <v/>
      </c>
      <c r="K19" s="131">
        <f>"Paid ("&amp;CurSym&amp;")"</f>
        <v/>
      </c>
      <c r="L19" s="134">
        <f>U9</f>
        <v/>
      </c>
    </row>
    <row r="20" ht="21" customHeight="1">
      <c r="B20" s="135" t="inlineStr">
        <is>
          <t>Budget used</t>
        </is>
      </c>
      <c r="C20" s="132" t="n"/>
      <c r="D20" s="136">
        <f>IF(OR(S8="",S8=0),"",REPT("█",ROUND(MIN(1,IF(OR(S8="",S8=0),0,T8/S8))*10,0))&amp;REPT("░",10-ROUND(MIN(1,IF(OR(S8="",S8=0),0,T8/S8))*10,0)))</f>
        <v/>
      </c>
      <c r="F20" s="137">
        <f>IF(OR(S8="",S8=0),"–",IF(OR(S8="",S8=0),0,T8/S8))</f>
        <v/>
      </c>
      <c r="H20" s="135" t="inlineStr">
        <is>
          <t>Budget used</t>
        </is>
      </c>
      <c r="I20" s="132" t="n"/>
      <c r="J20" s="136">
        <f>IF(OR(S9="",S9=0),"",REPT("█",ROUND(MIN(1,IF(OR(S9="",S9=0),0,T9/S9))*10,0))&amp;REPT("░",10-ROUND(MIN(1,IF(OR(S9="",S9=0),0,T9/S9))*10,0)))</f>
        <v/>
      </c>
      <c r="L20" s="137">
        <f>IF(OR(S9="",S9=0),"–",IF(OR(S9="",S9=0),0,T9/S9))</f>
        <v/>
      </c>
    </row>
    <row r="21" ht="21" customHeight="1">
      <c r="B21" s="135" t="inlineStr">
        <is>
          <t>Progress</t>
        </is>
      </c>
      <c r="C21" s="132" t="n"/>
      <c r="D21" s="138">
        <f>IF(X8="","",REPT("█",ROUND(MIN(1,X8)*10,0))&amp;REPT("░",10-ROUND(MIN(1,X8)*10,0)))</f>
        <v/>
      </c>
      <c r="F21" s="137">
        <f>IF(X8="","–",X8)</f>
        <v/>
      </c>
      <c r="H21" s="135" t="inlineStr">
        <is>
          <t>Progress</t>
        </is>
      </c>
      <c r="I21" s="132" t="n"/>
      <c r="J21" s="138">
        <f>IF(X9="","",REPT("█",ROUND(MIN(1,X9)*10,0))&amp;REPT("░",10-ROUND(MIN(1,X9)*10,0)))</f>
        <v/>
      </c>
      <c r="L21" s="137">
        <f>IF(X9="","–",X9)</f>
        <v/>
      </c>
    </row>
    <row r="22" ht="21" customHeight="1">
      <c r="B22" s="135" t="inlineStr">
        <is>
          <t>Tasks done</t>
        </is>
      </c>
      <c r="C22" s="132" t="n"/>
      <c r="D22" s="139">
        <f>W8&amp;" / "&amp;V8</f>
        <v/>
      </c>
      <c r="E22" s="135" t="inlineStr">
        <is>
          <t>Late tasks</t>
        </is>
      </c>
      <c r="F22" s="140">
        <f>AB8</f>
        <v/>
      </c>
      <c r="H22" s="135" t="inlineStr">
        <is>
          <t>Tasks done</t>
        </is>
      </c>
      <c r="I22" s="132" t="n"/>
      <c r="J22" s="139">
        <f>W9&amp;" / "&amp;V9</f>
        <v/>
      </c>
      <c r="K22" s="135" t="inlineStr">
        <is>
          <t>Late tasks</t>
        </is>
      </c>
      <c r="L22" s="140">
        <f>AB9</f>
        <v/>
      </c>
    </row>
    <row r="23" ht="21" customHeight="1">
      <c r="B23" s="135" t="inlineStr">
        <is>
          <t>Decisions waiting</t>
        </is>
      </c>
      <c r="C23" s="132" t="n"/>
      <c r="D23" s="140">
        <f>Y8</f>
        <v/>
      </c>
      <c r="E23" s="135" t="inlineStr">
        <is>
          <t>Open issues</t>
        </is>
      </c>
      <c r="F23" s="140">
        <f>Z8</f>
        <v/>
      </c>
      <c r="H23" s="135" t="inlineStr">
        <is>
          <t>Decisions waiting</t>
        </is>
      </c>
      <c r="I23" s="132" t="n"/>
      <c r="J23" s="140">
        <f>Y9</f>
        <v/>
      </c>
      <c r="K23" s="135" t="inlineStr">
        <is>
          <t>Open issues</t>
        </is>
      </c>
      <c r="L23" s="140">
        <f>Z9</f>
        <v/>
      </c>
    </row>
    <row r="24" ht="21" customHeight="1">
      <c r="B24" s="131">
        <f>"Cost per "&amp;AreaUnit</f>
        <v/>
      </c>
      <c r="C24" s="132" t="n"/>
      <c r="D24" s="134">
        <f>AG8</f>
        <v/>
      </c>
      <c r="E24" s="135" t="inlineStr">
        <is>
          <t>High-severity</t>
        </is>
      </c>
      <c r="F24" s="140">
        <f>AA8</f>
        <v/>
      </c>
      <c r="H24" s="131">
        <f>"Cost per "&amp;AreaUnit</f>
        <v/>
      </c>
      <c r="I24" s="132" t="n"/>
      <c r="J24" s="134">
        <f>AG9</f>
        <v/>
      </c>
      <c r="K24" s="135" t="inlineStr">
        <is>
          <t>High-severity</t>
        </is>
      </c>
      <c r="L24" s="140">
        <f>AA9</f>
        <v/>
      </c>
    </row>
    <row r="25" ht="21" customHeight="1">
      <c r="B25" s="135" t="inlineStr">
        <is>
          <t>Contractors</t>
        </is>
      </c>
      <c r="C25" s="141">
        <f>IF(AD8="","–",AD8&amp;IF(AE8="","",", "&amp;AE8)&amp;IF(AF8="","",", "&amp;AF8))</f>
        <v/>
      </c>
      <c r="H25" s="135" t="inlineStr">
        <is>
          <t>Contractors</t>
        </is>
      </c>
      <c r="I25" s="141">
        <f>IF(AD9="","–",AD9&amp;IF(AE9="","",", "&amp;AE9)&amp;IF(AF9="","",", "&amp;AF9))</f>
        <v/>
      </c>
    </row>
    <row r="26" ht="21" customHeight="1">
      <c r="B26" s="132" t="n"/>
      <c r="C26" s="132" t="n"/>
      <c r="D26" s="132" t="n"/>
      <c r="E26" s="132" t="n"/>
      <c r="F26" s="132" t="n"/>
      <c r="H26" s="132" t="n"/>
      <c r="I26" s="132" t="n"/>
      <c r="J26" s="132" t="n"/>
      <c r="K26" s="132" t="n"/>
      <c r="L26" s="132" t="n"/>
    </row>
    <row r="27" ht="21" customHeight="1">
      <c r="B27" s="142" t="n"/>
      <c r="C27" s="142" t="n"/>
      <c r="D27" s="142" t="n"/>
      <c r="E27" s="142" t="n"/>
      <c r="F27" s="142" t="n"/>
      <c r="H27" s="142" t="n"/>
      <c r="I27" s="142" t="n"/>
      <c r="J27" s="142" t="n"/>
      <c r="K27" s="142" t="n"/>
      <c r="L27" s="142" t="n"/>
    </row>
    <row r="28"/>
    <row r="29" ht="28" customHeight="1">
      <c r="B29" s="129" t="inlineStr">
        <is>
          <t>Living room</t>
        </is>
      </c>
      <c r="C29" s="130" t="n"/>
      <c r="D29" s="130" t="n"/>
      <c r="E29" s="130" t="n"/>
      <c r="F29" s="107">
        <f>IF(AC10="","",IF(AC10=0,"🟢 OK",IF(AC10=1,"🟡 Watch","🔴 Act")))</f>
        <v/>
      </c>
      <c r="H29" s="129" t="inlineStr">
        <is>
          <t>Exterior</t>
        </is>
      </c>
      <c r="I29" s="130" t="n"/>
      <c r="J29" s="130" t="n"/>
      <c r="K29" s="130" t="n"/>
      <c r="L29" s="107">
        <f>IF(AC11="","",IF(AC11=0,"🟢 OK",IF(AC11=1,"🟡 Watch","🔴 Act")))</f>
        <v/>
      </c>
    </row>
    <row r="30" ht="21" customHeight="1">
      <c r="B30" s="131">
        <f>"Floor area ("&amp;AreaUnit&amp;")"</f>
        <v/>
      </c>
      <c r="C30" s="132" t="n"/>
      <c r="D30" s="133" t="n">
        <v>32</v>
      </c>
      <c r="E30" s="131">
        <f>"Budget ("&amp;CurSym&amp;")"</f>
        <v/>
      </c>
      <c r="F30" s="73" t="n">
        <v>15000</v>
      </c>
      <c r="H30" s="131">
        <f>"Floor area ("&amp;AreaUnit&amp;")"</f>
        <v/>
      </c>
      <c r="I30" s="132" t="n"/>
      <c r="J30" s="133" t="n"/>
      <c r="K30" s="131">
        <f>"Budget ("&amp;CurSym&amp;")"</f>
        <v/>
      </c>
      <c r="L30" s="73" t="n">
        <v>4000</v>
      </c>
    </row>
    <row r="31" ht="21" customHeight="1">
      <c r="B31" s="131">
        <f>"Committed ("&amp;CurSym&amp;")"</f>
        <v/>
      </c>
      <c r="C31" s="132" t="n"/>
      <c r="D31" s="134">
        <f>T10</f>
        <v/>
      </c>
      <c r="E31" s="131">
        <f>"Paid ("&amp;CurSym&amp;")"</f>
        <v/>
      </c>
      <c r="F31" s="134">
        <f>U10</f>
        <v/>
      </c>
      <c r="H31" s="131">
        <f>"Committed ("&amp;CurSym&amp;")"</f>
        <v/>
      </c>
      <c r="I31" s="132" t="n"/>
      <c r="J31" s="134">
        <f>T11</f>
        <v/>
      </c>
      <c r="K31" s="131">
        <f>"Paid ("&amp;CurSym&amp;")"</f>
        <v/>
      </c>
      <c r="L31" s="134">
        <f>U11</f>
        <v/>
      </c>
    </row>
    <row r="32" ht="21" customHeight="1">
      <c r="B32" s="135" t="inlineStr">
        <is>
          <t>Budget used</t>
        </is>
      </c>
      <c r="C32" s="132" t="n"/>
      <c r="D32" s="136">
        <f>IF(OR(S10="",S10=0),"",REPT("█",ROUND(MIN(1,IF(OR(S10="",S10=0),0,T10/S10))*10,0))&amp;REPT("░",10-ROUND(MIN(1,IF(OR(S10="",S10=0),0,T10/S10))*10,0)))</f>
        <v/>
      </c>
      <c r="F32" s="137">
        <f>IF(OR(S10="",S10=0),"–",IF(OR(S10="",S10=0),0,T10/S10))</f>
        <v/>
      </c>
      <c r="H32" s="135" t="inlineStr">
        <is>
          <t>Budget used</t>
        </is>
      </c>
      <c r="I32" s="132" t="n"/>
      <c r="J32" s="136">
        <f>IF(OR(S11="",S11=0),"",REPT("█",ROUND(MIN(1,IF(OR(S11="",S11=0),0,T11/S11))*10,0))&amp;REPT("░",10-ROUND(MIN(1,IF(OR(S11="",S11=0),0,T11/S11))*10,0)))</f>
        <v/>
      </c>
      <c r="L32" s="137">
        <f>IF(OR(S11="",S11=0),"–",IF(OR(S11="",S11=0),0,T11/S11))</f>
        <v/>
      </c>
    </row>
    <row r="33" ht="21" customHeight="1">
      <c r="B33" s="135" t="inlineStr">
        <is>
          <t>Progress</t>
        </is>
      </c>
      <c r="C33" s="132" t="n"/>
      <c r="D33" s="138">
        <f>IF(X10="","",REPT("█",ROUND(MIN(1,X10)*10,0))&amp;REPT("░",10-ROUND(MIN(1,X10)*10,0)))</f>
        <v/>
      </c>
      <c r="F33" s="137">
        <f>IF(X10="","–",X10)</f>
        <v/>
      </c>
      <c r="H33" s="135" t="inlineStr">
        <is>
          <t>Progress</t>
        </is>
      </c>
      <c r="I33" s="132" t="n"/>
      <c r="J33" s="138">
        <f>IF(X11="","",REPT("█",ROUND(MIN(1,X11)*10,0))&amp;REPT("░",10-ROUND(MIN(1,X11)*10,0)))</f>
        <v/>
      </c>
      <c r="L33" s="137">
        <f>IF(X11="","–",X11)</f>
        <v/>
      </c>
    </row>
    <row r="34" ht="21" customHeight="1">
      <c r="B34" s="135" t="inlineStr">
        <is>
          <t>Tasks done</t>
        </is>
      </c>
      <c r="C34" s="132" t="n"/>
      <c r="D34" s="139">
        <f>W10&amp;" / "&amp;V10</f>
        <v/>
      </c>
      <c r="E34" s="135" t="inlineStr">
        <is>
          <t>Late tasks</t>
        </is>
      </c>
      <c r="F34" s="140">
        <f>AB10</f>
        <v/>
      </c>
      <c r="H34" s="135" t="inlineStr">
        <is>
          <t>Tasks done</t>
        </is>
      </c>
      <c r="I34" s="132" t="n"/>
      <c r="J34" s="139">
        <f>W11&amp;" / "&amp;V11</f>
        <v/>
      </c>
      <c r="K34" s="135" t="inlineStr">
        <is>
          <t>Late tasks</t>
        </is>
      </c>
      <c r="L34" s="140">
        <f>AB11</f>
        <v/>
      </c>
    </row>
    <row r="35" ht="21" customHeight="1">
      <c r="B35" s="135" t="inlineStr">
        <is>
          <t>Decisions waiting</t>
        </is>
      </c>
      <c r="C35" s="132" t="n"/>
      <c r="D35" s="140">
        <f>Y10</f>
        <v/>
      </c>
      <c r="E35" s="135" t="inlineStr">
        <is>
          <t>Open issues</t>
        </is>
      </c>
      <c r="F35" s="140">
        <f>Z10</f>
        <v/>
      </c>
      <c r="H35" s="135" t="inlineStr">
        <is>
          <t>Decisions waiting</t>
        </is>
      </c>
      <c r="I35" s="132" t="n"/>
      <c r="J35" s="140">
        <f>Y11</f>
        <v/>
      </c>
      <c r="K35" s="135" t="inlineStr">
        <is>
          <t>Open issues</t>
        </is>
      </c>
      <c r="L35" s="140">
        <f>Z11</f>
        <v/>
      </c>
    </row>
    <row r="36" ht="21" customHeight="1">
      <c r="B36" s="131">
        <f>"Cost per "&amp;AreaUnit</f>
        <v/>
      </c>
      <c r="C36" s="132" t="n"/>
      <c r="D36" s="134">
        <f>AG10</f>
        <v/>
      </c>
      <c r="E36" s="135" t="inlineStr">
        <is>
          <t>High-severity</t>
        </is>
      </c>
      <c r="F36" s="140">
        <f>AA10</f>
        <v/>
      </c>
      <c r="H36" s="131">
        <f>"Cost per "&amp;AreaUnit</f>
        <v/>
      </c>
      <c r="I36" s="132" t="n"/>
      <c r="J36" s="134">
        <f>AG11</f>
        <v/>
      </c>
      <c r="K36" s="135" t="inlineStr">
        <is>
          <t>High-severity</t>
        </is>
      </c>
      <c r="L36" s="140">
        <f>AA11</f>
        <v/>
      </c>
    </row>
    <row r="37" ht="21" customHeight="1">
      <c r="B37" s="135" t="inlineStr">
        <is>
          <t>Contractors</t>
        </is>
      </c>
      <c r="C37" s="141">
        <f>IF(AD10="","–",AD10&amp;IF(AE10="","",", "&amp;AE10)&amp;IF(AF10="","",", "&amp;AF10))</f>
        <v/>
      </c>
      <c r="H37" s="135" t="inlineStr">
        <is>
          <t>Contractors</t>
        </is>
      </c>
      <c r="I37" s="141">
        <f>IF(AD11="","–",AD11&amp;IF(AE11="","",", "&amp;AE11)&amp;IF(AF11="","",", "&amp;AF11))</f>
        <v/>
      </c>
    </row>
    <row r="38" ht="21" customHeight="1">
      <c r="B38" s="132" t="n"/>
      <c r="C38" s="132" t="n"/>
      <c r="D38" s="132" t="n"/>
      <c r="E38" s="132" t="n"/>
      <c r="F38" s="132" t="n"/>
      <c r="H38" s="132" t="n"/>
      <c r="I38" s="132" t="n"/>
      <c r="J38" s="132" t="n"/>
      <c r="K38" s="132" t="n"/>
      <c r="L38" s="132" t="n"/>
    </row>
    <row r="39" ht="21" customHeight="1">
      <c r="B39" s="142" t="n"/>
      <c r="C39" s="142" t="n"/>
      <c r="D39" s="142" t="n"/>
      <c r="E39" s="142" t="n"/>
      <c r="F39" s="142" t="n"/>
      <c r="H39" s="142" t="n"/>
      <c r="I39" s="142" t="n"/>
      <c r="J39" s="142" t="n"/>
      <c r="K39" s="142" t="n"/>
      <c r="L39" s="142" t="n"/>
    </row>
    <row r="40"/>
    <row r="41" ht="28" customHeight="1">
      <c r="B41" s="129" t="inlineStr">
        <is>
          <t>Custom room 7</t>
        </is>
      </c>
      <c r="C41" s="130" t="n"/>
      <c r="D41" s="130" t="n"/>
      <c r="E41" s="130" t="n"/>
      <c r="F41" s="107">
        <f>IF(AC12="","",IF(AC12=0,"🟢 OK",IF(AC12=1,"🟡 Watch","🔴 Act")))</f>
        <v/>
      </c>
      <c r="H41" s="129" t="inlineStr">
        <is>
          <t>Custom room 8</t>
        </is>
      </c>
      <c r="I41" s="130" t="n"/>
      <c r="J41" s="130" t="n"/>
      <c r="K41" s="130" t="n"/>
      <c r="L41" s="107">
        <f>IF(AC13="","",IF(AC13=0,"🟢 OK",IF(AC13=1,"🟡 Watch","🔴 Act")))</f>
        <v/>
      </c>
    </row>
    <row r="42" ht="21" customHeight="1">
      <c r="B42" s="131">
        <f>"Floor area ("&amp;AreaUnit&amp;")"</f>
        <v/>
      </c>
      <c r="C42" s="132" t="n"/>
      <c r="D42" s="133" t="n"/>
      <c r="E42" s="131">
        <f>"Budget ("&amp;CurSym&amp;")"</f>
        <v/>
      </c>
      <c r="F42" s="73" t="n"/>
      <c r="H42" s="131">
        <f>"Floor area ("&amp;AreaUnit&amp;")"</f>
        <v/>
      </c>
      <c r="I42" s="132" t="n"/>
      <c r="J42" s="133" t="n"/>
      <c r="K42" s="131">
        <f>"Budget ("&amp;CurSym&amp;")"</f>
        <v/>
      </c>
      <c r="L42" s="73" t="n"/>
    </row>
    <row r="43" ht="21" customHeight="1">
      <c r="B43" s="131">
        <f>"Committed ("&amp;CurSym&amp;")"</f>
        <v/>
      </c>
      <c r="C43" s="132" t="n"/>
      <c r="D43" s="134">
        <f>T12</f>
        <v/>
      </c>
      <c r="E43" s="131">
        <f>"Paid ("&amp;CurSym&amp;")"</f>
        <v/>
      </c>
      <c r="F43" s="134">
        <f>U12</f>
        <v/>
      </c>
      <c r="H43" s="131">
        <f>"Committed ("&amp;CurSym&amp;")"</f>
        <v/>
      </c>
      <c r="I43" s="132" t="n"/>
      <c r="J43" s="134">
        <f>T13</f>
        <v/>
      </c>
      <c r="K43" s="131">
        <f>"Paid ("&amp;CurSym&amp;")"</f>
        <v/>
      </c>
      <c r="L43" s="134">
        <f>U13</f>
        <v/>
      </c>
    </row>
    <row r="44" ht="21" customHeight="1">
      <c r="B44" s="135" t="inlineStr">
        <is>
          <t>Budget used</t>
        </is>
      </c>
      <c r="C44" s="132" t="n"/>
      <c r="D44" s="136">
        <f>IF(OR(S12="",S12=0),"",REPT("█",ROUND(MIN(1,IF(OR(S12="",S12=0),0,T12/S12))*10,0))&amp;REPT("░",10-ROUND(MIN(1,IF(OR(S12="",S12=0),0,T12/S12))*10,0)))</f>
        <v/>
      </c>
      <c r="F44" s="137">
        <f>IF(OR(S12="",S12=0),"–",IF(OR(S12="",S12=0),0,T12/S12))</f>
        <v/>
      </c>
      <c r="H44" s="135" t="inlineStr">
        <is>
          <t>Budget used</t>
        </is>
      </c>
      <c r="I44" s="132" t="n"/>
      <c r="J44" s="136">
        <f>IF(OR(S13="",S13=0),"",REPT("█",ROUND(MIN(1,IF(OR(S13="",S13=0),0,T13/S13))*10,0))&amp;REPT("░",10-ROUND(MIN(1,IF(OR(S13="",S13=0),0,T13/S13))*10,0)))</f>
        <v/>
      </c>
      <c r="L44" s="137">
        <f>IF(OR(S13="",S13=0),"–",IF(OR(S13="",S13=0),0,T13/S13))</f>
        <v/>
      </c>
    </row>
    <row r="45" ht="21" customHeight="1">
      <c r="B45" s="135" t="inlineStr">
        <is>
          <t>Progress</t>
        </is>
      </c>
      <c r="C45" s="132" t="n"/>
      <c r="D45" s="138">
        <f>IF(X12="","",REPT("█",ROUND(MIN(1,X12)*10,0))&amp;REPT("░",10-ROUND(MIN(1,X12)*10,0)))</f>
        <v/>
      </c>
      <c r="F45" s="137">
        <f>IF(X12="","–",X12)</f>
        <v/>
      </c>
      <c r="H45" s="135" t="inlineStr">
        <is>
          <t>Progress</t>
        </is>
      </c>
      <c r="I45" s="132" t="n"/>
      <c r="J45" s="138">
        <f>IF(X13="","",REPT("█",ROUND(MIN(1,X13)*10,0))&amp;REPT("░",10-ROUND(MIN(1,X13)*10,0)))</f>
        <v/>
      </c>
      <c r="L45" s="137">
        <f>IF(X13="","–",X13)</f>
        <v/>
      </c>
    </row>
    <row r="46" ht="21" customHeight="1">
      <c r="B46" s="135" t="inlineStr">
        <is>
          <t>Tasks done</t>
        </is>
      </c>
      <c r="C46" s="132" t="n"/>
      <c r="D46" s="139">
        <f>W12&amp;" / "&amp;V12</f>
        <v/>
      </c>
      <c r="E46" s="135" t="inlineStr">
        <is>
          <t>Late tasks</t>
        </is>
      </c>
      <c r="F46" s="140">
        <f>AB12</f>
        <v/>
      </c>
      <c r="H46" s="135" t="inlineStr">
        <is>
          <t>Tasks done</t>
        </is>
      </c>
      <c r="I46" s="132" t="n"/>
      <c r="J46" s="139">
        <f>W13&amp;" / "&amp;V13</f>
        <v/>
      </c>
      <c r="K46" s="135" t="inlineStr">
        <is>
          <t>Late tasks</t>
        </is>
      </c>
      <c r="L46" s="140">
        <f>AB13</f>
        <v/>
      </c>
    </row>
    <row r="47" ht="21" customHeight="1">
      <c r="B47" s="135" t="inlineStr">
        <is>
          <t>Decisions waiting</t>
        </is>
      </c>
      <c r="C47" s="132" t="n"/>
      <c r="D47" s="140">
        <f>Y12</f>
        <v/>
      </c>
      <c r="E47" s="135" t="inlineStr">
        <is>
          <t>Open issues</t>
        </is>
      </c>
      <c r="F47" s="140">
        <f>Z12</f>
        <v/>
      </c>
      <c r="H47" s="135" t="inlineStr">
        <is>
          <t>Decisions waiting</t>
        </is>
      </c>
      <c r="I47" s="132" t="n"/>
      <c r="J47" s="140">
        <f>Y13</f>
        <v/>
      </c>
      <c r="K47" s="135" t="inlineStr">
        <is>
          <t>Open issues</t>
        </is>
      </c>
      <c r="L47" s="140">
        <f>Z13</f>
        <v/>
      </c>
    </row>
    <row r="48" ht="21" customHeight="1">
      <c r="B48" s="131">
        <f>"Cost per "&amp;AreaUnit</f>
        <v/>
      </c>
      <c r="C48" s="132" t="n"/>
      <c r="D48" s="134">
        <f>AG12</f>
        <v/>
      </c>
      <c r="E48" s="135" t="inlineStr">
        <is>
          <t>High-severity</t>
        </is>
      </c>
      <c r="F48" s="140">
        <f>AA12</f>
        <v/>
      </c>
      <c r="H48" s="131">
        <f>"Cost per "&amp;AreaUnit</f>
        <v/>
      </c>
      <c r="I48" s="132" t="n"/>
      <c r="J48" s="134">
        <f>AG13</f>
        <v/>
      </c>
      <c r="K48" s="135" t="inlineStr">
        <is>
          <t>High-severity</t>
        </is>
      </c>
      <c r="L48" s="140">
        <f>AA13</f>
        <v/>
      </c>
    </row>
    <row r="49" ht="21" customHeight="1">
      <c r="B49" s="135" t="inlineStr">
        <is>
          <t>Contractors</t>
        </is>
      </c>
      <c r="C49" s="141">
        <f>IF(AD12="","–",AD12&amp;IF(AE12="","",", "&amp;AE12)&amp;IF(AF12="","",", "&amp;AF12))</f>
        <v/>
      </c>
      <c r="H49" s="135" t="inlineStr">
        <is>
          <t>Contractors</t>
        </is>
      </c>
      <c r="I49" s="141">
        <f>IF(AD13="","–",AD13&amp;IF(AE13="","",", "&amp;AE13)&amp;IF(AF13="","",", "&amp;AF13))</f>
        <v/>
      </c>
    </row>
    <row r="50" ht="21" customHeight="1">
      <c r="B50" s="132" t="n"/>
      <c r="C50" s="132" t="n"/>
      <c r="D50" s="132" t="n"/>
      <c r="E50" s="132" t="n"/>
      <c r="F50" s="132" t="n"/>
      <c r="H50" s="132" t="n"/>
      <c r="I50" s="132" t="n"/>
      <c r="J50" s="132" t="n"/>
      <c r="K50" s="132" t="n"/>
      <c r="L50" s="132" t="n"/>
    </row>
    <row r="51" ht="21" customHeight="1">
      <c r="B51" s="142" t="n"/>
      <c r="C51" s="142" t="n"/>
      <c r="D51" s="142" t="n"/>
      <c r="E51" s="142" t="n"/>
      <c r="F51" s="142" t="n"/>
      <c r="H51" s="142" t="n"/>
      <c r="I51" s="142" t="n"/>
      <c r="J51" s="142" t="n"/>
      <c r="K51" s="142" t="n"/>
      <c r="L51" s="142" t="n"/>
    </row>
    <row r="52"/>
    <row r="53" ht="28" customHeight="1">
      <c r="B53" s="129" t="inlineStr">
        <is>
          <t>Custom room 9</t>
        </is>
      </c>
      <c r="C53" s="130" t="n"/>
      <c r="D53" s="130" t="n"/>
      <c r="E53" s="130" t="n"/>
      <c r="F53" s="107">
        <f>IF(AC14="","",IF(AC14=0,"🟢 OK",IF(AC14=1,"🟡 Watch","🔴 Act")))</f>
        <v/>
      </c>
      <c r="H53" s="129" t="inlineStr">
        <is>
          <t>Custom room 10</t>
        </is>
      </c>
      <c r="I53" s="130" t="n"/>
      <c r="J53" s="130" t="n"/>
      <c r="K53" s="130" t="n"/>
      <c r="L53" s="107">
        <f>IF(AC15="","",IF(AC15=0,"🟢 OK",IF(AC15=1,"🟡 Watch","🔴 Act")))</f>
        <v/>
      </c>
    </row>
    <row r="54" ht="21" customHeight="1">
      <c r="B54" s="131">
        <f>"Floor area ("&amp;AreaUnit&amp;")"</f>
        <v/>
      </c>
      <c r="C54" s="132" t="n"/>
      <c r="D54" s="133" t="n"/>
      <c r="E54" s="131">
        <f>"Budget ("&amp;CurSym&amp;")"</f>
        <v/>
      </c>
      <c r="F54" s="73" t="n"/>
      <c r="H54" s="131">
        <f>"Floor area ("&amp;AreaUnit&amp;")"</f>
        <v/>
      </c>
      <c r="I54" s="132" t="n"/>
      <c r="J54" s="133" t="n"/>
      <c r="K54" s="131">
        <f>"Budget ("&amp;CurSym&amp;")"</f>
        <v/>
      </c>
      <c r="L54" s="73" t="n"/>
    </row>
    <row r="55" ht="21" customHeight="1">
      <c r="B55" s="131">
        <f>"Committed ("&amp;CurSym&amp;")"</f>
        <v/>
      </c>
      <c r="C55" s="132" t="n"/>
      <c r="D55" s="134">
        <f>T14</f>
        <v/>
      </c>
      <c r="E55" s="131">
        <f>"Paid ("&amp;CurSym&amp;")"</f>
        <v/>
      </c>
      <c r="F55" s="134">
        <f>U14</f>
        <v/>
      </c>
      <c r="H55" s="131">
        <f>"Committed ("&amp;CurSym&amp;")"</f>
        <v/>
      </c>
      <c r="I55" s="132" t="n"/>
      <c r="J55" s="134">
        <f>T15</f>
        <v/>
      </c>
      <c r="K55" s="131">
        <f>"Paid ("&amp;CurSym&amp;")"</f>
        <v/>
      </c>
      <c r="L55" s="134">
        <f>U15</f>
        <v/>
      </c>
    </row>
    <row r="56" ht="21" customHeight="1">
      <c r="B56" s="135" t="inlineStr">
        <is>
          <t>Budget used</t>
        </is>
      </c>
      <c r="C56" s="132" t="n"/>
      <c r="D56" s="136">
        <f>IF(OR(S14="",S14=0),"",REPT("█",ROUND(MIN(1,IF(OR(S14="",S14=0),0,T14/S14))*10,0))&amp;REPT("░",10-ROUND(MIN(1,IF(OR(S14="",S14=0),0,T14/S14))*10,0)))</f>
        <v/>
      </c>
      <c r="F56" s="137">
        <f>IF(OR(S14="",S14=0),"–",IF(OR(S14="",S14=0),0,T14/S14))</f>
        <v/>
      </c>
      <c r="H56" s="135" t="inlineStr">
        <is>
          <t>Budget used</t>
        </is>
      </c>
      <c r="I56" s="132" t="n"/>
      <c r="J56" s="136">
        <f>IF(OR(S15="",S15=0),"",REPT("█",ROUND(MIN(1,IF(OR(S15="",S15=0),0,T15/S15))*10,0))&amp;REPT("░",10-ROUND(MIN(1,IF(OR(S15="",S15=0),0,T15/S15))*10,0)))</f>
        <v/>
      </c>
      <c r="L56" s="137">
        <f>IF(OR(S15="",S15=0),"–",IF(OR(S15="",S15=0),0,T15/S15))</f>
        <v/>
      </c>
    </row>
    <row r="57" ht="21" customHeight="1">
      <c r="B57" s="135" t="inlineStr">
        <is>
          <t>Progress</t>
        </is>
      </c>
      <c r="C57" s="132" t="n"/>
      <c r="D57" s="138">
        <f>IF(X14="","",REPT("█",ROUND(MIN(1,X14)*10,0))&amp;REPT("░",10-ROUND(MIN(1,X14)*10,0)))</f>
        <v/>
      </c>
      <c r="F57" s="137">
        <f>IF(X14="","–",X14)</f>
        <v/>
      </c>
      <c r="H57" s="135" t="inlineStr">
        <is>
          <t>Progress</t>
        </is>
      </c>
      <c r="I57" s="132" t="n"/>
      <c r="J57" s="138">
        <f>IF(X15="","",REPT("█",ROUND(MIN(1,X15)*10,0))&amp;REPT("░",10-ROUND(MIN(1,X15)*10,0)))</f>
        <v/>
      </c>
      <c r="L57" s="137">
        <f>IF(X15="","–",X15)</f>
        <v/>
      </c>
    </row>
    <row r="58" ht="21" customHeight="1">
      <c r="B58" s="135" t="inlineStr">
        <is>
          <t>Tasks done</t>
        </is>
      </c>
      <c r="C58" s="132" t="n"/>
      <c r="D58" s="139">
        <f>W14&amp;" / "&amp;V14</f>
        <v/>
      </c>
      <c r="E58" s="135" t="inlineStr">
        <is>
          <t>Late tasks</t>
        </is>
      </c>
      <c r="F58" s="140">
        <f>AB14</f>
        <v/>
      </c>
      <c r="H58" s="135" t="inlineStr">
        <is>
          <t>Tasks done</t>
        </is>
      </c>
      <c r="I58" s="132" t="n"/>
      <c r="J58" s="139">
        <f>W15&amp;" / "&amp;V15</f>
        <v/>
      </c>
      <c r="K58" s="135" t="inlineStr">
        <is>
          <t>Late tasks</t>
        </is>
      </c>
      <c r="L58" s="140">
        <f>AB15</f>
        <v/>
      </c>
    </row>
    <row r="59" ht="21" customHeight="1">
      <c r="B59" s="135" t="inlineStr">
        <is>
          <t>Decisions waiting</t>
        </is>
      </c>
      <c r="C59" s="132" t="n"/>
      <c r="D59" s="140">
        <f>Y14</f>
        <v/>
      </c>
      <c r="E59" s="135" t="inlineStr">
        <is>
          <t>Open issues</t>
        </is>
      </c>
      <c r="F59" s="140">
        <f>Z14</f>
        <v/>
      </c>
      <c r="H59" s="135" t="inlineStr">
        <is>
          <t>Decisions waiting</t>
        </is>
      </c>
      <c r="I59" s="132" t="n"/>
      <c r="J59" s="140">
        <f>Y15</f>
        <v/>
      </c>
      <c r="K59" s="135" t="inlineStr">
        <is>
          <t>Open issues</t>
        </is>
      </c>
      <c r="L59" s="140">
        <f>Z15</f>
        <v/>
      </c>
    </row>
    <row r="60" ht="21" customHeight="1">
      <c r="B60" s="131">
        <f>"Cost per "&amp;AreaUnit</f>
        <v/>
      </c>
      <c r="C60" s="132" t="n"/>
      <c r="D60" s="134">
        <f>AG14</f>
        <v/>
      </c>
      <c r="E60" s="135" t="inlineStr">
        <is>
          <t>High-severity</t>
        </is>
      </c>
      <c r="F60" s="140">
        <f>AA14</f>
        <v/>
      </c>
      <c r="H60" s="131">
        <f>"Cost per "&amp;AreaUnit</f>
        <v/>
      </c>
      <c r="I60" s="132" t="n"/>
      <c r="J60" s="134">
        <f>AG15</f>
        <v/>
      </c>
      <c r="K60" s="135" t="inlineStr">
        <is>
          <t>High-severity</t>
        </is>
      </c>
      <c r="L60" s="140">
        <f>AA15</f>
        <v/>
      </c>
    </row>
    <row r="61" ht="21" customHeight="1">
      <c r="B61" s="135" t="inlineStr">
        <is>
          <t>Contractors</t>
        </is>
      </c>
      <c r="C61" s="141">
        <f>IF(AD14="","–",AD14&amp;IF(AE14="","",", "&amp;AE14)&amp;IF(AF14="","",", "&amp;AF14))</f>
        <v/>
      </c>
      <c r="H61" s="135" t="inlineStr">
        <is>
          <t>Contractors</t>
        </is>
      </c>
      <c r="I61" s="141">
        <f>IF(AD15="","–",AD15&amp;IF(AE15="","",", "&amp;AE15)&amp;IF(AF15="","",", "&amp;AF15))</f>
        <v/>
      </c>
    </row>
    <row r="62" ht="21" customHeight="1">
      <c r="B62" s="132" t="n"/>
      <c r="C62" s="132" t="n"/>
      <c r="D62" s="132" t="n"/>
      <c r="E62" s="132" t="n"/>
      <c r="F62" s="132" t="n"/>
      <c r="H62" s="132" t="n"/>
      <c r="I62" s="132" t="n"/>
      <c r="J62" s="132" t="n"/>
      <c r="K62" s="132" t="n"/>
      <c r="L62" s="132" t="n"/>
    </row>
    <row r="63" ht="21" customHeight="1">
      <c r="B63" s="142" t="n"/>
      <c r="C63" s="142" t="n"/>
      <c r="D63" s="142" t="n"/>
      <c r="E63" s="142" t="n"/>
      <c r="F63" s="142" t="n"/>
      <c r="H63" s="142" t="n"/>
      <c r="I63" s="142" t="n"/>
      <c r="J63" s="142" t="n"/>
      <c r="K63" s="142" t="n"/>
      <c r="L63" s="142" t="n"/>
    </row>
  </sheetData>
  <sheetProtection selectLockedCells="1" selectUnlockedCells="0" sheet="1" objects="0" insertRows="1" insertHyperlinks="1" autoFilter="1" scenarios="0" formatColumns="0" deleteColumns="1" insertColumns="1" pivotTables="1" deleteRows="1" formatCells="1" formatRows="0" sort="1" password="CD61"/>
  <mergeCells count="40">
    <mergeCell ref="D20:E20"/>
    <mergeCell ref="J44:K44"/>
    <mergeCell ref="C61:F61"/>
    <mergeCell ref="J57:K57"/>
    <mergeCell ref="B5:E5"/>
    <mergeCell ref="C37:F37"/>
    <mergeCell ref="D45:E45"/>
    <mergeCell ref="H5:K5"/>
    <mergeCell ref="D21:E21"/>
    <mergeCell ref="C13:F13"/>
    <mergeCell ref="I13:L13"/>
    <mergeCell ref="J9:K9"/>
    <mergeCell ref="B41:E41"/>
    <mergeCell ref="C49:F49"/>
    <mergeCell ref="D57:E57"/>
    <mergeCell ref="H53:K53"/>
    <mergeCell ref="D32:E32"/>
    <mergeCell ref="H29:K29"/>
    <mergeCell ref="J45:K45"/>
    <mergeCell ref="I49:L49"/>
    <mergeCell ref="H41:K41"/>
    <mergeCell ref="I61:L61"/>
    <mergeCell ref="J20:K20"/>
    <mergeCell ref="J32:K32"/>
    <mergeCell ref="C25:F25"/>
    <mergeCell ref="I25:L25"/>
    <mergeCell ref="D56:E56"/>
    <mergeCell ref="D9:E9"/>
    <mergeCell ref="I37:L37"/>
    <mergeCell ref="D8:E8"/>
    <mergeCell ref="J56:K56"/>
    <mergeCell ref="B17:E17"/>
    <mergeCell ref="J21:K21"/>
    <mergeCell ref="B53:E53"/>
    <mergeCell ref="H17:K17"/>
    <mergeCell ref="D33:E33"/>
    <mergeCell ref="B29:E29"/>
    <mergeCell ref="J33:K33"/>
    <mergeCell ref="J8:K8"/>
    <mergeCell ref="D44:E44"/>
  </mergeCells>
  <conditionalFormatting sqref="F5">
    <cfRule type="expression" priority="1" dxfId="0" stopIfTrue="0">
      <formula>$AC$6=2</formula>
    </cfRule>
    <cfRule type="expression" priority="2" dxfId="2" stopIfTrue="0">
      <formula>$AC$6=1</formula>
    </cfRule>
    <cfRule type="expression" priority="3" dxfId="3" stopIfTrue="0">
      <formula>$AC$6=0</formula>
    </cfRule>
  </conditionalFormatting>
  <conditionalFormatting sqref="D8:F8">
    <cfRule type="expression" priority="4" dxfId="0" stopIfTrue="0">
      <formula>IF(OR($S$6="",$S$6=0),0,$T$6/$S$6)&gt;1</formula>
    </cfRule>
  </conditionalFormatting>
  <conditionalFormatting sqref="F10">
    <cfRule type="expression" priority="5" dxfId="0" stopIfTrue="0">
      <formula>F10&gt;0</formula>
    </cfRule>
  </conditionalFormatting>
  <conditionalFormatting sqref="F12">
    <cfRule type="expression" priority="6" dxfId="0" stopIfTrue="0">
      <formula>F12&gt;0</formula>
    </cfRule>
  </conditionalFormatting>
  <conditionalFormatting sqref="F11">
    <cfRule type="expression" priority="7" dxfId="2" stopIfTrue="0">
      <formula>F11&gt;0</formula>
    </cfRule>
  </conditionalFormatting>
  <conditionalFormatting sqref="D11">
    <cfRule type="expression" priority="8" dxfId="2" stopIfTrue="0">
      <formula>D11&gt;0</formula>
    </cfRule>
  </conditionalFormatting>
  <conditionalFormatting sqref="L5">
    <cfRule type="expression" priority="9" dxfId="0" stopIfTrue="0">
      <formula>$AC$7=2</formula>
    </cfRule>
    <cfRule type="expression" priority="10" dxfId="2" stopIfTrue="0">
      <formula>$AC$7=1</formula>
    </cfRule>
    <cfRule type="expression" priority="11" dxfId="3" stopIfTrue="0">
      <formula>$AC$7=0</formula>
    </cfRule>
  </conditionalFormatting>
  <conditionalFormatting sqref="J8:L8">
    <cfRule type="expression" priority="12" dxfId="0" stopIfTrue="0">
      <formula>IF(OR($S$7="",$S$7=0),0,$T$7/$S$7)&gt;1</formula>
    </cfRule>
  </conditionalFormatting>
  <conditionalFormatting sqref="L10">
    <cfRule type="expression" priority="13" dxfId="0" stopIfTrue="0">
      <formula>L10&gt;0</formula>
    </cfRule>
  </conditionalFormatting>
  <conditionalFormatting sqref="L12">
    <cfRule type="expression" priority="14" dxfId="0" stopIfTrue="0">
      <formula>L12&gt;0</formula>
    </cfRule>
  </conditionalFormatting>
  <conditionalFormatting sqref="L11">
    <cfRule type="expression" priority="15" dxfId="2" stopIfTrue="0">
      <formula>L11&gt;0</formula>
    </cfRule>
  </conditionalFormatting>
  <conditionalFormatting sqref="J11">
    <cfRule type="expression" priority="16" dxfId="2" stopIfTrue="0">
      <formula>J11&gt;0</formula>
    </cfRule>
  </conditionalFormatting>
  <conditionalFormatting sqref="F17">
    <cfRule type="expression" priority="17" dxfId="0" stopIfTrue="0">
      <formula>$AC$8=2</formula>
    </cfRule>
    <cfRule type="expression" priority="18" dxfId="2" stopIfTrue="0">
      <formula>$AC$8=1</formula>
    </cfRule>
    <cfRule type="expression" priority="19" dxfId="3" stopIfTrue="0">
      <formula>$AC$8=0</formula>
    </cfRule>
  </conditionalFormatting>
  <conditionalFormatting sqref="D20:F20">
    <cfRule type="expression" priority="20" dxfId="0" stopIfTrue="0">
      <formula>IF(OR($S$8="",$S$8=0),0,$T$8/$S$8)&gt;1</formula>
    </cfRule>
  </conditionalFormatting>
  <conditionalFormatting sqref="F22">
    <cfRule type="expression" priority="21" dxfId="0" stopIfTrue="0">
      <formula>F22&gt;0</formula>
    </cfRule>
  </conditionalFormatting>
  <conditionalFormatting sqref="F24">
    <cfRule type="expression" priority="22" dxfId="0" stopIfTrue="0">
      <formula>F24&gt;0</formula>
    </cfRule>
  </conditionalFormatting>
  <conditionalFormatting sqref="F23">
    <cfRule type="expression" priority="23" dxfId="2" stopIfTrue="0">
      <formula>F23&gt;0</formula>
    </cfRule>
  </conditionalFormatting>
  <conditionalFormatting sqref="D23">
    <cfRule type="expression" priority="24" dxfId="2" stopIfTrue="0">
      <formula>D23&gt;0</formula>
    </cfRule>
  </conditionalFormatting>
  <conditionalFormatting sqref="L17">
    <cfRule type="expression" priority="25" dxfId="0" stopIfTrue="0">
      <formula>$AC$9=2</formula>
    </cfRule>
    <cfRule type="expression" priority="26" dxfId="2" stopIfTrue="0">
      <formula>$AC$9=1</formula>
    </cfRule>
    <cfRule type="expression" priority="27" dxfId="3" stopIfTrue="0">
      <formula>$AC$9=0</formula>
    </cfRule>
  </conditionalFormatting>
  <conditionalFormatting sqref="J20:L20">
    <cfRule type="expression" priority="28" dxfId="0" stopIfTrue="0">
      <formula>IF(OR($S$9="",$S$9=0),0,$T$9/$S$9)&gt;1</formula>
    </cfRule>
  </conditionalFormatting>
  <conditionalFormatting sqref="L22">
    <cfRule type="expression" priority="29" dxfId="0" stopIfTrue="0">
      <formula>L22&gt;0</formula>
    </cfRule>
  </conditionalFormatting>
  <conditionalFormatting sqref="L24">
    <cfRule type="expression" priority="30" dxfId="0" stopIfTrue="0">
      <formula>L24&gt;0</formula>
    </cfRule>
  </conditionalFormatting>
  <conditionalFormatting sqref="L23">
    <cfRule type="expression" priority="31" dxfId="2" stopIfTrue="0">
      <formula>L23&gt;0</formula>
    </cfRule>
  </conditionalFormatting>
  <conditionalFormatting sqref="J23">
    <cfRule type="expression" priority="32" dxfId="2" stopIfTrue="0">
      <formula>J23&gt;0</formula>
    </cfRule>
  </conditionalFormatting>
  <conditionalFormatting sqref="F29">
    <cfRule type="expression" priority="33" dxfId="0" stopIfTrue="0">
      <formula>$AC$10=2</formula>
    </cfRule>
    <cfRule type="expression" priority="34" dxfId="2" stopIfTrue="0">
      <formula>$AC$10=1</formula>
    </cfRule>
    <cfRule type="expression" priority="35" dxfId="3" stopIfTrue="0">
      <formula>$AC$10=0</formula>
    </cfRule>
  </conditionalFormatting>
  <conditionalFormatting sqref="D32:F32">
    <cfRule type="expression" priority="36" dxfId="0" stopIfTrue="0">
      <formula>IF(OR($S$10="",$S$10=0),0,$T$10/$S$10)&gt;1</formula>
    </cfRule>
  </conditionalFormatting>
  <conditionalFormatting sqref="F34">
    <cfRule type="expression" priority="37" dxfId="0" stopIfTrue="0">
      <formula>F34&gt;0</formula>
    </cfRule>
  </conditionalFormatting>
  <conditionalFormatting sqref="F36">
    <cfRule type="expression" priority="38" dxfId="0" stopIfTrue="0">
      <formula>F36&gt;0</formula>
    </cfRule>
  </conditionalFormatting>
  <conditionalFormatting sqref="F35">
    <cfRule type="expression" priority="39" dxfId="2" stopIfTrue="0">
      <formula>F35&gt;0</formula>
    </cfRule>
  </conditionalFormatting>
  <conditionalFormatting sqref="D35">
    <cfRule type="expression" priority="40" dxfId="2" stopIfTrue="0">
      <formula>D35&gt;0</formula>
    </cfRule>
  </conditionalFormatting>
  <conditionalFormatting sqref="L29">
    <cfRule type="expression" priority="41" dxfId="0" stopIfTrue="0">
      <formula>$AC$11=2</formula>
    </cfRule>
    <cfRule type="expression" priority="42" dxfId="2" stopIfTrue="0">
      <formula>$AC$11=1</formula>
    </cfRule>
    <cfRule type="expression" priority="43" dxfId="3" stopIfTrue="0">
      <formula>$AC$11=0</formula>
    </cfRule>
  </conditionalFormatting>
  <conditionalFormatting sqref="J32:L32">
    <cfRule type="expression" priority="44" dxfId="0" stopIfTrue="0">
      <formula>IF(OR($S$11="",$S$11=0),0,$T$11/$S$11)&gt;1</formula>
    </cfRule>
  </conditionalFormatting>
  <conditionalFormatting sqref="L34">
    <cfRule type="expression" priority="45" dxfId="0" stopIfTrue="0">
      <formula>L34&gt;0</formula>
    </cfRule>
  </conditionalFormatting>
  <conditionalFormatting sqref="L36">
    <cfRule type="expression" priority="46" dxfId="0" stopIfTrue="0">
      <formula>L36&gt;0</formula>
    </cfRule>
  </conditionalFormatting>
  <conditionalFormatting sqref="L35">
    <cfRule type="expression" priority="47" dxfId="2" stopIfTrue="0">
      <formula>L35&gt;0</formula>
    </cfRule>
  </conditionalFormatting>
  <conditionalFormatting sqref="J35">
    <cfRule type="expression" priority="48" dxfId="2" stopIfTrue="0">
      <formula>J35&gt;0</formula>
    </cfRule>
  </conditionalFormatting>
  <conditionalFormatting sqref="F41">
    <cfRule type="expression" priority="49" dxfId="0" stopIfTrue="0">
      <formula>$AC$12=2</formula>
    </cfRule>
    <cfRule type="expression" priority="50" dxfId="2" stopIfTrue="0">
      <formula>$AC$12=1</formula>
    </cfRule>
    <cfRule type="expression" priority="51" dxfId="3" stopIfTrue="0">
      <formula>$AC$12=0</formula>
    </cfRule>
  </conditionalFormatting>
  <conditionalFormatting sqref="D44:F44">
    <cfRule type="expression" priority="52" dxfId="0" stopIfTrue="0">
      <formula>IF(OR($S$12="",$S$12=0),0,$T$12/$S$12)&gt;1</formula>
    </cfRule>
  </conditionalFormatting>
  <conditionalFormatting sqref="F46">
    <cfRule type="expression" priority="53" dxfId="0" stopIfTrue="0">
      <formula>F46&gt;0</formula>
    </cfRule>
  </conditionalFormatting>
  <conditionalFormatting sqref="F48">
    <cfRule type="expression" priority="54" dxfId="0" stopIfTrue="0">
      <formula>F48&gt;0</formula>
    </cfRule>
  </conditionalFormatting>
  <conditionalFormatting sqref="F47">
    <cfRule type="expression" priority="55" dxfId="2" stopIfTrue="0">
      <formula>F47&gt;0</formula>
    </cfRule>
  </conditionalFormatting>
  <conditionalFormatting sqref="D47">
    <cfRule type="expression" priority="56" dxfId="2" stopIfTrue="0">
      <formula>D47&gt;0</formula>
    </cfRule>
  </conditionalFormatting>
  <conditionalFormatting sqref="L41">
    <cfRule type="expression" priority="57" dxfId="0" stopIfTrue="0">
      <formula>$AC$13=2</formula>
    </cfRule>
    <cfRule type="expression" priority="58" dxfId="2" stopIfTrue="0">
      <formula>$AC$13=1</formula>
    </cfRule>
    <cfRule type="expression" priority="59" dxfId="3" stopIfTrue="0">
      <formula>$AC$13=0</formula>
    </cfRule>
  </conditionalFormatting>
  <conditionalFormatting sqref="J44:L44">
    <cfRule type="expression" priority="60" dxfId="0" stopIfTrue="0">
      <formula>IF(OR($S$13="",$S$13=0),0,$T$13/$S$13)&gt;1</formula>
    </cfRule>
  </conditionalFormatting>
  <conditionalFormatting sqref="L46">
    <cfRule type="expression" priority="61" dxfId="0" stopIfTrue="0">
      <formula>L46&gt;0</formula>
    </cfRule>
  </conditionalFormatting>
  <conditionalFormatting sqref="L48">
    <cfRule type="expression" priority="62" dxfId="0" stopIfTrue="0">
      <formula>L48&gt;0</formula>
    </cfRule>
  </conditionalFormatting>
  <conditionalFormatting sqref="L47">
    <cfRule type="expression" priority="63" dxfId="2" stopIfTrue="0">
      <formula>L47&gt;0</formula>
    </cfRule>
  </conditionalFormatting>
  <conditionalFormatting sqref="J47">
    <cfRule type="expression" priority="64" dxfId="2" stopIfTrue="0">
      <formula>J47&gt;0</formula>
    </cfRule>
  </conditionalFormatting>
  <conditionalFormatting sqref="F53">
    <cfRule type="expression" priority="65" dxfId="0" stopIfTrue="0">
      <formula>$AC$14=2</formula>
    </cfRule>
    <cfRule type="expression" priority="66" dxfId="2" stopIfTrue="0">
      <formula>$AC$14=1</formula>
    </cfRule>
    <cfRule type="expression" priority="67" dxfId="3" stopIfTrue="0">
      <formula>$AC$14=0</formula>
    </cfRule>
  </conditionalFormatting>
  <conditionalFormatting sqref="D56:F56">
    <cfRule type="expression" priority="68" dxfId="0" stopIfTrue="0">
      <formula>IF(OR($S$14="",$S$14=0),0,$T$14/$S$14)&gt;1</formula>
    </cfRule>
  </conditionalFormatting>
  <conditionalFormatting sqref="F58">
    <cfRule type="expression" priority="69" dxfId="0" stopIfTrue="0">
      <formula>F58&gt;0</formula>
    </cfRule>
  </conditionalFormatting>
  <conditionalFormatting sqref="F60">
    <cfRule type="expression" priority="70" dxfId="0" stopIfTrue="0">
      <formula>F60&gt;0</formula>
    </cfRule>
  </conditionalFormatting>
  <conditionalFormatting sqref="F59">
    <cfRule type="expression" priority="71" dxfId="2" stopIfTrue="0">
      <formula>F59&gt;0</formula>
    </cfRule>
  </conditionalFormatting>
  <conditionalFormatting sqref="D59">
    <cfRule type="expression" priority="72" dxfId="2" stopIfTrue="0">
      <formula>D59&gt;0</formula>
    </cfRule>
  </conditionalFormatting>
  <conditionalFormatting sqref="L53">
    <cfRule type="expression" priority="73" dxfId="0" stopIfTrue="0">
      <formula>$AC$15=2</formula>
    </cfRule>
    <cfRule type="expression" priority="74" dxfId="2" stopIfTrue="0">
      <formula>$AC$15=1</formula>
    </cfRule>
    <cfRule type="expression" priority="75" dxfId="3" stopIfTrue="0">
      <formula>$AC$15=0</formula>
    </cfRule>
  </conditionalFormatting>
  <conditionalFormatting sqref="J56:L56">
    <cfRule type="expression" priority="76" dxfId="0" stopIfTrue="0">
      <formula>IF(OR($S$15="",$S$15=0),0,$T$15/$S$15)&gt;1</formula>
    </cfRule>
  </conditionalFormatting>
  <conditionalFormatting sqref="L58">
    <cfRule type="expression" priority="77" dxfId="0" stopIfTrue="0">
      <formula>L58&gt;0</formula>
    </cfRule>
  </conditionalFormatting>
  <conditionalFormatting sqref="L60">
    <cfRule type="expression" priority="78" dxfId="0" stopIfTrue="0">
      <formula>L60&gt;0</formula>
    </cfRule>
  </conditionalFormatting>
  <conditionalFormatting sqref="L59">
    <cfRule type="expression" priority="79" dxfId="2" stopIfTrue="0">
      <formula>L59&gt;0</formula>
    </cfRule>
  </conditionalFormatting>
  <conditionalFormatting sqref="J59">
    <cfRule type="expression" priority="80" dxfId="2" stopIfTrue="0">
      <formula>J59&gt;0</formula>
    </cfRule>
  </conditionalFormatting>
  <pageMargins left="0.75" right="0.75" top="1" bottom="1" header="0.5" footer="0.5"/>
  <headerFooter>
    <oddHeader/>
    <oddFooter>&amp;L&amp;8 © 2026 Hang Nguyen · Renovation OS&amp;R&amp;8 Personal licence — do not share or resell</oddFooter>
    <evenHeader/>
    <evenFooter/>
    <firstHeader/>
    <firstFooter/>
  </headerFooter>
</worksheet>
</file>

<file path=xl/worksheets/sheet11.xml><?xml version="1.0" encoding="utf-8"?>
<worksheet xmlns="http://schemas.openxmlformats.org/spreadsheetml/2006/main">
  <sheetPr>
    <tabColor rgb="00E07B00"/>
    <outlinePr summaryBelow="1" summaryRight="1"/>
    <pageSetUpPr/>
  </sheetPr>
  <dimension ref="A1:AJ157"/>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13" customWidth="1" min="3" max="3"/>
    <col width="14" customWidth="1" min="4" max="4"/>
    <col width="15" customWidth="1" min="5" max="5"/>
    <col width="9" customWidth="1" min="6" max="6"/>
    <col width="15" customWidth="1" min="7" max="7"/>
    <col width="9" customWidth="1" min="8" max="8"/>
    <col width="15" customWidth="1" min="9" max="9"/>
    <col width="9" customWidth="1" min="10" max="10"/>
    <col width="8" customWidth="1" min="11" max="11"/>
    <col width="11" customWidth="1" min="12" max="12"/>
    <col width="20" customWidth="1" min="13" max="13"/>
    <col width="16" customWidth="1" min="14" max="14"/>
    <col width="9" customWidth="1" min="15" max="15"/>
    <col width="9" customWidth="1" min="16" max="16"/>
    <col width="12" customWidth="1" min="17" max="17"/>
    <col width="12" customWidth="1" min="18" max="18"/>
    <col width="12" customWidth="1" min="19" max="19"/>
    <col width="12" customWidth="1" min="20" max="20"/>
    <col width="9" customWidth="1" min="21" max="21"/>
    <col width="12" customWidth="1" min="22" max="22"/>
    <col width="12" customWidth="1" min="23" max="23"/>
    <col width="9" customWidth="1" min="24" max="24"/>
    <col width="28"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s>
  <sheetData>
    <row r="1" ht="36" customHeight="1">
      <c r="B1" s="1" t="inlineStr">
        <is>
          <t>🧩 Selections &amp; Orders</t>
        </is>
      </c>
    </row>
    <row r="2" ht="20" customHeight="1">
      <c r="B2" s="2" t="inlineStr">
        <is>
          <t>What this tab does: every choice you must make (tiles, taps, appliances…) with automatic decide-by and order-by dates so nothing holds up the builders.</t>
        </is>
      </c>
    </row>
    <row r="3">
      <c r="B3" s="3" t="inlineStr">
        <is>
          <t>© 2026 Hang Nguyen — Renovation OS. Licensed to the original purchaser for personal use only. Do not share, copy, resell or redistribute.</t>
        </is>
      </c>
    </row>
    <row r="4">
      <c r="B4" s="27" t="inlineStr">
        <is>
          <t>Decisions waiting</t>
        </is>
      </c>
      <c r="E4" s="69">
        <f>"Orders due in next "&amp;AlertDays&amp;" days"</f>
        <v/>
      </c>
      <c r="J4" s="27" t="inlineStr">
        <is>
          <t>Late orders — install at risk</t>
        </is>
      </c>
      <c r="P4" s="27" t="inlineStr">
        <is>
          <t>Deliveries after install date</t>
        </is>
      </c>
    </row>
    <row r="5" ht="30" customHeight="1">
      <c r="B5" s="143">
        <f>SUM($AD$8:$AD$157)</f>
        <v/>
      </c>
      <c r="E5" s="143">
        <f>SUM($AG$8:$AG$157)</f>
        <v/>
      </c>
      <c r="J5" s="143">
        <f>SUM($AJ$8:$AJ$157)</f>
        <v/>
      </c>
      <c r="P5" s="143">
        <f>SUM($AH$8:$AH$157)-SUM($AJ$8:$AJ$157)</f>
        <v/>
      </c>
    </row>
    <row r="6"/>
    <row r="7" ht="32" customHeight="1">
      <c r="B7" s="52" t="inlineStr">
        <is>
          <t>Item / decision</t>
        </is>
      </c>
      <c r="C7" s="52" t="inlineStr">
        <is>
          <t>Room</t>
        </is>
      </c>
      <c r="D7" s="52" t="inlineStr">
        <is>
          <t>Budget category</t>
        </is>
      </c>
      <c r="E7" s="52" t="inlineStr">
        <is>
          <t>Option A</t>
        </is>
      </c>
      <c r="F7" s="70">
        <f>"A ("&amp;CurSym&amp;")"</f>
        <v/>
      </c>
      <c r="G7" s="52" t="inlineStr">
        <is>
          <t>Option B</t>
        </is>
      </c>
      <c r="H7" s="70">
        <f>"B ("&amp;CurSym&amp;")"</f>
        <v/>
      </c>
      <c r="I7" s="52" t="inlineStr">
        <is>
          <t>Option C</t>
        </is>
      </c>
      <c r="J7" s="70">
        <f>"C ("&amp;CurSym&amp;")"</f>
        <v/>
      </c>
      <c r="K7" s="52" t="inlineStr">
        <is>
          <t>Chosen</t>
        </is>
      </c>
      <c r="L7" s="70">
        <f>"Chosen price ("&amp;CurSym&amp;")"</f>
        <v/>
      </c>
      <c r="M7" s="52" t="inlineStr">
        <is>
          <t>Why this option</t>
        </is>
      </c>
      <c r="N7" s="52" t="inlineStr">
        <is>
          <t>Supplier</t>
        </is>
      </c>
      <c r="O7" s="52" t="inlineStr">
        <is>
          <t>Lead time (days)</t>
        </is>
      </c>
      <c r="P7" s="52" t="inlineStr">
        <is>
          <t>Timeline task ID</t>
        </is>
      </c>
      <c r="Q7" s="52" t="inlineStr">
        <is>
          <t>Needed-on (override)</t>
        </is>
      </c>
      <c r="R7" s="52" t="inlineStr">
        <is>
          <t>Needed on</t>
        </is>
      </c>
      <c r="S7" s="52" t="inlineStr">
        <is>
          <t>ORDER BY</t>
        </is>
      </c>
      <c r="T7" s="52" t="inlineStr">
        <is>
          <t>DECIDE BY</t>
        </is>
      </c>
      <c r="U7" s="52" t="inlineStr">
        <is>
          <t>Ordered?</t>
        </is>
      </c>
      <c r="V7" s="52" t="inlineStr">
        <is>
          <t>Order date</t>
        </is>
      </c>
      <c r="W7" s="52" t="inlineStr">
        <is>
          <t>Expected delivery</t>
        </is>
      </c>
      <c r="X7" s="52" t="inlineStr">
        <is>
          <t>Delivered?</t>
        </is>
      </c>
      <c r="Y7" s="52" t="inlineStr">
        <is>
          <t>Status</t>
        </is>
      </c>
      <c r="Z7" s="71" t="inlineStr">
        <is>
          <t>lvl</t>
        </is>
      </c>
      <c r="AA7" s="71" t="inlineStr">
        <is>
          <t>due</t>
        </is>
      </c>
      <c r="AB7" s="71" t="inlineStr">
        <is>
          <t>pri</t>
        </is>
      </c>
      <c r="AC7" s="71" t="inlineStr">
        <is>
          <t>text</t>
        </is>
      </c>
      <c r="AD7" s="71" t="inlineStr">
        <is>
          <t>dec_wait</t>
        </is>
      </c>
      <c r="AE7" s="71" t="inlineStr">
        <is>
          <t>dec_over</t>
        </is>
      </c>
      <c r="AF7" s="71" t="inlineStr">
        <is>
          <t>dec_soon</t>
        </is>
      </c>
      <c r="AG7" s="71" t="inlineStr">
        <is>
          <t>order_now</t>
        </is>
      </c>
      <c r="AH7" s="71" t="inlineStr">
        <is>
          <t>late_mat</t>
        </is>
      </c>
      <c r="AI7" s="71" t="inlineStr">
        <is>
          <t>need_order</t>
        </is>
      </c>
      <c r="AJ7" s="71" t="inlineStr">
        <is>
          <t>order_late</t>
        </is>
      </c>
    </row>
    <row r="8" ht="20" customHeight="1">
      <c r="B8" s="72" t="inlineStr">
        <is>
          <t>Kitchen worktop</t>
        </is>
      </c>
      <c r="C8" s="72" t="inlineStr">
        <is>
          <t>Kitchen</t>
        </is>
      </c>
      <c r="D8" s="72" t="inlineStr">
        <is>
          <t>Kitchen</t>
        </is>
      </c>
      <c r="E8" s="72" t="inlineStr">
        <is>
          <t>Quartz</t>
        </is>
      </c>
      <c r="F8" s="73" t="n">
        <v>2450</v>
      </c>
      <c r="G8" s="72" t="inlineStr">
        <is>
          <t>Laminate</t>
        </is>
      </c>
      <c r="H8" s="73" t="n">
        <v>890</v>
      </c>
      <c r="I8" s="72" t="inlineStr">
        <is>
          <t>Solid oak</t>
        </is>
      </c>
      <c r="J8" s="73" t="n">
        <v>1600</v>
      </c>
      <c r="K8" s="74" t="inlineStr">
        <is>
          <t>A</t>
        </is>
      </c>
      <c r="L8" s="75">
        <f>IF(K8="A",F8,IF(K8="B",H8,IF(K8="C",J8,"")))</f>
        <v/>
      </c>
      <c r="M8" s="72" t="inlineStr">
        <is>
          <t>Durable, matches cabinet colour</t>
        </is>
      </c>
      <c r="N8" s="72" t="inlineStr">
        <is>
          <t>StoneWorks</t>
        </is>
      </c>
      <c r="O8" s="89" t="n">
        <v>21</v>
      </c>
      <c r="P8" s="89" t="n">
        <v>14</v>
      </c>
      <c r="Q8" s="108" t="n"/>
      <c r="R8" s="120">
        <f>IF(B8="","",IF(Q8&lt;&gt;"",Q8,IF(P8="","",IFERROR(INDEX('Timeline'!$J$7:$J$156,MATCH(P8,'Timeline'!$B$7:$B$156,0)),""))))</f>
        <v/>
      </c>
      <c r="S8" s="126">
        <f>IF(R8="","",R8-IF(O8="",0,O8)-OrderBuf)</f>
        <v/>
      </c>
      <c r="T8" s="126">
        <f>IF(S8="","",S8-DecideBuf)</f>
        <v/>
      </c>
      <c r="U8" s="74" t="inlineStr">
        <is>
          <t>Yes</t>
        </is>
      </c>
      <c r="V8" s="108" t="n">
        <v>46174</v>
      </c>
      <c r="W8" s="108" t="n">
        <v>46199</v>
      </c>
      <c r="X8" s="74" t="inlineStr">
        <is>
          <t>No</t>
        </is>
      </c>
      <c r="Y8" s="115">
        <f>IF(B8="","",IF(X8="Yes","Delivered",IF(U8="Yes",IF(AND(W8&lt;&gt;"",R8&lt;&gt;""),IF(W8&gt;R8,"⚠️ Delivery after install date","Ordered"),"Ordered"),IF(K8="",IF(T8="","Waiting for decision",IF(T8&lt;=AsOf+AlertDays,"Decide now","Waiting for decision")),IF(S8="","Selected",IF(AsOf&gt;S8,"⚠️ Order late — install at risk",IF(S8&lt;=AsOf+AlertDays,"Order now","Selected")))))))</f>
        <v/>
      </c>
      <c r="Z8" s="79">
        <f>IF(B8="","",IF(OR(AH8=1,AE8=1),2,IF(OR(AG8=1,AF8=1),1,IF(OR(Y8="Ordered",Y8="Delivered"),0,""))))</f>
        <v/>
      </c>
      <c r="AA8" s="111">
        <f>IF(B8="","",IF(AH8=1,IF(Y8="⚠️ Delivery after install date",R8,S8),IF(AD8=1,T8,IF(AI8=1,S8,""))))</f>
        <v/>
      </c>
      <c r="AB8" s="79">
        <f>IF(AA8="","",IF(AH8=1,1,IF(AA8="","",IF(AA8&lt;AsOf,1,IF(AA8&lt;=AsOf+AlertDays,2,IF(AA8&lt;=AsOf+2*AlertDays,3,""))))))</f>
        <v/>
      </c>
      <c r="AC8" s="79">
        <f>IF(AB8="","",IF(AH8=1,IF(Y8="⚠️ Delivery after install date","Delivery after install date: "&amp;B8,"Order late — install at risk: "&amp;B8),IF(AD8=1,IF(AB8=1,"Decision overdue: ","Decide: ")&amp;B8,"Order: "&amp;B8&amp;IF(N8="",""," from "&amp;N8))))</f>
        <v/>
      </c>
      <c r="AD8" s="79">
        <f>IF(AND(B8&lt;&gt;"",K8="",U8&lt;&gt;"Yes",X8&lt;&gt;"Yes"),1,0)</f>
        <v/>
      </c>
      <c r="AE8" s="79">
        <f>IF(AND(AD8=1,T8&lt;&gt;""),IF(T8&lt;AsOf,1,0),0)</f>
        <v/>
      </c>
      <c r="AF8" s="79">
        <f>IF(AND(AD8=1,T8&lt;&gt;""),IF(AND(T8&gt;=AsOf,T8&lt;=AsOf+AlertDays),1,0),0)</f>
        <v/>
      </c>
      <c r="AG8" s="79">
        <f>IF(Y8="Order now",1,0)</f>
        <v/>
      </c>
      <c r="AH8" s="79">
        <f>IF(OR(Y8="⚠️ Order late — install at risk",Y8="⚠️ Delivery after install date"),1,0)</f>
        <v/>
      </c>
      <c r="AI8" s="79">
        <f>IF(AND(B8&lt;&gt;"",K8&lt;&gt;"",U8&lt;&gt;"Yes",X8&lt;&gt;"Yes"),1,0)</f>
        <v/>
      </c>
      <c r="AJ8" s="79">
        <f>IF(Y8="⚠️ Order late — install at risk",1,0)</f>
        <v/>
      </c>
    </row>
    <row r="9" ht="20" customHeight="1">
      <c r="B9" s="72" t="inlineStr">
        <is>
          <t>Kitchen backsplash tiles</t>
        </is>
      </c>
      <c r="C9" s="72" t="inlineStr">
        <is>
          <t>Kitchen</t>
        </is>
      </c>
      <c r="D9" s="72" t="inlineStr">
        <is>
          <t>Kitchen</t>
        </is>
      </c>
      <c r="E9" s="72" t="inlineStr">
        <is>
          <t>White gloss</t>
        </is>
      </c>
      <c r="F9" s="73" t="n">
        <v>380</v>
      </c>
      <c r="G9" s="72" t="inlineStr">
        <is>
          <t>Zellige green</t>
        </is>
      </c>
      <c r="H9" s="73" t="n">
        <v>520</v>
      </c>
      <c r="I9" s="72" t="n"/>
      <c r="J9" s="73" t="n"/>
      <c r="K9" s="74" t="inlineStr">
        <is>
          <t>A</t>
        </is>
      </c>
      <c r="L9" s="75">
        <f>IF(K9="A",F9,IF(K9="B",H9,IF(K9="C",J9,"")))</f>
        <v/>
      </c>
      <c r="M9" s="72" t="inlineStr">
        <is>
          <t>Budget</t>
        </is>
      </c>
      <c r="N9" s="72" t="inlineStr">
        <is>
          <t>TileDepot</t>
        </is>
      </c>
      <c r="O9" s="89" t="n">
        <v>10</v>
      </c>
      <c r="P9" s="89" t="n">
        <v>14</v>
      </c>
      <c r="Q9" s="108" t="n"/>
      <c r="R9" s="120">
        <f>IF(B9="","",IF(Q9&lt;&gt;"",Q9,IF(P9="","",IFERROR(INDEX('Timeline'!$J$7:$J$156,MATCH(P9,'Timeline'!$B$7:$B$156,0)),""))))</f>
        <v/>
      </c>
      <c r="S9" s="126">
        <f>IF(R9="","",R9-IF(O9="",0,O9)-OrderBuf)</f>
        <v/>
      </c>
      <c r="T9" s="126">
        <f>IF(S9="","",S9-DecideBuf)</f>
        <v/>
      </c>
      <c r="U9" s="74" t="inlineStr">
        <is>
          <t>No</t>
        </is>
      </c>
      <c r="V9" s="108" t="n"/>
      <c r="W9" s="108" t="n"/>
      <c r="X9" s="74" t="n"/>
      <c r="Y9" s="115">
        <f>IF(B9="","",IF(X9="Yes","Delivered",IF(U9="Yes",IF(AND(W9&lt;&gt;"",R9&lt;&gt;""),IF(W9&gt;R9,"⚠️ Delivery after install date","Ordered"),"Ordered"),IF(K9="",IF(T9="","Waiting for decision",IF(T9&lt;=AsOf+AlertDays,"Decide now","Waiting for decision")),IF(S9="","Selected",IF(AsOf&gt;S9,"⚠️ Order late — install at risk",IF(S9&lt;=AsOf+AlertDays,"Order now","Selected")))))))</f>
        <v/>
      </c>
      <c r="Z9" s="79">
        <f>IF(B9="","",IF(OR(AH9=1,AE9=1),2,IF(OR(AG9=1,AF9=1),1,IF(OR(Y9="Ordered",Y9="Delivered"),0,""))))</f>
        <v/>
      </c>
      <c r="AA9" s="111">
        <f>IF(B9="","",IF(AH9=1,IF(Y9="⚠️ Delivery after install date",R9,S9),IF(AD9=1,T9,IF(AI9=1,S9,""))))</f>
        <v/>
      </c>
      <c r="AB9" s="79">
        <f>IF(AA9="","",IF(AH9=1,1,IF(AA9="","",IF(AA9&lt;AsOf,1,IF(AA9&lt;=AsOf+AlertDays,2,IF(AA9&lt;=AsOf+2*AlertDays,3,""))))))</f>
        <v/>
      </c>
      <c r="AC9" s="79">
        <f>IF(AB9="","",IF(AH9=1,IF(Y9="⚠️ Delivery after install date","Delivery after install date: "&amp;B9,"Order late — install at risk: "&amp;B9),IF(AD9=1,IF(AB9=1,"Decision overdue: ","Decide: ")&amp;B9,"Order: "&amp;B9&amp;IF(N9="",""," from "&amp;N9))))</f>
        <v/>
      </c>
      <c r="AD9" s="79">
        <f>IF(AND(B9&lt;&gt;"",K9="",U9&lt;&gt;"Yes",X9&lt;&gt;"Yes"),1,0)</f>
        <v/>
      </c>
      <c r="AE9" s="79">
        <f>IF(AND(AD9=1,T9&lt;&gt;""),IF(T9&lt;AsOf,1,0),0)</f>
        <v/>
      </c>
      <c r="AF9" s="79">
        <f>IF(AND(AD9=1,T9&lt;&gt;""),IF(AND(T9&gt;=AsOf,T9&lt;=AsOf+AlertDays),1,0),0)</f>
        <v/>
      </c>
      <c r="AG9" s="79">
        <f>IF(Y9="Order now",1,0)</f>
        <v/>
      </c>
      <c r="AH9" s="79">
        <f>IF(OR(Y9="⚠️ Order late — install at risk",Y9="⚠️ Delivery after install date"),1,0)</f>
        <v/>
      </c>
      <c r="AI9" s="79">
        <f>IF(AND(B9&lt;&gt;"",K9&lt;&gt;"",U9&lt;&gt;"Yes",X9&lt;&gt;"Yes"),1,0)</f>
        <v/>
      </c>
      <c r="AJ9" s="79">
        <f>IF(Y9="⚠️ Order late — install at risk",1,0)</f>
        <v/>
      </c>
    </row>
    <row r="10" ht="20" customHeight="1">
      <c r="B10" s="72" t="inlineStr">
        <is>
          <t>Sink &amp; tap</t>
        </is>
      </c>
      <c r="C10" s="72" t="inlineStr">
        <is>
          <t>Kitchen</t>
        </is>
      </c>
      <c r="D10" s="72" t="inlineStr">
        <is>
          <t>Kitchen</t>
        </is>
      </c>
      <c r="E10" s="72" t="inlineStr">
        <is>
          <t>Undermount + boiling tap</t>
        </is>
      </c>
      <c r="F10" s="73" t="n">
        <v>620</v>
      </c>
      <c r="G10" s="72" t="inlineStr">
        <is>
          <t>Inset + mixer</t>
        </is>
      </c>
      <c r="H10" s="73" t="n">
        <v>410</v>
      </c>
      <c r="I10" s="72" t="n"/>
      <c r="J10" s="73" t="n"/>
      <c r="K10" s="74" t="inlineStr">
        <is>
          <t>A</t>
        </is>
      </c>
      <c r="L10" s="75">
        <f>IF(K10="A",F10,IF(K10="B",H10,IF(K10="C",J10,"")))</f>
        <v/>
      </c>
      <c r="M10" s="72" t="inlineStr">
        <is>
          <t>Daily convenience</t>
        </is>
      </c>
      <c r="N10" s="72" t="inlineStr">
        <is>
          <t>TapHouse</t>
        </is>
      </c>
      <c r="O10" s="89" t="n">
        <v>14</v>
      </c>
      <c r="P10" s="89" t="n">
        <v>14</v>
      </c>
      <c r="Q10" s="108" t="n"/>
      <c r="R10" s="120">
        <f>IF(B10="","",IF(Q10&lt;&gt;"",Q10,IF(P10="","",IFERROR(INDEX('Timeline'!$J$7:$J$156,MATCH(P10,'Timeline'!$B$7:$B$156,0)),""))))</f>
        <v/>
      </c>
      <c r="S10" s="126">
        <f>IF(R10="","",R10-IF(O10="",0,O10)-OrderBuf)</f>
        <v/>
      </c>
      <c r="T10" s="126">
        <f>IF(S10="","",S10-DecideBuf)</f>
        <v/>
      </c>
      <c r="U10" s="74" t="inlineStr">
        <is>
          <t>No</t>
        </is>
      </c>
      <c r="V10" s="108" t="n"/>
      <c r="W10" s="108" t="n"/>
      <c r="X10" s="74" t="n"/>
      <c r="Y10" s="115">
        <f>IF(B10="","",IF(X10="Yes","Delivered",IF(U10="Yes",IF(AND(W10&lt;&gt;"",R10&lt;&gt;""),IF(W10&gt;R10,"⚠️ Delivery after install date","Ordered"),"Ordered"),IF(K10="",IF(T10="","Waiting for decision",IF(T10&lt;=AsOf+AlertDays,"Decide now","Waiting for decision")),IF(S10="","Selected",IF(AsOf&gt;S10,"⚠️ Order late — install at risk",IF(S10&lt;=AsOf+AlertDays,"Order now","Selected")))))))</f>
        <v/>
      </c>
      <c r="Z10" s="79">
        <f>IF(B10="","",IF(OR(AH10=1,AE10=1),2,IF(OR(AG10=1,AF10=1),1,IF(OR(Y10="Ordered",Y10="Delivered"),0,""))))</f>
        <v/>
      </c>
      <c r="AA10" s="111">
        <f>IF(B10="","",IF(AH10=1,IF(Y10="⚠️ Delivery after install date",R10,S10),IF(AD10=1,T10,IF(AI10=1,S10,""))))</f>
        <v/>
      </c>
      <c r="AB10" s="79">
        <f>IF(AA10="","",IF(AH10=1,1,IF(AA10="","",IF(AA10&lt;AsOf,1,IF(AA10&lt;=AsOf+AlertDays,2,IF(AA10&lt;=AsOf+2*AlertDays,3,""))))))</f>
        <v/>
      </c>
      <c r="AC10" s="79">
        <f>IF(AB10="","",IF(AH10=1,IF(Y10="⚠️ Delivery after install date","Delivery after install date: "&amp;B10,"Order late — install at risk: "&amp;B10),IF(AD10=1,IF(AB10=1,"Decision overdue: ","Decide: ")&amp;B10,"Order: "&amp;B10&amp;IF(N10="",""," from "&amp;N10))))</f>
        <v/>
      </c>
      <c r="AD10" s="79">
        <f>IF(AND(B10&lt;&gt;"",K10="",U10&lt;&gt;"Yes",X10&lt;&gt;"Yes"),1,0)</f>
        <v/>
      </c>
      <c r="AE10" s="79">
        <f>IF(AND(AD10=1,T10&lt;&gt;""),IF(T10&lt;AsOf,1,0),0)</f>
        <v/>
      </c>
      <c r="AF10" s="79">
        <f>IF(AND(AD10=1,T10&lt;&gt;""),IF(AND(T10&gt;=AsOf,T10&lt;=AsOf+AlertDays),1,0),0)</f>
        <v/>
      </c>
      <c r="AG10" s="79">
        <f>IF(Y10="Order now",1,0)</f>
        <v/>
      </c>
      <c r="AH10" s="79">
        <f>IF(OR(Y10="⚠️ Order late — install at risk",Y10="⚠️ Delivery after install date"),1,0)</f>
        <v/>
      </c>
      <c r="AI10" s="79">
        <f>IF(AND(B10&lt;&gt;"",K10&lt;&gt;"",U10&lt;&gt;"Yes",X10&lt;&gt;"Yes"),1,0)</f>
        <v/>
      </c>
      <c r="AJ10" s="79">
        <f>IF(Y10="⚠️ Order late — install at risk",1,0)</f>
        <v/>
      </c>
    </row>
    <row r="11" ht="20" customHeight="1">
      <c r="B11" s="72" t="inlineStr">
        <is>
          <t>Oven</t>
        </is>
      </c>
      <c r="C11" s="72" t="inlineStr">
        <is>
          <t>Kitchen</t>
        </is>
      </c>
      <c r="D11" s="72" t="inlineStr">
        <is>
          <t>Appliances</t>
        </is>
      </c>
      <c r="E11" s="72" t="inlineStr">
        <is>
          <t>Pyrolytic oven</t>
        </is>
      </c>
      <c r="F11" s="73" t="n">
        <v>1150</v>
      </c>
      <c r="G11" s="72" t="inlineStr">
        <is>
          <t>Standard oven</t>
        </is>
      </c>
      <c r="H11" s="73" t="n">
        <v>890</v>
      </c>
      <c r="I11" s="72" t="n"/>
      <c r="J11" s="73" t="n"/>
      <c r="K11" s="74" t="inlineStr">
        <is>
          <t>A</t>
        </is>
      </c>
      <c r="L11" s="75">
        <f>IF(K11="A",F11,IF(K11="B",H11,IF(K11="C",J11,"")))</f>
        <v/>
      </c>
      <c r="M11" s="72" t="inlineStr">
        <is>
          <t>Self-cleaning</t>
        </is>
      </c>
      <c r="N11" s="72" t="inlineStr">
        <is>
          <t>ApplianceHub</t>
        </is>
      </c>
      <c r="O11" s="89" t="n">
        <v>7</v>
      </c>
      <c r="P11" s="89" t="n">
        <v>14</v>
      </c>
      <c r="Q11" s="108" t="n"/>
      <c r="R11" s="120">
        <f>IF(B11="","",IF(Q11&lt;&gt;"",Q11,IF(P11="","",IFERROR(INDEX('Timeline'!$J$7:$J$156,MATCH(P11,'Timeline'!$B$7:$B$156,0)),""))))</f>
        <v/>
      </c>
      <c r="S11" s="126">
        <f>IF(R11="","",R11-IF(O11="",0,O11)-OrderBuf)</f>
        <v/>
      </c>
      <c r="T11" s="126">
        <f>IF(S11="","",S11-DecideBuf)</f>
        <v/>
      </c>
      <c r="U11" s="74" t="inlineStr">
        <is>
          <t>No</t>
        </is>
      </c>
      <c r="V11" s="108" t="n"/>
      <c r="W11" s="108" t="n"/>
      <c r="X11" s="74" t="n"/>
      <c r="Y11" s="115">
        <f>IF(B11="","",IF(X11="Yes","Delivered",IF(U11="Yes",IF(AND(W11&lt;&gt;"",R11&lt;&gt;""),IF(W11&gt;R11,"⚠️ Delivery after install date","Ordered"),"Ordered"),IF(K11="",IF(T11="","Waiting for decision",IF(T11&lt;=AsOf+AlertDays,"Decide now","Waiting for decision")),IF(S11="","Selected",IF(AsOf&gt;S11,"⚠️ Order late — install at risk",IF(S11&lt;=AsOf+AlertDays,"Order now","Selected")))))))</f>
        <v/>
      </c>
      <c r="Z11" s="79">
        <f>IF(B11="","",IF(OR(AH11=1,AE11=1),2,IF(OR(AG11=1,AF11=1),1,IF(OR(Y11="Ordered",Y11="Delivered"),0,""))))</f>
        <v/>
      </c>
      <c r="AA11" s="111">
        <f>IF(B11="","",IF(AH11=1,IF(Y11="⚠️ Delivery after install date",R11,S11),IF(AD11=1,T11,IF(AI11=1,S11,""))))</f>
        <v/>
      </c>
      <c r="AB11" s="79">
        <f>IF(AA11="","",IF(AH11=1,1,IF(AA11="","",IF(AA11&lt;AsOf,1,IF(AA11&lt;=AsOf+AlertDays,2,IF(AA11&lt;=AsOf+2*AlertDays,3,""))))))</f>
        <v/>
      </c>
      <c r="AC11" s="79">
        <f>IF(AB11="","",IF(AH11=1,IF(Y11="⚠️ Delivery after install date","Delivery after install date: "&amp;B11,"Order late — install at risk: "&amp;B11),IF(AD11=1,IF(AB11=1,"Decision overdue: ","Decide: ")&amp;B11,"Order: "&amp;B11&amp;IF(N11="",""," from "&amp;N11))))</f>
        <v/>
      </c>
      <c r="AD11" s="79">
        <f>IF(AND(B11&lt;&gt;"",K11="",U11&lt;&gt;"Yes",X11&lt;&gt;"Yes"),1,0)</f>
        <v/>
      </c>
      <c r="AE11" s="79">
        <f>IF(AND(AD11=1,T11&lt;&gt;""),IF(T11&lt;AsOf,1,0),0)</f>
        <v/>
      </c>
      <c r="AF11" s="79">
        <f>IF(AND(AD11=1,T11&lt;&gt;""),IF(AND(T11&gt;=AsOf,T11&lt;=AsOf+AlertDays),1,0),0)</f>
        <v/>
      </c>
      <c r="AG11" s="79">
        <f>IF(Y11="Order now",1,0)</f>
        <v/>
      </c>
      <c r="AH11" s="79">
        <f>IF(OR(Y11="⚠️ Order late — install at risk",Y11="⚠️ Delivery after install date"),1,0)</f>
        <v/>
      </c>
      <c r="AI11" s="79">
        <f>IF(AND(B11&lt;&gt;"",K11&lt;&gt;"",U11&lt;&gt;"Yes",X11&lt;&gt;"Yes"),1,0)</f>
        <v/>
      </c>
      <c r="AJ11" s="79">
        <f>IF(Y11="⚠️ Order late — install at risk",1,0)</f>
        <v/>
      </c>
    </row>
    <row r="12" ht="20" customHeight="1">
      <c r="B12" s="72" t="inlineStr">
        <is>
          <t>Fridge-freezer</t>
        </is>
      </c>
      <c r="C12" s="72" t="inlineStr">
        <is>
          <t>Kitchen</t>
        </is>
      </c>
      <c r="D12" s="72" t="inlineStr">
        <is>
          <t>Appliances</t>
        </is>
      </c>
      <c r="E12" s="72" t="inlineStr">
        <is>
          <t>Integrated 70/30</t>
        </is>
      </c>
      <c r="F12" s="73" t="n">
        <v>1390</v>
      </c>
      <c r="G12" s="72" t="n"/>
      <c r="H12" s="73" t="n"/>
      <c r="I12" s="72" t="n"/>
      <c r="J12" s="73" t="n"/>
      <c r="K12" s="74" t="inlineStr">
        <is>
          <t>A</t>
        </is>
      </c>
      <c r="L12" s="75">
        <f>IF(K12="A",F12,IF(K12="B",H12,IF(K12="C",J12,"")))</f>
        <v/>
      </c>
      <c r="M12" s="72" t="n"/>
      <c r="N12" s="72" t="inlineStr">
        <is>
          <t>ApplianceHub</t>
        </is>
      </c>
      <c r="O12" s="89" t="n">
        <v>7</v>
      </c>
      <c r="P12" s="89" t="n">
        <v>14</v>
      </c>
      <c r="Q12" s="108" t="n"/>
      <c r="R12" s="120">
        <f>IF(B12="","",IF(Q12&lt;&gt;"",Q12,IF(P12="","",IFERROR(INDEX('Timeline'!$J$7:$J$156,MATCH(P12,'Timeline'!$B$7:$B$156,0)),""))))</f>
        <v/>
      </c>
      <c r="S12" s="126">
        <f>IF(R12="","",R12-IF(O12="",0,O12)-OrderBuf)</f>
        <v/>
      </c>
      <c r="T12" s="126">
        <f>IF(S12="","",S12-DecideBuf)</f>
        <v/>
      </c>
      <c r="U12" s="74" t="inlineStr">
        <is>
          <t>Yes</t>
        </is>
      </c>
      <c r="V12" s="108" t="n">
        <v>46167</v>
      </c>
      <c r="W12" s="108" t="n">
        <v>46175</v>
      </c>
      <c r="X12" s="74" t="inlineStr">
        <is>
          <t>Yes</t>
        </is>
      </c>
      <c r="Y12" s="115">
        <f>IF(B12="","",IF(X12="Yes","Delivered",IF(U12="Yes",IF(AND(W12&lt;&gt;"",R12&lt;&gt;""),IF(W12&gt;R12,"⚠️ Delivery after install date","Ordered"),"Ordered"),IF(K12="",IF(T12="","Waiting for decision",IF(T12&lt;=AsOf+AlertDays,"Decide now","Waiting for decision")),IF(S12="","Selected",IF(AsOf&gt;S12,"⚠️ Order late — install at risk",IF(S12&lt;=AsOf+AlertDays,"Order now","Selected")))))))</f>
        <v/>
      </c>
      <c r="Z12" s="79">
        <f>IF(B12="","",IF(OR(AH12=1,AE12=1),2,IF(OR(AG12=1,AF12=1),1,IF(OR(Y12="Ordered",Y12="Delivered"),0,""))))</f>
        <v/>
      </c>
      <c r="AA12" s="111">
        <f>IF(B12="","",IF(AH12=1,IF(Y12="⚠️ Delivery after install date",R12,S12),IF(AD12=1,T12,IF(AI12=1,S12,""))))</f>
        <v/>
      </c>
      <c r="AB12" s="79">
        <f>IF(AA12="","",IF(AH12=1,1,IF(AA12="","",IF(AA12&lt;AsOf,1,IF(AA12&lt;=AsOf+AlertDays,2,IF(AA12&lt;=AsOf+2*AlertDays,3,""))))))</f>
        <v/>
      </c>
      <c r="AC12" s="79">
        <f>IF(AB12="","",IF(AH12=1,IF(Y12="⚠️ Delivery after install date","Delivery after install date: "&amp;B12,"Order late — install at risk: "&amp;B12),IF(AD12=1,IF(AB12=1,"Decision overdue: ","Decide: ")&amp;B12,"Order: "&amp;B12&amp;IF(N12="",""," from "&amp;N12))))</f>
        <v/>
      </c>
      <c r="AD12" s="79">
        <f>IF(AND(B12&lt;&gt;"",K12="",U12&lt;&gt;"Yes",X12&lt;&gt;"Yes"),1,0)</f>
        <v/>
      </c>
      <c r="AE12" s="79">
        <f>IF(AND(AD12=1,T12&lt;&gt;""),IF(T12&lt;AsOf,1,0),0)</f>
        <v/>
      </c>
      <c r="AF12" s="79">
        <f>IF(AND(AD12=1,T12&lt;&gt;""),IF(AND(T12&gt;=AsOf,T12&lt;=AsOf+AlertDays),1,0),0)</f>
        <v/>
      </c>
      <c r="AG12" s="79">
        <f>IF(Y12="Order now",1,0)</f>
        <v/>
      </c>
      <c r="AH12" s="79">
        <f>IF(OR(Y12="⚠️ Order late — install at risk",Y12="⚠️ Delivery after install date"),1,0)</f>
        <v/>
      </c>
      <c r="AI12" s="79">
        <f>IF(AND(B12&lt;&gt;"",K12&lt;&gt;"",U12&lt;&gt;"Yes",X12&lt;&gt;"Yes"),1,0)</f>
        <v/>
      </c>
      <c r="AJ12" s="79">
        <f>IF(Y12="⚠️ Order late — install at risk",1,0)</f>
        <v/>
      </c>
    </row>
    <row r="13" ht="20" customHeight="1">
      <c r="B13" s="72" t="inlineStr">
        <is>
          <t>Dishwasher</t>
        </is>
      </c>
      <c r="C13" s="72" t="inlineStr">
        <is>
          <t>Kitchen</t>
        </is>
      </c>
      <c r="D13" s="72" t="inlineStr">
        <is>
          <t>Appliances</t>
        </is>
      </c>
      <c r="E13" s="72" t="inlineStr">
        <is>
          <t>Silent 42dB</t>
        </is>
      </c>
      <c r="F13" s="73" t="n">
        <v>690</v>
      </c>
      <c r="G13" s="72" t="inlineStr">
        <is>
          <t>Standard</t>
        </is>
      </c>
      <c r="H13" s="73" t="n">
        <v>540</v>
      </c>
      <c r="I13" s="72" t="n"/>
      <c r="J13" s="73" t="n"/>
      <c r="K13" s="74" t="inlineStr">
        <is>
          <t>A</t>
        </is>
      </c>
      <c r="L13" s="75">
        <f>IF(K13="A",F13,IF(K13="B",H13,IF(K13="C",J13,"")))</f>
        <v/>
      </c>
      <c r="M13" s="72" t="inlineStr">
        <is>
          <t>Open-plan noise</t>
        </is>
      </c>
      <c r="N13" s="72" t="inlineStr">
        <is>
          <t>ApplianceHub</t>
        </is>
      </c>
      <c r="O13" s="89" t="n">
        <v>7</v>
      </c>
      <c r="P13" s="89" t="n">
        <v>14</v>
      </c>
      <c r="Q13" s="108" t="n"/>
      <c r="R13" s="120">
        <f>IF(B13="","",IF(Q13&lt;&gt;"",Q13,IF(P13="","",IFERROR(INDEX('Timeline'!$J$7:$J$156,MATCH(P13,'Timeline'!$B$7:$B$156,0)),""))))</f>
        <v/>
      </c>
      <c r="S13" s="126">
        <f>IF(R13="","",R13-IF(O13="",0,O13)-OrderBuf)</f>
        <v/>
      </c>
      <c r="T13" s="126">
        <f>IF(S13="","",S13-DecideBuf)</f>
        <v/>
      </c>
      <c r="U13" s="74" t="inlineStr">
        <is>
          <t>Yes</t>
        </is>
      </c>
      <c r="V13" s="108" t="n">
        <v>46183</v>
      </c>
      <c r="W13" s="108" t="n">
        <v>46211</v>
      </c>
      <c r="X13" s="74" t="inlineStr">
        <is>
          <t>No</t>
        </is>
      </c>
      <c r="Y13" s="115">
        <f>IF(B13="","",IF(X13="Yes","Delivered",IF(U13="Yes",IF(AND(W13&lt;&gt;"",R13&lt;&gt;""),IF(W13&gt;R13,"⚠️ Delivery after install date","Ordered"),"Ordered"),IF(K13="",IF(T13="","Waiting for decision",IF(T13&lt;=AsOf+AlertDays,"Decide now","Waiting for decision")),IF(S13="","Selected",IF(AsOf&gt;S13,"⚠️ Order late — install at risk",IF(S13&lt;=AsOf+AlertDays,"Order now","Selected")))))))</f>
        <v/>
      </c>
      <c r="Z13" s="79">
        <f>IF(B13="","",IF(OR(AH13=1,AE13=1),2,IF(OR(AG13=1,AF13=1),1,IF(OR(Y13="Ordered",Y13="Delivered"),0,""))))</f>
        <v/>
      </c>
      <c r="AA13" s="111">
        <f>IF(B13="","",IF(AH13=1,IF(Y13="⚠️ Delivery after install date",R13,S13),IF(AD13=1,T13,IF(AI13=1,S13,""))))</f>
        <v/>
      </c>
      <c r="AB13" s="79">
        <f>IF(AA13="","",IF(AH13=1,1,IF(AA13="","",IF(AA13&lt;AsOf,1,IF(AA13&lt;=AsOf+AlertDays,2,IF(AA13&lt;=AsOf+2*AlertDays,3,""))))))</f>
        <v/>
      </c>
      <c r="AC13" s="79">
        <f>IF(AB13="","",IF(AH13=1,IF(Y13="⚠️ Delivery after install date","Delivery after install date: "&amp;B13,"Order late — install at risk: "&amp;B13),IF(AD13=1,IF(AB13=1,"Decision overdue: ","Decide: ")&amp;B13,"Order: "&amp;B13&amp;IF(N13="",""," from "&amp;N13))))</f>
        <v/>
      </c>
      <c r="AD13" s="79">
        <f>IF(AND(B13&lt;&gt;"",K13="",U13&lt;&gt;"Yes",X13&lt;&gt;"Yes"),1,0)</f>
        <v/>
      </c>
      <c r="AE13" s="79">
        <f>IF(AND(AD13=1,T13&lt;&gt;""),IF(T13&lt;AsOf,1,0),0)</f>
        <v/>
      </c>
      <c r="AF13" s="79">
        <f>IF(AND(AD13=1,T13&lt;&gt;""),IF(AND(T13&gt;=AsOf,T13&lt;=AsOf+AlertDays),1,0),0)</f>
        <v/>
      </c>
      <c r="AG13" s="79">
        <f>IF(Y13="Order now",1,0)</f>
        <v/>
      </c>
      <c r="AH13" s="79">
        <f>IF(OR(Y13="⚠️ Order late — install at risk",Y13="⚠️ Delivery after install date"),1,0)</f>
        <v/>
      </c>
      <c r="AI13" s="79">
        <f>IF(AND(B13&lt;&gt;"",K13&lt;&gt;"",U13&lt;&gt;"Yes",X13&lt;&gt;"Yes"),1,0)</f>
        <v/>
      </c>
      <c r="AJ13" s="79">
        <f>IF(Y13="⚠️ Order late — install at risk",1,0)</f>
        <v/>
      </c>
    </row>
    <row r="14" ht="20" customHeight="1">
      <c r="B14" s="72" t="inlineStr">
        <is>
          <t>Bathroom 1 floor &amp; wall tiles</t>
        </is>
      </c>
      <c r="C14" s="72" t="inlineStr">
        <is>
          <t>Bathroom 1</t>
        </is>
      </c>
      <c r="D14" s="72" t="inlineStr">
        <is>
          <t>Bathrooms</t>
        </is>
      </c>
      <c r="E14" s="72" t="inlineStr">
        <is>
          <t>Grey porcelain 60x60</t>
        </is>
      </c>
      <c r="F14" s="73" t="n">
        <v>1450</v>
      </c>
      <c r="G14" s="72" t="inlineStr">
        <is>
          <t>Marble look</t>
        </is>
      </c>
      <c r="H14" s="73" t="n">
        <v>1980</v>
      </c>
      <c r="I14" s="72" t="n"/>
      <c r="J14" s="73" t="n"/>
      <c r="K14" s="74" t="inlineStr">
        <is>
          <t>A</t>
        </is>
      </c>
      <c r="L14" s="75">
        <f>IF(K14="A",F14,IF(K14="B",H14,IF(K14="C",J14,"")))</f>
        <v/>
      </c>
      <c r="M14" s="72" t="inlineStr">
        <is>
          <t>Slip rating R10</t>
        </is>
      </c>
      <c r="N14" s="72" t="inlineStr">
        <is>
          <t>TileDepot</t>
        </is>
      </c>
      <c r="O14" s="89" t="n">
        <v>21</v>
      </c>
      <c r="P14" s="89" t="n">
        <v>15</v>
      </c>
      <c r="Q14" s="108" t="n"/>
      <c r="R14" s="120">
        <f>IF(B14="","",IF(Q14&lt;&gt;"",Q14,IF(P14="","",IFERROR(INDEX('Timeline'!$J$7:$J$156,MATCH(P14,'Timeline'!$B$7:$B$156,0)),""))))</f>
        <v/>
      </c>
      <c r="S14" s="126">
        <f>IF(R14="","",R14-IF(O14="",0,O14)-OrderBuf)</f>
        <v/>
      </c>
      <c r="T14" s="126">
        <f>IF(S14="","",S14-DecideBuf)</f>
        <v/>
      </c>
      <c r="U14" s="74" t="inlineStr">
        <is>
          <t>Yes</t>
        </is>
      </c>
      <c r="V14" s="108" t="n">
        <v>46177</v>
      </c>
      <c r="W14" s="108" t="n">
        <v>46198</v>
      </c>
      <c r="X14" s="74" t="inlineStr">
        <is>
          <t>No</t>
        </is>
      </c>
      <c r="Y14" s="115">
        <f>IF(B14="","",IF(X14="Yes","Delivered",IF(U14="Yes",IF(AND(W14&lt;&gt;"",R14&lt;&gt;""),IF(W14&gt;R14,"⚠️ Delivery after install date","Ordered"),"Ordered"),IF(K14="",IF(T14="","Waiting for decision",IF(T14&lt;=AsOf+AlertDays,"Decide now","Waiting for decision")),IF(S14="","Selected",IF(AsOf&gt;S14,"⚠️ Order late — install at risk",IF(S14&lt;=AsOf+AlertDays,"Order now","Selected")))))))</f>
        <v/>
      </c>
      <c r="Z14" s="79">
        <f>IF(B14="","",IF(OR(AH14=1,AE14=1),2,IF(OR(AG14=1,AF14=1),1,IF(OR(Y14="Ordered",Y14="Delivered"),0,""))))</f>
        <v/>
      </c>
      <c r="AA14" s="111">
        <f>IF(B14="","",IF(AH14=1,IF(Y14="⚠️ Delivery after install date",R14,S14),IF(AD14=1,T14,IF(AI14=1,S14,""))))</f>
        <v/>
      </c>
      <c r="AB14" s="79">
        <f>IF(AA14="","",IF(AH14=1,1,IF(AA14="","",IF(AA14&lt;AsOf,1,IF(AA14&lt;=AsOf+AlertDays,2,IF(AA14&lt;=AsOf+2*AlertDays,3,""))))))</f>
        <v/>
      </c>
      <c r="AC14" s="79">
        <f>IF(AB14="","",IF(AH14=1,IF(Y14="⚠️ Delivery after install date","Delivery after install date: "&amp;B14,"Order late — install at risk: "&amp;B14),IF(AD14=1,IF(AB14=1,"Decision overdue: ","Decide: ")&amp;B14,"Order: "&amp;B14&amp;IF(N14="",""," from "&amp;N14))))</f>
        <v/>
      </c>
      <c r="AD14" s="79">
        <f>IF(AND(B14&lt;&gt;"",K14="",U14&lt;&gt;"Yes",X14&lt;&gt;"Yes"),1,0)</f>
        <v/>
      </c>
      <c r="AE14" s="79">
        <f>IF(AND(AD14=1,T14&lt;&gt;""),IF(T14&lt;AsOf,1,0),0)</f>
        <v/>
      </c>
      <c r="AF14" s="79">
        <f>IF(AND(AD14=1,T14&lt;&gt;""),IF(AND(T14&gt;=AsOf,T14&lt;=AsOf+AlertDays),1,0),0)</f>
        <v/>
      </c>
      <c r="AG14" s="79">
        <f>IF(Y14="Order now",1,0)</f>
        <v/>
      </c>
      <c r="AH14" s="79">
        <f>IF(OR(Y14="⚠️ Order late — install at risk",Y14="⚠️ Delivery after install date"),1,0)</f>
        <v/>
      </c>
      <c r="AI14" s="79">
        <f>IF(AND(B14&lt;&gt;"",K14&lt;&gt;"",U14&lt;&gt;"Yes",X14&lt;&gt;"Yes"),1,0)</f>
        <v/>
      </c>
      <c r="AJ14" s="79">
        <f>IF(Y14="⚠️ Order late — install at risk",1,0)</f>
        <v/>
      </c>
    </row>
    <row r="15" ht="20" customHeight="1">
      <c r="B15" s="72" t="inlineStr">
        <is>
          <t>Bathroom 1 vanity unit</t>
        </is>
      </c>
      <c r="C15" s="72" t="inlineStr">
        <is>
          <t>Bathroom 1</t>
        </is>
      </c>
      <c r="D15" s="72" t="inlineStr">
        <is>
          <t>Bathrooms</t>
        </is>
      </c>
      <c r="E15" s="72" t="inlineStr">
        <is>
          <t>Oak 100cm double</t>
        </is>
      </c>
      <c r="F15" s="73" t="n">
        <v>890</v>
      </c>
      <c r="G15" s="72" t="inlineStr">
        <is>
          <t>Wall-hung 80cm</t>
        </is>
      </c>
      <c r="H15" s="73" t="n">
        <v>1240</v>
      </c>
      <c r="I15" s="72" t="n"/>
      <c r="J15" s="73" t="n"/>
      <c r="K15" s="74" t="inlineStr">
        <is>
          <t>A</t>
        </is>
      </c>
      <c r="L15" s="75">
        <f>IF(K15="A",F15,IF(K15="B",H15,IF(K15="C",J15,"")))</f>
        <v/>
      </c>
      <c r="M15" s="72" t="n"/>
      <c r="N15" s="72" t="inlineStr">
        <is>
          <t>BathWorld</t>
        </is>
      </c>
      <c r="O15" s="89" t="n">
        <v>28</v>
      </c>
      <c r="P15" s="89" t="n">
        <v>15</v>
      </c>
      <c r="Q15" s="108" t="n"/>
      <c r="R15" s="120">
        <f>IF(B15="","",IF(Q15&lt;&gt;"",Q15,IF(P15="","",IFERROR(INDEX('Timeline'!$J$7:$J$156,MATCH(P15,'Timeline'!$B$7:$B$156,0)),""))))</f>
        <v/>
      </c>
      <c r="S15" s="126">
        <f>IF(R15="","",R15-IF(O15="",0,O15)-OrderBuf)</f>
        <v/>
      </c>
      <c r="T15" s="126">
        <f>IF(S15="","",S15-DecideBuf)</f>
        <v/>
      </c>
      <c r="U15" s="74" t="inlineStr">
        <is>
          <t>Yes</t>
        </is>
      </c>
      <c r="V15" s="108" t="n">
        <v>46170</v>
      </c>
      <c r="W15" s="108" t="n">
        <v>46203</v>
      </c>
      <c r="X15" s="74" t="inlineStr">
        <is>
          <t>No</t>
        </is>
      </c>
      <c r="Y15" s="115">
        <f>IF(B15="","",IF(X15="Yes","Delivered",IF(U15="Yes",IF(AND(W15&lt;&gt;"",R15&lt;&gt;""),IF(W15&gt;R15,"⚠️ Delivery after install date","Ordered"),"Ordered"),IF(K15="",IF(T15="","Waiting for decision",IF(T15&lt;=AsOf+AlertDays,"Decide now","Waiting for decision")),IF(S15="","Selected",IF(AsOf&gt;S15,"⚠️ Order late — install at risk",IF(S15&lt;=AsOf+AlertDays,"Order now","Selected")))))))</f>
        <v/>
      </c>
      <c r="Z15" s="79">
        <f>IF(B15="","",IF(OR(AH15=1,AE15=1),2,IF(OR(AG15=1,AF15=1),1,IF(OR(Y15="Ordered",Y15="Delivered"),0,""))))</f>
        <v/>
      </c>
      <c r="AA15" s="111">
        <f>IF(B15="","",IF(AH15=1,IF(Y15="⚠️ Delivery after install date",R15,S15),IF(AD15=1,T15,IF(AI15=1,S15,""))))</f>
        <v/>
      </c>
      <c r="AB15" s="79">
        <f>IF(AA15="","",IF(AH15=1,1,IF(AA15="","",IF(AA15&lt;AsOf,1,IF(AA15&lt;=AsOf+AlertDays,2,IF(AA15&lt;=AsOf+2*AlertDays,3,""))))))</f>
        <v/>
      </c>
      <c r="AC15" s="79">
        <f>IF(AB15="","",IF(AH15=1,IF(Y15="⚠️ Delivery after install date","Delivery after install date: "&amp;B15,"Order late — install at risk: "&amp;B15),IF(AD15=1,IF(AB15=1,"Decision overdue: ","Decide: ")&amp;B15,"Order: "&amp;B15&amp;IF(N15="",""," from "&amp;N15))))</f>
        <v/>
      </c>
      <c r="AD15" s="79">
        <f>IF(AND(B15&lt;&gt;"",K15="",U15&lt;&gt;"Yes",X15&lt;&gt;"Yes"),1,0)</f>
        <v/>
      </c>
      <c r="AE15" s="79">
        <f>IF(AND(AD15=1,T15&lt;&gt;""),IF(T15&lt;AsOf,1,0),0)</f>
        <v/>
      </c>
      <c r="AF15" s="79">
        <f>IF(AND(AD15=1,T15&lt;&gt;""),IF(AND(T15&gt;=AsOf,T15&lt;=AsOf+AlertDays),1,0),0)</f>
        <v/>
      </c>
      <c r="AG15" s="79">
        <f>IF(Y15="Order now",1,0)</f>
        <v/>
      </c>
      <c r="AH15" s="79">
        <f>IF(OR(Y15="⚠️ Order late — install at risk",Y15="⚠️ Delivery after install date"),1,0)</f>
        <v/>
      </c>
      <c r="AI15" s="79">
        <f>IF(AND(B15&lt;&gt;"",K15&lt;&gt;"",U15&lt;&gt;"Yes",X15&lt;&gt;"Yes"),1,0)</f>
        <v/>
      </c>
      <c r="AJ15" s="79">
        <f>IF(Y15="⚠️ Order late — install at risk",1,0)</f>
        <v/>
      </c>
    </row>
    <row r="16" ht="20" customHeight="1">
      <c r="B16" s="72" t="inlineStr">
        <is>
          <t>Walk-in shower enclosure</t>
        </is>
      </c>
      <c r="C16" s="72" t="inlineStr">
        <is>
          <t>Bathroom 1</t>
        </is>
      </c>
      <c r="D16" s="72" t="inlineStr">
        <is>
          <t>Bathrooms</t>
        </is>
      </c>
      <c r="E16" s="72" t="inlineStr">
        <is>
          <t>Matt black 120cm</t>
        </is>
      </c>
      <c r="F16" s="73" t="n">
        <v>1150</v>
      </c>
      <c r="G16" s="72" t="inlineStr">
        <is>
          <t>Chrome 100cm</t>
        </is>
      </c>
      <c r="H16" s="73" t="n">
        <v>1600</v>
      </c>
      <c r="I16" s="72" t="n"/>
      <c r="J16" s="73" t="n"/>
      <c r="K16" s="74" t="inlineStr">
        <is>
          <t>A</t>
        </is>
      </c>
      <c r="L16" s="75">
        <f>IF(K16="A",F16,IF(K16="B",H16,IF(K16="C",J16,"")))</f>
        <v/>
      </c>
      <c r="M16" s="72" t="n"/>
      <c r="N16" s="72" t="inlineStr">
        <is>
          <t>BathWorld</t>
        </is>
      </c>
      <c r="O16" s="89" t="n">
        <v>14</v>
      </c>
      <c r="P16" s="89" t="n">
        <v>15</v>
      </c>
      <c r="Q16" s="108" t="n"/>
      <c r="R16" s="120">
        <f>IF(B16="","",IF(Q16&lt;&gt;"",Q16,IF(P16="","",IFERROR(INDEX('Timeline'!$J$7:$J$156,MATCH(P16,'Timeline'!$B$7:$B$156,0)),""))))</f>
        <v/>
      </c>
      <c r="S16" s="126">
        <f>IF(R16="","",R16-IF(O16="",0,O16)-OrderBuf)</f>
        <v/>
      </c>
      <c r="T16" s="126">
        <f>IF(S16="","",S16-DecideBuf)</f>
        <v/>
      </c>
      <c r="U16" s="74" t="inlineStr">
        <is>
          <t>Yes</t>
        </is>
      </c>
      <c r="V16" s="108" t="n">
        <v>46162</v>
      </c>
      <c r="W16" s="108" t="n">
        <v>46178</v>
      </c>
      <c r="X16" s="74" t="inlineStr">
        <is>
          <t>Yes</t>
        </is>
      </c>
      <c r="Y16" s="115">
        <f>IF(B16="","",IF(X16="Yes","Delivered",IF(U16="Yes",IF(AND(W16&lt;&gt;"",R16&lt;&gt;""),IF(W16&gt;R16,"⚠️ Delivery after install date","Ordered"),"Ordered"),IF(K16="",IF(T16="","Waiting for decision",IF(T16&lt;=AsOf+AlertDays,"Decide now","Waiting for decision")),IF(S16="","Selected",IF(AsOf&gt;S16,"⚠️ Order late — install at risk",IF(S16&lt;=AsOf+AlertDays,"Order now","Selected")))))))</f>
        <v/>
      </c>
      <c r="Z16" s="79">
        <f>IF(B16="","",IF(OR(AH16=1,AE16=1),2,IF(OR(AG16=1,AF16=1),1,IF(OR(Y16="Ordered",Y16="Delivered"),0,""))))</f>
        <v/>
      </c>
      <c r="AA16" s="111">
        <f>IF(B16="","",IF(AH16=1,IF(Y16="⚠️ Delivery after install date",R16,S16),IF(AD16=1,T16,IF(AI16=1,S16,""))))</f>
        <v/>
      </c>
      <c r="AB16" s="79">
        <f>IF(AA16="","",IF(AH16=1,1,IF(AA16="","",IF(AA16&lt;AsOf,1,IF(AA16&lt;=AsOf+AlertDays,2,IF(AA16&lt;=AsOf+2*AlertDays,3,""))))))</f>
        <v/>
      </c>
      <c r="AC16" s="79">
        <f>IF(AB16="","",IF(AH16=1,IF(Y16="⚠️ Delivery after install date","Delivery after install date: "&amp;B16,"Order late — install at risk: "&amp;B16),IF(AD16=1,IF(AB16=1,"Decision overdue: ","Decide: ")&amp;B16,"Order: "&amp;B16&amp;IF(N16="",""," from "&amp;N16))))</f>
        <v/>
      </c>
      <c r="AD16" s="79">
        <f>IF(AND(B16&lt;&gt;"",K16="",U16&lt;&gt;"Yes",X16&lt;&gt;"Yes"),1,0)</f>
        <v/>
      </c>
      <c r="AE16" s="79">
        <f>IF(AND(AD16=1,T16&lt;&gt;""),IF(T16&lt;AsOf,1,0),0)</f>
        <v/>
      </c>
      <c r="AF16" s="79">
        <f>IF(AND(AD16=1,T16&lt;&gt;""),IF(AND(T16&gt;=AsOf,T16&lt;=AsOf+AlertDays),1,0),0)</f>
        <v/>
      </c>
      <c r="AG16" s="79">
        <f>IF(Y16="Order now",1,0)</f>
        <v/>
      </c>
      <c r="AH16" s="79">
        <f>IF(OR(Y16="⚠️ Order late — install at risk",Y16="⚠️ Delivery after install date"),1,0)</f>
        <v/>
      </c>
      <c r="AI16" s="79">
        <f>IF(AND(B16&lt;&gt;"",K16&lt;&gt;"",U16&lt;&gt;"Yes",X16&lt;&gt;"Yes"),1,0)</f>
        <v/>
      </c>
      <c r="AJ16" s="79">
        <f>IF(Y16="⚠️ Order late — install at risk",1,0)</f>
        <v/>
      </c>
    </row>
    <row r="17" ht="20" customHeight="1">
      <c r="B17" s="72" t="inlineStr">
        <is>
          <t>Bathroom 2 tiles</t>
        </is>
      </c>
      <c r="C17" s="72" t="inlineStr">
        <is>
          <t>Bathroom 2</t>
        </is>
      </c>
      <c r="D17" s="72" t="inlineStr">
        <is>
          <t>Bathrooms</t>
        </is>
      </c>
      <c r="E17" s="72" t="inlineStr">
        <is>
          <t>Terrazzo</t>
        </is>
      </c>
      <c r="F17" s="73" t="n">
        <v>780</v>
      </c>
      <c r="G17" s="72" t="inlineStr">
        <is>
          <t>Subway white</t>
        </is>
      </c>
      <c r="H17" s="73" t="n">
        <v>1100</v>
      </c>
      <c r="I17" s="72" t="inlineStr">
        <is>
          <t>Hexagon grey</t>
        </is>
      </c>
      <c r="J17" s="73" t="n">
        <v>950</v>
      </c>
      <c r="K17" s="74" t="n"/>
      <c r="L17" s="75">
        <f>IF(K17="A",F17,IF(K17="B",H17,IF(K17="C",J17,"")))</f>
        <v/>
      </c>
      <c r="M17" s="72" t="n"/>
      <c r="N17" s="72" t="inlineStr">
        <is>
          <t>TileDepot</t>
        </is>
      </c>
      <c r="O17" s="89" t="n">
        <v>21</v>
      </c>
      <c r="P17" s="89" t="n">
        <v>16</v>
      </c>
      <c r="Q17" s="108" t="n"/>
      <c r="R17" s="120">
        <f>IF(B17="","",IF(Q17&lt;&gt;"",Q17,IF(P17="","",IFERROR(INDEX('Timeline'!$J$7:$J$156,MATCH(P17,'Timeline'!$B$7:$B$156,0)),""))))</f>
        <v/>
      </c>
      <c r="S17" s="126">
        <f>IF(R17="","",R17-IF(O17="",0,O17)-OrderBuf)</f>
        <v/>
      </c>
      <c r="T17" s="126">
        <f>IF(S17="","",S17-DecideBuf)</f>
        <v/>
      </c>
      <c r="U17" s="74" t="inlineStr">
        <is>
          <t>No</t>
        </is>
      </c>
      <c r="V17" s="108" t="n"/>
      <c r="W17" s="108" t="n"/>
      <c r="X17" s="74" t="n"/>
      <c r="Y17" s="115">
        <f>IF(B17="","",IF(X17="Yes","Delivered",IF(U17="Yes",IF(AND(W17&lt;&gt;"",R17&lt;&gt;""),IF(W17&gt;R17,"⚠️ Delivery after install date","Ordered"),"Ordered"),IF(K17="",IF(T17="","Waiting for decision",IF(T17&lt;=AsOf+AlertDays,"Decide now","Waiting for decision")),IF(S17="","Selected",IF(AsOf&gt;S17,"⚠️ Order late — install at risk",IF(S17&lt;=AsOf+AlertDays,"Order now","Selected")))))))</f>
        <v/>
      </c>
      <c r="Z17" s="79">
        <f>IF(B17="","",IF(OR(AH17=1,AE17=1),2,IF(OR(AG17=1,AF17=1),1,IF(OR(Y17="Ordered",Y17="Delivered"),0,""))))</f>
        <v/>
      </c>
      <c r="AA17" s="111">
        <f>IF(B17="","",IF(AH17=1,IF(Y17="⚠️ Delivery after install date",R17,S17),IF(AD17=1,T17,IF(AI17=1,S17,""))))</f>
        <v/>
      </c>
      <c r="AB17" s="79">
        <f>IF(AA17="","",IF(AH17=1,1,IF(AA17="","",IF(AA17&lt;AsOf,1,IF(AA17&lt;=AsOf+AlertDays,2,IF(AA17&lt;=AsOf+2*AlertDays,3,""))))))</f>
        <v/>
      </c>
      <c r="AC17" s="79">
        <f>IF(AB17="","",IF(AH17=1,IF(Y17="⚠️ Delivery after install date","Delivery after install date: "&amp;B17,"Order late — install at risk: "&amp;B17),IF(AD17=1,IF(AB17=1,"Decision overdue: ","Decide: ")&amp;B17,"Order: "&amp;B17&amp;IF(N17="",""," from "&amp;N17))))</f>
        <v/>
      </c>
      <c r="AD17" s="79">
        <f>IF(AND(B17&lt;&gt;"",K17="",U17&lt;&gt;"Yes",X17&lt;&gt;"Yes"),1,0)</f>
        <v/>
      </c>
      <c r="AE17" s="79">
        <f>IF(AND(AD17=1,T17&lt;&gt;""),IF(T17&lt;AsOf,1,0),0)</f>
        <v/>
      </c>
      <c r="AF17" s="79">
        <f>IF(AND(AD17=1,T17&lt;&gt;""),IF(AND(T17&gt;=AsOf,T17&lt;=AsOf+AlertDays),1,0),0)</f>
        <v/>
      </c>
      <c r="AG17" s="79">
        <f>IF(Y17="Order now",1,0)</f>
        <v/>
      </c>
      <c r="AH17" s="79">
        <f>IF(OR(Y17="⚠️ Order late — install at risk",Y17="⚠️ Delivery after install date"),1,0)</f>
        <v/>
      </c>
      <c r="AI17" s="79">
        <f>IF(AND(B17&lt;&gt;"",K17&lt;&gt;"",U17&lt;&gt;"Yes",X17&lt;&gt;"Yes"),1,0)</f>
        <v/>
      </c>
      <c r="AJ17" s="79">
        <f>IF(Y17="⚠️ Order late — install at risk",1,0)</f>
        <v/>
      </c>
    </row>
    <row r="18" ht="20" customHeight="1">
      <c r="B18" s="72" t="inlineStr">
        <is>
          <t>Bathroom 2 toilet</t>
        </is>
      </c>
      <c r="C18" s="72" t="inlineStr">
        <is>
          <t>Bathroom 2</t>
        </is>
      </c>
      <c r="D18" s="72" t="inlineStr">
        <is>
          <t>Bathrooms</t>
        </is>
      </c>
      <c r="E18" s="72" t="inlineStr">
        <is>
          <t>Wall-hung</t>
        </is>
      </c>
      <c r="F18" s="73" t="n">
        <v>420</v>
      </c>
      <c r="G18" s="72" t="inlineStr">
        <is>
          <t>Close-coupled</t>
        </is>
      </c>
      <c r="H18" s="73" t="n">
        <v>560</v>
      </c>
      <c r="I18" s="72" t="n"/>
      <c r="J18" s="73" t="n"/>
      <c r="K18" s="74" t="n"/>
      <c r="L18" s="75">
        <f>IF(K18="A",F18,IF(K18="B",H18,IF(K18="C",J18,"")))</f>
        <v/>
      </c>
      <c r="M18" s="72" t="n"/>
      <c r="N18" s="72" t="inlineStr">
        <is>
          <t>BathWorld</t>
        </is>
      </c>
      <c r="O18" s="89" t="n">
        <v>10</v>
      </c>
      <c r="P18" s="89" t="n">
        <v>16</v>
      </c>
      <c r="Q18" s="108" t="n"/>
      <c r="R18" s="120">
        <f>IF(B18="","",IF(Q18&lt;&gt;"",Q18,IF(P18="","",IFERROR(INDEX('Timeline'!$J$7:$J$156,MATCH(P18,'Timeline'!$B$7:$B$156,0)),""))))</f>
        <v/>
      </c>
      <c r="S18" s="126">
        <f>IF(R18="","",R18-IF(O18="",0,O18)-OrderBuf)</f>
        <v/>
      </c>
      <c r="T18" s="126">
        <f>IF(S18="","",S18-DecideBuf)</f>
        <v/>
      </c>
      <c r="U18" s="74" t="inlineStr">
        <is>
          <t>No</t>
        </is>
      </c>
      <c r="V18" s="108" t="n"/>
      <c r="W18" s="108" t="n"/>
      <c r="X18" s="74" t="n"/>
      <c r="Y18" s="115">
        <f>IF(B18="","",IF(X18="Yes","Delivered",IF(U18="Yes",IF(AND(W18&lt;&gt;"",R18&lt;&gt;""),IF(W18&gt;R18,"⚠️ Delivery after install date","Ordered"),"Ordered"),IF(K18="",IF(T18="","Waiting for decision",IF(T18&lt;=AsOf+AlertDays,"Decide now","Waiting for decision")),IF(S18="","Selected",IF(AsOf&gt;S18,"⚠️ Order late — install at risk",IF(S18&lt;=AsOf+AlertDays,"Order now","Selected")))))))</f>
        <v/>
      </c>
      <c r="Z18" s="79">
        <f>IF(B18="","",IF(OR(AH18=1,AE18=1),2,IF(OR(AG18=1,AF18=1),1,IF(OR(Y18="Ordered",Y18="Delivered"),0,""))))</f>
        <v/>
      </c>
      <c r="AA18" s="111">
        <f>IF(B18="","",IF(AH18=1,IF(Y18="⚠️ Delivery after install date",R18,S18),IF(AD18=1,T18,IF(AI18=1,S18,""))))</f>
        <v/>
      </c>
      <c r="AB18" s="79">
        <f>IF(AA18="","",IF(AH18=1,1,IF(AA18="","",IF(AA18&lt;AsOf,1,IF(AA18&lt;=AsOf+AlertDays,2,IF(AA18&lt;=AsOf+2*AlertDays,3,""))))))</f>
        <v/>
      </c>
      <c r="AC18" s="79">
        <f>IF(AB18="","",IF(AH18=1,IF(Y18="⚠️ Delivery after install date","Delivery after install date: "&amp;B18,"Order late — install at risk: "&amp;B18),IF(AD18=1,IF(AB18=1,"Decision overdue: ","Decide: ")&amp;B18,"Order: "&amp;B18&amp;IF(N18="",""," from "&amp;N18))))</f>
        <v/>
      </c>
      <c r="AD18" s="79">
        <f>IF(AND(B18&lt;&gt;"",K18="",U18&lt;&gt;"Yes",X18&lt;&gt;"Yes"),1,0)</f>
        <v/>
      </c>
      <c r="AE18" s="79">
        <f>IF(AND(AD18=1,T18&lt;&gt;""),IF(T18&lt;AsOf,1,0),0)</f>
        <v/>
      </c>
      <c r="AF18" s="79">
        <f>IF(AND(AD18=1,T18&lt;&gt;""),IF(AND(T18&gt;=AsOf,T18&lt;=AsOf+AlertDays),1,0),0)</f>
        <v/>
      </c>
      <c r="AG18" s="79">
        <f>IF(Y18="Order now",1,0)</f>
        <v/>
      </c>
      <c r="AH18" s="79">
        <f>IF(OR(Y18="⚠️ Order late — install at risk",Y18="⚠️ Delivery after install date"),1,0)</f>
        <v/>
      </c>
      <c r="AI18" s="79">
        <f>IF(AND(B18&lt;&gt;"",K18&lt;&gt;"",U18&lt;&gt;"Yes",X18&lt;&gt;"Yes"),1,0)</f>
        <v/>
      </c>
      <c r="AJ18" s="79">
        <f>IF(Y18="⚠️ Order late — install at risk",1,0)</f>
        <v/>
      </c>
    </row>
    <row r="19" ht="20" customHeight="1">
      <c r="B19" s="72" t="inlineStr">
        <is>
          <t>Living room flooring</t>
        </is>
      </c>
      <c r="C19" s="72" t="inlineStr">
        <is>
          <t>Living room</t>
        </is>
      </c>
      <c r="D19" s="72" t="inlineStr">
        <is>
          <t>Flooring</t>
        </is>
      </c>
      <c r="E19" s="72" t="inlineStr">
        <is>
          <t>Engineered oak</t>
        </is>
      </c>
      <c r="F19" s="73" t="n">
        <v>3900</v>
      </c>
      <c r="G19" s="72" t="inlineStr">
        <is>
          <t>Laminate oak look</t>
        </is>
      </c>
      <c r="H19" s="73" t="n">
        <v>1800</v>
      </c>
      <c r="I19" s="72" t="n"/>
      <c r="J19" s="73" t="n"/>
      <c r="K19" s="74" t="n"/>
      <c r="L19" s="75">
        <f>IF(K19="A",F19,IF(K19="B",H19,IF(K19="C",J19,"")))</f>
        <v/>
      </c>
      <c r="M19" s="72" t="n"/>
      <c r="N19" s="72" t="inlineStr">
        <is>
          <t>Oak &amp; Plank Flooring</t>
        </is>
      </c>
      <c r="O19" s="89" t="n">
        <v>28</v>
      </c>
      <c r="P19" s="89" t="n">
        <v>13</v>
      </c>
      <c r="Q19" s="108" t="n"/>
      <c r="R19" s="120">
        <f>IF(B19="","",IF(Q19&lt;&gt;"",Q19,IF(P19="","",IFERROR(INDEX('Timeline'!$J$7:$J$156,MATCH(P19,'Timeline'!$B$7:$B$156,0)),""))))</f>
        <v/>
      </c>
      <c r="S19" s="126">
        <f>IF(R19="","",R19-IF(O19="",0,O19)-OrderBuf)</f>
        <v/>
      </c>
      <c r="T19" s="126">
        <f>IF(S19="","",S19-DecideBuf)</f>
        <v/>
      </c>
      <c r="U19" s="74" t="inlineStr">
        <is>
          <t>No</t>
        </is>
      </c>
      <c r="V19" s="108" t="n"/>
      <c r="W19" s="108" t="n"/>
      <c r="X19" s="74" t="n"/>
      <c r="Y19" s="115">
        <f>IF(B19="","",IF(X19="Yes","Delivered",IF(U19="Yes",IF(AND(W19&lt;&gt;"",R19&lt;&gt;""),IF(W19&gt;R19,"⚠️ Delivery after install date","Ordered"),"Ordered"),IF(K19="",IF(T19="","Waiting for decision",IF(T19&lt;=AsOf+AlertDays,"Decide now","Waiting for decision")),IF(S19="","Selected",IF(AsOf&gt;S19,"⚠️ Order late — install at risk",IF(S19&lt;=AsOf+AlertDays,"Order now","Selected")))))))</f>
        <v/>
      </c>
      <c r="Z19" s="79">
        <f>IF(B19="","",IF(OR(AH19=1,AE19=1),2,IF(OR(AG19=1,AF19=1),1,IF(OR(Y19="Ordered",Y19="Delivered"),0,""))))</f>
        <v/>
      </c>
      <c r="AA19" s="111">
        <f>IF(B19="","",IF(AH19=1,IF(Y19="⚠️ Delivery after install date",R19,S19),IF(AD19=1,T19,IF(AI19=1,S19,""))))</f>
        <v/>
      </c>
      <c r="AB19" s="79">
        <f>IF(AA19="","",IF(AH19=1,1,IF(AA19="","",IF(AA19&lt;AsOf,1,IF(AA19&lt;=AsOf+AlertDays,2,IF(AA19&lt;=AsOf+2*AlertDays,3,""))))))</f>
        <v/>
      </c>
      <c r="AC19" s="79">
        <f>IF(AB19="","",IF(AH19=1,IF(Y19="⚠️ Delivery after install date","Delivery after install date: "&amp;B19,"Order late — install at risk: "&amp;B19),IF(AD19=1,IF(AB19=1,"Decision overdue: ","Decide: ")&amp;B19,"Order: "&amp;B19&amp;IF(N19="",""," from "&amp;N19))))</f>
        <v/>
      </c>
      <c r="AD19" s="79">
        <f>IF(AND(B19&lt;&gt;"",K19="",U19&lt;&gt;"Yes",X19&lt;&gt;"Yes"),1,0)</f>
        <v/>
      </c>
      <c r="AE19" s="79">
        <f>IF(AND(AD19=1,T19&lt;&gt;""),IF(T19&lt;AsOf,1,0),0)</f>
        <v/>
      </c>
      <c r="AF19" s="79">
        <f>IF(AND(AD19=1,T19&lt;&gt;""),IF(AND(T19&gt;=AsOf,T19&lt;=AsOf+AlertDays),1,0),0)</f>
        <v/>
      </c>
      <c r="AG19" s="79">
        <f>IF(Y19="Order now",1,0)</f>
        <v/>
      </c>
      <c r="AH19" s="79">
        <f>IF(OR(Y19="⚠️ Order late — install at risk",Y19="⚠️ Delivery after install date"),1,0)</f>
        <v/>
      </c>
      <c r="AI19" s="79">
        <f>IF(AND(B19&lt;&gt;"",K19&lt;&gt;"",U19&lt;&gt;"Yes",X19&lt;&gt;"Yes"),1,0)</f>
        <v/>
      </c>
      <c r="AJ19" s="79">
        <f>IF(Y19="⚠️ Order late — install at risk",1,0)</f>
        <v/>
      </c>
    </row>
    <row r="20" ht="20" customHeight="1">
      <c r="B20" s="72" t="inlineStr">
        <is>
          <t>Sofa</t>
        </is>
      </c>
      <c r="C20" s="72" t="inlineStr">
        <is>
          <t>Living room</t>
        </is>
      </c>
      <c r="D20" s="72" t="inlineStr">
        <is>
          <t>Furniture</t>
        </is>
      </c>
      <c r="E20" s="72" t="inlineStr">
        <is>
          <t>3-seater linen</t>
        </is>
      </c>
      <c r="F20" s="73" t="n">
        <v>2200</v>
      </c>
      <c r="G20" s="72" t="inlineStr">
        <is>
          <t>Corner sofa</t>
        </is>
      </c>
      <c r="H20" s="73" t="n">
        <v>1650</v>
      </c>
      <c r="I20" s="72" t="n"/>
      <c r="J20" s="73" t="n"/>
      <c r="K20" s="74" t="n"/>
      <c r="L20" s="75">
        <f>IF(K20="A",F20,IF(K20="B",H20,IF(K20="C",J20,"")))</f>
        <v/>
      </c>
      <c r="M20" s="72" t="n"/>
      <c r="N20" s="72" t="inlineStr">
        <is>
          <t>HomeStore</t>
        </is>
      </c>
      <c r="O20" s="89" t="n">
        <v>42</v>
      </c>
      <c r="P20" s="89" t="n"/>
      <c r="Q20" s="108" t="n">
        <v>46266</v>
      </c>
      <c r="R20" s="120">
        <f>IF(B20="","",IF(Q20&lt;&gt;"",Q20,IF(P20="","",IFERROR(INDEX('Timeline'!$J$7:$J$156,MATCH(P20,'Timeline'!$B$7:$B$156,0)),""))))</f>
        <v/>
      </c>
      <c r="S20" s="126">
        <f>IF(R20="","",R20-IF(O20="",0,O20)-OrderBuf)</f>
        <v/>
      </c>
      <c r="T20" s="126">
        <f>IF(S20="","",S20-DecideBuf)</f>
        <v/>
      </c>
      <c r="U20" s="74" t="inlineStr">
        <is>
          <t>No</t>
        </is>
      </c>
      <c r="V20" s="108" t="n"/>
      <c r="W20" s="108" t="n"/>
      <c r="X20" s="74" t="n"/>
      <c r="Y20" s="115">
        <f>IF(B20="","",IF(X20="Yes","Delivered",IF(U20="Yes",IF(AND(W20&lt;&gt;"",R20&lt;&gt;""),IF(W20&gt;R20,"⚠️ Delivery after install date","Ordered"),"Ordered"),IF(K20="",IF(T20="","Waiting for decision",IF(T20&lt;=AsOf+AlertDays,"Decide now","Waiting for decision")),IF(S20="","Selected",IF(AsOf&gt;S20,"⚠️ Order late — install at risk",IF(S20&lt;=AsOf+AlertDays,"Order now","Selected")))))))</f>
        <v/>
      </c>
      <c r="Z20" s="79">
        <f>IF(B20="","",IF(OR(AH20=1,AE20=1),2,IF(OR(AG20=1,AF20=1),1,IF(OR(Y20="Ordered",Y20="Delivered"),0,""))))</f>
        <v/>
      </c>
      <c r="AA20" s="111">
        <f>IF(B20="","",IF(AH20=1,IF(Y20="⚠️ Delivery after install date",R20,S20),IF(AD20=1,T20,IF(AI20=1,S20,""))))</f>
        <v/>
      </c>
      <c r="AB20" s="79">
        <f>IF(AA20="","",IF(AH20=1,1,IF(AA20="","",IF(AA20&lt;AsOf,1,IF(AA20&lt;=AsOf+AlertDays,2,IF(AA20&lt;=AsOf+2*AlertDays,3,""))))))</f>
        <v/>
      </c>
      <c r="AC20" s="79">
        <f>IF(AB20="","",IF(AH20=1,IF(Y20="⚠️ Delivery after install date","Delivery after install date: "&amp;B20,"Order late — install at risk: "&amp;B20),IF(AD20=1,IF(AB20=1,"Decision overdue: ","Decide: ")&amp;B20,"Order: "&amp;B20&amp;IF(N20="",""," from "&amp;N20))))</f>
        <v/>
      </c>
      <c r="AD20" s="79">
        <f>IF(AND(B20&lt;&gt;"",K20="",U20&lt;&gt;"Yes",X20&lt;&gt;"Yes"),1,0)</f>
        <v/>
      </c>
      <c r="AE20" s="79">
        <f>IF(AND(AD20=1,T20&lt;&gt;""),IF(T20&lt;AsOf,1,0),0)</f>
        <v/>
      </c>
      <c r="AF20" s="79">
        <f>IF(AND(AD20=1,T20&lt;&gt;""),IF(AND(T20&gt;=AsOf,T20&lt;=AsOf+AlertDays),1,0),0)</f>
        <v/>
      </c>
      <c r="AG20" s="79">
        <f>IF(Y20="Order now",1,0)</f>
        <v/>
      </c>
      <c r="AH20" s="79">
        <f>IF(OR(Y20="⚠️ Order late — install at risk",Y20="⚠️ Delivery after install date"),1,0)</f>
        <v/>
      </c>
      <c r="AI20" s="79">
        <f>IF(AND(B20&lt;&gt;"",K20&lt;&gt;"",U20&lt;&gt;"Yes",X20&lt;&gt;"Yes"),1,0)</f>
        <v/>
      </c>
      <c r="AJ20" s="79">
        <f>IF(Y20="⚠️ Order late — install at risk",1,0)</f>
        <v/>
      </c>
    </row>
    <row r="21" ht="20" customHeight="1">
      <c r="B21" s="72" t="n"/>
      <c r="C21" s="72" t="n"/>
      <c r="D21" s="72" t="n"/>
      <c r="E21" s="72" t="n"/>
      <c r="F21" s="73" t="n"/>
      <c r="G21" s="72" t="n"/>
      <c r="H21" s="73" t="n"/>
      <c r="I21" s="72" t="n"/>
      <c r="J21" s="73" t="n"/>
      <c r="K21" s="74" t="n"/>
      <c r="L21" s="75">
        <f>IF(K21="A",F21,IF(K21="B",H21,IF(K21="C",J21,"")))</f>
        <v/>
      </c>
      <c r="M21" s="72" t="n"/>
      <c r="N21" s="72" t="n"/>
      <c r="O21" s="89" t="n"/>
      <c r="P21" s="89" t="n"/>
      <c r="Q21" s="108" t="n"/>
      <c r="R21" s="120">
        <f>IF(B21="","",IF(Q21&lt;&gt;"",Q21,IF(P21="","",IFERROR(INDEX('Timeline'!$J$7:$J$156,MATCH(P21,'Timeline'!$B$7:$B$156,0)),""))))</f>
        <v/>
      </c>
      <c r="S21" s="126">
        <f>IF(R21="","",R21-IF(O21="",0,O21)-OrderBuf)</f>
        <v/>
      </c>
      <c r="T21" s="126">
        <f>IF(S21="","",S21-DecideBuf)</f>
        <v/>
      </c>
      <c r="U21" s="74" t="n"/>
      <c r="V21" s="108" t="n"/>
      <c r="W21" s="108" t="n"/>
      <c r="X21" s="74" t="n"/>
      <c r="Y21" s="115">
        <f>IF(B21="","",IF(X21="Yes","Delivered",IF(U21="Yes",IF(AND(W21&lt;&gt;"",R21&lt;&gt;""),IF(W21&gt;R21,"⚠️ Delivery after install date","Ordered"),"Ordered"),IF(K21="",IF(T21="","Waiting for decision",IF(T21&lt;=AsOf+AlertDays,"Decide now","Waiting for decision")),IF(S21="","Selected",IF(AsOf&gt;S21,"⚠️ Order late — install at risk",IF(S21&lt;=AsOf+AlertDays,"Order now","Selected")))))))</f>
        <v/>
      </c>
      <c r="Z21" s="79">
        <f>IF(B21="","",IF(OR(AH21=1,AE21=1),2,IF(OR(AG21=1,AF21=1),1,IF(OR(Y21="Ordered",Y21="Delivered"),0,""))))</f>
        <v/>
      </c>
      <c r="AA21" s="111">
        <f>IF(B21="","",IF(AH21=1,IF(Y21="⚠️ Delivery after install date",R21,S21),IF(AD21=1,T21,IF(AI21=1,S21,""))))</f>
        <v/>
      </c>
      <c r="AB21" s="79">
        <f>IF(AA21="","",IF(AH21=1,1,IF(AA21="","",IF(AA21&lt;AsOf,1,IF(AA21&lt;=AsOf+AlertDays,2,IF(AA21&lt;=AsOf+2*AlertDays,3,""))))))</f>
        <v/>
      </c>
      <c r="AC21" s="79">
        <f>IF(AB21="","",IF(AH21=1,IF(Y21="⚠️ Delivery after install date","Delivery after install date: "&amp;B21,"Order late — install at risk: "&amp;B21),IF(AD21=1,IF(AB21=1,"Decision overdue: ","Decide: ")&amp;B21,"Order: "&amp;B21&amp;IF(N21="",""," from "&amp;N21))))</f>
        <v/>
      </c>
      <c r="AD21" s="79">
        <f>IF(AND(B21&lt;&gt;"",K21="",U21&lt;&gt;"Yes",X21&lt;&gt;"Yes"),1,0)</f>
        <v/>
      </c>
      <c r="AE21" s="79">
        <f>IF(AND(AD21=1,T21&lt;&gt;""),IF(T21&lt;AsOf,1,0),0)</f>
        <v/>
      </c>
      <c r="AF21" s="79">
        <f>IF(AND(AD21=1,T21&lt;&gt;""),IF(AND(T21&gt;=AsOf,T21&lt;=AsOf+AlertDays),1,0),0)</f>
        <v/>
      </c>
      <c r="AG21" s="79">
        <f>IF(Y21="Order now",1,0)</f>
        <v/>
      </c>
      <c r="AH21" s="79">
        <f>IF(OR(Y21="⚠️ Order late — install at risk",Y21="⚠️ Delivery after install date"),1,0)</f>
        <v/>
      </c>
      <c r="AI21" s="79">
        <f>IF(AND(B21&lt;&gt;"",K21&lt;&gt;"",U21&lt;&gt;"Yes",X21&lt;&gt;"Yes"),1,0)</f>
        <v/>
      </c>
      <c r="AJ21" s="79">
        <f>IF(Y21="⚠️ Order late — install at risk",1,0)</f>
        <v/>
      </c>
    </row>
    <row r="22" ht="20" customHeight="1">
      <c r="B22" s="72" t="n"/>
      <c r="C22" s="72" t="n"/>
      <c r="D22" s="72" t="n"/>
      <c r="E22" s="72" t="n"/>
      <c r="F22" s="73" t="n"/>
      <c r="G22" s="72" t="n"/>
      <c r="H22" s="73" t="n"/>
      <c r="I22" s="72" t="n"/>
      <c r="J22" s="73" t="n"/>
      <c r="K22" s="74" t="n"/>
      <c r="L22" s="75">
        <f>IF(K22="A",F22,IF(K22="B",H22,IF(K22="C",J22,"")))</f>
        <v/>
      </c>
      <c r="M22" s="72" t="n"/>
      <c r="N22" s="72" t="n"/>
      <c r="O22" s="89" t="n"/>
      <c r="P22" s="89" t="n"/>
      <c r="Q22" s="108" t="n"/>
      <c r="R22" s="120">
        <f>IF(B22="","",IF(Q22&lt;&gt;"",Q22,IF(P22="","",IFERROR(INDEX('Timeline'!$J$7:$J$156,MATCH(P22,'Timeline'!$B$7:$B$156,0)),""))))</f>
        <v/>
      </c>
      <c r="S22" s="126">
        <f>IF(R22="","",R22-IF(O22="",0,O22)-OrderBuf)</f>
        <v/>
      </c>
      <c r="T22" s="126">
        <f>IF(S22="","",S22-DecideBuf)</f>
        <v/>
      </c>
      <c r="U22" s="74" t="n"/>
      <c r="V22" s="108" t="n"/>
      <c r="W22" s="108" t="n"/>
      <c r="X22" s="74" t="n"/>
      <c r="Y22" s="115">
        <f>IF(B22="","",IF(X22="Yes","Delivered",IF(U22="Yes",IF(AND(W22&lt;&gt;"",R22&lt;&gt;""),IF(W22&gt;R22,"⚠️ Delivery after install date","Ordered"),"Ordered"),IF(K22="",IF(T22="","Waiting for decision",IF(T22&lt;=AsOf+AlertDays,"Decide now","Waiting for decision")),IF(S22="","Selected",IF(AsOf&gt;S22,"⚠️ Order late — install at risk",IF(S22&lt;=AsOf+AlertDays,"Order now","Selected")))))))</f>
        <v/>
      </c>
      <c r="Z22" s="79">
        <f>IF(B22="","",IF(OR(AH22=1,AE22=1),2,IF(OR(AG22=1,AF22=1),1,IF(OR(Y22="Ordered",Y22="Delivered"),0,""))))</f>
        <v/>
      </c>
      <c r="AA22" s="111">
        <f>IF(B22="","",IF(AH22=1,IF(Y22="⚠️ Delivery after install date",R22,S22),IF(AD22=1,T22,IF(AI22=1,S22,""))))</f>
        <v/>
      </c>
      <c r="AB22" s="79">
        <f>IF(AA22="","",IF(AH22=1,1,IF(AA22="","",IF(AA22&lt;AsOf,1,IF(AA22&lt;=AsOf+AlertDays,2,IF(AA22&lt;=AsOf+2*AlertDays,3,""))))))</f>
        <v/>
      </c>
      <c r="AC22" s="79">
        <f>IF(AB22="","",IF(AH22=1,IF(Y22="⚠️ Delivery after install date","Delivery after install date: "&amp;B22,"Order late — install at risk: "&amp;B22),IF(AD22=1,IF(AB22=1,"Decision overdue: ","Decide: ")&amp;B22,"Order: "&amp;B22&amp;IF(N22="",""," from "&amp;N22))))</f>
        <v/>
      </c>
      <c r="AD22" s="79">
        <f>IF(AND(B22&lt;&gt;"",K22="",U22&lt;&gt;"Yes",X22&lt;&gt;"Yes"),1,0)</f>
        <v/>
      </c>
      <c r="AE22" s="79">
        <f>IF(AND(AD22=1,T22&lt;&gt;""),IF(T22&lt;AsOf,1,0),0)</f>
        <v/>
      </c>
      <c r="AF22" s="79">
        <f>IF(AND(AD22=1,T22&lt;&gt;""),IF(AND(T22&gt;=AsOf,T22&lt;=AsOf+AlertDays),1,0),0)</f>
        <v/>
      </c>
      <c r="AG22" s="79">
        <f>IF(Y22="Order now",1,0)</f>
        <v/>
      </c>
      <c r="AH22" s="79">
        <f>IF(OR(Y22="⚠️ Order late — install at risk",Y22="⚠️ Delivery after install date"),1,0)</f>
        <v/>
      </c>
      <c r="AI22" s="79">
        <f>IF(AND(B22&lt;&gt;"",K22&lt;&gt;"",U22&lt;&gt;"Yes",X22&lt;&gt;"Yes"),1,0)</f>
        <v/>
      </c>
      <c r="AJ22" s="79">
        <f>IF(Y22="⚠️ Order late — install at risk",1,0)</f>
        <v/>
      </c>
    </row>
    <row r="23" ht="20" customHeight="1">
      <c r="B23" s="72" t="n"/>
      <c r="C23" s="72" t="n"/>
      <c r="D23" s="72" t="n"/>
      <c r="E23" s="72" t="n"/>
      <c r="F23" s="73" t="n"/>
      <c r="G23" s="72" t="n"/>
      <c r="H23" s="73" t="n"/>
      <c r="I23" s="72" t="n"/>
      <c r="J23" s="73" t="n"/>
      <c r="K23" s="74" t="n"/>
      <c r="L23" s="75">
        <f>IF(K23="A",F23,IF(K23="B",H23,IF(K23="C",J23,"")))</f>
        <v/>
      </c>
      <c r="M23" s="72" t="n"/>
      <c r="N23" s="72" t="n"/>
      <c r="O23" s="89" t="n"/>
      <c r="P23" s="89" t="n"/>
      <c r="Q23" s="108" t="n"/>
      <c r="R23" s="120">
        <f>IF(B23="","",IF(Q23&lt;&gt;"",Q23,IF(P23="","",IFERROR(INDEX('Timeline'!$J$7:$J$156,MATCH(P23,'Timeline'!$B$7:$B$156,0)),""))))</f>
        <v/>
      </c>
      <c r="S23" s="126">
        <f>IF(R23="","",R23-IF(O23="",0,O23)-OrderBuf)</f>
        <v/>
      </c>
      <c r="T23" s="126">
        <f>IF(S23="","",S23-DecideBuf)</f>
        <v/>
      </c>
      <c r="U23" s="74" t="n"/>
      <c r="V23" s="108" t="n"/>
      <c r="W23" s="108" t="n"/>
      <c r="X23" s="74" t="n"/>
      <c r="Y23" s="115">
        <f>IF(B23="","",IF(X23="Yes","Delivered",IF(U23="Yes",IF(AND(W23&lt;&gt;"",R23&lt;&gt;""),IF(W23&gt;R23,"⚠️ Delivery after install date","Ordered"),"Ordered"),IF(K23="",IF(T23="","Waiting for decision",IF(T23&lt;=AsOf+AlertDays,"Decide now","Waiting for decision")),IF(S23="","Selected",IF(AsOf&gt;S23,"⚠️ Order late — install at risk",IF(S23&lt;=AsOf+AlertDays,"Order now","Selected")))))))</f>
        <v/>
      </c>
      <c r="Z23" s="79">
        <f>IF(B23="","",IF(OR(AH23=1,AE23=1),2,IF(OR(AG23=1,AF23=1),1,IF(OR(Y23="Ordered",Y23="Delivered"),0,""))))</f>
        <v/>
      </c>
      <c r="AA23" s="111">
        <f>IF(B23="","",IF(AH23=1,IF(Y23="⚠️ Delivery after install date",R23,S23),IF(AD23=1,T23,IF(AI23=1,S23,""))))</f>
        <v/>
      </c>
      <c r="AB23" s="79">
        <f>IF(AA23="","",IF(AH23=1,1,IF(AA23="","",IF(AA23&lt;AsOf,1,IF(AA23&lt;=AsOf+AlertDays,2,IF(AA23&lt;=AsOf+2*AlertDays,3,""))))))</f>
        <v/>
      </c>
      <c r="AC23" s="79">
        <f>IF(AB23="","",IF(AH23=1,IF(Y23="⚠️ Delivery after install date","Delivery after install date: "&amp;B23,"Order late — install at risk: "&amp;B23),IF(AD23=1,IF(AB23=1,"Decision overdue: ","Decide: ")&amp;B23,"Order: "&amp;B23&amp;IF(N23="",""," from "&amp;N23))))</f>
        <v/>
      </c>
      <c r="AD23" s="79">
        <f>IF(AND(B23&lt;&gt;"",K23="",U23&lt;&gt;"Yes",X23&lt;&gt;"Yes"),1,0)</f>
        <v/>
      </c>
      <c r="AE23" s="79">
        <f>IF(AND(AD23=1,T23&lt;&gt;""),IF(T23&lt;AsOf,1,0),0)</f>
        <v/>
      </c>
      <c r="AF23" s="79">
        <f>IF(AND(AD23=1,T23&lt;&gt;""),IF(AND(T23&gt;=AsOf,T23&lt;=AsOf+AlertDays),1,0),0)</f>
        <v/>
      </c>
      <c r="AG23" s="79">
        <f>IF(Y23="Order now",1,0)</f>
        <v/>
      </c>
      <c r="AH23" s="79">
        <f>IF(OR(Y23="⚠️ Order late — install at risk",Y23="⚠️ Delivery after install date"),1,0)</f>
        <v/>
      </c>
      <c r="AI23" s="79">
        <f>IF(AND(B23&lt;&gt;"",K23&lt;&gt;"",U23&lt;&gt;"Yes",X23&lt;&gt;"Yes"),1,0)</f>
        <v/>
      </c>
      <c r="AJ23" s="79">
        <f>IF(Y23="⚠️ Order late — install at risk",1,0)</f>
        <v/>
      </c>
    </row>
    <row r="24" ht="20" customHeight="1">
      <c r="B24" s="72" t="n"/>
      <c r="C24" s="72" t="n"/>
      <c r="D24" s="72" t="n"/>
      <c r="E24" s="72" t="n"/>
      <c r="F24" s="73" t="n"/>
      <c r="G24" s="72" t="n"/>
      <c r="H24" s="73" t="n"/>
      <c r="I24" s="72" t="n"/>
      <c r="J24" s="73" t="n"/>
      <c r="K24" s="74" t="n"/>
      <c r="L24" s="75">
        <f>IF(K24="A",F24,IF(K24="B",H24,IF(K24="C",J24,"")))</f>
        <v/>
      </c>
      <c r="M24" s="72" t="n"/>
      <c r="N24" s="72" t="n"/>
      <c r="O24" s="89" t="n"/>
      <c r="P24" s="89" t="n"/>
      <c r="Q24" s="108" t="n"/>
      <c r="R24" s="120">
        <f>IF(B24="","",IF(Q24&lt;&gt;"",Q24,IF(P24="","",IFERROR(INDEX('Timeline'!$J$7:$J$156,MATCH(P24,'Timeline'!$B$7:$B$156,0)),""))))</f>
        <v/>
      </c>
      <c r="S24" s="126">
        <f>IF(R24="","",R24-IF(O24="",0,O24)-OrderBuf)</f>
        <v/>
      </c>
      <c r="T24" s="126">
        <f>IF(S24="","",S24-DecideBuf)</f>
        <v/>
      </c>
      <c r="U24" s="74" t="n"/>
      <c r="V24" s="108" t="n"/>
      <c r="W24" s="108" t="n"/>
      <c r="X24" s="74" t="n"/>
      <c r="Y24" s="115">
        <f>IF(B24="","",IF(X24="Yes","Delivered",IF(U24="Yes",IF(AND(W24&lt;&gt;"",R24&lt;&gt;""),IF(W24&gt;R24,"⚠️ Delivery after install date","Ordered"),"Ordered"),IF(K24="",IF(T24="","Waiting for decision",IF(T24&lt;=AsOf+AlertDays,"Decide now","Waiting for decision")),IF(S24="","Selected",IF(AsOf&gt;S24,"⚠️ Order late — install at risk",IF(S24&lt;=AsOf+AlertDays,"Order now","Selected")))))))</f>
        <v/>
      </c>
      <c r="Z24" s="79">
        <f>IF(B24="","",IF(OR(AH24=1,AE24=1),2,IF(OR(AG24=1,AF24=1),1,IF(OR(Y24="Ordered",Y24="Delivered"),0,""))))</f>
        <v/>
      </c>
      <c r="AA24" s="111">
        <f>IF(B24="","",IF(AH24=1,IF(Y24="⚠️ Delivery after install date",R24,S24),IF(AD24=1,T24,IF(AI24=1,S24,""))))</f>
        <v/>
      </c>
      <c r="AB24" s="79">
        <f>IF(AA24="","",IF(AH24=1,1,IF(AA24="","",IF(AA24&lt;AsOf,1,IF(AA24&lt;=AsOf+AlertDays,2,IF(AA24&lt;=AsOf+2*AlertDays,3,""))))))</f>
        <v/>
      </c>
      <c r="AC24" s="79">
        <f>IF(AB24="","",IF(AH24=1,IF(Y24="⚠️ Delivery after install date","Delivery after install date: "&amp;B24,"Order late — install at risk: "&amp;B24),IF(AD24=1,IF(AB24=1,"Decision overdue: ","Decide: ")&amp;B24,"Order: "&amp;B24&amp;IF(N24="",""," from "&amp;N24))))</f>
        <v/>
      </c>
      <c r="AD24" s="79">
        <f>IF(AND(B24&lt;&gt;"",K24="",U24&lt;&gt;"Yes",X24&lt;&gt;"Yes"),1,0)</f>
        <v/>
      </c>
      <c r="AE24" s="79">
        <f>IF(AND(AD24=1,T24&lt;&gt;""),IF(T24&lt;AsOf,1,0),0)</f>
        <v/>
      </c>
      <c r="AF24" s="79">
        <f>IF(AND(AD24=1,T24&lt;&gt;""),IF(AND(T24&gt;=AsOf,T24&lt;=AsOf+AlertDays),1,0),0)</f>
        <v/>
      </c>
      <c r="AG24" s="79">
        <f>IF(Y24="Order now",1,0)</f>
        <v/>
      </c>
      <c r="AH24" s="79">
        <f>IF(OR(Y24="⚠️ Order late — install at risk",Y24="⚠️ Delivery after install date"),1,0)</f>
        <v/>
      </c>
      <c r="AI24" s="79">
        <f>IF(AND(B24&lt;&gt;"",K24&lt;&gt;"",U24&lt;&gt;"Yes",X24&lt;&gt;"Yes"),1,0)</f>
        <v/>
      </c>
      <c r="AJ24" s="79">
        <f>IF(Y24="⚠️ Order late — install at risk",1,0)</f>
        <v/>
      </c>
    </row>
    <row r="25" ht="20" customHeight="1">
      <c r="B25" s="72" t="n"/>
      <c r="C25" s="72" t="n"/>
      <c r="D25" s="72" t="n"/>
      <c r="E25" s="72" t="n"/>
      <c r="F25" s="73" t="n"/>
      <c r="G25" s="72" t="n"/>
      <c r="H25" s="73" t="n"/>
      <c r="I25" s="72" t="n"/>
      <c r="J25" s="73" t="n"/>
      <c r="K25" s="74" t="n"/>
      <c r="L25" s="75">
        <f>IF(K25="A",F25,IF(K25="B",H25,IF(K25="C",J25,"")))</f>
        <v/>
      </c>
      <c r="M25" s="72" t="n"/>
      <c r="N25" s="72" t="n"/>
      <c r="O25" s="89" t="n"/>
      <c r="P25" s="89" t="n"/>
      <c r="Q25" s="108" t="n"/>
      <c r="R25" s="120">
        <f>IF(B25="","",IF(Q25&lt;&gt;"",Q25,IF(P25="","",IFERROR(INDEX('Timeline'!$J$7:$J$156,MATCH(P25,'Timeline'!$B$7:$B$156,0)),""))))</f>
        <v/>
      </c>
      <c r="S25" s="126">
        <f>IF(R25="","",R25-IF(O25="",0,O25)-OrderBuf)</f>
        <v/>
      </c>
      <c r="T25" s="126">
        <f>IF(S25="","",S25-DecideBuf)</f>
        <v/>
      </c>
      <c r="U25" s="74" t="n"/>
      <c r="V25" s="108" t="n"/>
      <c r="W25" s="108" t="n"/>
      <c r="X25" s="74" t="n"/>
      <c r="Y25" s="115">
        <f>IF(B25="","",IF(X25="Yes","Delivered",IF(U25="Yes",IF(AND(W25&lt;&gt;"",R25&lt;&gt;""),IF(W25&gt;R25,"⚠️ Delivery after install date","Ordered"),"Ordered"),IF(K25="",IF(T25="","Waiting for decision",IF(T25&lt;=AsOf+AlertDays,"Decide now","Waiting for decision")),IF(S25="","Selected",IF(AsOf&gt;S25,"⚠️ Order late — install at risk",IF(S25&lt;=AsOf+AlertDays,"Order now","Selected")))))))</f>
        <v/>
      </c>
      <c r="Z25" s="79">
        <f>IF(B25="","",IF(OR(AH25=1,AE25=1),2,IF(OR(AG25=1,AF25=1),1,IF(OR(Y25="Ordered",Y25="Delivered"),0,""))))</f>
        <v/>
      </c>
      <c r="AA25" s="111">
        <f>IF(B25="","",IF(AH25=1,IF(Y25="⚠️ Delivery after install date",R25,S25),IF(AD25=1,T25,IF(AI25=1,S25,""))))</f>
        <v/>
      </c>
      <c r="AB25" s="79">
        <f>IF(AA25="","",IF(AH25=1,1,IF(AA25="","",IF(AA25&lt;AsOf,1,IF(AA25&lt;=AsOf+AlertDays,2,IF(AA25&lt;=AsOf+2*AlertDays,3,""))))))</f>
        <v/>
      </c>
      <c r="AC25" s="79">
        <f>IF(AB25="","",IF(AH25=1,IF(Y25="⚠️ Delivery after install date","Delivery after install date: "&amp;B25,"Order late — install at risk: "&amp;B25),IF(AD25=1,IF(AB25=1,"Decision overdue: ","Decide: ")&amp;B25,"Order: "&amp;B25&amp;IF(N25="",""," from "&amp;N25))))</f>
        <v/>
      </c>
      <c r="AD25" s="79">
        <f>IF(AND(B25&lt;&gt;"",K25="",U25&lt;&gt;"Yes",X25&lt;&gt;"Yes"),1,0)</f>
        <v/>
      </c>
      <c r="AE25" s="79">
        <f>IF(AND(AD25=1,T25&lt;&gt;""),IF(T25&lt;AsOf,1,0),0)</f>
        <v/>
      </c>
      <c r="AF25" s="79">
        <f>IF(AND(AD25=1,T25&lt;&gt;""),IF(AND(T25&gt;=AsOf,T25&lt;=AsOf+AlertDays),1,0),0)</f>
        <v/>
      </c>
      <c r="AG25" s="79">
        <f>IF(Y25="Order now",1,0)</f>
        <v/>
      </c>
      <c r="AH25" s="79">
        <f>IF(OR(Y25="⚠️ Order late — install at risk",Y25="⚠️ Delivery after install date"),1,0)</f>
        <v/>
      </c>
      <c r="AI25" s="79">
        <f>IF(AND(B25&lt;&gt;"",K25&lt;&gt;"",U25&lt;&gt;"Yes",X25&lt;&gt;"Yes"),1,0)</f>
        <v/>
      </c>
      <c r="AJ25" s="79">
        <f>IF(Y25="⚠️ Order late — install at risk",1,0)</f>
        <v/>
      </c>
    </row>
    <row r="26" ht="20" customHeight="1">
      <c r="B26" s="72" t="n"/>
      <c r="C26" s="72" t="n"/>
      <c r="D26" s="72" t="n"/>
      <c r="E26" s="72" t="n"/>
      <c r="F26" s="73" t="n"/>
      <c r="G26" s="72" t="n"/>
      <c r="H26" s="73" t="n"/>
      <c r="I26" s="72" t="n"/>
      <c r="J26" s="73" t="n"/>
      <c r="K26" s="74" t="n"/>
      <c r="L26" s="75">
        <f>IF(K26="A",F26,IF(K26="B",H26,IF(K26="C",J26,"")))</f>
        <v/>
      </c>
      <c r="M26" s="72" t="n"/>
      <c r="N26" s="72" t="n"/>
      <c r="O26" s="89" t="n"/>
      <c r="P26" s="89" t="n"/>
      <c r="Q26" s="108" t="n"/>
      <c r="R26" s="120">
        <f>IF(B26="","",IF(Q26&lt;&gt;"",Q26,IF(P26="","",IFERROR(INDEX('Timeline'!$J$7:$J$156,MATCH(P26,'Timeline'!$B$7:$B$156,0)),""))))</f>
        <v/>
      </c>
      <c r="S26" s="126">
        <f>IF(R26="","",R26-IF(O26="",0,O26)-OrderBuf)</f>
        <v/>
      </c>
      <c r="T26" s="126">
        <f>IF(S26="","",S26-DecideBuf)</f>
        <v/>
      </c>
      <c r="U26" s="74" t="n"/>
      <c r="V26" s="108" t="n"/>
      <c r="W26" s="108" t="n"/>
      <c r="X26" s="74" t="n"/>
      <c r="Y26" s="115">
        <f>IF(B26="","",IF(X26="Yes","Delivered",IF(U26="Yes",IF(AND(W26&lt;&gt;"",R26&lt;&gt;""),IF(W26&gt;R26,"⚠️ Delivery after install date","Ordered"),"Ordered"),IF(K26="",IF(T26="","Waiting for decision",IF(T26&lt;=AsOf+AlertDays,"Decide now","Waiting for decision")),IF(S26="","Selected",IF(AsOf&gt;S26,"⚠️ Order late — install at risk",IF(S26&lt;=AsOf+AlertDays,"Order now","Selected")))))))</f>
        <v/>
      </c>
      <c r="Z26" s="79">
        <f>IF(B26="","",IF(OR(AH26=1,AE26=1),2,IF(OR(AG26=1,AF26=1),1,IF(OR(Y26="Ordered",Y26="Delivered"),0,""))))</f>
        <v/>
      </c>
      <c r="AA26" s="111">
        <f>IF(B26="","",IF(AH26=1,IF(Y26="⚠️ Delivery after install date",R26,S26),IF(AD26=1,T26,IF(AI26=1,S26,""))))</f>
        <v/>
      </c>
      <c r="AB26" s="79">
        <f>IF(AA26="","",IF(AH26=1,1,IF(AA26="","",IF(AA26&lt;AsOf,1,IF(AA26&lt;=AsOf+AlertDays,2,IF(AA26&lt;=AsOf+2*AlertDays,3,""))))))</f>
        <v/>
      </c>
      <c r="AC26" s="79">
        <f>IF(AB26="","",IF(AH26=1,IF(Y26="⚠️ Delivery after install date","Delivery after install date: "&amp;B26,"Order late — install at risk: "&amp;B26),IF(AD26=1,IF(AB26=1,"Decision overdue: ","Decide: ")&amp;B26,"Order: "&amp;B26&amp;IF(N26="",""," from "&amp;N26))))</f>
        <v/>
      </c>
      <c r="AD26" s="79">
        <f>IF(AND(B26&lt;&gt;"",K26="",U26&lt;&gt;"Yes",X26&lt;&gt;"Yes"),1,0)</f>
        <v/>
      </c>
      <c r="AE26" s="79">
        <f>IF(AND(AD26=1,T26&lt;&gt;""),IF(T26&lt;AsOf,1,0),0)</f>
        <v/>
      </c>
      <c r="AF26" s="79">
        <f>IF(AND(AD26=1,T26&lt;&gt;""),IF(AND(T26&gt;=AsOf,T26&lt;=AsOf+AlertDays),1,0),0)</f>
        <v/>
      </c>
      <c r="AG26" s="79">
        <f>IF(Y26="Order now",1,0)</f>
        <v/>
      </c>
      <c r="AH26" s="79">
        <f>IF(OR(Y26="⚠️ Order late — install at risk",Y26="⚠️ Delivery after install date"),1,0)</f>
        <v/>
      </c>
      <c r="AI26" s="79">
        <f>IF(AND(B26&lt;&gt;"",K26&lt;&gt;"",U26&lt;&gt;"Yes",X26&lt;&gt;"Yes"),1,0)</f>
        <v/>
      </c>
      <c r="AJ26" s="79">
        <f>IF(Y26="⚠️ Order late — install at risk",1,0)</f>
        <v/>
      </c>
    </row>
    <row r="27" ht="20" customHeight="1">
      <c r="B27" s="72" t="n"/>
      <c r="C27" s="72" t="n"/>
      <c r="D27" s="72" t="n"/>
      <c r="E27" s="72" t="n"/>
      <c r="F27" s="73" t="n"/>
      <c r="G27" s="72" t="n"/>
      <c r="H27" s="73" t="n"/>
      <c r="I27" s="72" t="n"/>
      <c r="J27" s="73" t="n"/>
      <c r="K27" s="74" t="n"/>
      <c r="L27" s="75">
        <f>IF(K27="A",F27,IF(K27="B",H27,IF(K27="C",J27,"")))</f>
        <v/>
      </c>
      <c r="M27" s="72" t="n"/>
      <c r="N27" s="72" t="n"/>
      <c r="O27" s="89" t="n"/>
      <c r="P27" s="89" t="n"/>
      <c r="Q27" s="108" t="n"/>
      <c r="R27" s="120">
        <f>IF(B27="","",IF(Q27&lt;&gt;"",Q27,IF(P27="","",IFERROR(INDEX('Timeline'!$J$7:$J$156,MATCH(P27,'Timeline'!$B$7:$B$156,0)),""))))</f>
        <v/>
      </c>
      <c r="S27" s="126">
        <f>IF(R27="","",R27-IF(O27="",0,O27)-OrderBuf)</f>
        <v/>
      </c>
      <c r="T27" s="126">
        <f>IF(S27="","",S27-DecideBuf)</f>
        <v/>
      </c>
      <c r="U27" s="74" t="n"/>
      <c r="V27" s="108" t="n"/>
      <c r="W27" s="108" t="n"/>
      <c r="X27" s="74" t="n"/>
      <c r="Y27" s="115">
        <f>IF(B27="","",IF(X27="Yes","Delivered",IF(U27="Yes",IF(AND(W27&lt;&gt;"",R27&lt;&gt;""),IF(W27&gt;R27,"⚠️ Delivery after install date","Ordered"),"Ordered"),IF(K27="",IF(T27="","Waiting for decision",IF(T27&lt;=AsOf+AlertDays,"Decide now","Waiting for decision")),IF(S27="","Selected",IF(AsOf&gt;S27,"⚠️ Order late — install at risk",IF(S27&lt;=AsOf+AlertDays,"Order now","Selected")))))))</f>
        <v/>
      </c>
      <c r="Z27" s="79">
        <f>IF(B27="","",IF(OR(AH27=1,AE27=1),2,IF(OR(AG27=1,AF27=1),1,IF(OR(Y27="Ordered",Y27="Delivered"),0,""))))</f>
        <v/>
      </c>
      <c r="AA27" s="111">
        <f>IF(B27="","",IF(AH27=1,IF(Y27="⚠️ Delivery after install date",R27,S27),IF(AD27=1,T27,IF(AI27=1,S27,""))))</f>
        <v/>
      </c>
      <c r="AB27" s="79">
        <f>IF(AA27="","",IF(AH27=1,1,IF(AA27="","",IF(AA27&lt;AsOf,1,IF(AA27&lt;=AsOf+AlertDays,2,IF(AA27&lt;=AsOf+2*AlertDays,3,""))))))</f>
        <v/>
      </c>
      <c r="AC27" s="79">
        <f>IF(AB27="","",IF(AH27=1,IF(Y27="⚠️ Delivery after install date","Delivery after install date: "&amp;B27,"Order late — install at risk: "&amp;B27),IF(AD27=1,IF(AB27=1,"Decision overdue: ","Decide: ")&amp;B27,"Order: "&amp;B27&amp;IF(N27="",""," from "&amp;N27))))</f>
        <v/>
      </c>
      <c r="AD27" s="79">
        <f>IF(AND(B27&lt;&gt;"",K27="",U27&lt;&gt;"Yes",X27&lt;&gt;"Yes"),1,0)</f>
        <v/>
      </c>
      <c r="AE27" s="79">
        <f>IF(AND(AD27=1,T27&lt;&gt;""),IF(T27&lt;AsOf,1,0),0)</f>
        <v/>
      </c>
      <c r="AF27" s="79">
        <f>IF(AND(AD27=1,T27&lt;&gt;""),IF(AND(T27&gt;=AsOf,T27&lt;=AsOf+AlertDays),1,0),0)</f>
        <v/>
      </c>
      <c r="AG27" s="79">
        <f>IF(Y27="Order now",1,0)</f>
        <v/>
      </c>
      <c r="AH27" s="79">
        <f>IF(OR(Y27="⚠️ Order late — install at risk",Y27="⚠️ Delivery after install date"),1,0)</f>
        <v/>
      </c>
      <c r="AI27" s="79">
        <f>IF(AND(B27&lt;&gt;"",K27&lt;&gt;"",U27&lt;&gt;"Yes",X27&lt;&gt;"Yes"),1,0)</f>
        <v/>
      </c>
      <c r="AJ27" s="79">
        <f>IF(Y27="⚠️ Order late — install at risk",1,0)</f>
        <v/>
      </c>
    </row>
    <row r="28" ht="20" customHeight="1">
      <c r="B28" s="72" t="n"/>
      <c r="C28" s="72" t="n"/>
      <c r="D28" s="72" t="n"/>
      <c r="E28" s="72" t="n"/>
      <c r="F28" s="73" t="n"/>
      <c r="G28" s="72" t="n"/>
      <c r="H28" s="73" t="n"/>
      <c r="I28" s="72" t="n"/>
      <c r="J28" s="73" t="n"/>
      <c r="K28" s="74" t="n"/>
      <c r="L28" s="75">
        <f>IF(K28="A",F28,IF(K28="B",H28,IF(K28="C",J28,"")))</f>
        <v/>
      </c>
      <c r="M28" s="72" t="n"/>
      <c r="N28" s="72" t="n"/>
      <c r="O28" s="89" t="n"/>
      <c r="P28" s="89" t="n"/>
      <c r="Q28" s="108" t="n"/>
      <c r="R28" s="120">
        <f>IF(B28="","",IF(Q28&lt;&gt;"",Q28,IF(P28="","",IFERROR(INDEX('Timeline'!$J$7:$J$156,MATCH(P28,'Timeline'!$B$7:$B$156,0)),""))))</f>
        <v/>
      </c>
      <c r="S28" s="126">
        <f>IF(R28="","",R28-IF(O28="",0,O28)-OrderBuf)</f>
        <v/>
      </c>
      <c r="T28" s="126">
        <f>IF(S28="","",S28-DecideBuf)</f>
        <v/>
      </c>
      <c r="U28" s="74" t="n"/>
      <c r="V28" s="108" t="n"/>
      <c r="W28" s="108" t="n"/>
      <c r="X28" s="74" t="n"/>
      <c r="Y28" s="115">
        <f>IF(B28="","",IF(X28="Yes","Delivered",IF(U28="Yes",IF(AND(W28&lt;&gt;"",R28&lt;&gt;""),IF(W28&gt;R28,"⚠️ Delivery after install date","Ordered"),"Ordered"),IF(K28="",IF(T28="","Waiting for decision",IF(T28&lt;=AsOf+AlertDays,"Decide now","Waiting for decision")),IF(S28="","Selected",IF(AsOf&gt;S28,"⚠️ Order late — install at risk",IF(S28&lt;=AsOf+AlertDays,"Order now","Selected")))))))</f>
        <v/>
      </c>
      <c r="Z28" s="79">
        <f>IF(B28="","",IF(OR(AH28=1,AE28=1),2,IF(OR(AG28=1,AF28=1),1,IF(OR(Y28="Ordered",Y28="Delivered"),0,""))))</f>
        <v/>
      </c>
      <c r="AA28" s="111">
        <f>IF(B28="","",IF(AH28=1,IF(Y28="⚠️ Delivery after install date",R28,S28),IF(AD28=1,T28,IF(AI28=1,S28,""))))</f>
        <v/>
      </c>
      <c r="AB28" s="79">
        <f>IF(AA28="","",IF(AH28=1,1,IF(AA28="","",IF(AA28&lt;AsOf,1,IF(AA28&lt;=AsOf+AlertDays,2,IF(AA28&lt;=AsOf+2*AlertDays,3,""))))))</f>
        <v/>
      </c>
      <c r="AC28" s="79">
        <f>IF(AB28="","",IF(AH28=1,IF(Y28="⚠️ Delivery after install date","Delivery after install date: "&amp;B28,"Order late — install at risk: "&amp;B28),IF(AD28=1,IF(AB28=1,"Decision overdue: ","Decide: ")&amp;B28,"Order: "&amp;B28&amp;IF(N28="",""," from "&amp;N28))))</f>
        <v/>
      </c>
      <c r="AD28" s="79">
        <f>IF(AND(B28&lt;&gt;"",K28="",U28&lt;&gt;"Yes",X28&lt;&gt;"Yes"),1,0)</f>
        <v/>
      </c>
      <c r="AE28" s="79">
        <f>IF(AND(AD28=1,T28&lt;&gt;""),IF(T28&lt;AsOf,1,0),0)</f>
        <v/>
      </c>
      <c r="AF28" s="79">
        <f>IF(AND(AD28=1,T28&lt;&gt;""),IF(AND(T28&gt;=AsOf,T28&lt;=AsOf+AlertDays),1,0),0)</f>
        <v/>
      </c>
      <c r="AG28" s="79">
        <f>IF(Y28="Order now",1,0)</f>
        <v/>
      </c>
      <c r="AH28" s="79">
        <f>IF(OR(Y28="⚠️ Order late — install at risk",Y28="⚠️ Delivery after install date"),1,0)</f>
        <v/>
      </c>
      <c r="AI28" s="79">
        <f>IF(AND(B28&lt;&gt;"",K28&lt;&gt;"",U28&lt;&gt;"Yes",X28&lt;&gt;"Yes"),1,0)</f>
        <v/>
      </c>
      <c r="AJ28" s="79">
        <f>IF(Y28="⚠️ Order late — install at risk",1,0)</f>
        <v/>
      </c>
    </row>
    <row r="29" ht="20" customHeight="1">
      <c r="B29" s="72" t="n"/>
      <c r="C29" s="72" t="n"/>
      <c r="D29" s="72" t="n"/>
      <c r="E29" s="72" t="n"/>
      <c r="F29" s="73" t="n"/>
      <c r="G29" s="72" t="n"/>
      <c r="H29" s="73" t="n"/>
      <c r="I29" s="72" t="n"/>
      <c r="J29" s="73" t="n"/>
      <c r="K29" s="74" t="n"/>
      <c r="L29" s="75">
        <f>IF(K29="A",F29,IF(K29="B",H29,IF(K29="C",J29,"")))</f>
        <v/>
      </c>
      <c r="M29" s="72" t="n"/>
      <c r="N29" s="72" t="n"/>
      <c r="O29" s="89" t="n"/>
      <c r="P29" s="89" t="n"/>
      <c r="Q29" s="108" t="n"/>
      <c r="R29" s="120">
        <f>IF(B29="","",IF(Q29&lt;&gt;"",Q29,IF(P29="","",IFERROR(INDEX('Timeline'!$J$7:$J$156,MATCH(P29,'Timeline'!$B$7:$B$156,0)),""))))</f>
        <v/>
      </c>
      <c r="S29" s="126">
        <f>IF(R29="","",R29-IF(O29="",0,O29)-OrderBuf)</f>
        <v/>
      </c>
      <c r="T29" s="126">
        <f>IF(S29="","",S29-DecideBuf)</f>
        <v/>
      </c>
      <c r="U29" s="74" t="n"/>
      <c r="V29" s="108" t="n"/>
      <c r="W29" s="108" t="n"/>
      <c r="X29" s="74" t="n"/>
      <c r="Y29" s="115">
        <f>IF(B29="","",IF(X29="Yes","Delivered",IF(U29="Yes",IF(AND(W29&lt;&gt;"",R29&lt;&gt;""),IF(W29&gt;R29,"⚠️ Delivery after install date","Ordered"),"Ordered"),IF(K29="",IF(T29="","Waiting for decision",IF(T29&lt;=AsOf+AlertDays,"Decide now","Waiting for decision")),IF(S29="","Selected",IF(AsOf&gt;S29,"⚠️ Order late — install at risk",IF(S29&lt;=AsOf+AlertDays,"Order now","Selected")))))))</f>
        <v/>
      </c>
      <c r="Z29" s="79">
        <f>IF(B29="","",IF(OR(AH29=1,AE29=1),2,IF(OR(AG29=1,AF29=1),1,IF(OR(Y29="Ordered",Y29="Delivered"),0,""))))</f>
        <v/>
      </c>
      <c r="AA29" s="111">
        <f>IF(B29="","",IF(AH29=1,IF(Y29="⚠️ Delivery after install date",R29,S29),IF(AD29=1,T29,IF(AI29=1,S29,""))))</f>
        <v/>
      </c>
      <c r="AB29" s="79">
        <f>IF(AA29="","",IF(AH29=1,1,IF(AA29="","",IF(AA29&lt;AsOf,1,IF(AA29&lt;=AsOf+AlertDays,2,IF(AA29&lt;=AsOf+2*AlertDays,3,""))))))</f>
        <v/>
      </c>
      <c r="AC29" s="79">
        <f>IF(AB29="","",IF(AH29=1,IF(Y29="⚠️ Delivery after install date","Delivery after install date: "&amp;B29,"Order late — install at risk: "&amp;B29),IF(AD29=1,IF(AB29=1,"Decision overdue: ","Decide: ")&amp;B29,"Order: "&amp;B29&amp;IF(N29="",""," from "&amp;N29))))</f>
        <v/>
      </c>
      <c r="AD29" s="79">
        <f>IF(AND(B29&lt;&gt;"",K29="",U29&lt;&gt;"Yes",X29&lt;&gt;"Yes"),1,0)</f>
        <v/>
      </c>
      <c r="AE29" s="79">
        <f>IF(AND(AD29=1,T29&lt;&gt;""),IF(T29&lt;AsOf,1,0),0)</f>
        <v/>
      </c>
      <c r="AF29" s="79">
        <f>IF(AND(AD29=1,T29&lt;&gt;""),IF(AND(T29&gt;=AsOf,T29&lt;=AsOf+AlertDays),1,0),0)</f>
        <v/>
      </c>
      <c r="AG29" s="79">
        <f>IF(Y29="Order now",1,0)</f>
        <v/>
      </c>
      <c r="AH29" s="79">
        <f>IF(OR(Y29="⚠️ Order late — install at risk",Y29="⚠️ Delivery after install date"),1,0)</f>
        <v/>
      </c>
      <c r="AI29" s="79">
        <f>IF(AND(B29&lt;&gt;"",K29&lt;&gt;"",U29&lt;&gt;"Yes",X29&lt;&gt;"Yes"),1,0)</f>
        <v/>
      </c>
      <c r="AJ29" s="79">
        <f>IF(Y29="⚠️ Order late — install at risk",1,0)</f>
        <v/>
      </c>
    </row>
    <row r="30" ht="20" customHeight="1">
      <c r="B30" s="72" t="n"/>
      <c r="C30" s="72" t="n"/>
      <c r="D30" s="72" t="n"/>
      <c r="E30" s="72" t="n"/>
      <c r="F30" s="73" t="n"/>
      <c r="G30" s="72" t="n"/>
      <c r="H30" s="73" t="n"/>
      <c r="I30" s="72" t="n"/>
      <c r="J30" s="73" t="n"/>
      <c r="K30" s="74" t="n"/>
      <c r="L30" s="75">
        <f>IF(K30="A",F30,IF(K30="B",H30,IF(K30="C",J30,"")))</f>
        <v/>
      </c>
      <c r="M30" s="72" t="n"/>
      <c r="N30" s="72" t="n"/>
      <c r="O30" s="89" t="n"/>
      <c r="P30" s="89" t="n"/>
      <c r="Q30" s="108" t="n"/>
      <c r="R30" s="120">
        <f>IF(B30="","",IF(Q30&lt;&gt;"",Q30,IF(P30="","",IFERROR(INDEX('Timeline'!$J$7:$J$156,MATCH(P30,'Timeline'!$B$7:$B$156,0)),""))))</f>
        <v/>
      </c>
      <c r="S30" s="126">
        <f>IF(R30="","",R30-IF(O30="",0,O30)-OrderBuf)</f>
        <v/>
      </c>
      <c r="T30" s="126">
        <f>IF(S30="","",S30-DecideBuf)</f>
        <v/>
      </c>
      <c r="U30" s="74" t="n"/>
      <c r="V30" s="108" t="n"/>
      <c r="W30" s="108" t="n"/>
      <c r="X30" s="74" t="n"/>
      <c r="Y30" s="115">
        <f>IF(B30="","",IF(X30="Yes","Delivered",IF(U30="Yes",IF(AND(W30&lt;&gt;"",R30&lt;&gt;""),IF(W30&gt;R30,"⚠️ Delivery after install date","Ordered"),"Ordered"),IF(K30="",IF(T30="","Waiting for decision",IF(T30&lt;=AsOf+AlertDays,"Decide now","Waiting for decision")),IF(S30="","Selected",IF(AsOf&gt;S30,"⚠️ Order late — install at risk",IF(S30&lt;=AsOf+AlertDays,"Order now","Selected")))))))</f>
        <v/>
      </c>
      <c r="Z30" s="79">
        <f>IF(B30="","",IF(OR(AH30=1,AE30=1),2,IF(OR(AG30=1,AF30=1),1,IF(OR(Y30="Ordered",Y30="Delivered"),0,""))))</f>
        <v/>
      </c>
      <c r="AA30" s="111">
        <f>IF(B30="","",IF(AH30=1,IF(Y30="⚠️ Delivery after install date",R30,S30),IF(AD30=1,T30,IF(AI30=1,S30,""))))</f>
        <v/>
      </c>
      <c r="AB30" s="79">
        <f>IF(AA30="","",IF(AH30=1,1,IF(AA30="","",IF(AA30&lt;AsOf,1,IF(AA30&lt;=AsOf+AlertDays,2,IF(AA30&lt;=AsOf+2*AlertDays,3,""))))))</f>
        <v/>
      </c>
      <c r="AC30" s="79">
        <f>IF(AB30="","",IF(AH30=1,IF(Y30="⚠️ Delivery after install date","Delivery after install date: "&amp;B30,"Order late — install at risk: "&amp;B30),IF(AD30=1,IF(AB30=1,"Decision overdue: ","Decide: ")&amp;B30,"Order: "&amp;B30&amp;IF(N30="",""," from "&amp;N30))))</f>
        <v/>
      </c>
      <c r="AD30" s="79">
        <f>IF(AND(B30&lt;&gt;"",K30="",U30&lt;&gt;"Yes",X30&lt;&gt;"Yes"),1,0)</f>
        <v/>
      </c>
      <c r="AE30" s="79">
        <f>IF(AND(AD30=1,T30&lt;&gt;""),IF(T30&lt;AsOf,1,0),0)</f>
        <v/>
      </c>
      <c r="AF30" s="79">
        <f>IF(AND(AD30=1,T30&lt;&gt;""),IF(AND(T30&gt;=AsOf,T30&lt;=AsOf+AlertDays),1,0),0)</f>
        <v/>
      </c>
      <c r="AG30" s="79">
        <f>IF(Y30="Order now",1,0)</f>
        <v/>
      </c>
      <c r="AH30" s="79">
        <f>IF(OR(Y30="⚠️ Order late — install at risk",Y30="⚠️ Delivery after install date"),1,0)</f>
        <v/>
      </c>
      <c r="AI30" s="79">
        <f>IF(AND(B30&lt;&gt;"",K30&lt;&gt;"",U30&lt;&gt;"Yes",X30&lt;&gt;"Yes"),1,0)</f>
        <v/>
      </c>
      <c r="AJ30" s="79">
        <f>IF(Y30="⚠️ Order late — install at risk",1,0)</f>
        <v/>
      </c>
    </row>
    <row r="31" ht="20" customHeight="1">
      <c r="B31" s="72" t="n"/>
      <c r="C31" s="72" t="n"/>
      <c r="D31" s="72" t="n"/>
      <c r="E31" s="72" t="n"/>
      <c r="F31" s="73" t="n"/>
      <c r="G31" s="72" t="n"/>
      <c r="H31" s="73" t="n"/>
      <c r="I31" s="72" t="n"/>
      <c r="J31" s="73" t="n"/>
      <c r="K31" s="74" t="n"/>
      <c r="L31" s="75">
        <f>IF(K31="A",F31,IF(K31="B",H31,IF(K31="C",J31,"")))</f>
        <v/>
      </c>
      <c r="M31" s="72" t="n"/>
      <c r="N31" s="72" t="n"/>
      <c r="O31" s="89" t="n"/>
      <c r="P31" s="89" t="n"/>
      <c r="Q31" s="108" t="n"/>
      <c r="R31" s="120">
        <f>IF(B31="","",IF(Q31&lt;&gt;"",Q31,IF(P31="","",IFERROR(INDEX('Timeline'!$J$7:$J$156,MATCH(P31,'Timeline'!$B$7:$B$156,0)),""))))</f>
        <v/>
      </c>
      <c r="S31" s="126">
        <f>IF(R31="","",R31-IF(O31="",0,O31)-OrderBuf)</f>
        <v/>
      </c>
      <c r="T31" s="126">
        <f>IF(S31="","",S31-DecideBuf)</f>
        <v/>
      </c>
      <c r="U31" s="74" t="n"/>
      <c r="V31" s="108" t="n"/>
      <c r="W31" s="108" t="n"/>
      <c r="X31" s="74" t="n"/>
      <c r="Y31" s="115">
        <f>IF(B31="","",IF(X31="Yes","Delivered",IF(U31="Yes",IF(AND(W31&lt;&gt;"",R31&lt;&gt;""),IF(W31&gt;R31,"⚠️ Delivery after install date","Ordered"),"Ordered"),IF(K31="",IF(T31="","Waiting for decision",IF(T31&lt;=AsOf+AlertDays,"Decide now","Waiting for decision")),IF(S31="","Selected",IF(AsOf&gt;S31,"⚠️ Order late — install at risk",IF(S31&lt;=AsOf+AlertDays,"Order now","Selected")))))))</f>
        <v/>
      </c>
      <c r="Z31" s="79">
        <f>IF(B31="","",IF(OR(AH31=1,AE31=1),2,IF(OR(AG31=1,AF31=1),1,IF(OR(Y31="Ordered",Y31="Delivered"),0,""))))</f>
        <v/>
      </c>
      <c r="AA31" s="111">
        <f>IF(B31="","",IF(AH31=1,IF(Y31="⚠️ Delivery after install date",R31,S31),IF(AD31=1,T31,IF(AI31=1,S31,""))))</f>
        <v/>
      </c>
      <c r="AB31" s="79">
        <f>IF(AA31="","",IF(AH31=1,1,IF(AA31="","",IF(AA31&lt;AsOf,1,IF(AA31&lt;=AsOf+AlertDays,2,IF(AA31&lt;=AsOf+2*AlertDays,3,""))))))</f>
        <v/>
      </c>
      <c r="AC31" s="79">
        <f>IF(AB31="","",IF(AH31=1,IF(Y31="⚠️ Delivery after install date","Delivery after install date: "&amp;B31,"Order late — install at risk: "&amp;B31),IF(AD31=1,IF(AB31=1,"Decision overdue: ","Decide: ")&amp;B31,"Order: "&amp;B31&amp;IF(N31="",""," from "&amp;N31))))</f>
        <v/>
      </c>
      <c r="AD31" s="79">
        <f>IF(AND(B31&lt;&gt;"",K31="",U31&lt;&gt;"Yes",X31&lt;&gt;"Yes"),1,0)</f>
        <v/>
      </c>
      <c r="AE31" s="79">
        <f>IF(AND(AD31=1,T31&lt;&gt;""),IF(T31&lt;AsOf,1,0),0)</f>
        <v/>
      </c>
      <c r="AF31" s="79">
        <f>IF(AND(AD31=1,T31&lt;&gt;""),IF(AND(T31&gt;=AsOf,T31&lt;=AsOf+AlertDays),1,0),0)</f>
        <v/>
      </c>
      <c r="AG31" s="79">
        <f>IF(Y31="Order now",1,0)</f>
        <v/>
      </c>
      <c r="AH31" s="79">
        <f>IF(OR(Y31="⚠️ Order late — install at risk",Y31="⚠️ Delivery after install date"),1,0)</f>
        <v/>
      </c>
      <c r="AI31" s="79">
        <f>IF(AND(B31&lt;&gt;"",K31&lt;&gt;"",U31&lt;&gt;"Yes",X31&lt;&gt;"Yes"),1,0)</f>
        <v/>
      </c>
      <c r="AJ31" s="79">
        <f>IF(Y31="⚠️ Order late — install at risk",1,0)</f>
        <v/>
      </c>
    </row>
    <row r="32" ht="20" customHeight="1">
      <c r="B32" s="72" t="n"/>
      <c r="C32" s="72" t="n"/>
      <c r="D32" s="72" t="n"/>
      <c r="E32" s="72" t="n"/>
      <c r="F32" s="73" t="n"/>
      <c r="G32" s="72" t="n"/>
      <c r="H32" s="73" t="n"/>
      <c r="I32" s="72" t="n"/>
      <c r="J32" s="73" t="n"/>
      <c r="K32" s="74" t="n"/>
      <c r="L32" s="75">
        <f>IF(K32="A",F32,IF(K32="B",H32,IF(K32="C",J32,"")))</f>
        <v/>
      </c>
      <c r="M32" s="72" t="n"/>
      <c r="N32" s="72" t="n"/>
      <c r="O32" s="89" t="n"/>
      <c r="P32" s="89" t="n"/>
      <c r="Q32" s="108" t="n"/>
      <c r="R32" s="120">
        <f>IF(B32="","",IF(Q32&lt;&gt;"",Q32,IF(P32="","",IFERROR(INDEX('Timeline'!$J$7:$J$156,MATCH(P32,'Timeline'!$B$7:$B$156,0)),""))))</f>
        <v/>
      </c>
      <c r="S32" s="126">
        <f>IF(R32="","",R32-IF(O32="",0,O32)-OrderBuf)</f>
        <v/>
      </c>
      <c r="T32" s="126">
        <f>IF(S32="","",S32-DecideBuf)</f>
        <v/>
      </c>
      <c r="U32" s="74" t="n"/>
      <c r="V32" s="108" t="n"/>
      <c r="W32" s="108" t="n"/>
      <c r="X32" s="74" t="n"/>
      <c r="Y32" s="115">
        <f>IF(B32="","",IF(X32="Yes","Delivered",IF(U32="Yes",IF(AND(W32&lt;&gt;"",R32&lt;&gt;""),IF(W32&gt;R32,"⚠️ Delivery after install date","Ordered"),"Ordered"),IF(K32="",IF(T32="","Waiting for decision",IF(T32&lt;=AsOf+AlertDays,"Decide now","Waiting for decision")),IF(S32="","Selected",IF(AsOf&gt;S32,"⚠️ Order late — install at risk",IF(S32&lt;=AsOf+AlertDays,"Order now","Selected")))))))</f>
        <v/>
      </c>
      <c r="Z32" s="79">
        <f>IF(B32="","",IF(OR(AH32=1,AE32=1),2,IF(OR(AG32=1,AF32=1),1,IF(OR(Y32="Ordered",Y32="Delivered"),0,""))))</f>
        <v/>
      </c>
      <c r="AA32" s="111">
        <f>IF(B32="","",IF(AH32=1,IF(Y32="⚠️ Delivery after install date",R32,S32),IF(AD32=1,T32,IF(AI32=1,S32,""))))</f>
        <v/>
      </c>
      <c r="AB32" s="79">
        <f>IF(AA32="","",IF(AH32=1,1,IF(AA32="","",IF(AA32&lt;AsOf,1,IF(AA32&lt;=AsOf+AlertDays,2,IF(AA32&lt;=AsOf+2*AlertDays,3,""))))))</f>
        <v/>
      </c>
      <c r="AC32" s="79">
        <f>IF(AB32="","",IF(AH32=1,IF(Y32="⚠️ Delivery after install date","Delivery after install date: "&amp;B32,"Order late — install at risk: "&amp;B32),IF(AD32=1,IF(AB32=1,"Decision overdue: ","Decide: ")&amp;B32,"Order: "&amp;B32&amp;IF(N32="",""," from "&amp;N32))))</f>
        <v/>
      </c>
      <c r="AD32" s="79">
        <f>IF(AND(B32&lt;&gt;"",K32="",U32&lt;&gt;"Yes",X32&lt;&gt;"Yes"),1,0)</f>
        <v/>
      </c>
      <c r="AE32" s="79">
        <f>IF(AND(AD32=1,T32&lt;&gt;""),IF(T32&lt;AsOf,1,0),0)</f>
        <v/>
      </c>
      <c r="AF32" s="79">
        <f>IF(AND(AD32=1,T32&lt;&gt;""),IF(AND(T32&gt;=AsOf,T32&lt;=AsOf+AlertDays),1,0),0)</f>
        <v/>
      </c>
      <c r="AG32" s="79">
        <f>IF(Y32="Order now",1,0)</f>
        <v/>
      </c>
      <c r="AH32" s="79">
        <f>IF(OR(Y32="⚠️ Order late — install at risk",Y32="⚠️ Delivery after install date"),1,0)</f>
        <v/>
      </c>
      <c r="AI32" s="79">
        <f>IF(AND(B32&lt;&gt;"",K32&lt;&gt;"",U32&lt;&gt;"Yes",X32&lt;&gt;"Yes"),1,0)</f>
        <v/>
      </c>
      <c r="AJ32" s="79">
        <f>IF(Y32="⚠️ Order late — install at risk",1,0)</f>
        <v/>
      </c>
    </row>
    <row r="33" ht="20" customHeight="1">
      <c r="B33" s="72" t="n"/>
      <c r="C33" s="72" t="n"/>
      <c r="D33" s="72" t="n"/>
      <c r="E33" s="72" t="n"/>
      <c r="F33" s="73" t="n"/>
      <c r="G33" s="72" t="n"/>
      <c r="H33" s="73" t="n"/>
      <c r="I33" s="72" t="n"/>
      <c r="J33" s="73" t="n"/>
      <c r="K33" s="74" t="n"/>
      <c r="L33" s="75">
        <f>IF(K33="A",F33,IF(K33="B",H33,IF(K33="C",J33,"")))</f>
        <v/>
      </c>
      <c r="M33" s="72" t="n"/>
      <c r="N33" s="72" t="n"/>
      <c r="O33" s="89" t="n"/>
      <c r="P33" s="89" t="n"/>
      <c r="Q33" s="108" t="n"/>
      <c r="R33" s="120">
        <f>IF(B33="","",IF(Q33&lt;&gt;"",Q33,IF(P33="","",IFERROR(INDEX('Timeline'!$J$7:$J$156,MATCH(P33,'Timeline'!$B$7:$B$156,0)),""))))</f>
        <v/>
      </c>
      <c r="S33" s="126">
        <f>IF(R33="","",R33-IF(O33="",0,O33)-OrderBuf)</f>
        <v/>
      </c>
      <c r="T33" s="126">
        <f>IF(S33="","",S33-DecideBuf)</f>
        <v/>
      </c>
      <c r="U33" s="74" t="n"/>
      <c r="V33" s="108" t="n"/>
      <c r="W33" s="108" t="n"/>
      <c r="X33" s="74" t="n"/>
      <c r="Y33" s="115">
        <f>IF(B33="","",IF(X33="Yes","Delivered",IF(U33="Yes",IF(AND(W33&lt;&gt;"",R33&lt;&gt;""),IF(W33&gt;R33,"⚠️ Delivery after install date","Ordered"),"Ordered"),IF(K33="",IF(T33="","Waiting for decision",IF(T33&lt;=AsOf+AlertDays,"Decide now","Waiting for decision")),IF(S33="","Selected",IF(AsOf&gt;S33,"⚠️ Order late — install at risk",IF(S33&lt;=AsOf+AlertDays,"Order now","Selected")))))))</f>
        <v/>
      </c>
      <c r="Z33" s="79">
        <f>IF(B33="","",IF(OR(AH33=1,AE33=1),2,IF(OR(AG33=1,AF33=1),1,IF(OR(Y33="Ordered",Y33="Delivered"),0,""))))</f>
        <v/>
      </c>
      <c r="AA33" s="111">
        <f>IF(B33="","",IF(AH33=1,IF(Y33="⚠️ Delivery after install date",R33,S33),IF(AD33=1,T33,IF(AI33=1,S33,""))))</f>
        <v/>
      </c>
      <c r="AB33" s="79">
        <f>IF(AA33="","",IF(AH33=1,1,IF(AA33="","",IF(AA33&lt;AsOf,1,IF(AA33&lt;=AsOf+AlertDays,2,IF(AA33&lt;=AsOf+2*AlertDays,3,""))))))</f>
        <v/>
      </c>
      <c r="AC33" s="79">
        <f>IF(AB33="","",IF(AH33=1,IF(Y33="⚠️ Delivery after install date","Delivery after install date: "&amp;B33,"Order late — install at risk: "&amp;B33),IF(AD33=1,IF(AB33=1,"Decision overdue: ","Decide: ")&amp;B33,"Order: "&amp;B33&amp;IF(N33="",""," from "&amp;N33))))</f>
        <v/>
      </c>
      <c r="AD33" s="79">
        <f>IF(AND(B33&lt;&gt;"",K33="",U33&lt;&gt;"Yes",X33&lt;&gt;"Yes"),1,0)</f>
        <v/>
      </c>
      <c r="AE33" s="79">
        <f>IF(AND(AD33=1,T33&lt;&gt;""),IF(T33&lt;AsOf,1,0),0)</f>
        <v/>
      </c>
      <c r="AF33" s="79">
        <f>IF(AND(AD33=1,T33&lt;&gt;""),IF(AND(T33&gt;=AsOf,T33&lt;=AsOf+AlertDays),1,0),0)</f>
        <v/>
      </c>
      <c r="AG33" s="79">
        <f>IF(Y33="Order now",1,0)</f>
        <v/>
      </c>
      <c r="AH33" s="79">
        <f>IF(OR(Y33="⚠️ Order late — install at risk",Y33="⚠️ Delivery after install date"),1,0)</f>
        <v/>
      </c>
      <c r="AI33" s="79">
        <f>IF(AND(B33&lt;&gt;"",K33&lt;&gt;"",U33&lt;&gt;"Yes",X33&lt;&gt;"Yes"),1,0)</f>
        <v/>
      </c>
      <c r="AJ33" s="79">
        <f>IF(Y33="⚠️ Order late — install at risk",1,0)</f>
        <v/>
      </c>
    </row>
    <row r="34" ht="20" customHeight="1">
      <c r="B34" s="72" t="n"/>
      <c r="C34" s="72" t="n"/>
      <c r="D34" s="72" t="n"/>
      <c r="E34" s="72" t="n"/>
      <c r="F34" s="73" t="n"/>
      <c r="G34" s="72" t="n"/>
      <c r="H34" s="73" t="n"/>
      <c r="I34" s="72" t="n"/>
      <c r="J34" s="73" t="n"/>
      <c r="K34" s="74" t="n"/>
      <c r="L34" s="75">
        <f>IF(K34="A",F34,IF(K34="B",H34,IF(K34="C",J34,"")))</f>
        <v/>
      </c>
      <c r="M34" s="72" t="n"/>
      <c r="N34" s="72" t="n"/>
      <c r="O34" s="89" t="n"/>
      <c r="P34" s="89" t="n"/>
      <c r="Q34" s="108" t="n"/>
      <c r="R34" s="120">
        <f>IF(B34="","",IF(Q34&lt;&gt;"",Q34,IF(P34="","",IFERROR(INDEX('Timeline'!$J$7:$J$156,MATCH(P34,'Timeline'!$B$7:$B$156,0)),""))))</f>
        <v/>
      </c>
      <c r="S34" s="126">
        <f>IF(R34="","",R34-IF(O34="",0,O34)-OrderBuf)</f>
        <v/>
      </c>
      <c r="T34" s="126">
        <f>IF(S34="","",S34-DecideBuf)</f>
        <v/>
      </c>
      <c r="U34" s="74" t="n"/>
      <c r="V34" s="108" t="n"/>
      <c r="W34" s="108" t="n"/>
      <c r="X34" s="74" t="n"/>
      <c r="Y34" s="115">
        <f>IF(B34="","",IF(X34="Yes","Delivered",IF(U34="Yes",IF(AND(W34&lt;&gt;"",R34&lt;&gt;""),IF(W34&gt;R34,"⚠️ Delivery after install date","Ordered"),"Ordered"),IF(K34="",IF(T34="","Waiting for decision",IF(T34&lt;=AsOf+AlertDays,"Decide now","Waiting for decision")),IF(S34="","Selected",IF(AsOf&gt;S34,"⚠️ Order late — install at risk",IF(S34&lt;=AsOf+AlertDays,"Order now","Selected")))))))</f>
        <v/>
      </c>
      <c r="Z34" s="79">
        <f>IF(B34="","",IF(OR(AH34=1,AE34=1),2,IF(OR(AG34=1,AF34=1),1,IF(OR(Y34="Ordered",Y34="Delivered"),0,""))))</f>
        <v/>
      </c>
      <c r="AA34" s="111">
        <f>IF(B34="","",IF(AH34=1,IF(Y34="⚠️ Delivery after install date",R34,S34),IF(AD34=1,T34,IF(AI34=1,S34,""))))</f>
        <v/>
      </c>
      <c r="AB34" s="79">
        <f>IF(AA34="","",IF(AH34=1,1,IF(AA34="","",IF(AA34&lt;AsOf,1,IF(AA34&lt;=AsOf+AlertDays,2,IF(AA34&lt;=AsOf+2*AlertDays,3,""))))))</f>
        <v/>
      </c>
      <c r="AC34" s="79">
        <f>IF(AB34="","",IF(AH34=1,IF(Y34="⚠️ Delivery after install date","Delivery after install date: "&amp;B34,"Order late — install at risk: "&amp;B34),IF(AD34=1,IF(AB34=1,"Decision overdue: ","Decide: ")&amp;B34,"Order: "&amp;B34&amp;IF(N34="",""," from "&amp;N34))))</f>
        <v/>
      </c>
      <c r="AD34" s="79">
        <f>IF(AND(B34&lt;&gt;"",K34="",U34&lt;&gt;"Yes",X34&lt;&gt;"Yes"),1,0)</f>
        <v/>
      </c>
      <c r="AE34" s="79">
        <f>IF(AND(AD34=1,T34&lt;&gt;""),IF(T34&lt;AsOf,1,0),0)</f>
        <v/>
      </c>
      <c r="AF34" s="79">
        <f>IF(AND(AD34=1,T34&lt;&gt;""),IF(AND(T34&gt;=AsOf,T34&lt;=AsOf+AlertDays),1,0),0)</f>
        <v/>
      </c>
      <c r="AG34" s="79">
        <f>IF(Y34="Order now",1,0)</f>
        <v/>
      </c>
      <c r="AH34" s="79">
        <f>IF(OR(Y34="⚠️ Order late — install at risk",Y34="⚠️ Delivery after install date"),1,0)</f>
        <v/>
      </c>
      <c r="AI34" s="79">
        <f>IF(AND(B34&lt;&gt;"",K34&lt;&gt;"",U34&lt;&gt;"Yes",X34&lt;&gt;"Yes"),1,0)</f>
        <v/>
      </c>
      <c r="AJ34" s="79">
        <f>IF(Y34="⚠️ Order late — install at risk",1,0)</f>
        <v/>
      </c>
    </row>
    <row r="35" ht="20" customHeight="1">
      <c r="B35" s="72" t="n"/>
      <c r="C35" s="72" t="n"/>
      <c r="D35" s="72" t="n"/>
      <c r="E35" s="72" t="n"/>
      <c r="F35" s="73" t="n"/>
      <c r="G35" s="72" t="n"/>
      <c r="H35" s="73" t="n"/>
      <c r="I35" s="72" t="n"/>
      <c r="J35" s="73" t="n"/>
      <c r="K35" s="74" t="n"/>
      <c r="L35" s="75">
        <f>IF(K35="A",F35,IF(K35="B",H35,IF(K35="C",J35,"")))</f>
        <v/>
      </c>
      <c r="M35" s="72" t="n"/>
      <c r="N35" s="72" t="n"/>
      <c r="O35" s="89" t="n"/>
      <c r="P35" s="89" t="n"/>
      <c r="Q35" s="108" t="n"/>
      <c r="R35" s="120">
        <f>IF(B35="","",IF(Q35&lt;&gt;"",Q35,IF(P35="","",IFERROR(INDEX('Timeline'!$J$7:$J$156,MATCH(P35,'Timeline'!$B$7:$B$156,0)),""))))</f>
        <v/>
      </c>
      <c r="S35" s="126">
        <f>IF(R35="","",R35-IF(O35="",0,O35)-OrderBuf)</f>
        <v/>
      </c>
      <c r="T35" s="126">
        <f>IF(S35="","",S35-DecideBuf)</f>
        <v/>
      </c>
      <c r="U35" s="74" t="n"/>
      <c r="V35" s="108" t="n"/>
      <c r="W35" s="108" t="n"/>
      <c r="X35" s="74" t="n"/>
      <c r="Y35" s="115">
        <f>IF(B35="","",IF(X35="Yes","Delivered",IF(U35="Yes",IF(AND(W35&lt;&gt;"",R35&lt;&gt;""),IF(W35&gt;R35,"⚠️ Delivery after install date","Ordered"),"Ordered"),IF(K35="",IF(T35="","Waiting for decision",IF(T35&lt;=AsOf+AlertDays,"Decide now","Waiting for decision")),IF(S35="","Selected",IF(AsOf&gt;S35,"⚠️ Order late — install at risk",IF(S35&lt;=AsOf+AlertDays,"Order now","Selected")))))))</f>
        <v/>
      </c>
      <c r="Z35" s="79">
        <f>IF(B35="","",IF(OR(AH35=1,AE35=1),2,IF(OR(AG35=1,AF35=1),1,IF(OR(Y35="Ordered",Y35="Delivered"),0,""))))</f>
        <v/>
      </c>
      <c r="AA35" s="111">
        <f>IF(B35="","",IF(AH35=1,IF(Y35="⚠️ Delivery after install date",R35,S35),IF(AD35=1,T35,IF(AI35=1,S35,""))))</f>
        <v/>
      </c>
      <c r="AB35" s="79">
        <f>IF(AA35="","",IF(AH35=1,1,IF(AA35="","",IF(AA35&lt;AsOf,1,IF(AA35&lt;=AsOf+AlertDays,2,IF(AA35&lt;=AsOf+2*AlertDays,3,""))))))</f>
        <v/>
      </c>
      <c r="AC35" s="79">
        <f>IF(AB35="","",IF(AH35=1,IF(Y35="⚠️ Delivery after install date","Delivery after install date: "&amp;B35,"Order late — install at risk: "&amp;B35),IF(AD35=1,IF(AB35=1,"Decision overdue: ","Decide: ")&amp;B35,"Order: "&amp;B35&amp;IF(N35="",""," from "&amp;N35))))</f>
        <v/>
      </c>
      <c r="AD35" s="79">
        <f>IF(AND(B35&lt;&gt;"",K35="",U35&lt;&gt;"Yes",X35&lt;&gt;"Yes"),1,0)</f>
        <v/>
      </c>
      <c r="AE35" s="79">
        <f>IF(AND(AD35=1,T35&lt;&gt;""),IF(T35&lt;AsOf,1,0),0)</f>
        <v/>
      </c>
      <c r="AF35" s="79">
        <f>IF(AND(AD35=1,T35&lt;&gt;""),IF(AND(T35&gt;=AsOf,T35&lt;=AsOf+AlertDays),1,0),0)</f>
        <v/>
      </c>
      <c r="AG35" s="79">
        <f>IF(Y35="Order now",1,0)</f>
        <v/>
      </c>
      <c r="AH35" s="79">
        <f>IF(OR(Y35="⚠️ Order late — install at risk",Y35="⚠️ Delivery after install date"),1,0)</f>
        <v/>
      </c>
      <c r="AI35" s="79">
        <f>IF(AND(B35&lt;&gt;"",K35&lt;&gt;"",U35&lt;&gt;"Yes",X35&lt;&gt;"Yes"),1,0)</f>
        <v/>
      </c>
      <c r="AJ35" s="79">
        <f>IF(Y35="⚠️ Order late — install at risk",1,0)</f>
        <v/>
      </c>
    </row>
    <row r="36" ht="20" customHeight="1">
      <c r="B36" s="72" t="n"/>
      <c r="C36" s="72" t="n"/>
      <c r="D36" s="72" t="n"/>
      <c r="E36" s="72" t="n"/>
      <c r="F36" s="73" t="n"/>
      <c r="G36" s="72" t="n"/>
      <c r="H36" s="73" t="n"/>
      <c r="I36" s="72" t="n"/>
      <c r="J36" s="73" t="n"/>
      <c r="K36" s="74" t="n"/>
      <c r="L36" s="75">
        <f>IF(K36="A",F36,IF(K36="B",H36,IF(K36="C",J36,"")))</f>
        <v/>
      </c>
      <c r="M36" s="72" t="n"/>
      <c r="N36" s="72" t="n"/>
      <c r="O36" s="89" t="n"/>
      <c r="P36" s="89" t="n"/>
      <c r="Q36" s="108" t="n"/>
      <c r="R36" s="120">
        <f>IF(B36="","",IF(Q36&lt;&gt;"",Q36,IF(P36="","",IFERROR(INDEX('Timeline'!$J$7:$J$156,MATCH(P36,'Timeline'!$B$7:$B$156,0)),""))))</f>
        <v/>
      </c>
      <c r="S36" s="126">
        <f>IF(R36="","",R36-IF(O36="",0,O36)-OrderBuf)</f>
        <v/>
      </c>
      <c r="T36" s="126">
        <f>IF(S36="","",S36-DecideBuf)</f>
        <v/>
      </c>
      <c r="U36" s="74" t="n"/>
      <c r="V36" s="108" t="n"/>
      <c r="W36" s="108" t="n"/>
      <c r="X36" s="74" t="n"/>
      <c r="Y36" s="115">
        <f>IF(B36="","",IF(X36="Yes","Delivered",IF(U36="Yes",IF(AND(W36&lt;&gt;"",R36&lt;&gt;""),IF(W36&gt;R36,"⚠️ Delivery after install date","Ordered"),"Ordered"),IF(K36="",IF(T36="","Waiting for decision",IF(T36&lt;=AsOf+AlertDays,"Decide now","Waiting for decision")),IF(S36="","Selected",IF(AsOf&gt;S36,"⚠️ Order late — install at risk",IF(S36&lt;=AsOf+AlertDays,"Order now","Selected")))))))</f>
        <v/>
      </c>
      <c r="Z36" s="79">
        <f>IF(B36="","",IF(OR(AH36=1,AE36=1),2,IF(OR(AG36=1,AF36=1),1,IF(OR(Y36="Ordered",Y36="Delivered"),0,""))))</f>
        <v/>
      </c>
      <c r="AA36" s="111">
        <f>IF(B36="","",IF(AH36=1,IF(Y36="⚠️ Delivery after install date",R36,S36),IF(AD36=1,T36,IF(AI36=1,S36,""))))</f>
        <v/>
      </c>
      <c r="AB36" s="79">
        <f>IF(AA36="","",IF(AH36=1,1,IF(AA36="","",IF(AA36&lt;AsOf,1,IF(AA36&lt;=AsOf+AlertDays,2,IF(AA36&lt;=AsOf+2*AlertDays,3,""))))))</f>
        <v/>
      </c>
      <c r="AC36" s="79">
        <f>IF(AB36="","",IF(AH36=1,IF(Y36="⚠️ Delivery after install date","Delivery after install date: "&amp;B36,"Order late — install at risk: "&amp;B36),IF(AD36=1,IF(AB36=1,"Decision overdue: ","Decide: ")&amp;B36,"Order: "&amp;B36&amp;IF(N36="",""," from "&amp;N36))))</f>
        <v/>
      </c>
      <c r="AD36" s="79">
        <f>IF(AND(B36&lt;&gt;"",K36="",U36&lt;&gt;"Yes",X36&lt;&gt;"Yes"),1,0)</f>
        <v/>
      </c>
      <c r="AE36" s="79">
        <f>IF(AND(AD36=1,T36&lt;&gt;""),IF(T36&lt;AsOf,1,0),0)</f>
        <v/>
      </c>
      <c r="AF36" s="79">
        <f>IF(AND(AD36=1,T36&lt;&gt;""),IF(AND(T36&gt;=AsOf,T36&lt;=AsOf+AlertDays),1,0),0)</f>
        <v/>
      </c>
      <c r="AG36" s="79">
        <f>IF(Y36="Order now",1,0)</f>
        <v/>
      </c>
      <c r="AH36" s="79">
        <f>IF(OR(Y36="⚠️ Order late — install at risk",Y36="⚠️ Delivery after install date"),1,0)</f>
        <v/>
      </c>
      <c r="AI36" s="79">
        <f>IF(AND(B36&lt;&gt;"",K36&lt;&gt;"",U36&lt;&gt;"Yes",X36&lt;&gt;"Yes"),1,0)</f>
        <v/>
      </c>
      <c r="AJ36" s="79">
        <f>IF(Y36="⚠️ Order late — install at risk",1,0)</f>
        <v/>
      </c>
    </row>
    <row r="37" ht="20" customHeight="1">
      <c r="B37" s="72" t="n"/>
      <c r="C37" s="72" t="n"/>
      <c r="D37" s="72" t="n"/>
      <c r="E37" s="72" t="n"/>
      <c r="F37" s="73" t="n"/>
      <c r="G37" s="72" t="n"/>
      <c r="H37" s="73" t="n"/>
      <c r="I37" s="72" t="n"/>
      <c r="J37" s="73" t="n"/>
      <c r="K37" s="74" t="n"/>
      <c r="L37" s="75">
        <f>IF(K37="A",F37,IF(K37="B",H37,IF(K37="C",J37,"")))</f>
        <v/>
      </c>
      <c r="M37" s="72" t="n"/>
      <c r="N37" s="72" t="n"/>
      <c r="O37" s="89" t="n"/>
      <c r="P37" s="89" t="n"/>
      <c r="Q37" s="108" t="n"/>
      <c r="R37" s="120">
        <f>IF(B37="","",IF(Q37&lt;&gt;"",Q37,IF(P37="","",IFERROR(INDEX('Timeline'!$J$7:$J$156,MATCH(P37,'Timeline'!$B$7:$B$156,0)),""))))</f>
        <v/>
      </c>
      <c r="S37" s="126">
        <f>IF(R37="","",R37-IF(O37="",0,O37)-OrderBuf)</f>
        <v/>
      </c>
      <c r="T37" s="126">
        <f>IF(S37="","",S37-DecideBuf)</f>
        <v/>
      </c>
      <c r="U37" s="74" t="n"/>
      <c r="V37" s="108" t="n"/>
      <c r="W37" s="108" t="n"/>
      <c r="X37" s="74" t="n"/>
      <c r="Y37" s="115">
        <f>IF(B37="","",IF(X37="Yes","Delivered",IF(U37="Yes",IF(AND(W37&lt;&gt;"",R37&lt;&gt;""),IF(W37&gt;R37,"⚠️ Delivery after install date","Ordered"),"Ordered"),IF(K37="",IF(T37="","Waiting for decision",IF(T37&lt;=AsOf+AlertDays,"Decide now","Waiting for decision")),IF(S37="","Selected",IF(AsOf&gt;S37,"⚠️ Order late — install at risk",IF(S37&lt;=AsOf+AlertDays,"Order now","Selected")))))))</f>
        <v/>
      </c>
      <c r="Z37" s="79">
        <f>IF(B37="","",IF(OR(AH37=1,AE37=1),2,IF(OR(AG37=1,AF37=1),1,IF(OR(Y37="Ordered",Y37="Delivered"),0,""))))</f>
        <v/>
      </c>
      <c r="AA37" s="111">
        <f>IF(B37="","",IF(AH37=1,IF(Y37="⚠️ Delivery after install date",R37,S37),IF(AD37=1,T37,IF(AI37=1,S37,""))))</f>
        <v/>
      </c>
      <c r="AB37" s="79">
        <f>IF(AA37="","",IF(AH37=1,1,IF(AA37="","",IF(AA37&lt;AsOf,1,IF(AA37&lt;=AsOf+AlertDays,2,IF(AA37&lt;=AsOf+2*AlertDays,3,""))))))</f>
        <v/>
      </c>
      <c r="AC37" s="79">
        <f>IF(AB37="","",IF(AH37=1,IF(Y37="⚠️ Delivery after install date","Delivery after install date: "&amp;B37,"Order late — install at risk: "&amp;B37),IF(AD37=1,IF(AB37=1,"Decision overdue: ","Decide: ")&amp;B37,"Order: "&amp;B37&amp;IF(N37="",""," from "&amp;N37))))</f>
        <v/>
      </c>
      <c r="AD37" s="79">
        <f>IF(AND(B37&lt;&gt;"",K37="",U37&lt;&gt;"Yes",X37&lt;&gt;"Yes"),1,0)</f>
        <v/>
      </c>
      <c r="AE37" s="79">
        <f>IF(AND(AD37=1,T37&lt;&gt;""),IF(T37&lt;AsOf,1,0),0)</f>
        <v/>
      </c>
      <c r="AF37" s="79">
        <f>IF(AND(AD37=1,T37&lt;&gt;""),IF(AND(T37&gt;=AsOf,T37&lt;=AsOf+AlertDays),1,0),0)</f>
        <v/>
      </c>
      <c r="AG37" s="79">
        <f>IF(Y37="Order now",1,0)</f>
        <v/>
      </c>
      <c r="AH37" s="79">
        <f>IF(OR(Y37="⚠️ Order late — install at risk",Y37="⚠️ Delivery after install date"),1,0)</f>
        <v/>
      </c>
      <c r="AI37" s="79">
        <f>IF(AND(B37&lt;&gt;"",K37&lt;&gt;"",U37&lt;&gt;"Yes",X37&lt;&gt;"Yes"),1,0)</f>
        <v/>
      </c>
      <c r="AJ37" s="79">
        <f>IF(Y37="⚠️ Order late — install at risk",1,0)</f>
        <v/>
      </c>
    </row>
    <row r="38" ht="20" customHeight="1">
      <c r="B38" s="72" t="n"/>
      <c r="C38" s="72" t="n"/>
      <c r="D38" s="72" t="n"/>
      <c r="E38" s="72" t="n"/>
      <c r="F38" s="73" t="n"/>
      <c r="G38" s="72" t="n"/>
      <c r="H38" s="73" t="n"/>
      <c r="I38" s="72" t="n"/>
      <c r="J38" s="73" t="n"/>
      <c r="K38" s="74" t="n"/>
      <c r="L38" s="75">
        <f>IF(K38="A",F38,IF(K38="B",H38,IF(K38="C",J38,"")))</f>
        <v/>
      </c>
      <c r="M38" s="72" t="n"/>
      <c r="N38" s="72" t="n"/>
      <c r="O38" s="89" t="n"/>
      <c r="P38" s="89" t="n"/>
      <c r="Q38" s="108" t="n"/>
      <c r="R38" s="120">
        <f>IF(B38="","",IF(Q38&lt;&gt;"",Q38,IF(P38="","",IFERROR(INDEX('Timeline'!$J$7:$J$156,MATCH(P38,'Timeline'!$B$7:$B$156,0)),""))))</f>
        <v/>
      </c>
      <c r="S38" s="126">
        <f>IF(R38="","",R38-IF(O38="",0,O38)-OrderBuf)</f>
        <v/>
      </c>
      <c r="T38" s="126">
        <f>IF(S38="","",S38-DecideBuf)</f>
        <v/>
      </c>
      <c r="U38" s="74" t="n"/>
      <c r="V38" s="108" t="n"/>
      <c r="W38" s="108" t="n"/>
      <c r="X38" s="74" t="n"/>
      <c r="Y38" s="115">
        <f>IF(B38="","",IF(X38="Yes","Delivered",IF(U38="Yes",IF(AND(W38&lt;&gt;"",R38&lt;&gt;""),IF(W38&gt;R38,"⚠️ Delivery after install date","Ordered"),"Ordered"),IF(K38="",IF(T38="","Waiting for decision",IF(T38&lt;=AsOf+AlertDays,"Decide now","Waiting for decision")),IF(S38="","Selected",IF(AsOf&gt;S38,"⚠️ Order late — install at risk",IF(S38&lt;=AsOf+AlertDays,"Order now","Selected")))))))</f>
        <v/>
      </c>
      <c r="Z38" s="79">
        <f>IF(B38="","",IF(OR(AH38=1,AE38=1),2,IF(OR(AG38=1,AF38=1),1,IF(OR(Y38="Ordered",Y38="Delivered"),0,""))))</f>
        <v/>
      </c>
      <c r="AA38" s="111">
        <f>IF(B38="","",IF(AH38=1,IF(Y38="⚠️ Delivery after install date",R38,S38),IF(AD38=1,T38,IF(AI38=1,S38,""))))</f>
        <v/>
      </c>
      <c r="AB38" s="79">
        <f>IF(AA38="","",IF(AH38=1,1,IF(AA38="","",IF(AA38&lt;AsOf,1,IF(AA38&lt;=AsOf+AlertDays,2,IF(AA38&lt;=AsOf+2*AlertDays,3,""))))))</f>
        <v/>
      </c>
      <c r="AC38" s="79">
        <f>IF(AB38="","",IF(AH38=1,IF(Y38="⚠️ Delivery after install date","Delivery after install date: "&amp;B38,"Order late — install at risk: "&amp;B38),IF(AD38=1,IF(AB38=1,"Decision overdue: ","Decide: ")&amp;B38,"Order: "&amp;B38&amp;IF(N38="",""," from "&amp;N38))))</f>
        <v/>
      </c>
      <c r="AD38" s="79">
        <f>IF(AND(B38&lt;&gt;"",K38="",U38&lt;&gt;"Yes",X38&lt;&gt;"Yes"),1,0)</f>
        <v/>
      </c>
      <c r="AE38" s="79">
        <f>IF(AND(AD38=1,T38&lt;&gt;""),IF(T38&lt;AsOf,1,0),0)</f>
        <v/>
      </c>
      <c r="AF38" s="79">
        <f>IF(AND(AD38=1,T38&lt;&gt;""),IF(AND(T38&gt;=AsOf,T38&lt;=AsOf+AlertDays),1,0),0)</f>
        <v/>
      </c>
      <c r="AG38" s="79">
        <f>IF(Y38="Order now",1,0)</f>
        <v/>
      </c>
      <c r="AH38" s="79">
        <f>IF(OR(Y38="⚠️ Order late — install at risk",Y38="⚠️ Delivery after install date"),1,0)</f>
        <v/>
      </c>
      <c r="AI38" s="79">
        <f>IF(AND(B38&lt;&gt;"",K38&lt;&gt;"",U38&lt;&gt;"Yes",X38&lt;&gt;"Yes"),1,0)</f>
        <v/>
      </c>
      <c r="AJ38" s="79">
        <f>IF(Y38="⚠️ Order late — install at risk",1,0)</f>
        <v/>
      </c>
    </row>
    <row r="39" ht="20" customHeight="1">
      <c r="B39" s="72" t="n"/>
      <c r="C39" s="72" t="n"/>
      <c r="D39" s="72" t="n"/>
      <c r="E39" s="72" t="n"/>
      <c r="F39" s="73" t="n"/>
      <c r="G39" s="72" t="n"/>
      <c r="H39" s="73" t="n"/>
      <c r="I39" s="72" t="n"/>
      <c r="J39" s="73" t="n"/>
      <c r="K39" s="74" t="n"/>
      <c r="L39" s="75">
        <f>IF(K39="A",F39,IF(K39="B",H39,IF(K39="C",J39,"")))</f>
        <v/>
      </c>
      <c r="M39" s="72" t="n"/>
      <c r="N39" s="72" t="n"/>
      <c r="O39" s="89" t="n"/>
      <c r="P39" s="89" t="n"/>
      <c r="Q39" s="108" t="n"/>
      <c r="R39" s="120">
        <f>IF(B39="","",IF(Q39&lt;&gt;"",Q39,IF(P39="","",IFERROR(INDEX('Timeline'!$J$7:$J$156,MATCH(P39,'Timeline'!$B$7:$B$156,0)),""))))</f>
        <v/>
      </c>
      <c r="S39" s="126">
        <f>IF(R39="","",R39-IF(O39="",0,O39)-OrderBuf)</f>
        <v/>
      </c>
      <c r="T39" s="126">
        <f>IF(S39="","",S39-DecideBuf)</f>
        <v/>
      </c>
      <c r="U39" s="74" t="n"/>
      <c r="V39" s="108" t="n"/>
      <c r="W39" s="108" t="n"/>
      <c r="X39" s="74" t="n"/>
      <c r="Y39" s="115">
        <f>IF(B39="","",IF(X39="Yes","Delivered",IF(U39="Yes",IF(AND(W39&lt;&gt;"",R39&lt;&gt;""),IF(W39&gt;R39,"⚠️ Delivery after install date","Ordered"),"Ordered"),IF(K39="",IF(T39="","Waiting for decision",IF(T39&lt;=AsOf+AlertDays,"Decide now","Waiting for decision")),IF(S39="","Selected",IF(AsOf&gt;S39,"⚠️ Order late — install at risk",IF(S39&lt;=AsOf+AlertDays,"Order now","Selected")))))))</f>
        <v/>
      </c>
      <c r="Z39" s="79">
        <f>IF(B39="","",IF(OR(AH39=1,AE39=1),2,IF(OR(AG39=1,AF39=1),1,IF(OR(Y39="Ordered",Y39="Delivered"),0,""))))</f>
        <v/>
      </c>
      <c r="AA39" s="111">
        <f>IF(B39="","",IF(AH39=1,IF(Y39="⚠️ Delivery after install date",R39,S39),IF(AD39=1,T39,IF(AI39=1,S39,""))))</f>
        <v/>
      </c>
      <c r="AB39" s="79">
        <f>IF(AA39="","",IF(AH39=1,1,IF(AA39="","",IF(AA39&lt;AsOf,1,IF(AA39&lt;=AsOf+AlertDays,2,IF(AA39&lt;=AsOf+2*AlertDays,3,""))))))</f>
        <v/>
      </c>
      <c r="AC39" s="79">
        <f>IF(AB39="","",IF(AH39=1,IF(Y39="⚠️ Delivery after install date","Delivery after install date: "&amp;B39,"Order late — install at risk: "&amp;B39),IF(AD39=1,IF(AB39=1,"Decision overdue: ","Decide: ")&amp;B39,"Order: "&amp;B39&amp;IF(N39="",""," from "&amp;N39))))</f>
        <v/>
      </c>
      <c r="AD39" s="79">
        <f>IF(AND(B39&lt;&gt;"",K39="",U39&lt;&gt;"Yes",X39&lt;&gt;"Yes"),1,0)</f>
        <v/>
      </c>
      <c r="AE39" s="79">
        <f>IF(AND(AD39=1,T39&lt;&gt;""),IF(T39&lt;AsOf,1,0),0)</f>
        <v/>
      </c>
      <c r="AF39" s="79">
        <f>IF(AND(AD39=1,T39&lt;&gt;""),IF(AND(T39&gt;=AsOf,T39&lt;=AsOf+AlertDays),1,0),0)</f>
        <v/>
      </c>
      <c r="AG39" s="79">
        <f>IF(Y39="Order now",1,0)</f>
        <v/>
      </c>
      <c r="AH39" s="79">
        <f>IF(OR(Y39="⚠️ Order late — install at risk",Y39="⚠️ Delivery after install date"),1,0)</f>
        <v/>
      </c>
      <c r="AI39" s="79">
        <f>IF(AND(B39&lt;&gt;"",K39&lt;&gt;"",U39&lt;&gt;"Yes",X39&lt;&gt;"Yes"),1,0)</f>
        <v/>
      </c>
      <c r="AJ39" s="79">
        <f>IF(Y39="⚠️ Order late — install at risk",1,0)</f>
        <v/>
      </c>
    </row>
    <row r="40" ht="20" customHeight="1">
      <c r="B40" s="72" t="n"/>
      <c r="C40" s="72" t="n"/>
      <c r="D40" s="72" t="n"/>
      <c r="E40" s="72" t="n"/>
      <c r="F40" s="73" t="n"/>
      <c r="G40" s="72" t="n"/>
      <c r="H40" s="73" t="n"/>
      <c r="I40" s="72" t="n"/>
      <c r="J40" s="73" t="n"/>
      <c r="K40" s="74" t="n"/>
      <c r="L40" s="75">
        <f>IF(K40="A",F40,IF(K40="B",H40,IF(K40="C",J40,"")))</f>
        <v/>
      </c>
      <c r="M40" s="72" t="n"/>
      <c r="N40" s="72" t="n"/>
      <c r="O40" s="89" t="n"/>
      <c r="P40" s="89" t="n"/>
      <c r="Q40" s="108" t="n"/>
      <c r="R40" s="120">
        <f>IF(B40="","",IF(Q40&lt;&gt;"",Q40,IF(P40="","",IFERROR(INDEX('Timeline'!$J$7:$J$156,MATCH(P40,'Timeline'!$B$7:$B$156,0)),""))))</f>
        <v/>
      </c>
      <c r="S40" s="126">
        <f>IF(R40="","",R40-IF(O40="",0,O40)-OrderBuf)</f>
        <v/>
      </c>
      <c r="T40" s="126">
        <f>IF(S40="","",S40-DecideBuf)</f>
        <v/>
      </c>
      <c r="U40" s="74" t="n"/>
      <c r="V40" s="108" t="n"/>
      <c r="W40" s="108" t="n"/>
      <c r="X40" s="74" t="n"/>
      <c r="Y40" s="115">
        <f>IF(B40="","",IF(X40="Yes","Delivered",IF(U40="Yes",IF(AND(W40&lt;&gt;"",R40&lt;&gt;""),IF(W40&gt;R40,"⚠️ Delivery after install date","Ordered"),"Ordered"),IF(K40="",IF(T40="","Waiting for decision",IF(T40&lt;=AsOf+AlertDays,"Decide now","Waiting for decision")),IF(S40="","Selected",IF(AsOf&gt;S40,"⚠️ Order late — install at risk",IF(S40&lt;=AsOf+AlertDays,"Order now","Selected")))))))</f>
        <v/>
      </c>
      <c r="Z40" s="79">
        <f>IF(B40="","",IF(OR(AH40=1,AE40=1),2,IF(OR(AG40=1,AF40=1),1,IF(OR(Y40="Ordered",Y40="Delivered"),0,""))))</f>
        <v/>
      </c>
      <c r="AA40" s="111">
        <f>IF(B40="","",IF(AH40=1,IF(Y40="⚠️ Delivery after install date",R40,S40),IF(AD40=1,T40,IF(AI40=1,S40,""))))</f>
        <v/>
      </c>
      <c r="AB40" s="79">
        <f>IF(AA40="","",IF(AH40=1,1,IF(AA40="","",IF(AA40&lt;AsOf,1,IF(AA40&lt;=AsOf+AlertDays,2,IF(AA40&lt;=AsOf+2*AlertDays,3,""))))))</f>
        <v/>
      </c>
      <c r="AC40" s="79">
        <f>IF(AB40="","",IF(AH40=1,IF(Y40="⚠️ Delivery after install date","Delivery after install date: "&amp;B40,"Order late — install at risk: "&amp;B40),IF(AD40=1,IF(AB40=1,"Decision overdue: ","Decide: ")&amp;B40,"Order: "&amp;B40&amp;IF(N40="",""," from "&amp;N40))))</f>
        <v/>
      </c>
      <c r="AD40" s="79">
        <f>IF(AND(B40&lt;&gt;"",K40="",U40&lt;&gt;"Yes",X40&lt;&gt;"Yes"),1,0)</f>
        <v/>
      </c>
      <c r="AE40" s="79">
        <f>IF(AND(AD40=1,T40&lt;&gt;""),IF(T40&lt;AsOf,1,0),0)</f>
        <v/>
      </c>
      <c r="AF40" s="79">
        <f>IF(AND(AD40=1,T40&lt;&gt;""),IF(AND(T40&gt;=AsOf,T40&lt;=AsOf+AlertDays),1,0),0)</f>
        <v/>
      </c>
      <c r="AG40" s="79">
        <f>IF(Y40="Order now",1,0)</f>
        <v/>
      </c>
      <c r="AH40" s="79">
        <f>IF(OR(Y40="⚠️ Order late — install at risk",Y40="⚠️ Delivery after install date"),1,0)</f>
        <v/>
      </c>
      <c r="AI40" s="79">
        <f>IF(AND(B40&lt;&gt;"",K40&lt;&gt;"",U40&lt;&gt;"Yes",X40&lt;&gt;"Yes"),1,0)</f>
        <v/>
      </c>
      <c r="AJ40" s="79">
        <f>IF(Y40="⚠️ Order late — install at risk",1,0)</f>
        <v/>
      </c>
    </row>
    <row r="41" ht="20" customHeight="1">
      <c r="B41" s="72" t="n"/>
      <c r="C41" s="72" t="n"/>
      <c r="D41" s="72" t="n"/>
      <c r="E41" s="72" t="n"/>
      <c r="F41" s="73" t="n"/>
      <c r="G41" s="72" t="n"/>
      <c r="H41" s="73" t="n"/>
      <c r="I41" s="72" t="n"/>
      <c r="J41" s="73" t="n"/>
      <c r="K41" s="74" t="n"/>
      <c r="L41" s="75">
        <f>IF(K41="A",F41,IF(K41="B",H41,IF(K41="C",J41,"")))</f>
        <v/>
      </c>
      <c r="M41" s="72" t="n"/>
      <c r="N41" s="72" t="n"/>
      <c r="O41" s="89" t="n"/>
      <c r="P41" s="89" t="n"/>
      <c r="Q41" s="108" t="n"/>
      <c r="R41" s="120">
        <f>IF(B41="","",IF(Q41&lt;&gt;"",Q41,IF(P41="","",IFERROR(INDEX('Timeline'!$J$7:$J$156,MATCH(P41,'Timeline'!$B$7:$B$156,0)),""))))</f>
        <v/>
      </c>
      <c r="S41" s="126">
        <f>IF(R41="","",R41-IF(O41="",0,O41)-OrderBuf)</f>
        <v/>
      </c>
      <c r="T41" s="126">
        <f>IF(S41="","",S41-DecideBuf)</f>
        <v/>
      </c>
      <c r="U41" s="74" t="n"/>
      <c r="V41" s="108" t="n"/>
      <c r="W41" s="108" t="n"/>
      <c r="X41" s="74" t="n"/>
      <c r="Y41" s="115">
        <f>IF(B41="","",IF(X41="Yes","Delivered",IF(U41="Yes",IF(AND(W41&lt;&gt;"",R41&lt;&gt;""),IF(W41&gt;R41,"⚠️ Delivery after install date","Ordered"),"Ordered"),IF(K41="",IF(T41="","Waiting for decision",IF(T41&lt;=AsOf+AlertDays,"Decide now","Waiting for decision")),IF(S41="","Selected",IF(AsOf&gt;S41,"⚠️ Order late — install at risk",IF(S41&lt;=AsOf+AlertDays,"Order now","Selected")))))))</f>
        <v/>
      </c>
      <c r="Z41" s="79">
        <f>IF(B41="","",IF(OR(AH41=1,AE41=1),2,IF(OR(AG41=1,AF41=1),1,IF(OR(Y41="Ordered",Y41="Delivered"),0,""))))</f>
        <v/>
      </c>
      <c r="AA41" s="111">
        <f>IF(B41="","",IF(AH41=1,IF(Y41="⚠️ Delivery after install date",R41,S41),IF(AD41=1,T41,IF(AI41=1,S41,""))))</f>
        <v/>
      </c>
      <c r="AB41" s="79">
        <f>IF(AA41="","",IF(AH41=1,1,IF(AA41="","",IF(AA41&lt;AsOf,1,IF(AA41&lt;=AsOf+AlertDays,2,IF(AA41&lt;=AsOf+2*AlertDays,3,""))))))</f>
        <v/>
      </c>
      <c r="AC41" s="79">
        <f>IF(AB41="","",IF(AH41=1,IF(Y41="⚠️ Delivery after install date","Delivery after install date: "&amp;B41,"Order late — install at risk: "&amp;B41),IF(AD41=1,IF(AB41=1,"Decision overdue: ","Decide: ")&amp;B41,"Order: "&amp;B41&amp;IF(N41="",""," from "&amp;N41))))</f>
        <v/>
      </c>
      <c r="AD41" s="79">
        <f>IF(AND(B41&lt;&gt;"",K41="",U41&lt;&gt;"Yes",X41&lt;&gt;"Yes"),1,0)</f>
        <v/>
      </c>
      <c r="AE41" s="79">
        <f>IF(AND(AD41=1,T41&lt;&gt;""),IF(T41&lt;AsOf,1,0),0)</f>
        <v/>
      </c>
      <c r="AF41" s="79">
        <f>IF(AND(AD41=1,T41&lt;&gt;""),IF(AND(T41&gt;=AsOf,T41&lt;=AsOf+AlertDays),1,0),0)</f>
        <v/>
      </c>
      <c r="AG41" s="79">
        <f>IF(Y41="Order now",1,0)</f>
        <v/>
      </c>
      <c r="AH41" s="79">
        <f>IF(OR(Y41="⚠️ Order late — install at risk",Y41="⚠️ Delivery after install date"),1,0)</f>
        <v/>
      </c>
      <c r="AI41" s="79">
        <f>IF(AND(B41&lt;&gt;"",K41&lt;&gt;"",U41&lt;&gt;"Yes",X41&lt;&gt;"Yes"),1,0)</f>
        <v/>
      </c>
      <c r="AJ41" s="79">
        <f>IF(Y41="⚠️ Order late — install at risk",1,0)</f>
        <v/>
      </c>
    </row>
    <row r="42" ht="20" customHeight="1">
      <c r="B42" s="72" t="n"/>
      <c r="C42" s="72" t="n"/>
      <c r="D42" s="72" t="n"/>
      <c r="E42" s="72" t="n"/>
      <c r="F42" s="73" t="n"/>
      <c r="G42" s="72" t="n"/>
      <c r="H42" s="73" t="n"/>
      <c r="I42" s="72" t="n"/>
      <c r="J42" s="73" t="n"/>
      <c r="K42" s="74" t="n"/>
      <c r="L42" s="75">
        <f>IF(K42="A",F42,IF(K42="B",H42,IF(K42="C",J42,"")))</f>
        <v/>
      </c>
      <c r="M42" s="72" t="n"/>
      <c r="N42" s="72" t="n"/>
      <c r="O42" s="89" t="n"/>
      <c r="P42" s="89" t="n"/>
      <c r="Q42" s="108" t="n"/>
      <c r="R42" s="120">
        <f>IF(B42="","",IF(Q42&lt;&gt;"",Q42,IF(P42="","",IFERROR(INDEX('Timeline'!$J$7:$J$156,MATCH(P42,'Timeline'!$B$7:$B$156,0)),""))))</f>
        <v/>
      </c>
      <c r="S42" s="126">
        <f>IF(R42="","",R42-IF(O42="",0,O42)-OrderBuf)</f>
        <v/>
      </c>
      <c r="T42" s="126">
        <f>IF(S42="","",S42-DecideBuf)</f>
        <v/>
      </c>
      <c r="U42" s="74" t="n"/>
      <c r="V42" s="108" t="n"/>
      <c r="W42" s="108" t="n"/>
      <c r="X42" s="74" t="n"/>
      <c r="Y42" s="115">
        <f>IF(B42="","",IF(X42="Yes","Delivered",IF(U42="Yes",IF(AND(W42&lt;&gt;"",R42&lt;&gt;""),IF(W42&gt;R42,"⚠️ Delivery after install date","Ordered"),"Ordered"),IF(K42="",IF(T42="","Waiting for decision",IF(T42&lt;=AsOf+AlertDays,"Decide now","Waiting for decision")),IF(S42="","Selected",IF(AsOf&gt;S42,"⚠️ Order late — install at risk",IF(S42&lt;=AsOf+AlertDays,"Order now","Selected")))))))</f>
        <v/>
      </c>
      <c r="Z42" s="79">
        <f>IF(B42="","",IF(OR(AH42=1,AE42=1),2,IF(OR(AG42=1,AF42=1),1,IF(OR(Y42="Ordered",Y42="Delivered"),0,""))))</f>
        <v/>
      </c>
      <c r="AA42" s="111">
        <f>IF(B42="","",IF(AH42=1,IF(Y42="⚠️ Delivery after install date",R42,S42),IF(AD42=1,T42,IF(AI42=1,S42,""))))</f>
        <v/>
      </c>
      <c r="AB42" s="79">
        <f>IF(AA42="","",IF(AH42=1,1,IF(AA42="","",IF(AA42&lt;AsOf,1,IF(AA42&lt;=AsOf+AlertDays,2,IF(AA42&lt;=AsOf+2*AlertDays,3,""))))))</f>
        <v/>
      </c>
      <c r="AC42" s="79">
        <f>IF(AB42="","",IF(AH42=1,IF(Y42="⚠️ Delivery after install date","Delivery after install date: "&amp;B42,"Order late — install at risk: "&amp;B42),IF(AD42=1,IF(AB42=1,"Decision overdue: ","Decide: ")&amp;B42,"Order: "&amp;B42&amp;IF(N42="",""," from "&amp;N42))))</f>
        <v/>
      </c>
      <c r="AD42" s="79">
        <f>IF(AND(B42&lt;&gt;"",K42="",U42&lt;&gt;"Yes",X42&lt;&gt;"Yes"),1,0)</f>
        <v/>
      </c>
      <c r="AE42" s="79">
        <f>IF(AND(AD42=1,T42&lt;&gt;""),IF(T42&lt;AsOf,1,0),0)</f>
        <v/>
      </c>
      <c r="AF42" s="79">
        <f>IF(AND(AD42=1,T42&lt;&gt;""),IF(AND(T42&gt;=AsOf,T42&lt;=AsOf+AlertDays),1,0),0)</f>
        <v/>
      </c>
      <c r="AG42" s="79">
        <f>IF(Y42="Order now",1,0)</f>
        <v/>
      </c>
      <c r="AH42" s="79">
        <f>IF(OR(Y42="⚠️ Order late — install at risk",Y42="⚠️ Delivery after install date"),1,0)</f>
        <v/>
      </c>
      <c r="AI42" s="79">
        <f>IF(AND(B42&lt;&gt;"",K42&lt;&gt;"",U42&lt;&gt;"Yes",X42&lt;&gt;"Yes"),1,0)</f>
        <v/>
      </c>
      <c r="AJ42" s="79">
        <f>IF(Y42="⚠️ Order late — install at risk",1,0)</f>
        <v/>
      </c>
    </row>
    <row r="43" ht="20" customHeight="1">
      <c r="B43" s="72" t="n"/>
      <c r="C43" s="72" t="n"/>
      <c r="D43" s="72" t="n"/>
      <c r="E43" s="72" t="n"/>
      <c r="F43" s="73" t="n"/>
      <c r="G43" s="72" t="n"/>
      <c r="H43" s="73" t="n"/>
      <c r="I43" s="72" t="n"/>
      <c r="J43" s="73" t="n"/>
      <c r="K43" s="74" t="n"/>
      <c r="L43" s="75">
        <f>IF(K43="A",F43,IF(K43="B",H43,IF(K43="C",J43,"")))</f>
        <v/>
      </c>
      <c r="M43" s="72" t="n"/>
      <c r="N43" s="72" t="n"/>
      <c r="O43" s="89" t="n"/>
      <c r="P43" s="89" t="n"/>
      <c r="Q43" s="108" t="n"/>
      <c r="R43" s="120">
        <f>IF(B43="","",IF(Q43&lt;&gt;"",Q43,IF(P43="","",IFERROR(INDEX('Timeline'!$J$7:$J$156,MATCH(P43,'Timeline'!$B$7:$B$156,0)),""))))</f>
        <v/>
      </c>
      <c r="S43" s="126">
        <f>IF(R43="","",R43-IF(O43="",0,O43)-OrderBuf)</f>
        <v/>
      </c>
      <c r="T43" s="126">
        <f>IF(S43="","",S43-DecideBuf)</f>
        <v/>
      </c>
      <c r="U43" s="74" t="n"/>
      <c r="V43" s="108" t="n"/>
      <c r="W43" s="108" t="n"/>
      <c r="X43" s="74" t="n"/>
      <c r="Y43" s="115">
        <f>IF(B43="","",IF(X43="Yes","Delivered",IF(U43="Yes",IF(AND(W43&lt;&gt;"",R43&lt;&gt;""),IF(W43&gt;R43,"⚠️ Delivery after install date","Ordered"),"Ordered"),IF(K43="",IF(T43="","Waiting for decision",IF(T43&lt;=AsOf+AlertDays,"Decide now","Waiting for decision")),IF(S43="","Selected",IF(AsOf&gt;S43,"⚠️ Order late — install at risk",IF(S43&lt;=AsOf+AlertDays,"Order now","Selected")))))))</f>
        <v/>
      </c>
      <c r="Z43" s="79">
        <f>IF(B43="","",IF(OR(AH43=1,AE43=1),2,IF(OR(AG43=1,AF43=1),1,IF(OR(Y43="Ordered",Y43="Delivered"),0,""))))</f>
        <v/>
      </c>
      <c r="AA43" s="111">
        <f>IF(B43="","",IF(AH43=1,IF(Y43="⚠️ Delivery after install date",R43,S43),IF(AD43=1,T43,IF(AI43=1,S43,""))))</f>
        <v/>
      </c>
      <c r="AB43" s="79">
        <f>IF(AA43="","",IF(AH43=1,1,IF(AA43="","",IF(AA43&lt;AsOf,1,IF(AA43&lt;=AsOf+AlertDays,2,IF(AA43&lt;=AsOf+2*AlertDays,3,""))))))</f>
        <v/>
      </c>
      <c r="AC43" s="79">
        <f>IF(AB43="","",IF(AH43=1,IF(Y43="⚠️ Delivery after install date","Delivery after install date: "&amp;B43,"Order late — install at risk: "&amp;B43),IF(AD43=1,IF(AB43=1,"Decision overdue: ","Decide: ")&amp;B43,"Order: "&amp;B43&amp;IF(N43="",""," from "&amp;N43))))</f>
        <v/>
      </c>
      <c r="AD43" s="79">
        <f>IF(AND(B43&lt;&gt;"",K43="",U43&lt;&gt;"Yes",X43&lt;&gt;"Yes"),1,0)</f>
        <v/>
      </c>
      <c r="AE43" s="79">
        <f>IF(AND(AD43=1,T43&lt;&gt;""),IF(T43&lt;AsOf,1,0),0)</f>
        <v/>
      </c>
      <c r="AF43" s="79">
        <f>IF(AND(AD43=1,T43&lt;&gt;""),IF(AND(T43&gt;=AsOf,T43&lt;=AsOf+AlertDays),1,0),0)</f>
        <v/>
      </c>
      <c r="AG43" s="79">
        <f>IF(Y43="Order now",1,0)</f>
        <v/>
      </c>
      <c r="AH43" s="79">
        <f>IF(OR(Y43="⚠️ Order late — install at risk",Y43="⚠️ Delivery after install date"),1,0)</f>
        <v/>
      </c>
      <c r="AI43" s="79">
        <f>IF(AND(B43&lt;&gt;"",K43&lt;&gt;"",U43&lt;&gt;"Yes",X43&lt;&gt;"Yes"),1,0)</f>
        <v/>
      </c>
      <c r="AJ43" s="79">
        <f>IF(Y43="⚠️ Order late — install at risk",1,0)</f>
        <v/>
      </c>
    </row>
    <row r="44" ht="20" customHeight="1">
      <c r="B44" s="72" t="n"/>
      <c r="C44" s="72" t="n"/>
      <c r="D44" s="72" t="n"/>
      <c r="E44" s="72" t="n"/>
      <c r="F44" s="73" t="n"/>
      <c r="G44" s="72" t="n"/>
      <c r="H44" s="73" t="n"/>
      <c r="I44" s="72" t="n"/>
      <c r="J44" s="73" t="n"/>
      <c r="K44" s="74" t="n"/>
      <c r="L44" s="75">
        <f>IF(K44="A",F44,IF(K44="B",H44,IF(K44="C",J44,"")))</f>
        <v/>
      </c>
      <c r="M44" s="72" t="n"/>
      <c r="N44" s="72" t="n"/>
      <c r="O44" s="89" t="n"/>
      <c r="P44" s="89" t="n"/>
      <c r="Q44" s="108" t="n"/>
      <c r="R44" s="120">
        <f>IF(B44="","",IF(Q44&lt;&gt;"",Q44,IF(P44="","",IFERROR(INDEX('Timeline'!$J$7:$J$156,MATCH(P44,'Timeline'!$B$7:$B$156,0)),""))))</f>
        <v/>
      </c>
      <c r="S44" s="126">
        <f>IF(R44="","",R44-IF(O44="",0,O44)-OrderBuf)</f>
        <v/>
      </c>
      <c r="T44" s="126">
        <f>IF(S44="","",S44-DecideBuf)</f>
        <v/>
      </c>
      <c r="U44" s="74" t="n"/>
      <c r="V44" s="108" t="n"/>
      <c r="W44" s="108" t="n"/>
      <c r="X44" s="74" t="n"/>
      <c r="Y44" s="115">
        <f>IF(B44="","",IF(X44="Yes","Delivered",IF(U44="Yes",IF(AND(W44&lt;&gt;"",R44&lt;&gt;""),IF(W44&gt;R44,"⚠️ Delivery after install date","Ordered"),"Ordered"),IF(K44="",IF(T44="","Waiting for decision",IF(T44&lt;=AsOf+AlertDays,"Decide now","Waiting for decision")),IF(S44="","Selected",IF(AsOf&gt;S44,"⚠️ Order late — install at risk",IF(S44&lt;=AsOf+AlertDays,"Order now","Selected")))))))</f>
        <v/>
      </c>
      <c r="Z44" s="79">
        <f>IF(B44="","",IF(OR(AH44=1,AE44=1),2,IF(OR(AG44=1,AF44=1),1,IF(OR(Y44="Ordered",Y44="Delivered"),0,""))))</f>
        <v/>
      </c>
      <c r="AA44" s="111">
        <f>IF(B44="","",IF(AH44=1,IF(Y44="⚠️ Delivery after install date",R44,S44),IF(AD44=1,T44,IF(AI44=1,S44,""))))</f>
        <v/>
      </c>
      <c r="AB44" s="79">
        <f>IF(AA44="","",IF(AH44=1,1,IF(AA44="","",IF(AA44&lt;AsOf,1,IF(AA44&lt;=AsOf+AlertDays,2,IF(AA44&lt;=AsOf+2*AlertDays,3,""))))))</f>
        <v/>
      </c>
      <c r="AC44" s="79">
        <f>IF(AB44="","",IF(AH44=1,IF(Y44="⚠️ Delivery after install date","Delivery after install date: "&amp;B44,"Order late — install at risk: "&amp;B44),IF(AD44=1,IF(AB44=1,"Decision overdue: ","Decide: ")&amp;B44,"Order: "&amp;B44&amp;IF(N44="",""," from "&amp;N44))))</f>
        <v/>
      </c>
      <c r="AD44" s="79">
        <f>IF(AND(B44&lt;&gt;"",K44="",U44&lt;&gt;"Yes",X44&lt;&gt;"Yes"),1,0)</f>
        <v/>
      </c>
      <c r="AE44" s="79">
        <f>IF(AND(AD44=1,T44&lt;&gt;""),IF(T44&lt;AsOf,1,0),0)</f>
        <v/>
      </c>
      <c r="AF44" s="79">
        <f>IF(AND(AD44=1,T44&lt;&gt;""),IF(AND(T44&gt;=AsOf,T44&lt;=AsOf+AlertDays),1,0),0)</f>
        <v/>
      </c>
      <c r="AG44" s="79">
        <f>IF(Y44="Order now",1,0)</f>
        <v/>
      </c>
      <c r="AH44" s="79">
        <f>IF(OR(Y44="⚠️ Order late — install at risk",Y44="⚠️ Delivery after install date"),1,0)</f>
        <v/>
      </c>
      <c r="AI44" s="79">
        <f>IF(AND(B44&lt;&gt;"",K44&lt;&gt;"",U44&lt;&gt;"Yes",X44&lt;&gt;"Yes"),1,0)</f>
        <v/>
      </c>
      <c r="AJ44" s="79">
        <f>IF(Y44="⚠️ Order late — install at risk",1,0)</f>
        <v/>
      </c>
    </row>
    <row r="45" ht="20" customHeight="1">
      <c r="B45" s="72" t="n"/>
      <c r="C45" s="72" t="n"/>
      <c r="D45" s="72" t="n"/>
      <c r="E45" s="72" t="n"/>
      <c r="F45" s="73" t="n"/>
      <c r="G45" s="72" t="n"/>
      <c r="H45" s="73" t="n"/>
      <c r="I45" s="72" t="n"/>
      <c r="J45" s="73" t="n"/>
      <c r="K45" s="74" t="n"/>
      <c r="L45" s="75">
        <f>IF(K45="A",F45,IF(K45="B",H45,IF(K45="C",J45,"")))</f>
        <v/>
      </c>
      <c r="M45" s="72" t="n"/>
      <c r="N45" s="72" t="n"/>
      <c r="O45" s="89" t="n"/>
      <c r="P45" s="89" t="n"/>
      <c r="Q45" s="108" t="n"/>
      <c r="R45" s="120">
        <f>IF(B45="","",IF(Q45&lt;&gt;"",Q45,IF(P45="","",IFERROR(INDEX('Timeline'!$J$7:$J$156,MATCH(P45,'Timeline'!$B$7:$B$156,0)),""))))</f>
        <v/>
      </c>
      <c r="S45" s="126">
        <f>IF(R45="","",R45-IF(O45="",0,O45)-OrderBuf)</f>
        <v/>
      </c>
      <c r="T45" s="126">
        <f>IF(S45="","",S45-DecideBuf)</f>
        <v/>
      </c>
      <c r="U45" s="74" t="n"/>
      <c r="V45" s="108" t="n"/>
      <c r="W45" s="108" t="n"/>
      <c r="X45" s="74" t="n"/>
      <c r="Y45" s="115">
        <f>IF(B45="","",IF(X45="Yes","Delivered",IF(U45="Yes",IF(AND(W45&lt;&gt;"",R45&lt;&gt;""),IF(W45&gt;R45,"⚠️ Delivery after install date","Ordered"),"Ordered"),IF(K45="",IF(T45="","Waiting for decision",IF(T45&lt;=AsOf+AlertDays,"Decide now","Waiting for decision")),IF(S45="","Selected",IF(AsOf&gt;S45,"⚠️ Order late — install at risk",IF(S45&lt;=AsOf+AlertDays,"Order now","Selected")))))))</f>
        <v/>
      </c>
      <c r="Z45" s="79">
        <f>IF(B45="","",IF(OR(AH45=1,AE45=1),2,IF(OR(AG45=1,AF45=1),1,IF(OR(Y45="Ordered",Y45="Delivered"),0,""))))</f>
        <v/>
      </c>
      <c r="AA45" s="111">
        <f>IF(B45="","",IF(AH45=1,IF(Y45="⚠️ Delivery after install date",R45,S45),IF(AD45=1,T45,IF(AI45=1,S45,""))))</f>
        <v/>
      </c>
      <c r="AB45" s="79">
        <f>IF(AA45="","",IF(AH45=1,1,IF(AA45="","",IF(AA45&lt;AsOf,1,IF(AA45&lt;=AsOf+AlertDays,2,IF(AA45&lt;=AsOf+2*AlertDays,3,""))))))</f>
        <v/>
      </c>
      <c r="AC45" s="79">
        <f>IF(AB45="","",IF(AH45=1,IF(Y45="⚠️ Delivery after install date","Delivery after install date: "&amp;B45,"Order late — install at risk: "&amp;B45),IF(AD45=1,IF(AB45=1,"Decision overdue: ","Decide: ")&amp;B45,"Order: "&amp;B45&amp;IF(N45="",""," from "&amp;N45))))</f>
        <v/>
      </c>
      <c r="AD45" s="79">
        <f>IF(AND(B45&lt;&gt;"",K45="",U45&lt;&gt;"Yes",X45&lt;&gt;"Yes"),1,0)</f>
        <v/>
      </c>
      <c r="AE45" s="79">
        <f>IF(AND(AD45=1,T45&lt;&gt;""),IF(T45&lt;AsOf,1,0),0)</f>
        <v/>
      </c>
      <c r="AF45" s="79">
        <f>IF(AND(AD45=1,T45&lt;&gt;""),IF(AND(T45&gt;=AsOf,T45&lt;=AsOf+AlertDays),1,0),0)</f>
        <v/>
      </c>
      <c r="AG45" s="79">
        <f>IF(Y45="Order now",1,0)</f>
        <v/>
      </c>
      <c r="AH45" s="79">
        <f>IF(OR(Y45="⚠️ Order late — install at risk",Y45="⚠️ Delivery after install date"),1,0)</f>
        <v/>
      </c>
      <c r="AI45" s="79">
        <f>IF(AND(B45&lt;&gt;"",K45&lt;&gt;"",U45&lt;&gt;"Yes",X45&lt;&gt;"Yes"),1,0)</f>
        <v/>
      </c>
      <c r="AJ45" s="79">
        <f>IF(Y45="⚠️ Order late — install at risk",1,0)</f>
        <v/>
      </c>
    </row>
    <row r="46" ht="20" customHeight="1">
      <c r="B46" s="72" t="n"/>
      <c r="C46" s="72" t="n"/>
      <c r="D46" s="72" t="n"/>
      <c r="E46" s="72" t="n"/>
      <c r="F46" s="73" t="n"/>
      <c r="G46" s="72" t="n"/>
      <c r="H46" s="73" t="n"/>
      <c r="I46" s="72" t="n"/>
      <c r="J46" s="73" t="n"/>
      <c r="K46" s="74" t="n"/>
      <c r="L46" s="75">
        <f>IF(K46="A",F46,IF(K46="B",H46,IF(K46="C",J46,"")))</f>
        <v/>
      </c>
      <c r="M46" s="72" t="n"/>
      <c r="N46" s="72" t="n"/>
      <c r="O46" s="89" t="n"/>
      <c r="P46" s="89" t="n"/>
      <c r="Q46" s="108" t="n"/>
      <c r="R46" s="120">
        <f>IF(B46="","",IF(Q46&lt;&gt;"",Q46,IF(P46="","",IFERROR(INDEX('Timeline'!$J$7:$J$156,MATCH(P46,'Timeline'!$B$7:$B$156,0)),""))))</f>
        <v/>
      </c>
      <c r="S46" s="126">
        <f>IF(R46="","",R46-IF(O46="",0,O46)-OrderBuf)</f>
        <v/>
      </c>
      <c r="T46" s="126">
        <f>IF(S46="","",S46-DecideBuf)</f>
        <v/>
      </c>
      <c r="U46" s="74" t="n"/>
      <c r="V46" s="108" t="n"/>
      <c r="W46" s="108" t="n"/>
      <c r="X46" s="74" t="n"/>
      <c r="Y46" s="115">
        <f>IF(B46="","",IF(X46="Yes","Delivered",IF(U46="Yes",IF(AND(W46&lt;&gt;"",R46&lt;&gt;""),IF(W46&gt;R46,"⚠️ Delivery after install date","Ordered"),"Ordered"),IF(K46="",IF(T46="","Waiting for decision",IF(T46&lt;=AsOf+AlertDays,"Decide now","Waiting for decision")),IF(S46="","Selected",IF(AsOf&gt;S46,"⚠️ Order late — install at risk",IF(S46&lt;=AsOf+AlertDays,"Order now","Selected")))))))</f>
        <v/>
      </c>
      <c r="Z46" s="79">
        <f>IF(B46="","",IF(OR(AH46=1,AE46=1),2,IF(OR(AG46=1,AF46=1),1,IF(OR(Y46="Ordered",Y46="Delivered"),0,""))))</f>
        <v/>
      </c>
      <c r="AA46" s="111">
        <f>IF(B46="","",IF(AH46=1,IF(Y46="⚠️ Delivery after install date",R46,S46),IF(AD46=1,T46,IF(AI46=1,S46,""))))</f>
        <v/>
      </c>
      <c r="AB46" s="79">
        <f>IF(AA46="","",IF(AH46=1,1,IF(AA46="","",IF(AA46&lt;AsOf,1,IF(AA46&lt;=AsOf+AlertDays,2,IF(AA46&lt;=AsOf+2*AlertDays,3,""))))))</f>
        <v/>
      </c>
      <c r="AC46" s="79">
        <f>IF(AB46="","",IF(AH46=1,IF(Y46="⚠️ Delivery after install date","Delivery after install date: "&amp;B46,"Order late — install at risk: "&amp;B46),IF(AD46=1,IF(AB46=1,"Decision overdue: ","Decide: ")&amp;B46,"Order: "&amp;B46&amp;IF(N46="",""," from "&amp;N46))))</f>
        <v/>
      </c>
      <c r="AD46" s="79">
        <f>IF(AND(B46&lt;&gt;"",K46="",U46&lt;&gt;"Yes",X46&lt;&gt;"Yes"),1,0)</f>
        <v/>
      </c>
      <c r="AE46" s="79">
        <f>IF(AND(AD46=1,T46&lt;&gt;""),IF(T46&lt;AsOf,1,0),0)</f>
        <v/>
      </c>
      <c r="AF46" s="79">
        <f>IF(AND(AD46=1,T46&lt;&gt;""),IF(AND(T46&gt;=AsOf,T46&lt;=AsOf+AlertDays),1,0),0)</f>
        <v/>
      </c>
      <c r="AG46" s="79">
        <f>IF(Y46="Order now",1,0)</f>
        <v/>
      </c>
      <c r="AH46" s="79">
        <f>IF(OR(Y46="⚠️ Order late — install at risk",Y46="⚠️ Delivery after install date"),1,0)</f>
        <v/>
      </c>
      <c r="AI46" s="79">
        <f>IF(AND(B46&lt;&gt;"",K46&lt;&gt;"",U46&lt;&gt;"Yes",X46&lt;&gt;"Yes"),1,0)</f>
        <v/>
      </c>
      <c r="AJ46" s="79">
        <f>IF(Y46="⚠️ Order late — install at risk",1,0)</f>
        <v/>
      </c>
    </row>
    <row r="47" ht="20" customHeight="1">
      <c r="B47" s="72" t="n"/>
      <c r="C47" s="72" t="n"/>
      <c r="D47" s="72" t="n"/>
      <c r="E47" s="72" t="n"/>
      <c r="F47" s="73" t="n"/>
      <c r="G47" s="72" t="n"/>
      <c r="H47" s="73" t="n"/>
      <c r="I47" s="72" t="n"/>
      <c r="J47" s="73" t="n"/>
      <c r="K47" s="74" t="n"/>
      <c r="L47" s="75">
        <f>IF(K47="A",F47,IF(K47="B",H47,IF(K47="C",J47,"")))</f>
        <v/>
      </c>
      <c r="M47" s="72" t="n"/>
      <c r="N47" s="72" t="n"/>
      <c r="O47" s="89" t="n"/>
      <c r="P47" s="89" t="n"/>
      <c r="Q47" s="108" t="n"/>
      <c r="R47" s="120">
        <f>IF(B47="","",IF(Q47&lt;&gt;"",Q47,IF(P47="","",IFERROR(INDEX('Timeline'!$J$7:$J$156,MATCH(P47,'Timeline'!$B$7:$B$156,0)),""))))</f>
        <v/>
      </c>
      <c r="S47" s="126">
        <f>IF(R47="","",R47-IF(O47="",0,O47)-OrderBuf)</f>
        <v/>
      </c>
      <c r="T47" s="126">
        <f>IF(S47="","",S47-DecideBuf)</f>
        <v/>
      </c>
      <c r="U47" s="74" t="n"/>
      <c r="V47" s="108" t="n"/>
      <c r="W47" s="108" t="n"/>
      <c r="X47" s="74" t="n"/>
      <c r="Y47" s="115">
        <f>IF(B47="","",IF(X47="Yes","Delivered",IF(U47="Yes",IF(AND(W47&lt;&gt;"",R47&lt;&gt;""),IF(W47&gt;R47,"⚠️ Delivery after install date","Ordered"),"Ordered"),IF(K47="",IF(T47="","Waiting for decision",IF(T47&lt;=AsOf+AlertDays,"Decide now","Waiting for decision")),IF(S47="","Selected",IF(AsOf&gt;S47,"⚠️ Order late — install at risk",IF(S47&lt;=AsOf+AlertDays,"Order now","Selected")))))))</f>
        <v/>
      </c>
      <c r="Z47" s="79">
        <f>IF(B47="","",IF(OR(AH47=1,AE47=1),2,IF(OR(AG47=1,AF47=1),1,IF(OR(Y47="Ordered",Y47="Delivered"),0,""))))</f>
        <v/>
      </c>
      <c r="AA47" s="111">
        <f>IF(B47="","",IF(AH47=1,IF(Y47="⚠️ Delivery after install date",R47,S47),IF(AD47=1,T47,IF(AI47=1,S47,""))))</f>
        <v/>
      </c>
      <c r="AB47" s="79">
        <f>IF(AA47="","",IF(AH47=1,1,IF(AA47="","",IF(AA47&lt;AsOf,1,IF(AA47&lt;=AsOf+AlertDays,2,IF(AA47&lt;=AsOf+2*AlertDays,3,""))))))</f>
        <v/>
      </c>
      <c r="AC47" s="79">
        <f>IF(AB47="","",IF(AH47=1,IF(Y47="⚠️ Delivery after install date","Delivery after install date: "&amp;B47,"Order late — install at risk: "&amp;B47),IF(AD47=1,IF(AB47=1,"Decision overdue: ","Decide: ")&amp;B47,"Order: "&amp;B47&amp;IF(N47="",""," from "&amp;N47))))</f>
        <v/>
      </c>
      <c r="AD47" s="79">
        <f>IF(AND(B47&lt;&gt;"",K47="",U47&lt;&gt;"Yes",X47&lt;&gt;"Yes"),1,0)</f>
        <v/>
      </c>
      <c r="AE47" s="79">
        <f>IF(AND(AD47=1,T47&lt;&gt;""),IF(T47&lt;AsOf,1,0),0)</f>
        <v/>
      </c>
      <c r="AF47" s="79">
        <f>IF(AND(AD47=1,T47&lt;&gt;""),IF(AND(T47&gt;=AsOf,T47&lt;=AsOf+AlertDays),1,0),0)</f>
        <v/>
      </c>
      <c r="AG47" s="79">
        <f>IF(Y47="Order now",1,0)</f>
        <v/>
      </c>
      <c r="AH47" s="79">
        <f>IF(OR(Y47="⚠️ Order late — install at risk",Y47="⚠️ Delivery after install date"),1,0)</f>
        <v/>
      </c>
      <c r="AI47" s="79">
        <f>IF(AND(B47&lt;&gt;"",K47&lt;&gt;"",U47&lt;&gt;"Yes",X47&lt;&gt;"Yes"),1,0)</f>
        <v/>
      </c>
      <c r="AJ47" s="79">
        <f>IF(Y47="⚠️ Order late — install at risk",1,0)</f>
        <v/>
      </c>
    </row>
    <row r="48" ht="20" customHeight="1">
      <c r="B48" s="72" t="n"/>
      <c r="C48" s="72" t="n"/>
      <c r="D48" s="72" t="n"/>
      <c r="E48" s="72" t="n"/>
      <c r="F48" s="73" t="n"/>
      <c r="G48" s="72" t="n"/>
      <c r="H48" s="73" t="n"/>
      <c r="I48" s="72" t="n"/>
      <c r="J48" s="73" t="n"/>
      <c r="K48" s="74" t="n"/>
      <c r="L48" s="75">
        <f>IF(K48="A",F48,IF(K48="B",H48,IF(K48="C",J48,"")))</f>
        <v/>
      </c>
      <c r="M48" s="72" t="n"/>
      <c r="N48" s="72" t="n"/>
      <c r="O48" s="89" t="n"/>
      <c r="P48" s="89" t="n"/>
      <c r="Q48" s="108" t="n"/>
      <c r="R48" s="120">
        <f>IF(B48="","",IF(Q48&lt;&gt;"",Q48,IF(P48="","",IFERROR(INDEX('Timeline'!$J$7:$J$156,MATCH(P48,'Timeline'!$B$7:$B$156,0)),""))))</f>
        <v/>
      </c>
      <c r="S48" s="126">
        <f>IF(R48="","",R48-IF(O48="",0,O48)-OrderBuf)</f>
        <v/>
      </c>
      <c r="T48" s="126">
        <f>IF(S48="","",S48-DecideBuf)</f>
        <v/>
      </c>
      <c r="U48" s="74" t="n"/>
      <c r="V48" s="108" t="n"/>
      <c r="W48" s="108" t="n"/>
      <c r="X48" s="74" t="n"/>
      <c r="Y48" s="115">
        <f>IF(B48="","",IF(X48="Yes","Delivered",IF(U48="Yes",IF(AND(W48&lt;&gt;"",R48&lt;&gt;""),IF(W48&gt;R48,"⚠️ Delivery after install date","Ordered"),"Ordered"),IF(K48="",IF(T48="","Waiting for decision",IF(T48&lt;=AsOf+AlertDays,"Decide now","Waiting for decision")),IF(S48="","Selected",IF(AsOf&gt;S48,"⚠️ Order late — install at risk",IF(S48&lt;=AsOf+AlertDays,"Order now","Selected")))))))</f>
        <v/>
      </c>
      <c r="Z48" s="79">
        <f>IF(B48="","",IF(OR(AH48=1,AE48=1),2,IF(OR(AG48=1,AF48=1),1,IF(OR(Y48="Ordered",Y48="Delivered"),0,""))))</f>
        <v/>
      </c>
      <c r="AA48" s="111">
        <f>IF(B48="","",IF(AH48=1,IF(Y48="⚠️ Delivery after install date",R48,S48),IF(AD48=1,T48,IF(AI48=1,S48,""))))</f>
        <v/>
      </c>
      <c r="AB48" s="79">
        <f>IF(AA48="","",IF(AH48=1,1,IF(AA48="","",IF(AA48&lt;AsOf,1,IF(AA48&lt;=AsOf+AlertDays,2,IF(AA48&lt;=AsOf+2*AlertDays,3,""))))))</f>
        <v/>
      </c>
      <c r="AC48" s="79">
        <f>IF(AB48="","",IF(AH48=1,IF(Y48="⚠️ Delivery after install date","Delivery after install date: "&amp;B48,"Order late — install at risk: "&amp;B48),IF(AD48=1,IF(AB48=1,"Decision overdue: ","Decide: ")&amp;B48,"Order: "&amp;B48&amp;IF(N48="",""," from "&amp;N48))))</f>
        <v/>
      </c>
      <c r="AD48" s="79">
        <f>IF(AND(B48&lt;&gt;"",K48="",U48&lt;&gt;"Yes",X48&lt;&gt;"Yes"),1,0)</f>
        <v/>
      </c>
      <c r="AE48" s="79">
        <f>IF(AND(AD48=1,T48&lt;&gt;""),IF(T48&lt;AsOf,1,0),0)</f>
        <v/>
      </c>
      <c r="AF48" s="79">
        <f>IF(AND(AD48=1,T48&lt;&gt;""),IF(AND(T48&gt;=AsOf,T48&lt;=AsOf+AlertDays),1,0),0)</f>
        <v/>
      </c>
      <c r="AG48" s="79">
        <f>IF(Y48="Order now",1,0)</f>
        <v/>
      </c>
      <c r="AH48" s="79">
        <f>IF(OR(Y48="⚠️ Order late — install at risk",Y48="⚠️ Delivery after install date"),1,0)</f>
        <v/>
      </c>
      <c r="AI48" s="79">
        <f>IF(AND(B48&lt;&gt;"",K48&lt;&gt;"",U48&lt;&gt;"Yes",X48&lt;&gt;"Yes"),1,0)</f>
        <v/>
      </c>
      <c r="AJ48" s="79">
        <f>IF(Y48="⚠️ Order late — install at risk",1,0)</f>
        <v/>
      </c>
    </row>
    <row r="49" ht="20" customHeight="1">
      <c r="B49" s="72" t="n"/>
      <c r="C49" s="72" t="n"/>
      <c r="D49" s="72" t="n"/>
      <c r="E49" s="72" t="n"/>
      <c r="F49" s="73" t="n"/>
      <c r="G49" s="72" t="n"/>
      <c r="H49" s="73" t="n"/>
      <c r="I49" s="72" t="n"/>
      <c r="J49" s="73" t="n"/>
      <c r="K49" s="74" t="n"/>
      <c r="L49" s="75">
        <f>IF(K49="A",F49,IF(K49="B",H49,IF(K49="C",J49,"")))</f>
        <v/>
      </c>
      <c r="M49" s="72" t="n"/>
      <c r="N49" s="72" t="n"/>
      <c r="O49" s="89" t="n"/>
      <c r="P49" s="89" t="n"/>
      <c r="Q49" s="108" t="n"/>
      <c r="R49" s="120">
        <f>IF(B49="","",IF(Q49&lt;&gt;"",Q49,IF(P49="","",IFERROR(INDEX('Timeline'!$J$7:$J$156,MATCH(P49,'Timeline'!$B$7:$B$156,0)),""))))</f>
        <v/>
      </c>
      <c r="S49" s="126">
        <f>IF(R49="","",R49-IF(O49="",0,O49)-OrderBuf)</f>
        <v/>
      </c>
      <c r="T49" s="126">
        <f>IF(S49="","",S49-DecideBuf)</f>
        <v/>
      </c>
      <c r="U49" s="74" t="n"/>
      <c r="V49" s="108" t="n"/>
      <c r="W49" s="108" t="n"/>
      <c r="X49" s="74" t="n"/>
      <c r="Y49" s="115">
        <f>IF(B49="","",IF(X49="Yes","Delivered",IF(U49="Yes",IF(AND(W49&lt;&gt;"",R49&lt;&gt;""),IF(W49&gt;R49,"⚠️ Delivery after install date","Ordered"),"Ordered"),IF(K49="",IF(T49="","Waiting for decision",IF(T49&lt;=AsOf+AlertDays,"Decide now","Waiting for decision")),IF(S49="","Selected",IF(AsOf&gt;S49,"⚠️ Order late — install at risk",IF(S49&lt;=AsOf+AlertDays,"Order now","Selected")))))))</f>
        <v/>
      </c>
      <c r="Z49" s="79">
        <f>IF(B49="","",IF(OR(AH49=1,AE49=1),2,IF(OR(AG49=1,AF49=1),1,IF(OR(Y49="Ordered",Y49="Delivered"),0,""))))</f>
        <v/>
      </c>
      <c r="AA49" s="111">
        <f>IF(B49="","",IF(AH49=1,IF(Y49="⚠️ Delivery after install date",R49,S49),IF(AD49=1,T49,IF(AI49=1,S49,""))))</f>
        <v/>
      </c>
      <c r="AB49" s="79">
        <f>IF(AA49="","",IF(AH49=1,1,IF(AA49="","",IF(AA49&lt;AsOf,1,IF(AA49&lt;=AsOf+AlertDays,2,IF(AA49&lt;=AsOf+2*AlertDays,3,""))))))</f>
        <v/>
      </c>
      <c r="AC49" s="79">
        <f>IF(AB49="","",IF(AH49=1,IF(Y49="⚠️ Delivery after install date","Delivery after install date: "&amp;B49,"Order late — install at risk: "&amp;B49),IF(AD49=1,IF(AB49=1,"Decision overdue: ","Decide: ")&amp;B49,"Order: "&amp;B49&amp;IF(N49="",""," from "&amp;N49))))</f>
        <v/>
      </c>
      <c r="AD49" s="79">
        <f>IF(AND(B49&lt;&gt;"",K49="",U49&lt;&gt;"Yes",X49&lt;&gt;"Yes"),1,0)</f>
        <v/>
      </c>
      <c r="AE49" s="79">
        <f>IF(AND(AD49=1,T49&lt;&gt;""),IF(T49&lt;AsOf,1,0),0)</f>
        <v/>
      </c>
      <c r="AF49" s="79">
        <f>IF(AND(AD49=1,T49&lt;&gt;""),IF(AND(T49&gt;=AsOf,T49&lt;=AsOf+AlertDays),1,0),0)</f>
        <v/>
      </c>
      <c r="AG49" s="79">
        <f>IF(Y49="Order now",1,0)</f>
        <v/>
      </c>
      <c r="AH49" s="79">
        <f>IF(OR(Y49="⚠️ Order late — install at risk",Y49="⚠️ Delivery after install date"),1,0)</f>
        <v/>
      </c>
      <c r="AI49" s="79">
        <f>IF(AND(B49&lt;&gt;"",K49&lt;&gt;"",U49&lt;&gt;"Yes",X49&lt;&gt;"Yes"),1,0)</f>
        <v/>
      </c>
      <c r="AJ49" s="79">
        <f>IF(Y49="⚠️ Order late — install at risk",1,0)</f>
        <v/>
      </c>
    </row>
    <row r="50" ht="20" customHeight="1">
      <c r="B50" s="72" t="n"/>
      <c r="C50" s="72" t="n"/>
      <c r="D50" s="72" t="n"/>
      <c r="E50" s="72" t="n"/>
      <c r="F50" s="73" t="n"/>
      <c r="G50" s="72" t="n"/>
      <c r="H50" s="73" t="n"/>
      <c r="I50" s="72" t="n"/>
      <c r="J50" s="73" t="n"/>
      <c r="K50" s="74" t="n"/>
      <c r="L50" s="75">
        <f>IF(K50="A",F50,IF(K50="B",H50,IF(K50="C",J50,"")))</f>
        <v/>
      </c>
      <c r="M50" s="72" t="n"/>
      <c r="N50" s="72" t="n"/>
      <c r="O50" s="89" t="n"/>
      <c r="P50" s="89" t="n"/>
      <c r="Q50" s="108" t="n"/>
      <c r="R50" s="120">
        <f>IF(B50="","",IF(Q50&lt;&gt;"",Q50,IF(P50="","",IFERROR(INDEX('Timeline'!$J$7:$J$156,MATCH(P50,'Timeline'!$B$7:$B$156,0)),""))))</f>
        <v/>
      </c>
      <c r="S50" s="126">
        <f>IF(R50="","",R50-IF(O50="",0,O50)-OrderBuf)</f>
        <v/>
      </c>
      <c r="T50" s="126">
        <f>IF(S50="","",S50-DecideBuf)</f>
        <v/>
      </c>
      <c r="U50" s="74" t="n"/>
      <c r="V50" s="108" t="n"/>
      <c r="W50" s="108" t="n"/>
      <c r="X50" s="74" t="n"/>
      <c r="Y50" s="115">
        <f>IF(B50="","",IF(X50="Yes","Delivered",IF(U50="Yes",IF(AND(W50&lt;&gt;"",R50&lt;&gt;""),IF(W50&gt;R50,"⚠️ Delivery after install date","Ordered"),"Ordered"),IF(K50="",IF(T50="","Waiting for decision",IF(T50&lt;=AsOf+AlertDays,"Decide now","Waiting for decision")),IF(S50="","Selected",IF(AsOf&gt;S50,"⚠️ Order late — install at risk",IF(S50&lt;=AsOf+AlertDays,"Order now","Selected")))))))</f>
        <v/>
      </c>
      <c r="Z50" s="79">
        <f>IF(B50="","",IF(OR(AH50=1,AE50=1),2,IF(OR(AG50=1,AF50=1),1,IF(OR(Y50="Ordered",Y50="Delivered"),0,""))))</f>
        <v/>
      </c>
      <c r="AA50" s="111">
        <f>IF(B50="","",IF(AH50=1,IF(Y50="⚠️ Delivery after install date",R50,S50),IF(AD50=1,T50,IF(AI50=1,S50,""))))</f>
        <v/>
      </c>
      <c r="AB50" s="79">
        <f>IF(AA50="","",IF(AH50=1,1,IF(AA50="","",IF(AA50&lt;AsOf,1,IF(AA50&lt;=AsOf+AlertDays,2,IF(AA50&lt;=AsOf+2*AlertDays,3,""))))))</f>
        <v/>
      </c>
      <c r="AC50" s="79">
        <f>IF(AB50="","",IF(AH50=1,IF(Y50="⚠️ Delivery after install date","Delivery after install date: "&amp;B50,"Order late — install at risk: "&amp;B50),IF(AD50=1,IF(AB50=1,"Decision overdue: ","Decide: ")&amp;B50,"Order: "&amp;B50&amp;IF(N50="",""," from "&amp;N50))))</f>
        <v/>
      </c>
      <c r="AD50" s="79">
        <f>IF(AND(B50&lt;&gt;"",K50="",U50&lt;&gt;"Yes",X50&lt;&gt;"Yes"),1,0)</f>
        <v/>
      </c>
      <c r="AE50" s="79">
        <f>IF(AND(AD50=1,T50&lt;&gt;""),IF(T50&lt;AsOf,1,0),0)</f>
        <v/>
      </c>
      <c r="AF50" s="79">
        <f>IF(AND(AD50=1,T50&lt;&gt;""),IF(AND(T50&gt;=AsOf,T50&lt;=AsOf+AlertDays),1,0),0)</f>
        <v/>
      </c>
      <c r="AG50" s="79">
        <f>IF(Y50="Order now",1,0)</f>
        <v/>
      </c>
      <c r="AH50" s="79">
        <f>IF(OR(Y50="⚠️ Order late — install at risk",Y50="⚠️ Delivery after install date"),1,0)</f>
        <v/>
      </c>
      <c r="AI50" s="79">
        <f>IF(AND(B50&lt;&gt;"",K50&lt;&gt;"",U50&lt;&gt;"Yes",X50&lt;&gt;"Yes"),1,0)</f>
        <v/>
      </c>
      <c r="AJ50" s="79">
        <f>IF(Y50="⚠️ Order late — install at risk",1,0)</f>
        <v/>
      </c>
    </row>
    <row r="51" ht="20" customHeight="1">
      <c r="B51" s="72" t="n"/>
      <c r="C51" s="72" t="n"/>
      <c r="D51" s="72" t="n"/>
      <c r="E51" s="72" t="n"/>
      <c r="F51" s="73" t="n"/>
      <c r="G51" s="72" t="n"/>
      <c r="H51" s="73" t="n"/>
      <c r="I51" s="72" t="n"/>
      <c r="J51" s="73" t="n"/>
      <c r="K51" s="74" t="n"/>
      <c r="L51" s="75">
        <f>IF(K51="A",F51,IF(K51="B",H51,IF(K51="C",J51,"")))</f>
        <v/>
      </c>
      <c r="M51" s="72" t="n"/>
      <c r="N51" s="72" t="n"/>
      <c r="O51" s="89" t="n"/>
      <c r="P51" s="89" t="n"/>
      <c r="Q51" s="108" t="n"/>
      <c r="R51" s="120">
        <f>IF(B51="","",IF(Q51&lt;&gt;"",Q51,IF(P51="","",IFERROR(INDEX('Timeline'!$J$7:$J$156,MATCH(P51,'Timeline'!$B$7:$B$156,0)),""))))</f>
        <v/>
      </c>
      <c r="S51" s="126">
        <f>IF(R51="","",R51-IF(O51="",0,O51)-OrderBuf)</f>
        <v/>
      </c>
      <c r="T51" s="126">
        <f>IF(S51="","",S51-DecideBuf)</f>
        <v/>
      </c>
      <c r="U51" s="74" t="n"/>
      <c r="V51" s="108" t="n"/>
      <c r="W51" s="108" t="n"/>
      <c r="X51" s="74" t="n"/>
      <c r="Y51" s="115">
        <f>IF(B51="","",IF(X51="Yes","Delivered",IF(U51="Yes",IF(AND(W51&lt;&gt;"",R51&lt;&gt;""),IF(W51&gt;R51,"⚠️ Delivery after install date","Ordered"),"Ordered"),IF(K51="",IF(T51="","Waiting for decision",IF(T51&lt;=AsOf+AlertDays,"Decide now","Waiting for decision")),IF(S51="","Selected",IF(AsOf&gt;S51,"⚠️ Order late — install at risk",IF(S51&lt;=AsOf+AlertDays,"Order now","Selected")))))))</f>
        <v/>
      </c>
      <c r="Z51" s="79">
        <f>IF(B51="","",IF(OR(AH51=1,AE51=1),2,IF(OR(AG51=1,AF51=1),1,IF(OR(Y51="Ordered",Y51="Delivered"),0,""))))</f>
        <v/>
      </c>
      <c r="AA51" s="111">
        <f>IF(B51="","",IF(AH51=1,IF(Y51="⚠️ Delivery after install date",R51,S51),IF(AD51=1,T51,IF(AI51=1,S51,""))))</f>
        <v/>
      </c>
      <c r="AB51" s="79">
        <f>IF(AA51="","",IF(AH51=1,1,IF(AA51="","",IF(AA51&lt;AsOf,1,IF(AA51&lt;=AsOf+AlertDays,2,IF(AA51&lt;=AsOf+2*AlertDays,3,""))))))</f>
        <v/>
      </c>
      <c r="AC51" s="79">
        <f>IF(AB51="","",IF(AH51=1,IF(Y51="⚠️ Delivery after install date","Delivery after install date: "&amp;B51,"Order late — install at risk: "&amp;B51),IF(AD51=1,IF(AB51=1,"Decision overdue: ","Decide: ")&amp;B51,"Order: "&amp;B51&amp;IF(N51="",""," from "&amp;N51))))</f>
        <v/>
      </c>
      <c r="AD51" s="79">
        <f>IF(AND(B51&lt;&gt;"",K51="",U51&lt;&gt;"Yes",X51&lt;&gt;"Yes"),1,0)</f>
        <v/>
      </c>
      <c r="AE51" s="79">
        <f>IF(AND(AD51=1,T51&lt;&gt;""),IF(T51&lt;AsOf,1,0),0)</f>
        <v/>
      </c>
      <c r="AF51" s="79">
        <f>IF(AND(AD51=1,T51&lt;&gt;""),IF(AND(T51&gt;=AsOf,T51&lt;=AsOf+AlertDays),1,0),0)</f>
        <v/>
      </c>
      <c r="AG51" s="79">
        <f>IF(Y51="Order now",1,0)</f>
        <v/>
      </c>
      <c r="AH51" s="79">
        <f>IF(OR(Y51="⚠️ Order late — install at risk",Y51="⚠️ Delivery after install date"),1,0)</f>
        <v/>
      </c>
      <c r="AI51" s="79">
        <f>IF(AND(B51&lt;&gt;"",K51&lt;&gt;"",U51&lt;&gt;"Yes",X51&lt;&gt;"Yes"),1,0)</f>
        <v/>
      </c>
      <c r="AJ51" s="79">
        <f>IF(Y51="⚠️ Order late — install at risk",1,0)</f>
        <v/>
      </c>
    </row>
    <row r="52" ht="20" customHeight="1">
      <c r="B52" s="72" t="n"/>
      <c r="C52" s="72" t="n"/>
      <c r="D52" s="72" t="n"/>
      <c r="E52" s="72" t="n"/>
      <c r="F52" s="73" t="n"/>
      <c r="G52" s="72" t="n"/>
      <c r="H52" s="73" t="n"/>
      <c r="I52" s="72" t="n"/>
      <c r="J52" s="73" t="n"/>
      <c r="K52" s="74" t="n"/>
      <c r="L52" s="75">
        <f>IF(K52="A",F52,IF(K52="B",H52,IF(K52="C",J52,"")))</f>
        <v/>
      </c>
      <c r="M52" s="72" t="n"/>
      <c r="N52" s="72" t="n"/>
      <c r="O52" s="89" t="n"/>
      <c r="P52" s="89" t="n"/>
      <c r="Q52" s="108" t="n"/>
      <c r="R52" s="120">
        <f>IF(B52="","",IF(Q52&lt;&gt;"",Q52,IF(P52="","",IFERROR(INDEX('Timeline'!$J$7:$J$156,MATCH(P52,'Timeline'!$B$7:$B$156,0)),""))))</f>
        <v/>
      </c>
      <c r="S52" s="126">
        <f>IF(R52="","",R52-IF(O52="",0,O52)-OrderBuf)</f>
        <v/>
      </c>
      <c r="T52" s="126">
        <f>IF(S52="","",S52-DecideBuf)</f>
        <v/>
      </c>
      <c r="U52" s="74" t="n"/>
      <c r="V52" s="108" t="n"/>
      <c r="W52" s="108" t="n"/>
      <c r="X52" s="74" t="n"/>
      <c r="Y52" s="115">
        <f>IF(B52="","",IF(X52="Yes","Delivered",IF(U52="Yes",IF(AND(W52&lt;&gt;"",R52&lt;&gt;""),IF(W52&gt;R52,"⚠️ Delivery after install date","Ordered"),"Ordered"),IF(K52="",IF(T52="","Waiting for decision",IF(T52&lt;=AsOf+AlertDays,"Decide now","Waiting for decision")),IF(S52="","Selected",IF(AsOf&gt;S52,"⚠️ Order late — install at risk",IF(S52&lt;=AsOf+AlertDays,"Order now","Selected")))))))</f>
        <v/>
      </c>
      <c r="Z52" s="79">
        <f>IF(B52="","",IF(OR(AH52=1,AE52=1),2,IF(OR(AG52=1,AF52=1),1,IF(OR(Y52="Ordered",Y52="Delivered"),0,""))))</f>
        <v/>
      </c>
      <c r="AA52" s="111">
        <f>IF(B52="","",IF(AH52=1,IF(Y52="⚠️ Delivery after install date",R52,S52),IF(AD52=1,T52,IF(AI52=1,S52,""))))</f>
        <v/>
      </c>
      <c r="AB52" s="79">
        <f>IF(AA52="","",IF(AH52=1,1,IF(AA52="","",IF(AA52&lt;AsOf,1,IF(AA52&lt;=AsOf+AlertDays,2,IF(AA52&lt;=AsOf+2*AlertDays,3,""))))))</f>
        <v/>
      </c>
      <c r="AC52" s="79">
        <f>IF(AB52="","",IF(AH52=1,IF(Y52="⚠️ Delivery after install date","Delivery after install date: "&amp;B52,"Order late — install at risk: "&amp;B52),IF(AD52=1,IF(AB52=1,"Decision overdue: ","Decide: ")&amp;B52,"Order: "&amp;B52&amp;IF(N52="",""," from "&amp;N52))))</f>
        <v/>
      </c>
      <c r="AD52" s="79">
        <f>IF(AND(B52&lt;&gt;"",K52="",U52&lt;&gt;"Yes",X52&lt;&gt;"Yes"),1,0)</f>
        <v/>
      </c>
      <c r="AE52" s="79">
        <f>IF(AND(AD52=1,T52&lt;&gt;""),IF(T52&lt;AsOf,1,0),0)</f>
        <v/>
      </c>
      <c r="AF52" s="79">
        <f>IF(AND(AD52=1,T52&lt;&gt;""),IF(AND(T52&gt;=AsOf,T52&lt;=AsOf+AlertDays),1,0),0)</f>
        <v/>
      </c>
      <c r="AG52" s="79">
        <f>IF(Y52="Order now",1,0)</f>
        <v/>
      </c>
      <c r="AH52" s="79">
        <f>IF(OR(Y52="⚠️ Order late — install at risk",Y52="⚠️ Delivery after install date"),1,0)</f>
        <v/>
      </c>
      <c r="AI52" s="79">
        <f>IF(AND(B52&lt;&gt;"",K52&lt;&gt;"",U52&lt;&gt;"Yes",X52&lt;&gt;"Yes"),1,0)</f>
        <v/>
      </c>
      <c r="AJ52" s="79">
        <f>IF(Y52="⚠️ Order late — install at risk",1,0)</f>
        <v/>
      </c>
    </row>
    <row r="53" ht="20" customHeight="1">
      <c r="B53" s="72" t="n"/>
      <c r="C53" s="72" t="n"/>
      <c r="D53" s="72" t="n"/>
      <c r="E53" s="72" t="n"/>
      <c r="F53" s="73" t="n"/>
      <c r="G53" s="72" t="n"/>
      <c r="H53" s="73" t="n"/>
      <c r="I53" s="72" t="n"/>
      <c r="J53" s="73" t="n"/>
      <c r="K53" s="74" t="n"/>
      <c r="L53" s="75">
        <f>IF(K53="A",F53,IF(K53="B",H53,IF(K53="C",J53,"")))</f>
        <v/>
      </c>
      <c r="M53" s="72" t="n"/>
      <c r="N53" s="72" t="n"/>
      <c r="O53" s="89" t="n"/>
      <c r="P53" s="89" t="n"/>
      <c r="Q53" s="108" t="n"/>
      <c r="R53" s="120">
        <f>IF(B53="","",IF(Q53&lt;&gt;"",Q53,IF(P53="","",IFERROR(INDEX('Timeline'!$J$7:$J$156,MATCH(P53,'Timeline'!$B$7:$B$156,0)),""))))</f>
        <v/>
      </c>
      <c r="S53" s="126">
        <f>IF(R53="","",R53-IF(O53="",0,O53)-OrderBuf)</f>
        <v/>
      </c>
      <c r="T53" s="126">
        <f>IF(S53="","",S53-DecideBuf)</f>
        <v/>
      </c>
      <c r="U53" s="74" t="n"/>
      <c r="V53" s="108" t="n"/>
      <c r="W53" s="108" t="n"/>
      <c r="X53" s="74" t="n"/>
      <c r="Y53" s="115">
        <f>IF(B53="","",IF(X53="Yes","Delivered",IF(U53="Yes",IF(AND(W53&lt;&gt;"",R53&lt;&gt;""),IF(W53&gt;R53,"⚠️ Delivery after install date","Ordered"),"Ordered"),IF(K53="",IF(T53="","Waiting for decision",IF(T53&lt;=AsOf+AlertDays,"Decide now","Waiting for decision")),IF(S53="","Selected",IF(AsOf&gt;S53,"⚠️ Order late — install at risk",IF(S53&lt;=AsOf+AlertDays,"Order now","Selected")))))))</f>
        <v/>
      </c>
      <c r="Z53" s="79">
        <f>IF(B53="","",IF(OR(AH53=1,AE53=1),2,IF(OR(AG53=1,AF53=1),1,IF(OR(Y53="Ordered",Y53="Delivered"),0,""))))</f>
        <v/>
      </c>
      <c r="AA53" s="111">
        <f>IF(B53="","",IF(AH53=1,IF(Y53="⚠️ Delivery after install date",R53,S53),IF(AD53=1,T53,IF(AI53=1,S53,""))))</f>
        <v/>
      </c>
      <c r="AB53" s="79">
        <f>IF(AA53="","",IF(AH53=1,1,IF(AA53="","",IF(AA53&lt;AsOf,1,IF(AA53&lt;=AsOf+AlertDays,2,IF(AA53&lt;=AsOf+2*AlertDays,3,""))))))</f>
        <v/>
      </c>
      <c r="AC53" s="79">
        <f>IF(AB53="","",IF(AH53=1,IF(Y53="⚠️ Delivery after install date","Delivery after install date: "&amp;B53,"Order late — install at risk: "&amp;B53),IF(AD53=1,IF(AB53=1,"Decision overdue: ","Decide: ")&amp;B53,"Order: "&amp;B53&amp;IF(N53="",""," from "&amp;N53))))</f>
        <v/>
      </c>
      <c r="AD53" s="79">
        <f>IF(AND(B53&lt;&gt;"",K53="",U53&lt;&gt;"Yes",X53&lt;&gt;"Yes"),1,0)</f>
        <v/>
      </c>
      <c r="AE53" s="79">
        <f>IF(AND(AD53=1,T53&lt;&gt;""),IF(T53&lt;AsOf,1,0),0)</f>
        <v/>
      </c>
      <c r="AF53" s="79">
        <f>IF(AND(AD53=1,T53&lt;&gt;""),IF(AND(T53&gt;=AsOf,T53&lt;=AsOf+AlertDays),1,0),0)</f>
        <v/>
      </c>
      <c r="AG53" s="79">
        <f>IF(Y53="Order now",1,0)</f>
        <v/>
      </c>
      <c r="AH53" s="79">
        <f>IF(OR(Y53="⚠️ Order late — install at risk",Y53="⚠️ Delivery after install date"),1,0)</f>
        <v/>
      </c>
      <c r="AI53" s="79">
        <f>IF(AND(B53&lt;&gt;"",K53&lt;&gt;"",U53&lt;&gt;"Yes",X53&lt;&gt;"Yes"),1,0)</f>
        <v/>
      </c>
      <c r="AJ53" s="79">
        <f>IF(Y53="⚠️ Order late — install at risk",1,0)</f>
        <v/>
      </c>
    </row>
    <row r="54" ht="20" customHeight="1">
      <c r="B54" s="72" t="n"/>
      <c r="C54" s="72" t="n"/>
      <c r="D54" s="72" t="n"/>
      <c r="E54" s="72" t="n"/>
      <c r="F54" s="73" t="n"/>
      <c r="G54" s="72" t="n"/>
      <c r="H54" s="73" t="n"/>
      <c r="I54" s="72" t="n"/>
      <c r="J54" s="73" t="n"/>
      <c r="K54" s="74" t="n"/>
      <c r="L54" s="75">
        <f>IF(K54="A",F54,IF(K54="B",H54,IF(K54="C",J54,"")))</f>
        <v/>
      </c>
      <c r="M54" s="72" t="n"/>
      <c r="N54" s="72" t="n"/>
      <c r="O54" s="89" t="n"/>
      <c r="P54" s="89" t="n"/>
      <c r="Q54" s="108" t="n"/>
      <c r="R54" s="120">
        <f>IF(B54="","",IF(Q54&lt;&gt;"",Q54,IF(P54="","",IFERROR(INDEX('Timeline'!$J$7:$J$156,MATCH(P54,'Timeline'!$B$7:$B$156,0)),""))))</f>
        <v/>
      </c>
      <c r="S54" s="126">
        <f>IF(R54="","",R54-IF(O54="",0,O54)-OrderBuf)</f>
        <v/>
      </c>
      <c r="T54" s="126">
        <f>IF(S54="","",S54-DecideBuf)</f>
        <v/>
      </c>
      <c r="U54" s="74" t="n"/>
      <c r="V54" s="108" t="n"/>
      <c r="W54" s="108" t="n"/>
      <c r="X54" s="74" t="n"/>
      <c r="Y54" s="115">
        <f>IF(B54="","",IF(X54="Yes","Delivered",IF(U54="Yes",IF(AND(W54&lt;&gt;"",R54&lt;&gt;""),IF(W54&gt;R54,"⚠️ Delivery after install date","Ordered"),"Ordered"),IF(K54="",IF(T54="","Waiting for decision",IF(T54&lt;=AsOf+AlertDays,"Decide now","Waiting for decision")),IF(S54="","Selected",IF(AsOf&gt;S54,"⚠️ Order late — install at risk",IF(S54&lt;=AsOf+AlertDays,"Order now","Selected")))))))</f>
        <v/>
      </c>
      <c r="Z54" s="79">
        <f>IF(B54="","",IF(OR(AH54=1,AE54=1),2,IF(OR(AG54=1,AF54=1),1,IF(OR(Y54="Ordered",Y54="Delivered"),0,""))))</f>
        <v/>
      </c>
      <c r="AA54" s="111">
        <f>IF(B54="","",IF(AH54=1,IF(Y54="⚠️ Delivery after install date",R54,S54),IF(AD54=1,T54,IF(AI54=1,S54,""))))</f>
        <v/>
      </c>
      <c r="AB54" s="79">
        <f>IF(AA54="","",IF(AH54=1,1,IF(AA54="","",IF(AA54&lt;AsOf,1,IF(AA54&lt;=AsOf+AlertDays,2,IF(AA54&lt;=AsOf+2*AlertDays,3,""))))))</f>
        <v/>
      </c>
      <c r="AC54" s="79">
        <f>IF(AB54="","",IF(AH54=1,IF(Y54="⚠️ Delivery after install date","Delivery after install date: "&amp;B54,"Order late — install at risk: "&amp;B54),IF(AD54=1,IF(AB54=1,"Decision overdue: ","Decide: ")&amp;B54,"Order: "&amp;B54&amp;IF(N54="",""," from "&amp;N54))))</f>
        <v/>
      </c>
      <c r="AD54" s="79">
        <f>IF(AND(B54&lt;&gt;"",K54="",U54&lt;&gt;"Yes",X54&lt;&gt;"Yes"),1,0)</f>
        <v/>
      </c>
      <c r="AE54" s="79">
        <f>IF(AND(AD54=1,T54&lt;&gt;""),IF(T54&lt;AsOf,1,0),0)</f>
        <v/>
      </c>
      <c r="AF54" s="79">
        <f>IF(AND(AD54=1,T54&lt;&gt;""),IF(AND(T54&gt;=AsOf,T54&lt;=AsOf+AlertDays),1,0),0)</f>
        <v/>
      </c>
      <c r="AG54" s="79">
        <f>IF(Y54="Order now",1,0)</f>
        <v/>
      </c>
      <c r="AH54" s="79">
        <f>IF(OR(Y54="⚠️ Order late — install at risk",Y54="⚠️ Delivery after install date"),1,0)</f>
        <v/>
      </c>
      <c r="AI54" s="79">
        <f>IF(AND(B54&lt;&gt;"",K54&lt;&gt;"",U54&lt;&gt;"Yes",X54&lt;&gt;"Yes"),1,0)</f>
        <v/>
      </c>
      <c r="AJ54" s="79">
        <f>IF(Y54="⚠️ Order late — install at risk",1,0)</f>
        <v/>
      </c>
    </row>
    <row r="55" ht="20" customHeight="1">
      <c r="B55" s="72" t="n"/>
      <c r="C55" s="72" t="n"/>
      <c r="D55" s="72" t="n"/>
      <c r="E55" s="72" t="n"/>
      <c r="F55" s="73" t="n"/>
      <c r="G55" s="72" t="n"/>
      <c r="H55" s="73" t="n"/>
      <c r="I55" s="72" t="n"/>
      <c r="J55" s="73" t="n"/>
      <c r="K55" s="74" t="n"/>
      <c r="L55" s="75">
        <f>IF(K55="A",F55,IF(K55="B",H55,IF(K55="C",J55,"")))</f>
        <v/>
      </c>
      <c r="M55" s="72" t="n"/>
      <c r="N55" s="72" t="n"/>
      <c r="O55" s="89" t="n"/>
      <c r="P55" s="89" t="n"/>
      <c r="Q55" s="108" t="n"/>
      <c r="R55" s="120">
        <f>IF(B55="","",IF(Q55&lt;&gt;"",Q55,IF(P55="","",IFERROR(INDEX('Timeline'!$J$7:$J$156,MATCH(P55,'Timeline'!$B$7:$B$156,0)),""))))</f>
        <v/>
      </c>
      <c r="S55" s="126">
        <f>IF(R55="","",R55-IF(O55="",0,O55)-OrderBuf)</f>
        <v/>
      </c>
      <c r="T55" s="126">
        <f>IF(S55="","",S55-DecideBuf)</f>
        <v/>
      </c>
      <c r="U55" s="74" t="n"/>
      <c r="V55" s="108" t="n"/>
      <c r="W55" s="108" t="n"/>
      <c r="X55" s="74" t="n"/>
      <c r="Y55" s="115">
        <f>IF(B55="","",IF(X55="Yes","Delivered",IF(U55="Yes",IF(AND(W55&lt;&gt;"",R55&lt;&gt;""),IF(W55&gt;R55,"⚠️ Delivery after install date","Ordered"),"Ordered"),IF(K55="",IF(T55="","Waiting for decision",IF(T55&lt;=AsOf+AlertDays,"Decide now","Waiting for decision")),IF(S55="","Selected",IF(AsOf&gt;S55,"⚠️ Order late — install at risk",IF(S55&lt;=AsOf+AlertDays,"Order now","Selected")))))))</f>
        <v/>
      </c>
      <c r="Z55" s="79">
        <f>IF(B55="","",IF(OR(AH55=1,AE55=1),2,IF(OR(AG55=1,AF55=1),1,IF(OR(Y55="Ordered",Y55="Delivered"),0,""))))</f>
        <v/>
      </c>
      <c r="AA55" s="111">
        <f>IF(B55="","",IF(AH55=1,IF(Y55="⚠️ Delivery after install date",R55,S55),IF(AD55=1,T55,IF(AI55=1,S55,""))))</f>
        <v/>
      </c>
      <c r="AB55" s="79">
        <f>IF(AA55="","",IF(AH55=1,1,IF(AA55="","",IF(AA55&lt;AsOf,1,IF(AA55&lt;=AsOf+AlertDays,2,IF(AA55&lt;=AsOf+2*AlertDays,3,""))))))</f>
        <v/>
      </c>
      <c r="AC55" s="79">
        <f>IF(AB55="","",IF(AH55=1,IF(Y55="⚠️ Delivery after install date","Delivery after install date: "&amp;B55,"Order late — install at risk: "&amp;B55),IF(AD55=1,IF(AB55=1,"Decision overdue: ","Decide: ")&amp;B55,"Order: "&amp;B55&amp;IF(N55="",""," from "&amp;N55))))</f>
        <v/>
      </c>
      <c r="AD55" s="79">
        <f>IF(AND(B55&lt;&gt;"",K55="",U55&lt;&gt;"Yes",X55&lt;&gt;"Yes"),1,0)</f>
        <v/>
      </c>
      <c r="AE55" s="79">
        <f>IF(AND(AD55=1,T55&lt;&gt;""),IF(T55&lt;AsOf,1,0),0)</f>
        <v/>
      </c>
      <c r="AF55" s="79">
        <f>IF(AND(AD55=1,T55&lt;&gt;""),IF(AND(T55&gt;=AsOf,T55&lt;=AsOf+AlertDays),1,0),0)</f>
        <v/>
      </c>
      <c r="AG55" s="79">
        <f>IF(Y55="Order now",1,0)</f>
        <v/>
      </c>
      <c r="AH55" s="79">
        <f>IF(OR(Y55="⚠️ Order late — install at risk",Y55="⚠️ Delivery after install date"),1,0)</f>
        <v/>
      </c>
      <c r="AI55" s="79">
        <f>IF(AND(B55&lt;&gt;"",K55&lt;&gt;"",U55&lt;&gt;"Yes",X55&lt;&gt;"Yes"),1,0)</f>
        <v/>
      </c>
      <c r="AJ55" s="79">
        <f>IF(Y55="⚠️ Order late — install at risk",1,0)</f>
        <v/>
      </c>
    </row>
    <row r="56" ht="20" customHeight="1">
      <c r="B56" s="72" t="n"/>
      <c r="C56" s="72" t="n"/>
      <c r="D56" s="72" t="n"/>
      <c r="E56" s="72" t="n"/>
      <c r="F56" s="73" t="n"/>
      <c r="G56" s="72" t="n"/>
      <c r="H56" s="73" t="n"/>
      <c r="I56" s="72" t="n"/>
      <c r="J56" s="73" t="n"/>
      <c r="K56" s="74" t="n"/>
      <c r="L56" s="75">
        <f>IF(K56="A",F56,IF(K56="B",H56,IF(K56="C",J56,"")))</f>
        <v/>
      </c>
      <c r="M56" s="72" t="n"/>
      <c r="N56" s="72" t="n"/>
      <c r="O56" s="89" t="n"/>
      <c r="P56" s="89" t="n"/>
      <c r="Q56" s="108" t="n"/>
      <c r="R56" s="120">
        <f>IF(B56="","",IF(Q56&lt;&gt;"",Q56,IF(P56="","",IFERROR(INDEX('Timeline'!$J$7:$J$156,MATCH(P56,'Timeline'!$B$7:$B$156,0)),""))))</f>
        <v/>
      </c>
      <c r="S56" s="126">
        <f>IF(R56="","",R56-IF(O56="",0,O56)-OrderBuf)</f>
        <v/>
      </c>
      <c r="T56" s="126">
        <f>IF(S56="","",S56-DecideBuf)</f>
        <v/>
      </c>
      <c r="U56" s="74" t="n"/>
      <c r="V56" s="108" t="n"/>
      <c r="W56" s="108" t="n"/>
      <c r="X56" s="74" t="n"/>
      <c r="Y56" s="115">
        <f>IF(B56="","",IF(X56="Yes","Delivered",IF(U56="Yes",IF(AND(W56&lt;&gt;"",R56&lt;&gt;""),IF(W56&gt;R56,"⚠️ Delivery after install date","Ordered"),"Ordered"),IF(K56="",IF(T56="","Waiting for decision",IF(T56&lt;=AsOf+AlertDays,"Decide now","Waiting for decision")),IF(S56="","Selected",IF(AsOf&gt;S56,"⚠️ Order late — install at risk",IF(S56&lt;=AsOf+AlertDays,"Order now","Selected")))))))</f>
        <v/>
      </c>
      <c r="Z56" s="79">
        <f>IF(B56="","",IF(OR(AH56=1,AE56=1),2,IF(OR(AG56=1,AF56=1),1,IF(OR(Y56="Ordered",Y56="Delivered"),0,""))))</f>
        <v/>
      </c>
      <c r="AA56" s="111">
        <f>IF(B56="","",IF(AH56=1,IF(Y56="⚠️ Delivery after install date",R56,S56),IF(AD56=1,T56,IF(AI56=1,S56,""))))</f>
        <v/>
      </c>
      <c r="AB56" s="79">
        <f>IF(AA56="","",IF(AH56=1,1,IF(AA56="","",IF(AA56&lt;AsOf,1,IF(AA56&lt;=AsOf+AlertDays,2,IF(AA56&lt;=AsOf+2*AlertDays,3,""))))))</f>
        <v/>
      </c>
      <c r="AC56" s="79">
        <f>IF(AB56="","",IF(AH56=1,IF(Y56="⚠️ Delivery after install date","Delivery after install date: "&amp;B56,"Order late — install at risk: "&amp;B56),IF(AD56=1,IF(AB56=1,"Decision overdue: ","Decide: ")&amp;B56,"Order: "&amp;B56&amp;IF(N56="",""," from "&amp;N56))))</f>
        <v/>
      </c>
      <c r="AD56" s="79">
        <f>IF(AND(B56&lt;&gt;"",K56="",U56&lt;&gt;"Yes",X56&lt;&gt;"Yes"),1,0)</f>
        <v/>
      </c>
      <c r="AE56" s="79">
        <f>IF(AND(AD56=1,T56&lt;&gt;""),IF(T56&lt;AsOf,1,0),0)</f>
        <v/>
      </c>
      <c r="AF56" s="79">
        <f>IF(AND(AD56=1,T56&lt;&gt;""),IF(AND(T56&gt;=AsOf,T56&lt;=AsOf+AlertDays),1,0),0)</f>
        <v/>
      </c>
      <c r="AG56" s="79">
        <f>IF(Y56="Order now",1,0)</f>
        <v/>
      </c>
      <c r="AH56" s="79">
        <f>IF(OR(Y56="⚠️ Order late — install at risk",Y56="⚠️ Delivery after install date"),1,0)</f>
        <v/>
      </c>
      <c r="AI56" s="79">
        <f>IF(AND(B56&lt;&gt;"",K56&lt;&gt;"",U56&lt;&gt;"Yes",X56&lt;&gt;"Yes"),1,0)</f>
        <v/>
      </c>
      <c r="AJ56" s="79">
        <f>IF(Y56="⚠️ Order late — install at risk",1,0)</f>
        <v/>
      </c>
    </row>
    <row r="57" ht="20" customHeight="1">
      <c r="B57" s="72" t="n"/>
      <c r="C57" s="72" t="n"/>
      <c r="D57" s="72" t="n"/>
      <c r="E57" s="72" t="n"/>
      <c r="F57" s="73" t="n"/>
      <c r="G57" s="72" t="n"/>
      <c r="H57" s="73" t="n"/>
      <c r="I57" s="72" t="n"/>
      <c r="J57" s="73" t="n"/>
      <c r="K57" s="74" t="n"/>
      <c r="L57" s="75">
        <f>IF(K57="A",F57,IF(K57="B",H57,IF(K57="C",J57,"")))</f>
        <v/>
      </c>
      <c r="M57" s="72" t="n"/>
      <c r="N57" s="72" t="n"/>
      <c r="O57" s="89" t="n"/>
      <c r="P57" s="89" t="n"/>
      <c r="Q57" s="108" t="n"/>
      <c r="R57" s="120">
        <f>IF(B57="","",IF(Q57&lt;&gt;"",Q57,IF(P57="","",IFERROR(INDEX('Timeline'!$J$7:$J$156,MATCH(P57,'Timeline'!$B$7:$B$156,0)),""))))</f>
        <v/>
      </c>
      <c r="S57" s="126">
        <f>IF(R57="","",R57-IF(O57="",0,O57)-OrderBuf)</f>
        <v/>
      </c>
      <c r="T57" s="126">
        <f>IF(S57="","",S57-DecideBuf)</f>
        <v/>
      </c>
      <c r="U57" s="74" t="n"/>
      <c r="V57" s="108" t="n"/>
      <c r="W57" s="108" t="n"/>
      <c r="X57" s="74" t="n"/>
      <c r="Y57" s="115">
        <f>IF(B57="","",IF(X57="Yes","Delivered",IF(U57="Yes",IF(AND(W57&lt;&gt;"",R57&lt;&gt;""),IF(W57&gt;R57,"⚠️ Delivery after install date","Ordered"),"Ordered"),IF(K57="",IF(T57="","Waiting for decision",IF(T57&lt;=AsOf+AlertDays,"Decide now","Waiting for decision")),IF(S57="","Selected",IF(AsOf&gt;S57,"⚠️ Order late — install at risk",IF(S57&lt;=AsOf+AlertDays,"Order now","Selected")))))))</f>
        <v/>
      </c>
      <c r="Z57" s="79">
        <f>IF(B57="","",IF(OR(AH57=1,AE57=1),2,IF(OR(AG57=1,AF57=1),1,IF(OR(Y57="Ordered",Y57="Delivered"),0,""))))</f>
        <v/>
      </c>
      <c r="AA57" s="111">
        <f>IF(B57="","",IF(AH57=1,IF(Y57="⚠️ Delivery after install date",R57,S57),IF(AD57=1,T57,IF(AI57=1,S57,""))))</f>
        <v/>
      </c>
      <c r="AB57" s="79">
        <f>IF(AA57="","",IF(AH57=1,1,IF(AA57="","",IF(AA57&lt;AsOf,1,IF(AA57&lt;=AsOf+AlertDays,2,IF(AA57&lt;=AsOf+2*AlertDays,3,""))))))</f>
        <v/>
      </c>
      <c r="AC57" s="79">
        <f>IF(AB57="","",IF(AH57=1,IF(Y57="⚠️ Delivery after install date","Delivery after install date: "&amp;B57,"Order late — install at risk: "&amp;B57),IF(AD57=1,IF(AB57=1,"Decision overdue: ","Decide: ")&amp;B57,"Order: "&amp;B57&amp;IF(N57="",""," from "&amp;N57))))</f>
        <v/>
      </c>
      <c r="AD57" s="79">
        <f>IF(AND(B57&lt;&gt;"",K57="",U57&lt;&gt;"Yes",X57&lt;&gt;"Yes"),1,0)</f>
        <v/>
      </c>
      <c r="AE57" s="79">
        <f>IF(AND(AD57=1,T57&lt;&gt;""),IF(T57&lt;AsOf,1,0),0)</f>
        <v/>
      </c>
      <c r="AF57" s="79">
        <f>IF(AND(AD57=1,T57&lt;&gt;""),IF(AND(T57&gt;=AsOf,T57&lt;=AsOf+AlertDays),1,0),0)</f>
        <v/>
      </c>
      <c r="AG57" s="79">
        <f>IF(Y57="Order now",1,0)</f>
        <v/>
      </c>
      <c r="AH57" s="79">
        <f>IF(OR(Y57="⚠️ Order late — install at risk",Y57="⚠️ Delivery after install date"),1,0)</f>
        <v/>
      </c>
      <c r="AI57" s="79">
        <f>IF(AND(B57&lt;&gt;"",K57&lt;&gt;"",U57&lt;&gt;"Yes",X57&lt;&gt;"Yes"),1,0)</f>
        <v/>
      </c>
      <c r="AJ57" s="79">
        <f>IF(Y57="⚠️ Order late — install at risk",1,0)</f>
        <v/>
      </c>
    </row>
    <row r="58" ht="20" customHeight="1">
      <c r="B58" s="72" t="n"/>
      <c r="C58" s="72" t="n"/>
      <c r="D58" s="72" t="n"/>
      <c r="E58" s="72" t="n"/>
      <c r="F58" s="73" t="n"/>
      <c r="G58" s="72" t="n"/>
      <c r="H58" s="73" t="n"/>
      <c r="I58" s="72" t="n"/>
      <c r="J58" s="73" t="n"/>
      <c r="K58" s="74" t="n"/>
      <c r="L58" s="75">
        <f>IF(K58="A",F58,IF(K58="B",H58,IF(K58="C",J58,"")))</f>
        <v/>
      </c>
      <c r="M58" s="72" t="n"/>
      <c r="N58" s="72" t="n"/>
      <c r="O58" s="89" t="n"/>
      <c r="P58" s="89" t="n"/>
      <c r="Q58" s="108" t="n"/>
      <c r="R58" s="120">
        <f>IF(B58="","",IF(Q58&lt;&gt;"",Q58,IF(P58="","",IFERROR(INDEX('Timeline'!$J$7:$J$156,MATCH(P58,'Timeline'!$B$7:$B$156,0)),""))))</f>
        <v/>
      </c>
      <c r="S58" s="126">
        <f>IF(R58="","",R58-IF(O58="",0,O58)-OrderBuf)</f>
        <v/>
      </c>
      <c r="T58" s="126">
        <f>IF(S58="","",S58-DecideBuf)</f>
        <v/>
      </c>
      <c r="U58" s="74" t="n"/>
      <c r="V58" s="108" t="n"/>
      <c r="W58" s="108" t="n"/>
      <c r="X58" s="74" t="n"/>
      <c r="Y58" s="115">
        <f>IF(B58="","",IF(X58="Yes","Delivered",IF(U58="Yes",IF(AND(W58&lt;&gt;"",R58&lt;&gt;""),IF(W58&gt;R58,"⚠️ Delivery after install date","Ordered"),"Ordered"),IF(K58="",IF(T58="","Waiting for decision",IF(T58&lt;=AsOf+AlertDays,"Decide now","Waiting for decision")),IF(S58="","Selected",IF(AsOf&gt;S58,"⚠️ Order late — install at risk",IF(S58&lt;=AsOf+AlertDays,"Order now","Selected")))))))</f>
        <v/>
      </c>
      <c r="Z58" s="79">
        <f>IF(B58="","",IF(OR(AH58=1,AE58=1),2,IF(OR(AG58=1,AF58=1),1,IF(OR(Y58="Ordered",Y58="Delivered"),0,""))))</f>
        <v/>
      </c>
      <c r="AA58" s="111">
        <f>IF(B58="","",IF(AH58=1,IF(Y58="⚠️ Delivery after install date",R58,S58),IF(AD58=1,T58,IF(AI58=1,S58,""))))</f>
        <v/>
      </c>
      <c r="AB58" s="79">
        <f>IF(AA58="","",IF(AH58=1,1,IF(AA58="","",IF(AA58&lt;AsOf,1,IF(AA58&lt;=AsOf+AlertDays,2,IF(AA58&lt;=AsOf+2*AlertDays,3,""))))))</f>
        <v/>
      </c>
      <c r="AC58" s="79">
        <f>IF(AB58="","",IF(AH58=1,IF(Y58="⚠️ Delivery after install date","Delivery after install date: "&amp;B58,"Order late — install at risk: "&amp;B58),IF(AD58=1,IF(AB58=1,"Decision overdue: ","Decide: ")&amp;B58,"Order: "&amp;B58&amp;IF(N58="",""," from "&amp;N58))))</f>
        <v/>
      </c>
      <c r="AD58" s="79">
        <f>IF(AND(B58&lt;&gt;"",K58="",U58&lt;&gt;"Yes",X58&lt;&gt;"Yes"),1,0)</f>
        <v/>
      </c>
      <c r="AE58" s="79">
        <f>IF(AND(AD58=1,T58&lt;&gt;""),IF(T58&lt;AsOf,1,0),0)</f>
        <v/>
      </c>
      <c r="AF58" s="79">
        <f>IF(AND(AD58=1,T58&lt;&gt;""),IF(AND(T58&gt;=AsOf,T58&lt;=AsOf+AlertDays),1,0),0)</f>
        <v/>
      </c>
      <c r="AG58" s="79">
        <f>IF(Y58="Order now",1,0)</f>
        <v/>
      </c>
      <c r="AH58" s="79">
        <f>IF(OR(Y58="⚠️ Order late — install at risk",Y58="⚠️ Delivery after install date"),1,0)</f>
        <v/>
      </c>
      <c r="AI58" s="79">
        <f>IF(AND(B58&lt;&gt;"",K58&lt;&gt;"",U58&lt;&gt;"Yes",X58&lt;&gt;"Yes"),1,0)</f>
        <v/>
      </c>
      <c r="AJ58" s="79">
        <f>IF(Y58="⚠️ Order late — install at risk",1,0)</f>
        <v/>
      </c>
    </row>
    <row r="59" ht="20" customHeight="1">
      <c r="B59" s="72" t="n"/>
      <c r="C59" s="72" t="n"/>
      <c r="D59" s="72" t="n"/>
      <c r="E59" s="72" t="n"/>
      <c r="F59" s="73" t="n"/>
      <c r="G59" s="72" t="n"/>
      <c r="H59" s="73" t="n"/>
      <c r="I59" s="72" t="n"/>
      <c r="J59" s="73" t="n"/>
      <c r="K59" s="74" t="n"/>
      <c r="L59" s="75">
        <f>IF(K59="A",F59,IF(K59="B",H59,IF(K59="C",J59,"")))</f>
        <v/>
      </c>
      <c r="M59" s="72" t="n"/>
      <c r="N59" s="72" t="n"/>
      <c r="O59" s="89" t="n"/>
      <c r="P59" s="89" t="n"/>
      <c r="Q59" s="108" t="n"/>
      <c r="R59" s="120">
        <f>IF(B59="","",IF(Q59&lt;&gt;"",Q59,IF(P59="","",IFERROR(INDEX('Timeline'!$J$7:$J$156,MATCH(P59,'Timeline'!$B$7:$B$156,0)),""))))</f>
        <v/>
      </c>
      <c r="S59" s="126">
        <f>IF(R59="","",R59-IF(O59="",0,O59)-OrderBuf)</f>
        <v/>
      </c>
      <c r="T59" s="126">
        <f>IF(S59="","",S59-DecideBuf)</f>
        <v/>
      </c>
      <c r="U59" s="74" t="n"/>
      <c r="V59" s="108" t="n"/>
      <c r="W59" s="108" t="n"/>
      <c r="X59" s="74" t="n"/>
      <c r="Y59" s="115">
        <f>IF(B59="","",IF(X59="Yes","Delivered",IF(U59="Yes",IF(AND(W59&lt;&gt;"",R59&lt;&gt;""),IF(W59&gt;R59,"⚠️ Delivery after install date","Ordered"),"Ordered"),IF(K59="",IF(T59="","Waiting for decision",IF(T59&lt;=AsOf+AlertDays,"Decide now","Waiting for decision")),IF(S59="","Selected",IF(AsOf&gt;S59,"⚠️ Order late — install at risk",IF(S59&lt;=AsOf+AlertDays,"Order now","Selected")))))))</f>
        <v/>
      </c>
      <c r="Z59" s="79">
        <f>IF(B59="","",IF(OR(AH59=1,AE59=1),2,IF(OR(AG59=1,AF59=1),1,IF(OR(Y59="Ordered",Y59="Delivered"),0,""))))</f>
        <v/>
      </c>
      <c r="AA59" s="111">
        <f>IF(B59="","",IF(AH59=1,IF(Y59="⚠️ Delivery after install date",R59,S59),IF(AD59=1,T59,IF(AI59=1,S59,""))))</f>
        <v/>
      </c>
      <c r="AB59" s="79">
        <f>IF(AA59="","",IF(AH59=1,1,IF(AA59="","",IF(AA59&lt;AsOf,1,IF(AA59&lt;=AsOf+AlertDays,2,IF(AA59&lt;=AsOf+2*AlertDays,3,""))))))</f>
        <v/>
      </c>
      <c r="AC59" s="79">
        <f>IF(AB59="","",IF(AH59=1,IF(Y59="⚠️ Delivery after install date","Delivery after install date: "&amp;B59,"Order late — install at risk: "&amp;B59),IF(AD59=1,IF(AB59=1,"Decision overdue: ","Decide: ")&amp;B59,"Order: "&amp;B59&amp;IF(N59="",""," from "&amp;N59))))</f>
        <v/>
      </c>
      <c r="AD59" s="79">
        <f>IF(AND(B59&lt;&gt;"",K59="",U59&lt;&gt;"Yes",X59&lt;&gt;"Yes"),1,0)</f>
        <v/>
      </c>
      <c r="AE59" s="79">
        <f>IF(AND(AD59=1,T59&lt;&gt;""),IF(T59&lt;AsOf,1,0),0)</f>
        <v/>
      </c>
      <c r="AF59" s="79">
        <f>IF(AND(AD59=1,T59&lt;&gt;""),IF(AND(T59&gt;=AsOf,T59&lt;=AsOf+AlertDays),1,0),0)</f>
        <v/>
      </c>
      <c r="AG59" s="79">
        <f>IF(Y59="Order now",1,0)</f>
        <v/>
      </c>
      <c r="AH59" s="79">
        <f>IF(OR(Y59="⚠️ Order late — install at risk",Y59="⚠️ Delivery after install date"),1,0)</f>
        <v/>
      </c>
      <c r="AI59" s="79">
        <f>IF(AND(B59&lt;&gt;"",K59&lt;&gt;"",U59&lt;&gt;"Yes",X59&lt;&gt;"Yes"),1,0)</f>
        <v/>
      </c>
      <c r="AJ59" s="79">
        <f>IF(Y59="⚠️ Order late — install at risk",1,0)</f>
        <v/>
      </c>
    </row>
    <row r="60" ht="20" customHeight="1">
      <c r="B60" s="72" t="n"/>
      <c r="C60" s="72" t="n"/>
      <c r="D60" s="72" t="n"/>
      <c r="E60" s="72" t="n"/>
      <c r="F60" s="73" t="n"/>
      <c r="G60" s="72" t="n"/>
      <c r="H60" s="73" t="n"/>
      <c r="I60" s="72" t="n"/>
      <c r="J60" s="73" t="n"/>
      <c r="K60" s="74" t="n"/>
      <c r="L60" s="75">
        <f>IF(K60="A",F60,IF(K60="B",H60,IF(K60="C",J60,"")))</f>
        <v/>
      </c>
      <c r="M60" s="72" t="n"/>
      <c r="N60" s="72" t="n"/>
      <c r="O60" s="89" t="n"/>
      <c r="P60" s="89" t="n"/>
      <c r="Q60" s="108" t="n"/>
      <c r="R60" s="120">
        <f>IF(B60="","",IF(Q60&lt;&gt;"",Q60,IF(P60="","",IFERROR(INDEX('Timeline'!$J$7:$J$156,MATCH(P60,'Timeline'!$B$7:$B$156,0)),""))))</f>
        <v/>
      </c>
      <c r="S60" s="126">
        <f>IF(R60="","",R60-IF(O60="",0,O60)-OrderBuf)</f>
        <v/>
      </c>
      <c r="T60" s="126">
        <f>IF(S60="","",S60-DecideBuf)</f>
        <v/>
      </c>
      <c r="U60" s="74" t="n"/>
      <c r="V60" s="108" t="n"/>
      <c r="W60" s="108" t="n"/>
      <c r="X60" s="74" t="n"/>
      <c r="Y60" s="115">
        <f>IF(B60="","",IF(X60="Yes","Delivered",IF(U60="Yes",IF(AND(W60&lt;&gt;"",R60&lt;&gt;""),IF(W60&gt;R60,"⚠️ Delivery after install date","Ordered"),"Ordered"),IF(K60="",IF(T60="","Waiting for decision",IF(T60&lt;=AsOf+AlertDays,"Decide now","Waiting for decision")),IF(S60="","Selected",IF(AsOf&gt;S60,"⚠️ Order late — install at risk",IF(S60&lt;=AsOf+AlertDays,"Order now","Selected")))))))</f>
        <v/>
      </c>
      <c r="Z60" s="79">
        <f>IF(B60="","",IF(OR(AH60=1,AE60=1),2,IF(OR(AG60=1,AF60=1),1,IF(OR(Y60="Ordered",Y60="Delivered"),0,""))))</f>
        <v/>
      </c>
      <c r="AA60" s="111">
        <f>IF(B60="","",IF(AH60=1,IF(Y60="⚠️ Delivery after install date",R60,S60),IF(AD60=1,T60,IF(AI60=1,S60,""))))</f>
        <v/>
      </c>
      <c r="AB60" s="79">
        <f>IF(AA60="","",IF(AH60=1,1,IF(AA60="","",IF(AA60&lt;AsOf,1,IF(AA60&lt;=AsOf+AlertDays,2,IF(AA60&lt;=AsOf+2*AlertDays,3,""))))))</f>
        <v/>
      </c>
      <c r="AC60" s="79">
        <f>IF(AB60="","",IF(AH60=1,IF(Y60="⚠️ Delivery after install date","Delivery after install date: "&amp;B60,"Order late — install at risk: "&amp;B60),IF(AD60=1,IF(AB60=1,"Decision overdue: ","Decide: ")&amp;B60,"Order: "&amp;B60&amp;IF(N60="",""," from "&amp;N60))))</f>
        <v/>
      </c>
      <c r="AD60" s="79">
        <f>IF(AND(B60&lt;&gt;"",K60="",U60&lt;&gt;"Yes",X60&lt;&gt;"Yes"),1,0)</f>
        <v/>
      </c>
      <c r="AE60" s="79">
        <f>IF(AND(AD60=1,T60&lt;&gt;""),IF(T60&lt;AsOf,1,0),0)</f>
        <v/>
      </c>
      <c r="AF60" s="79">
        <f>IF(AND(AD60=1,T60&lt;&gt;""),IF(AND(T60&gt;=AsOf,T60&lt;=AsOf+AlertDays),1,0),0)</f>
        <v/>
      </c>
      <c r="AG60" s="79">
        <f>IF(Y60="Order now",1,0)</f>
        <v/>
      </c>
      <c r="AH60" s="79">
        <f>IF(OR(Y60="⚠️ Order late — install at risk",Y60="⚠️ Delivery after install date"),1,0)</f>
        <v/>
      </c>
      <c r="AI60" s="79">
        <f>IF(AND(B60&lt;&gt;"",K60&lt;&gt;"",U60&lt;&gt;"Yes",X60&lt;&gt;"Yes"),1,0)</f>
        <v/>
      </c>
      <c r="AJ60" s="79">
        <f>IF(Y60="⚠️ Order late — install at risk",1,0)</f>
        <v/>
      </c>
    </row>
    <row r="61" ht="20" customHeight="1">
      <c r="B61" s="72" t="n"/>
      <c r="C61" s="72" t="n"/>
      <c r="D61" s="72" t="n"/>
      <c r="E61" s="72" t="n"/>
      <c r="F61" s="73" t="n"/>
      <c r="G61" s="72" t="n"/>
      <c r="H61" s="73" t="n"/>
      <c r="I61" s="72" t="n"/>
      <c r="J61" s="73" t="n"/>
      <c r="K61" s="74" t="n"/>
      <c r="L61" s="75">
        <f>IF(K61="A",F61,IF(K61="B",H61,IF(K61="C",J61,"")))</f>
        <v/>
      </c>
      <c r="M61" s="72" t="n"/>
      <c r="N61" s="72" t="n"/>
      <c r="O61" s="89" t="n"/>
      <c r="P61" s="89" t="n"/>
      <c r="Q61" s="108" t="n"/>
      <c r="R61" s="120">
        <f>IF(B61="","",IF(Q61&lt;&gt;"",Q61,IF(P61="","",IFERROR(INDEX('Timeline'!$J$7:$J$156,MATCH(P61,'Timeline'!$B$7:$B$156,0)),""))))</f>
        <v/>
      </c>
      <c r="S61" s="126">
        <f>IF(R61="","",R61-IF(O61="",0,O61)-OrderBuf)</f>
        <v/>
      </c>
      <c r="T61" s="126">
        <f>IF(S61="","",S61-DecideBuf)</f>
        <v/>
      </c>
      <c r="U61" s="74" t="n"/>
      <c r="V61" s="108" t="n"/>
      <c r="W61" s="108" t="n"/>
      <c r="X61" s="74" t="n"/>
      <c r="Y61" s="115">
        <f>IF(B61="","",IF(X61="Yes","Delivered",IF(U61="Yes",IF(AND(W61&lt;&gt;"",R61&lt;&gt;""),IF(W61&gt;R61,"⚠️ Delivery after install date","Ordered"),"Ordered"),IF(K61="",IF(T61="","Waiting for decision",IF(T61&lt;=AsOf+AlertDays,"Decide now","Waiting for decision")),IF(S61="","Selected",IF(AsOf&gt;S61,"⚠️ Order late — install at risk",IF(S61&lt;=AsOf+AlertDays,"Order now","Selected")))))))</f>
        <v/>
      </c>
      <c r="Z61" s="79">
        <f>IF(B61="","",IF(OR(AH61=1,AE61=1),2,IF(OR(AG61=1,AF61=1),1,IF(OR(Y61="Ordered",Y61="Delivered"),0,""))))</f>
        <v/>
      </c>
      <c r="AA61" s="111">
        <f>IF(B61="","",IF(AH61=1,IF(Y61="⚠️ Delivery after install date",R61,S61),IF(AD61=1,T61,IF(AI61=1,S61,""))))</f>
        <v/>
      </c>
      <c r="AB61" s="79">
        <f>IF(AA61="","",IF(AH61=1,1,IF(AA61="","",IF(AA61&lt;AsOf,1,IF(AA61&lt;=AsOf+AlertDays,2,IF(AA61&lt;=AsOf+2*AlertDays,3,""))))))</f>
        <v/>
      </c>
      <c r="AC61" s="79">
        <f>IF(AB61="","",IF(AH61=1,IF(Y61="⚠️ Delivery after install date","Delivery after install date: "&amp;B61,"Order late — install at risk: "&amp;B61),IF(AD61=1,IF(AB61=1,"Decision overdue: ","Decide: ")&amp;B61,"Order: "&amp;B61&amp;IF(N61="",""," from "&amp;N61))))</f>
        <v/>
      </c>
      <c r="AD61" s="79">
        <f>IF(AND(B61&lt;&gt;"",K61="",U61&lt;&gt;"Yes",X61&lt;&gt;"Yes"),1,0)</f>
        <v/>
      </c>
      <c r="AE61" s="79">
        <f>IF(AND(AD61=1,T61&lt;&gt;""),IF(T61&lt;AsOf,1,0),0)</f>
        <v/>
      </c>
      <c r="AF61" s="79">
        <f>IF(AND(AD61=1,T61&lt;&gt;""),IF(AND(T61&gt;=AsOf,T61&lt;=AsOf+AlertDays),1,0),0)</f>
        <v/>
      </c>
      <c r="AG61" s="79">
        <f>IF(Y61="Order now",1,0)</f>
        <v/>
      </c>
      <c r="AH61" s="79">
        <f>IF(OR(Y61="⚠️ Order late — install at risk",Y61="⚠️ Delivery after install date"),1,0)</f>
        <v/>
      </c>
      <c r="AI61" s="79">
        <f>IF(AND(B61&lt;&gt;"",K61&lt;&gt;"",U61&lt;&gt;"Yes",X61&lt;&gt;"Yes"),1,0)</f>
        <v/>
      </c>
      <c r="AJ61" s="79">
        <f>IF(Y61="⚠️ Order late — install at risk",1,0)</f>
        <v/>
      </c>
    </row>
    <row r="62" ht="20" customHeight="1">
      <c r="B62" s="72" t="n"/>
      <c r="C62" s="72" t="n"/>
      <c r="D62" s="72" t="n"/>
      <c r="E62" s="72" t="n"/>
      <c r="F62" s="73" t="n"/>
      <c r="G62" s="72" t="n"/>
      <c r="H62" s="73" t="n"/>
      <c r="I62" s="72" t="n"/>
      <c r="J62" s="73" t="n"/>
      <c r="K62" s="74" t="n"/>
      <c r="L62" s="75">
        <f>IF(K62="A",F62,IF(K62="B",H62,IF(K62="C",J62,"")))</f>
        <v/>
      </c>
      <c r="M62" s="72" t="n"/>
      <c r="N62" s="72" t="n"/>
      <c r="O62" s="89" t="n"/>
      <c r="P62" s="89" t="n"/>
      <c r="Q62" s="108" t="n"/>
      <c r="R62" s="120">
        <f>IF(B62="","",IF(Q62&lt;&gt;"",Q62,IF(P62="","",IFERROR(INDEX('Timeline'!$J$7:$J$156,MATCH(P62,'Timeline'!$B$7:$B$156,0)),""))))</f>
        <v/>
      </c>
      <c r="S62" s="126">
        <f>IF(R62="","",R62-IF(O62="",0,O62)-OrderBuf)</f>
        <v/>
      </c>
      <c r="T62" s="126">
        <f>IF(S62="","",S62-DecideBuf)</f>
        <v/>
      </c>
      <c r="U62" s="74" t="n"/>
      <c r="V62" s="108" t="n"/>
      <c r="W62" s="108" t="n"/>
      <c r="X62" s="74" t="n"/>
      <c r="Y62" s="115">
        <f>IF(B62="","",IF(X62="Yes","Delivered",IF(U62="Yes",IF(AND(W62&lt;&gt;"",R62&lt;&gt;""),IF(W62&gt;R62,"⚠️ Delivery after install date","Ordered"),"Ordered"),IF(K62="",IF(T62="","Waiting for decision",IF(T62&lt;=AsOf+AlertDays,"Decide now","Waiting for decision")),IF(S62="","Selected",IF(AsOf&gt;S62,"⚠️ Order late — install at risk",IF(S62&lt;=AsOf+AlertDays,"Order now","Selected")))))))</f>
        <v/>
      </c>
      <c r="Z62" s="79">
        <f>IF(B62="","",IF(OR(AH62=1,AE62=1),2,IF(OR(AG62=1,AF62=1),1,IF(OR(Y62="Ordered",Y62="Delivered"),0,""))))</f>
        <v/>
      </c>
      <c r="AA62" s="111">
        <f>IF(B62="","",IF(AH62=1,IF(Y62="⚠️ Delivery after install date",R62,S62),IF(AD62=1,T62,IF(AI62=1,S62,""))))</f>
        <v/>
      </c>
      <c r="AB62" s="79">
        <f>IF(AA62="","",IF(AH62=1,1,IF(AA62="","",IF(AA62&lt;AsOf,1,IF(AA62&lt;=AsOf+AlertDays,2,IF(AA62&lt;=AsOf+2*AlertDays,3,""))))))</f>
        <v/>
      </c>
      <c r="AC62" s="79">
        <f>IF(AB62="","",IF(AH62=1,IF(Y62="⚠️ Delivery after install date","Delivery after install date: "&amp;B62,"Order late — install at risk: "&amp;B62),IF(AD62=1,IF(AB62=1,"Decision overdue: ","Decide: ")&amp;B62,"Order: "&amp;B62&amp;IF(N62="",""," from "&amp;N62))))</f>
        <v/>
      </c>
      <c r="AD62" s="79">
        <f>IF(AND(B62&lt;&gt;"",K62="",U62&lt;&gt;"Yes",X62&lt;&gt;"Yes"),1,0)</f>
        <v/>
      </c>
      <c r="AE62" s="79">
        <f>IF(AND(AD62=1,T62&lt;&gt;""),IF(T62&lt;AsOf,1,0),0)</f>
        <v/>
      </c>
      <c r="AF62" s="79">
        <f>IF(AND(AD62=1,T62&lt;&gt;""),IF(AND(T62&gt;=AsOf,T62&lt;=AsOf+AlertDays),1,0),0)</f>
        <v/>
      </c>
      <c r="AG62" s="79">
        <f>IF(Y62="Order now",1,0)</f>
        <v/>
      </c>
      <c r="AH62" s="79">
        <f>IF(OR(Y62="⚠️ Order late — install at risk",Y62="⚠️ Delivery after install date"),1,0)</f>
        <v/>
      </c>
      <c r="AI62" s="79">
        <f>IF(AND(B62&lt;&gt;"",K62&lt;&gt;"",U62&lt;&gt;"Yes",X62&lt;&gt;"Yes"),1,0)</f>
        <v/>
      </c>
      <c r="AJ62" s="79">
        <f>IF(Y62="⚠️ Order late — install at risk",1,0)</f>
        <v/>
      </c>
    </row>
    <row r="63" ht="20" customHeight="1">
      <c r="B63" s="72" t="n"/>
      <c r="C63" s="72" t="n"/>
      <c r="D63" s="72" t="n"/>
      <c r="E63" s="72" t="n"/>
      <c r="F63" s="73" t="n"/>
      <c r="G63" s="72" t="n"/>
      <c r="H63" s="73" t="n"/>
      <c r="I63" s="72" t="n"/>
      <c r="J63" s="73" t="n"/>
      <c r="K63" s="74" t="n"/>
      <c r="L63" s="75">
        <f>IF(K63="A",F63,IF(K63="B",H63,IF(K63="C",J63,"")))</f>
        <v/>
      </c>
      <c r="M63" s="72" t="n"/>
      <c r="N63" s="72" t="n"/>
      <c r="O63" s="89" t="n"/>
      <c r="P63" s="89" t="n"/>
      <c r="Q63" s="108" t="n"/>
      <c r="R63" s="120">
        <f>IF(B63="","",IF(Q63&lt;&gt;"",Q63,IF(P63="","",IFERROR(INDEX('Timeline'!$J$7:$J$156,MATCH(P63,'Timeline'!$B$7:$B$156,0)),""))))</f>
        <v/>
      </c>
      <c r="S63" s="126">
        <f>IF(R63="","",R63-IF(O63="",0,O63)-OrderBuf)</f>
        <v/>
      </c>
      <c r="T63" s="126">
        <f>IF(S63="","",S63-DecideBuf)</f>
        <v/>
      </c>
      <c r="U63" s="74" t="n"/>
      <c r="V63" s="108" t="n"/>
      <c r="W63" s="108" t="n"/>
      <c r="X63" s="74" t="n"/>
      <c r="Y63" s="115">
        <f>IF(B63="","",IF(X63="Yes","Delivered",IF(U63="Yes",IF(AND(W63&lt;&gt;"",R63&lt;&gt;""),IF(W63&gt;R63,"⚠️ Delivery after install date","Ordered"),"Ordered"),IF(K63="",IF(T63="","Waiting for decision",IF(T63&lt;=AsOf+AlertDays,"Decide now","Waiting for decision")),IF(S63="","Selected",IF(AsOf&gt;S63,"⚠️ Order late — install at risk",IF(S63&lt;=AsOf+AlertDays,"Order now","Selected")))))))</f>
        <v/>
      </c>
      <c r="Z63" s="79">
        <f>IF(B63="","",IF(OR(AH63=1,AE63=1),2,IF(OR(AG63=1,AF63=1),1,IF(OR(Y63="Ordered",Y63="Delivered"),0,""))))</f>
        <v/>
      </c>
      <c r="AA63" s="111">
        <f>IF(B63="","",IF(AH63=1,IF(Y63="⚠️ Delivery after install date",R63,S63),IF(AD63=1,T63,IF(AI63=1,S63,""))))</f>
        <v/>
      </c>
      <c r="AB63" s="79">
        <f>IF(AA63="","",IF(AH63=1,1,IF(AA63="","",IF(AA63&lt;AsOf,1,IF(AA63&lt;=AsOf+AlertDays,2,IF(AA63&lt;=AsOf+2*AlertDays,3,""))))))</f>
        <v/>
      </c>
      <c r="AC63" s="79">
        <f>IF(AB63="","",IF(AH63=1,IF(Y63="⚠️ Delivery after install date","Delivery after install date: "&amp;B63,"Order late — install at risk: "&amp;B63),IF(AD63=1,IF(AB63=1,"Decision overdue: ","Decide: ")&amp;B63,"Order: "&amp;B63&amp;IF(N63="",""," from "&amp;N63))))</f>
        <v/>
      </c>
      <c r="AD63" s="79">
        <f>IF(AND(B63&lt;&gt;"",K63="",U63&lt;&gt;"Yes",X63&lt;&gt;"Yes"),1,0)</f>
        <v/>
      </c>
      <c r="AE63" s="79">
        <f>IF(AND(AD63=1,T63&lt;&gt;""),IF(T63&lt;AsOf,1,0),0)</f>
        <v/>
      </c>
      <c r="AF63" s="79">
        <f>IF(AND(AD63=1,T63&lt;&gt;""),IF(AND(T63&gt;=AsOf,T63&lt;=AsOf+AlertDays),1,0),0)</f>
        <v/>
      </c>
      <c r="AG63" s="79">
        <f>IF(Y63="Order now",1,0)</f>
        <v/>
      </c>
      <c r="AH63" s="79">
        <f>IF(OR(Y63="⚠️ Order late — install at risk",Y63="⚠️ Delivery after install date"),1,0)</f>
        <v/>
      </c>
      <c r="AI63" s="79">
        <f>IF(AND(B63&lt;&gt;"",K63&lt;&gt;"",U63&lt;&gt;"Yes",X63&lt;&gt;"Yes"),1,0)</f>
        <v/>
      </c>
      <c r="AJ63" s="79">
        <f>IF(Y63="⚠️ Order late — install at risk",1,0)</f>
        <v/>
      </c>
    </row>
    <row r="64" ht="20" customHeight="1">
      <c r="B64" s="72" t="n"/>
      <c r="C64" s="72" t="n"/>
      <c r="D64" s="72" t="n"/>
      <c r="E64" s="72" t="n"/>
      <c r="F64" s="73" t="n"/>
      <c r="G64" s="72" t="n"/>
      <c r="H64" s="73" t="n"/>
      <c r="I64" s="72" t="n"/>
      <c r="J64" s="73" t="n"/>
      <c r="K64" s="74" t="n"/>
      <c r="L64" s="75">
        <f>IF(K64="A",F64,IF(K64="B",H64,IF(K64="C",J64,"")))</f>
        <v/>
      </c>
      <c r="M64" s="72" t="n"/>
      <c r="N64" s="72" t="n"/>
      <c r="O64" s="89" t="n"/>
      <c r="P64" s="89" t="n"/>
      <c r="Q64" s="108" t="n"/>
      <c r="R64" s="120">
        <f>IF(B64="","",IF(Q64&lt;&gt;"",Q64,IF(P64="","",IFERROR(INDEX('Timeline'!$J$7:$J$156,MATCH(P64,'Timeline'!$B$7:$B$156,0)),""))))</f>
        <v/>
      </c>
      <c r="S64" s="126">
        <f>IF(R64="","",R64-IF(O64="",0,O64)-OrderBuf)</f>
        <v/>
      </c>
      <c r="T64" s="126">
        <f>IF(S64="","",S64-DecideBuf)</f>
        <v/>
      </c>
      <c r="U64" s="74" t="n"/>
      <c r="V64" s="108" t="n"/>
      <c r="W64" s="108" t="n"/>
      <c r="X64" s="74" t="n"/>
      <c r="Y64" s="115">
        <f>IF(B64="","",IF(X64="Yes","Delivered",IF(U64="Yes",IF(AND(W64&lt;&gt;"",R64&lt;&gt;""),IF(W64&gt;R64,"⚠️ Delivery after install date","Ordered"),"Ordered"),IF(K64="",IF(T64="","Waiting for decision",IF(T64&lt;=AsOf+AlertDays,"Decide now","Waiting for decision")),IF(S64="","Selected",IF(AsOf&gt;S64,"⚠️ Order late — install at risk",IF(S64&lt;=AsOf+AlertDays,"Order now","Selected")))))))</f>
        <v/>
      </c>
      <c r="Z64" s="79">
        <f>IF(B64="","",IF(OR(AH64=1,AE64=1),2,IF(OR(AG64=1,AF64=1),1,IF(OR(Y64="Ordered",Y64="Delivered"),0,""))))</f>
        <v/>
      </c>
      <c r="AA64" s="111">
        <f>IF(B64="","",IF(AH64=1,IF(Y64="⚠️ Delivery after install date",R64,S64),IF(AD64=1,T64,IF(AI64=1,S64,""))))</f>
        <v/>
      </c>
      <c r="AB64" s="79">
        <f>IF(AA64="","",IF(AH64=1,1,IF(AA64="","",IF(AA64&lt;AsOf,1,IF(AA64&lt;=AsOf+AlertDays,2,IF(AA64&lt;=AsOf+2*AlertDays,3,""))))))</f>
        <v/>
      </c>
      <c r="AC64" s="79">
        <f>IF(AB64="","",IF(AH64=1,IF(Y64="⚠️ Delivery after install date","Delivery after install date: "&amp;B64,"Order late — install at risk: "&amp;B64),IF(AD64=1,IF(AB64=1,"Decision overdue: ","Decide: ")&amp;B64,"Order: "&amp;B64&amp;IF(N64="",""," from "&amp;N64))))</f>
        <v/>
      </c>
      <c r="AD64" s="79">
        <f>IF(AND(B64&lt;&gt;"",K64="",U64&lt;&gt;"Yes",X64&lt;&gt;"Yes"),1,0)</f>
        <v/>
      </c>
      <c r="AE64" s="79">
        <f>IF(AND(AD64=1,T64&lt;&gt;""),IF(T64&lt;AsOf,1,0),0)</f>
        <v/>
      </c>
      <c r="AF64" s="79">
        <f>IF(AND(AD64=1,T64&lt;&gt;""),IF(AND(T64&gt;=AsOf,T64&lt;=AsOf+AlertDays),1,0),0)</f>
        <v/>
      </c>
      <c r="AG64" s="79">
        <f>IF(Y64="Order now",1,0)</f>
        <v/>
      </c>
      <c r="AH64" s="79">
        <f>IF(OR(Y64="⚠️ Order late — install at risk",Y64="⚠️ Delivery after install date"),1,0)</f>
        <v/>
      </c>
      <c r="AI64" s="79">
        <f>IF(AND(B64&lt;&gt;"",K64&lt;&gt;"",U64&lt;&gt;"Yes",X64&lt;&gt;"Yes"),1,0)</f>
        <v/>
      </c>
      <c r="AJ64" s="79">
        <f>IF(Y64="⚠️ Order late — install at risk",1,0)</f>
        <v/>
      </c>
    </row>
    <row r="65" ht="20" customHeight="1">
      <c r="B65" s="72" t="n"/>
      <c r="C65" s="72" t="n"/>
      <c r="D65" s="72" t="n"/>
      <c r="E65" s="72" t="n"/>
      <c r="F65" s="73" t="n"/>
      <c r="G65" s="72" t="n"/>
      <c r="H65" s="73" t="n"/>
      <c r="I65" s="72" t="n"/>
      <c r="J65" s="73" t="n"/>
      <c r="K65" s="74" t="n"/>
      <c r="L65" s="75">
        <f>IF(K65="A",F65,IF(K65="B",H65,IF(K65="C",J65,"")))</f>
        <v/>
      </c>
      <c r="M65" s="72" t="n"/>
      <c r="N65" s="72" t="n"/>
      <c r="O65" s="89" t="n"/>
      <c r="P65" s="89" t="n"/>
      <c r="Q65" s="108" t="n"/>
      <c r="R65" s="120">
        <f>IF(B65="","",IF(Q65&lt;&gt;"",Q65,IF(P65="","",IFERROR(INDEX('Timeline'!$J$7:$J$156,MATCH(P65,'Timeline'!$B$7:$B$156,0)),""))))</f>
        <v/>
      </c>
      <c r="S65" s="126">
        <f>IF(R65="","",R65-IF(O65="",0,O65)-OrderBuf)</f>
        <v/>
      </c>
      <c r="T65" s="126">
        <f>IF(S65="","",S65-DecideBuf)</f>
        <v/>
      </c>
      <c r="U65" s="74" t="n"/>
      <c r="V65" s="108" t="n"/>
      <c r="W65" s="108" t="n"/>
      <c r="X65" s="74" t="n"/>
      <c r="Y65" s="115">
        <f>IF(B65="","",IF(X65="Yes","Delivered",IF(U65="Yes",IF(AND(W65&lt;&gt;"",R65&lt;&gt;""),IF(W65&gt;R65,"⚠️ Delivery after install date","Ordered"),"Ordered"),IF(K65="",IF(T65="","Waiting for decision",IF(T65&lt;=AsOf+AlertDays,"Decide now","Waiting for decision")),IF(S65="","Selected",IF(AsOf&gt;S65,"⚠️ Order late — install at risk",IF(S65&lt;=AsOf+AlertDays,"Order now","Selected")))))))</f>
        <v/>
      </c>
      <c r="Z65" s="79">
        <f>IF(B65="","",IF(OR(AH65=1,AE65=1),2,IF(OR(AG65=1,AF65=1),1,IF(OR(Y65="Ordered",Y65="Delivered"),0,""))))</f>
        <v/>
      </c>
      <c r="AA65" s="111">
        <f>IF(B65="","",IF(AH65=1,IF(Y65="⚠️ Delivery after install date",R65,S65),IF(AD65=1,T65,IF(AI65=1,S65,""))))</f>
        <v/>
      </c>
      <c r="AB65" s="79">
        <f>IF(AA65="","",IF(AH65=1,1,IF(AA65="","",IF(AA65&lt;AsOf,1,IF(AA65&lt;=AsOf+AlertDays,2,IF(AA65&lt;=AsOf+2*AlertDays,3,""))))))</f>
        <v/>
      </c>
      <c r="AC65" s="79">
        <f>IF(AB65="","",IF(AH65=1,IF(Y65="⚠️ Delivery after install date","Delivery after install date: "&amp;B65,"Order late — install at risk: "&amp;B65),IF(AD65=1,IF(AB65=1,"Decision overdue: ","Decide: ")&amp;B65,"Order: "&amp;B65&amp;IF(N65="",""," from "&amp;N65))))</f>
        <v/>
      </c>
      <c r="AD65" s="79">
        <f>IF(AND(B65&lt;&gt;"",K65="",U65&lt;&gt;"Yes",X65&lt;&gt;"Yes"),1,0)</f>
        <v/>
      </c>
      <c r="AE65" s="79">
        <f>IF(AND(AD65=1,T65&lt;&gt;""),IF(T65&lt;AsOf,1,0),0)</f>
        <v/>
      </c>
      <c r="AF65" s="79">
        <f>IF(AND(AD65=1,T65&lt;&gt;""),IF(AND(T65&gt;=AsOf,T65&lt;=AsOf+AlertDays),1,0),0)</f>
        <v/>
      </c>
      <c r="AG65" s="79">
        <f>IF(Y65="Order now",1,0)</f>
        <v/>
      </c>
      <c r="AH65" s="79">
        <f>IF(OR(Y65="⚠️ Order late — install at risk",Y65="⚠️ Delivery after install date"),1,0)</f>
        <v/>
      </c>
      <c r="AI65" s="79">
        <f>IF(AND(B65&lt;&gt;"",K65&lt;&gt;"",U65&lt;&gt;"Yes",X65&lt;&gt;"Yes"),1,0)</f>
        <v/>
      </c>
      <c r="AJ65" s="79">
        <f>IF(Y65="⚠️ Order late — install at risk",1,0)</f>
        <v/>
      </c>
    </row>
    <row r="66" ht="20" customHeight="1">
      <c r="B66" s="72" t="n"/>
      <c r="C66" s="72" t="n"/>
      <c r="D66" s="72" t="n"/>
      <c r="E66" s="72" t="n"/>
      <c r="F66" s="73" t="n"/>
      <c r="G66" s="72" t="n"/>
      <c r="H66" s="73" t="n"/>
      <c r="I66" s="72" t="n"/>
      <c r="J66" s="73" t="n"/>
      <c r="K66" s="74" t="n"/>
      <c r="L66" s="75">
        <f>IF(K66="A",F66,IF(K66="B",H66,IF(K66="C",J66,"")))</f>
        <v/>
      </c>
      <c r="M66" s="72" t="n"/>
      <c r="N66" s="72" t="n"/>
      <c r="O66" s="89" t="n"/>
      <c r="P66" s="89" t="n"/>
      <c r="Q66" s="108" t="n"/>
      <c r="R66" s="120">
        <f>IF(B66="","",IF(Q66&lt;&gt;"",Q66,IF(P66="","",IFERROR(INDEX('Timeline'!$J$7:$J$156,MATCH(P66,'Timeline'!$B$7:$B$156,0)),""))))</f>
        <v/>
      </c>
      <c r="S66" s="126">
        <f>IF(R66="","",R66-IF(O66="",0,O66)-OrderBuf)</f>
        <v/>
      </c>
      <c r="T66" s="126">
        <f>IF(S66="","",S66-DecideBuf)</f>
        <v/>
      </c>
      <c r="U66" s="74" t="n"/>
      <c r="V66" s="108" t="n"/>
      <c r="W66" s="108" t="n"/>
      <c r="X66" s="74" t="n"/>
      <c r="Y66" s="115">
        <f>IF(B66="","",IF(X66="Yes","Delivered",IF(U66="Yes",IF(AND(W66&lt;&gt;"",R66&lt;&gt;""),IF(W66&gt;R66,"⚠️ Delivery after install date","Ordered"),"Ordered"),IF(K66="",IF(T66="","Waiting for decision",IF(T66&lt;=AsOf+AlertDays,"Decide now","Waiting for decision")),IF(S66="","Selected",IF(AsOf&gt;S66,"⚠️ Order late — install at risk",IF(S66&lt;=AsOf+AlertDays,"Order now","Selected")))))))</f>
        <v/>
      </c>
      <c r="Z66" s="79">
        <f>IF(B66="","",IF(OR(AH66=1,AE66=1),2,IF(OR(AG66=1,AF66=1),1,IF(OR(Y66="Ordered",Y66="Delivered"),0,""))))</f>
        <v/>
      </c>
      <c r="AA66" s="111">
        <f>IF(B66="","",IF(AH66=1,IF(Y66="⚠️ Delivery after install date",R66,S66),IF(AD66=1,T66,IF(AI66=1,S66,""))))</f>
        <v/>
      </c>
      <c r="AB66" s="79">
        <f>IF(AA66="","",IF(AH66=1,1,IF(AA66="","",IF(AA66&lt;AsOf,1,IF(AA66&lt;=AsOf+AlertDays,2,IF(AA66&lt;=AsOf+2*AlertDays,3,""))))))</f>
        <v/>
      </c>
      <c r="AC66" s="79">
        <f>IF(AB66="","",IF(AH66=1,IF(Y66="⚠️ Delivery after install date","Delivery after install date: "&amp;B66,"Order late — install at risk: "&amp;B66),IF(AD66=1,IF(AB66=1,"Decision overdue: ","Decide: ")&amp;B66,"Order: "&amp;B66&amp;IF(N66="",""," from "&amp;N66))))</f>
        <v/>
      </c>
      <c r="AD66" s="79">
        <f>IF(AND(B66&lt;&gt;"",K66="",U66&lt;&gt;"Yes",X66&lt;&gt;"Yes"),1,0)</f>
        <v/>
      </c>
      <c r="AE66" s="79">
        <f>IF(AND(AD66=1,T66&lt;&gt;""),IF(T66&lt;AsOf,1,0),0)</f>
        <v/>
      </c>
      <c r="AF66" s="79">
        <f>IF(AND(AD66=1,T66&lt;&gt;""),IF(AND(T66&gt;=AsOf,T66&lt;=AsOf+AlertDays),1,0),0)</f>
        <v/>
      </c>
      <c r="AG66" s="79">
        <f>IF(Y66="Order now",1,0)</f>
        <v/>
      </c>
      <c r="AH66" s="79">
        <f>IF(OR(Y66="⚠️ Order late — install at risk",Y66="⚠️ Delivery after install date"),1,0)</f>
        <v/>
      </c>
      <c r="AI66" s="79">
        <f>IF(AND(B66&lt;&gt;"",K66&lt;&gt;"",U66&lt;&gt;"Yes",X66&lt;&gt;"Yes"),1,0)</f>
        <v/>
      </c>
      <c r="AJ66" s="79">
        <f>IF(Y66="⚠️ Order late — install at risk",1,0)</f>
        <v/>
      </c>
    </row>
    <row r="67" ht="20" customHeight="1">
      <c r="B67" s="72" t="n"/>
      <c r="C67" s="72" t="n"/>
      <c r="D67" s="72" t="n"/>
      <c r="E67" s="72" t="n"/>
      <c r="F67" s="73" t="n"/>
      <c r="G67" s="72" t="n"/>
      <c r="H67" s="73" t="n"/>
      <c r="I67" s="72" t="n"/>
      <c r="J67" s="73" t="n"/>
      <c r="K67" s="74" t="n"/>
      <c r="L67" s="75">
        <f>IF(K67="A",F67,IF(K67="B",H67,IF(K67="C",J67,"")))</f>
        <v/>
      </c>
      <c r="M67" s="72" t="n"/>
      <c r="N67" s="72" t="n"/>
      <c r="O67" s="89" t="n"/>
      <c r="P67" s="89" t="n"/>
      <c r="Q67" s="108" t="n"/>
      <c r="R67" s="120">
        <f>IF(B67="","",IF(Q67&lt;&gt;"",Q67,IF(P67="","",IFERROR(INDEX('Timeline'!$J$7:$J$156,MATCH(P67,'Timeline'!$B$7:$B$156,0)),""))))</f>
        <v/>
      </c>
      <c r="S67" s="126">
        <f>IF(R67="","",R67-IF(O67="",0,O67)-OrderBuf)</f>
        <v/>
      </c>
      <c r="T67" s="126">
        <f>IF(S67="","",S67-DecideBuf)</f>
        <v/>
      </c>
      <c r="U67" s="74" t="n"/>
      <c r="V67" s="108" t="n"/>
      <c r="W67" s="108" t="n"/>
      <c r="X67" s="74" t="n"/>
      <c r="Y67" s="115">
        <f>IF(B67="","",IF(X67="Yes","Delivered",IF(U67="Yes",IF(AND(W67&lt;&gt;"",R67&lt;&gt;""),IF(W67&gt;R67,"⚠️ Delivery after install date","Ordered"),"Ordered"),IF(K67="",IF(T67="","Waiting for decision",IF(T67&lt;=AsOf+AlertDays,"Decide now","Waiting for decision")),IF(S67="","Selected",IF(AsOf&gt;S67,"⚠️ Order late — install at risk",IF(S67&lt;=AsOf+AlertDays,"Order now","Selected")))))))</f>
        <v/>
      </c>
      <c r="Z67" s="79">
        <f>IF(B67="","",IF(OR(AH67=1,AE67=1),2,IF(OR(AG67=1,AF67=1),1,IF(OR(Y67="Ordered",Y67="Delivered"),0,""))))</f>
        <v/>
      </c>
      <c r="AA67" s="111">
        <f>IF(B67="","",IF(AH67=1,IF(Y67="⚠️ Delivery after install date",R67,S67),IF(AD67=1,T67,IF(AI67=1,S67,""))))</f>
        <v/>
      </c>
      <c r="AB67" s="79">
        <f>IF(AA67="","",IF(AH67=1,1,IF(AA67="","",IF(AA67&lt;AsOf,1,IF(AA67&lt;=AsOf+AlertDays,2,IF(AA67&lt;=AsOf+2*AlertDays,3,""))))))</f>
        <v/>
      </c>
      <c r="AC67" s="79">
        <f>IF(AB67="","",IF(AH67=1,IF(Y67="⚠️ Delivery after install date","Delivery after install date: "&amp;B67,"Order late — install at risk: "&amp;B67),IF(AD67=1,IF(AB67=1,"Decision overdue: ","Decide: ")&amp;B67,"Order: "&amp;B67&amp;IF(N67="",""," from "&amp;N67))))</f>
        <v/>
      </c>
      <c r="AD67" s="79">
        <f>IF(AND(B67&lt;&gt;"",K67="",U67&lt;&gt;"Yes",X67&lt;&gt;"Yes"),1,0)</f>
        <v/>
      </c>
      <c r="AE67" s="79">
        <f>IF(AND(AD67=1,T67&lt;&gt;""),IF(T67&lt;AsOf,1,0),0)</f>
        <v/>
      </c>
      <c r="AF67" s="79">
        <f>IF(AND(AD67=1,T67&lt;&gt;""),IF(AND(T67&gt;=AsOf,T67&lt;=AsOf+AlertDays),1,0),0)</f>
        <v/>
      </c>
      <c r="AG67" s="79">
        <f>IF(Y67="Order now",1,0)</f>
        <v/>
      </c>
      <c r="AH67" s="79">
        <f>IF(OR(Y67="⚠️ Order late — install at risk",Y67="⚠️ Delivery after install date"),1,0)</f>
        <v/>
      </c>
      <c r="AI67" s="79">
        <f>IF(AND(B67&lt;&gt;"",K67&lt;&gt;"",U67&lt;&gt;"Yes",X67&lt;&gt;"Yes"),1,0)</f>
        <v/>
      </c>
      <c r="AJ67" s="79">
        <f>IF(Y67="⚠️ Order late — install at risk",1,0)</f>
        <v/>
      </c>
    </row>
    <row r="68" ht="20" customHeight="1">
      <c r="B68" s="72" t="n"/>
      <c r="C68" s="72" t="n"/>
      <c r="D68" s="72" t="n"/>
      <c r="E68" s="72" t="n"/>
      <c r="F68" s="73" t="n"/>
      <c r="G68" s="72" t="n"/>
      <c r="H68" s="73" t="n"/>
      <c r="I68" s="72" t="n"/>
      <c r="J68" s="73" t="n"/>
      <c r="K68" s="74" t="n"/>
      <c r="L68" s="75">
        <f>IF(K68="A",F68,IF(K68="B",H68,IF(K68="C",J68,"")))</f>
        <v/>
      </c>
      <c r="M68" s="72" t="n"/>
      <c r="N68" s="72" t="n"/>
      <c r="O68" s="89" t="n"/>
      <c r="P68" s="89" t="n"/>
      <c r="Q68" s="108" t="n"/>
      <c r="R68" s="120">
        <f>IF(B68="","",IF(Q68&lt;&gt;"",Q68,IF(P68="","",IFERROR(INDEX('Timeline'!$J$7:$J$156,MATCH(P68,'Timeline'!$B$7:$B$156,0)),""))))</f>
        <v/>
      </c>
      <c r="S68" s="126">
        <f>IF(R68="","",R68-IF(O68="",0,O68)-OrderBuf)</f>
        <v/>
      </c>
      <c r="T68" s="126">
        <f>IF(S68="","",S68-DecideBuf)</f>
        <v/>
      </c>
      <c r="U68" s="74" t="n"/>
      <c r="V68" s="108" t="n"/>
      <c r="W68" s="108" t="n"/>
      <c r="X68" s="74" t="n"/>
      <c r="Y68" s="115">
        <f>IF(B68="","",IF(X68="Yes","Delivered",IF(U68="Yes",IF(AND(W68&lt;&gt;"",R68&lt;&gt;""),IF(W68&gt;R68,"⚠️ Delivery after install date","Ordered"),"Ordered"),IF(K68="",IF(T68="","Waiting for decision",IF(T68&lt;=AsOf+AlertDays,"Decide now","Waiting for decision")),IF(S68="","Selected",IF(AsOf&gt;S68,"⚠️ Order late — install at risk",IF(S68&lt;=AsOf+AlertDays,"Order now","Selected")))))))</f>
        <v/>
      </c>
      <c r="Z68" s="79">
        <f>IF(B68="","",IF(OR(AH68=1,AE68=1),2,IF(OR(AG68=1,AF68=1),1,IF(OR(Y68="Ordered",Y68="Delivered"),0,""))))</f>
        <v/>
      </c>
      <c r="AA68" s="111">
        <f>IF(B68="","",IF(AH68=1,IF(Y68="⚠️ Delivery after install date",R68,S68),IF(AD68=1,T68,IF(AI68=1,S68,""))))</f>
        <v/>
      </c>
      <c r="AB68" s="79">
        <f>IF(AA68="","",IF(AH68=1,1,IF(AA68="","",IF(AA68&lt;AsOf,1,IF(AA68&lt;=AsOf+AlertDays,2,IF(AA68&lt;=AsOf+2*AlertDays,3,""))))))</f>
        <v/>
      </c>
      <c r="AC68" s="79">
        <f>IF(AB68="","",IF(AH68=1,IF(Y68="⚠️ Delivery after install date","Delivery after install date: "&amp;B68,"Order late — install at risk: "&amp;B68),IF(AD68=1,IF(AB68=1,"Decision overdue: ","Decide: ")&amp;B68,"Order: "&amp;B68&amp;IF(N68="",""," from "&amp;N68))))</f>
        <v/>
      </c>
      <c r="AD68" s="79">
        <f>IF(AND(B68&lt;&gt;"",K68="",U68&lt;&gt;"Yes",X68&lt;&gt;"Yes"),1,0)</f>
        <v/>
      </c>
      <c r="AE68" s="79">
        <f>IF(AND(AD68=1,T68&lt;&gt;""),IF(T68&lt;AsOf,1,0),0)</f>
        <v/>
      </c>
      <c r="AF68" s="79">
        <f>IF(AND(AD68=1,T68&lt;&gt;""),IF(AND(T68&gt;=AsOf,T68&lt;=AsOf+AlertDays),1,0),0)</f>
        <v/>
      </c>
      <c r="AG68" s="79">
        <f>IF(Y68="Order now",1,0)</f>
        <v/>
      </c>
      <c r="AH68" s="79">
        <f>IF(OR(Y68="⚠️ Order late — install at risk",Y68="⚠️ Delivery after install date"),1,0)</f>
        <v/>
      </c>
      <c r="AI68" s="79">
        <f>IF(AND(B68&lt;&gt;"",K68&lt;&gt;"",U68&lt;&gt;"Yes",X68&lt;&gt;"Yes"),1,0)</f>
        <v/>
      </c>
      <c r="AJ68" s="79">
        <f>IF(Y68="⚠️ Order late — install at risk",1,0)</f>
        <v/>
      </c>
    </row>
    <row r="69" ht="20" customHeight="1">
      <c r="B69" s="72" t="n"/>
      <c r="C69" s="72" t="n"/>
      <c r="D69" s="72" t="n"/>
      <c r="E69" s="72" t="n"/>
      <c r="F69" s="73" t="n"/>
      <c r="G69" s="72" t="n"/>
      <c r="H69" s="73" t="n"/>
      <c r="I69" s="72" t="n"/>
      <c r="J69" s="73" t="n"/>
      <c r="K69" s="74" t="n"/>
      <c r="L69" s="75">
        <f>IF(K69="A",F69,IF(K69="B",H69,IF(K69="C",J69,"")))</f>
        <v/>
      </c>
      <c r="M69" s="72" t="n"/>
      <c r="N69" s="72" t="n"/>
      <c r="O69" s="89" t="n"/>
      <c r="P69" s="89" t="n"/>
      <c r="Q69" s="108" t="n"/>
      <c r="R69" s="120">
        <f>IF(B69="","",IF(Q69&lt;&gt;"",Q69,IF(P69="","",IFERROR(INDEX('Timeline'!$J$7:$J$156,MATCH(P69,'Timeline'!$B$7:$B$156,0)),""))))</f>
        <v/>
      </c>
      <c r="S69" s="126">
        <f>IF(R69="","",R69-IF(O69="",0,O69)-OrderBuf)</f>
        <v/>
      </c>
      <c r="T69" s="126">
        <f>IF(S69="","",S69-DecideBuf)</f>
        <v/>
      </c>
      <c r="U69" s="74" t="n"/>
      <c r="V69" s="108" t="n"/>
      <c r="W69" s="108" t="n"/>
      <c r="X69" s="74" t="n"/>
      <c r="Y69" s="115">
        <f>IF(B69="","",IF(X69="Yes","Delivered",IF(U69="Yes",IF(AND(W69&lt;&gt;"",R69&lt;&gt;""),IF(W69&gt;R69,"⚠️ Delivery after install date","Ordered"),"Ordered"),IF(K69="",IF(T69="","Waiting for decision",IF(T69&lt;=AsOf+AlertDays,"Decide now","Waiting for decision")),IF(S69="","Selected",IF(AsOf&gt;S69,"⚠️ Order late — install at risk",IF(S69&lt;=AsOf+AlertDays,"Order now","Selected")))))))</f>
        <v/>
      </c>
      <c r="Z69" s="79">
        <f>IF(B69="","",IF(OR(AH69=1,AE69=1),2,IF(OR(AG69=1,AF69=1),1,IF(OR(Y69="Ordered",Y69="Delivered"),0,""))))</f>
        <v/>
      </c>
      <c r="AA69" s="111">
        <f>IF(B69="","",IF(AH69=1,IF(Y69="⚠️ Delivery after install date",R69,S69),IF(AD69=1,T69,IF(AI69=1,S69,""))))</f>
        <v/>
      </c>
      <c r="AB69" s="79">
        <f>IF(AA69="","",IF(AH69=1,1,IF(AA69="","",IF(AA69&lt;AsOf,1,IF(AA69&lt;=AsOf+AlertDays,2,IF(AA69&lt;=AsOf+2*AlertDays,3,""))))))</f>
        <v/>
      </c>
      <c r="AC69" s="79">
        <f>IF(AB69="","",IF(AH69=1,IF(Y69="⚠️ Delivery after install date","Delivery after install date: "&amp;B69,"Order late — install at risk: "&amp;B69),IF(AD69=1,IF(AB69=1,"Decision overdue: ","Decide: ")&amp;B69,"Order: "&amp;B69&amp;IF(N69="",""," from "&amp;N69))))</f>
        <v/>
      </c>
      <c r="AD69" s="79">
        <f>IF(AND(B69&lt;&gt;"",K69="",U69&lt;&gt;"Yes",X69&lt;&gt;"Yes"),1,0)</f>
        <v/>
      </c>
      <c r="AE69" s="79">
        <f>IF(AND(AD69=1,T69&lt;&gt;""),IF(T69&lt;AsOf,1,0),0)</f>
        <v/>
      </c>
      <c r="AF69" s="79">
        <f>IF(AND(AD69=1,T69&lt;&gt;""),IF(AND(T69&gt;=AsOf,T69&lt;=AsOf+AlertDays),1,0),0)</f>
        <v/>
      </c>
      <c r="AG69" s="79">
        <f>IF(Y69="Order now",1,0)</f>
        <v/>
      </c>
      <c r="AH69" s="79">
        <f>IF(OR(Y69="⚠️ Order late — install at risk",Y69="⚠️ Delivery after install date"),1,0)</f>
        <v/>
      </c>
      <c r="AI69" s="79">
        <f>IF(AND(B69&lt;&gt;"",K69&lt;&gt;"",U69&lt;&gt;"Yes",X69&lt;&gt;"Yes"),1,0)</f>
        <v/>
      </c>
      <c r="AJ69" s="79">
        <f>IF(Y69="⚠️ Order late — install at risk",1,0)</f>
        <v/>
      </c>
    </row>
    <row r="70" ht="20" customHeight="1">
      <c r="B70" s="72" t="n"/>
      <c r="C70" s="72" t="n"/>
      <c r="D70" s="72" t="n"/>
      <c r="E70" s="72" t="n"/>
      <c r="F70" s="73" t="n"/>
      <c r="G70" s="72" t="n"/>
      <c r="H70" s="73" t="n"/>
      <c r="I70" s="72" t="n"/>
      <c r="J70" s="73" t="n"/>
      <c r="K70" s="74" t="n"/>
      <c r="L70" s="75">
        <f>IF(K70="A",F70,IF(K70="B",H70,IF(K70="C",J70,"")))</f>
        <v/>
      </c>
      <c r="M70" s="72" t="n"/>
      <c r="N70" s="72" t="n"/>
      <c r="O70" s="89" t="n"/>
      <c r="P70" s="89" t="n"/>
      <c r="Q70" s="108" t="n"/>
      <c r="R70" s="120">
        <f>IF(B70="","",IF(Q70&lt;&gt;"",Q70,IF(P70="","",IFERROR(INDEX('Timeline'!$J$7:$J$156,MATCH(P70,'Timeline'!$B$7:$B$156,0)),""))))</f>
        <v/>
      </c>
      <c r="S70" s="126">
        <f>IF(R70="","",R70-IF(O70="",0,O70)-OrderBuf)</f>
        <v/>
      </c>
      <c r="T70" s="126">
        <f>IF(S70="","",S70-DecideBuf)</f>
        <v/>
      </c>
      <c r="U70" s="74" t="n"/>
      <c r="V70" s="108" t="n"/>
      <c r="W70" s="108" t="n"/>
      <c r="X70" s="74" t="n"/>
      <c r="Y70" s="115">
        <f>IF(B70="","",IF(X70="Yes","Delivered",IF(U70="Yes",IF(AND(W70&lt;&gt;"",R70&lt;&gt;""),IF(W70&gt;R70,"⚠️ Delivery after install date","Ordered"),"Ordered"),IF(K70="",IF(T70="","Waiting for decision",IF(T70&lt;=AsOf+AlertDays,"Decide now","Waiting for decision")),IF(S70="","Selected",IF(AsOf&gt;S70,"⚠️ Order late — install at risk",IF(S70&lt;=AsOf+AlertDays,"Order now","Selected")))))))</f>
        <v/>
      </c>
      <c r="Z70" s="79">
        <f>IF(B70="","",IF(OR(AH70=1,AE70=1),2,IF(OR(AG70=1,AF70=1),1,IF(OR(Y70="Ordered",Y70="Delivered"),0,""))))</f>
        <v/>
      </c>
      <c r="AA70" s="111">
        <f>IF(B70="","",IF(AH70=1,IF(Y70="⚠️ Delivery after install date",R70,S70),IF(AD70=1,T70,IF(AI70=1,S70,""))))</f>
        <v/>
      </c>
      <c r="AB70" s="79">
        <f>IF(AA70="","",IF(AH70=1,1,IF(AA70="","",IF(AA70&lt;AsOf,1,IF(AA70&lt;=AsOf+AlertDays,2,IF(AA70&lt;=AsOf+2*AlertDays,3,""))))))</f>
        <v/>
      </c>
      <c r="AC70" s="79">
        <f>IF(AB70="","",IF(AH70=1,IF(Y70="⚠️ Delivery after install date","Delivery after install date: "&amp;B70,"Order late — install at risk: "&amp;B70),IF(AD70=1,IF(AB70=1,"Decision overdue: ","Decide: ")&amp;B70,"Order: "&amp;B70&amp;IF(N70="",""," from "&amp;N70))))</f>
        <v/>
      </c>
      <c r="AD70" s="79">
        <f>IF(AND(B70&lt;&gt;"",K70="",U70&lt;&gt;"Yes",X70&lt;&gt;"Yes"),1,0)</f>
        <v/>
      </c>
      <c r="AE70" s="79">
        <f>IF(AND(AD70=1,T70&lt;&gt;""),IF(T70&lt;AsOf,1,0),0)</f>
        <v/>
      </c>
      <c r="AF70" s="79">
        <f>IF(AND(AD70=1,T70&lt;&gt;""),IF(AND(T70&gt;=AsOf,T70&lt;=AsOf+AlertDays),1,0),0)</f>
        <v/>
      </c>
      <c r="AG70" s="79">
        <f>IF(Y70="Order now",1,0)</f>
        <v/>
      </c>
      <c r="AH70" s="79">
        <f>IF(OR(Y70="⚠️ Order late — install at risk",Y70="⚠️ Delivery after install date"),1,0)</f>
        <v/>
      </c>
      <c r="AI70" s="79">
        <f>IF(AND(B70&lt;&gt;"",K70&lt;&gt;"",U70&lt;&gt;"Yes",X70&lt;&gt;"Yes"),1,0)</f>
        <v/>
      </c>
      <c r="AJ70" s="79">
        <f>IF(Y70="⚠️ Order late — install at risk",1,0)</f>
        <v/>
      </c>
    </row>
    <row r="71" ht="20" customHeight="1">
      <c r="B71" s="72" t="n"/>
      <c r="C71" s="72" t="n"/>
      <c r="D71" s="72" t="n"/>
      <c r="E71" s="72" t="n"/>
      <c r="F71" s="73" t="n"/>
      <c r="G71" s="72" t="n"/>
      <c r="H71" s="73" t="n"/>
      <c r="I71" s="72" t="n"/>
      <c r="J71" s="73" t="n"/>
      <c r="K71" s="74" t="n"/>
      <c r="L71" s="75">
        <f>IF(K71="A",F71,IF(K71="B",H71,IF(K71="C",J71,"")))</f>
        <v/>
      </c>
      <c r="M71" s="72" t="n"/>
      <c r="N71" s="72" t="n"/>
      <c r="O71" s="89" t="n"/>
      <c r="P71" s="89" t="n"/>
      <c r="Q71" s="108" t="n"/>
      <c r="R71" s="120">
        <f>IF(B71="","",IF(Q71&lt;&gt;"",Q71,IF(P71="","",IFERROR(INDEX('Timeline'!$J$7:$J$156,MATCH(P71,'Timeline'!$B$7:$B$156,0)),""))))</f>
        <v/>
      </c>
      <c r="S71" s="126">
        <f>IF(R71="","",R71-IF(O71="",0,O71)-OrderBuf)</f>
        <v/>
      </c>
      <c r="T71" s="126">
        <f>IF(S71="","",S71-DecideBuf)</f>
        <v/>
      </c>
      <c r="U71" s="74" t="n"/>
      <c r="V71" s="108" t="n"/>
      <c r="W71" s="108" t="n"/>
      <c r="X71" s="74" t="n"/>
      <c r="Y71" s="115">
        <f>IF(B71="","",IF(X71="Yes","Delivered",IF(U71="Yes",IF(AND(W71&lt;&gt;"",R71&lt;&gt;""),IF(W71&gt;R71,"⚠️ Delivery after install date","Ordered"),"Ordered"),IF(K71="",IF(T71="","Waiting for decision",IF(T71&lt;=AsOf+AlertDays,"Decide now","Waiting for decision")),IF(S71="","Selected",IF(AsOf&gt;S71,"⚠️ Order late — install at risk",IF(S71&lt;=AsOf+AlertDays,"Order now","Selected")))))))</f>
        <v/>
      </c>
      <c r="Z71" s="79">
        <f>IF(B71="","",IF(OR(AH71=1,AE71=1),2,IF(OR(AG71=1,AF71=1),1,IF(OR(Y71="Ordered",Y71="Delivered"),0,""))))</f>
        <v/>
      </c>
      <c r="AA71" s="111">
        <f>IF(B71="","",IF(AH71=1,IF(Y71="⚠️ Delivery after install date",R71,S71),IF(AD71=1,T71,IF(AI71=1,S71,""))))</f>
        <v/>
      </c>
      <c r="AB71" s="79">
        <f>IF(AA71="","",IF(AH71=1,1,IF(AA71="","",IF(AA71&lt;AsOf,1,IF(AA71&lt;=AsOf+AlertDays,2,IF(AA71&lt;=AsOf+2*AlertDays,3,""))))))</f>
        <v/>
      </c>
      <c r="AC71" s="79">
        <f>IF(AB71="","",IF(AH71=1,IF(Y71="⚠️ Delivery after install date","Delivery after install date: "&amp;B71,"Order late — install at risk: "&amp;B71),IF(AD71=1,IF(AB71=1,"Decision overdue: ","Decide: ")&amp;B71,"Order: "&amp;B71&amp;IF(N71="",""," from "&amp;N71))))</f>
        <v/>
      </c>
      <c r="AD71" s="79">
        <f>IF(AND(B71&lt;&gt;"",K71="",U71&lt;&gt;"Yes",X71&lt;&gt;"Yes"),1,0)</f>
        <v/>
      </c>
      <c r="AE71" s="79">
        <f>IF(AND(AD71=1,T71&lt;&gt;""),IF(T71&lt;AsOf,1,0),0)</f>
        <v/>
      </c>
      <c r="AF71" s="79">
        <f>IF(AND(AD71=1,T71&lt;&gt;""),IF(AND(T71&gt;=AsOf,T71&lt;=AsOf+AlertDays),1,0),0)</f>
        <v/>
      </c>
      <c r="AG71" s="79">
        <f>IF(Y71="Order now",1,0)</f>
        <v/>
      </c>
      <c r="AH71" s="79">
        <f>IF(OR(Y71="⚠️ Order late — install at risk",Y71="⚠️ Delivery after install date"),1,0)</f>
        <v/>
      </c>
      <c r="AI71" s="79">
        <f>IF(AND(B71&lt;&gt;"",K71&lt;&gt;"",U71&lt;&gt;"Yes",X71&lt;&gt;"Yes"),1,0)</f>
        <v/>
      </c>
      <c r="AJ71" s="79">
        <f>IF(Y71="⚠️ Order late — install at risk",1,0)</f>
        <v/>
      </c>
    </row>
    <row r="72" ht="20" customHeight="1">
      <c r="B72" s="72" t="n"/>
      <c r="C72" s="72" t="n"/>
      <c r="D72" s="72" t="n"/>
      <c r="E72" s="72" t="n"/>
      <c r="F72" s="73" t="n"/>
      <c r="G72" s="72" t="n"/>
      <c r="H72" s="73" t="n"/>
      <c r="I72" s="72" t="n"/>
      <c r="J72" s="73" t="n"/>
      <c r="K72" s="74" t="n"/>
      <c r="L72" s="75">
        <f>IF(K72="A",F72,IF(K72="B",H72,IF(K72="C",J72,"")))</f>
        <v/>
      </c>
      <c r="M72" s="72" t="n"/>
      <c r="N72" s="72" t="n"/>
      <c r="O72" s="89" t="n"/>
      <c r="P72" s="89" t="n"/>
      <c r="Q72" s="108" t="n"/>
      <c r="R72" s="120">
        <f>IF(B72="","",IF(Q72&lt;&gt;"",Q72,IF(P72="","",IFERROR(INDEX('Timeline'!$J$7:$J$156,MATCH(P72,'Timeline'!$B$7:$B$156,0)),""))))</f>
        <v/>
      </c>
      <c r="S72" s="126">
        <f>IF(R72="","",R72-IF(O72="",0,O72)-OrderBuf)</f>
        <v/>
      </c>
      <c r="T72" s="126">
        <f>IF(S72="","",S72-DecideBuf)</f>
        <v/>
      </c>
      <c r="U72" s="74" t="n"/>
      <c r="V72" s="108" t="n"/>
      <c r="W72" s="108" t="n"/>
      <c r="X72" s="74" t="n"/>
      <c r="Y72" s="115">
        <f>IF(B72="","",IF(X72="Yes","Delivered",IF(U72="Yes",IF(AND(W72&lt;&gt;"",R72&lt;&gt;""),IF(W72&gt;R72,"⚠️ Delivery after install date","Ordered"),"Ordered"),IF(K72="",IF(T72="","Waiting for decision",IF(T72&lt;=AsOf+AlertDays,"Decide now","Waiting for decision")),IF(S72="","Selected",IF(AsOf&gt;S72,"⚠️ Order late — install at risk",IF(S72&lt;=AsOf+AlertDays,"Order now","Selected")))))))</f>
        <v/>
      </c>
      <c r="Z72" s="79">
        <f>IF(B72="","",IF(OR(AH72=1,AE72=1),2,IF(OR(AG72=1,AF72=1),1,IF(OR(Y72="Ordered",Y72="Delivered"),0,""))))</f>
        <v/>
      </c>
      <c r="AA72" s="111">
        <f>IF(B72="","",IF(AH72=1,IF(Y72="⚠️ Delivery after install date",R72,S72),IF(AD72=1,T72,IF(AI72=1,S72,""))))</f>
        <v/>
      </c>
      <c r="AB72" s="79">
        <f>IF(AA72="","",IF(AH72=1,1,IF(AA72="","",IF(AA72&lt;AsOf,1,IF(AA72&lt;=AsOf+AlertDays,2,IF(AA72&lt;=AsOf+2*AlertDays,3,""))))))</f>
        <v/>
      </c>
      <c r="AC72" s="79">
        <f>IF(AB72="","",IF(AH72=1,IF(Y72="⚠️ Delivery after install date","Delivery after install date: "&amp;B72,"Order late — install at risk: "&amp;B72),IF(AD72=1,IF(AB72=1,"Decision overdue: ","Decide: ")&amp;B72,"Order: "&amp;B72&amp;IF(N72="",""," from "&amp;N72))))</f>
        <v/>
      </c>
      <c r="AD72" s="79">
        <f>IF(AND(B72&lt;&gt;"",K72="",U72&lt;&gt;"Yes",X72&lt;&gt;"Yes"),1,0)</f>
        <v/>
      </c>
      <c r="AE72" s="79">
        <f>IF(AND(AD72=1,T72&lt;&gt;""),IF(T72&lt;AsOf,1,0),0)</f>
        <v/>
      </c>
      <c r="AF72" s="79">
        <f>IF(AND(AD72=1,T72&lt;&gt;""),IF(AND(T72&gt;=AsOf,T72&lt;=AsOf+AlertDays),1,0),0)</f>
        <v/>
      </c>
      <c r="AG72" s="79">
        <f>IF(Y72="Order now",1,0)</f>
        <v/>
      </c>
      <c r="AH72" s="79">
        <f>IF(OR(Y72="⚠️ Order late — install at risk",Y72="⚠️ Delivery after install date"),1,0)</f>
        <v/>
      </c>
      <c r="AI72" s="79">
        <f>IF(AND(B72&lt;&gt;"",K72&lt;&gt;"",U72&lt;&gt;"Yes",X72&lt;&gt;"Yes"),1,0)</f>
        <v/>
      </c>
      <c r="AJ72" s="79">
        <f>IF(Y72="⚠️ Order late — install at risk",1,0)</f>
        <v/>
      </c>
    </row>
    <row r="73" ht="20" customHeight="1">
      <c r="B73" s="72" t="n"/>
      <c r="C73" s="72" t="n"/>
      <c r="D73" s="72" t="n"/>
      <c r="E73" s="72" t="n"/>
      <c r="F73" s="73" t="n"/>
      <c r="G73" s="72" t="n"/>
      <c r="H73" s="73" t="n"/>
      <c r="I73" s="72" t="n"/>
      <c r="J73" s="73" t="n"/>
      <c r="K73" s="74" t="n"/>
      <c r="L73" s="75">
        <f>IF(K73="A",F73,IF(K73="B",H73,IF(K73="C",J73,"")))</f>
        <v/>
      </c>
      <c r="M73" s="72" t="n"/>
      <c r="N73" s="72" t="n"/>
      <c r="O73" s="89" t="n"/>
      <c r="P73" s="89" t="n"/>
      <c r="Q73" s="108" t="n"/>
      <c r="R73" s="120">
        <f>IF(B73="","",IF(Q73&lt;&gt;"",Q73,IF(P73="","",IFERROR(INDEX('Timeline'!$J$7:$J$156,MATCH(P73,'Timeline'!$B$7:$B$156,0)),""))))</f>
        <v/>
      </c>
      <c r="S73" s="126">
        <f>IF(R73="","",R73-IF(O73="",0,O73)-OrderBuf)</f>
        <v/>
      </c>
      <c r="T73" s="126">
        <f>IF(S73="","",S73-DecideBuf)</f>
        <v/>
      </c>
      <c r="U73" s="74" t="n"/>
      <c r="V73" s="108" t="n"/>
      <c r="W73" s="108" t="n"/>
      <c r="X73" s="74" t="n"/>
      <c r="Y73" s="115">
        <f>IF(B73="","",IF(X73="Yes","Delivered",IF(U73="Yes",IF(AND(W73&lt;&gt;"",R73&lt;&gt;""),IF(W73&gt;R73,"⚠️ Delivery after install date","Ordered"),"Ordered"),IF(K73="",IF(T73="","Waiting for decision",IF(T73&lt;=AsOf+AlertDays,"Decide now","Waiting for decision")),IF(S73="","Selected",IF(AsOf&gt;S73,"⚠️ Order late — install at risk",IF(S73&lt;=AsOf+AlertDays,"Order now","Selected")))))))</f>
        <v/>
      </c>
      <c r="Z73" s="79">
        <f>IF(B73="","",IF(OR(AH73=1,AE73=1),2,IF(OR(AG73=1,AF73=1),1,IF(OR(Y73="Ordered",Y73="Delivered"),0,""))))</f>
        <v/>
      </c>
      <c r="AA73" s="111">
        <f>IF(B73="","",IF(AH73=1,IF(Y73="⚠️ Delivery after install date",R73,S73),IF(AD73=1,T73,IF(AI73=1,S73,""))))</f>
        <v/>
      </c>
      <c r="AB73" s="79">
        <f>IF(AA73="","",IF(AH73=1,1,IF(AA73="","",IF(AA73&lt;AsOf,1,IF(AA73&lt;=AsOf+AlertDays,2,IF(AA73&lt;=AsOf+2*AlertDays,3,""))))))</f>
        <v/>
      </c>
      <c r="AC73" s="79">
        <f>IF(AB73="","",IF(AH73=1,IF(Y73="⚠️ Delivery after install date","Delivery after install date: "&amp;B73,"Order late — install at risk: "&amp;B73),IF(AD73=1,IF(AB73=1,"Decision overdue: ","Decide: ")&amp;B73,"Order: "&amp;B73&amp;IF(N73="",""," from "&amp;N73))))</f>
        <v/>
      </c>
      <c r="AD73" s="79">
        <f>IF(AND(B73&lt;&gt;"",K73="",U73&lt;&gt;"Yes",X73&lt;&gt;"Yes"),1,0)</f>
        <v/>
      </c>
      <c r="AE73" s="79">
        <f>IF(AND(AD73=1,T73&lt;&gt;""),IF(T73&lt;AsOf,1,0),0)</f>
        <v/>
      </c>
      <c r="AF73" s="79">
        <f>IF(AND(AD73=1,T73&lt;&gt;""),IF(AND(T73&gt;=AsOf,T73&lt;=AsOf+AlertDays),1,0),0)</f>
        <v/>
      </c>
      <c r="AG73" s="79">
        <f>IF(Y73="Order now",1,0)</f>
        <v/>
      </c>
      <c r="AH73" s="79">
        <f>IF(OR(Y73="⚠️ Order late — install at risk",Y73="⚠️ Delivery after install date"),1,0)</f>
        <v/>
      </c>
      <c r="AI73" s="79">
        <f>IF(AND(B73&lt;&gt;"",K73&lt;&gt;"",U73&lt;&gt;"Yes",X73&lt;&gt;"Yes"),1,0)</f>
        <v/>
      </c>
      <c r="AJ73" s="79">
        <f>IF(Y73="⚠️ Order late — install at risk",1,0)</f>
        <v/>
      </c>
    </row>
    <row r="74" ht="20" customHeight="1">
      <c r="B74" s="72" t="n"/>
      <c r="C74" s="72" t="n"/>
      <c r="D74" s="72" t="n"/>
      <c r="E74" s="72" t="n"/>
      <c r="F74" s="73" t="n"/>
      <c r="G74" s="72" t="n"/>
      <c r="H74" s="73" t="n"/>
      <c r="I74" s="72" t="n"/>
      <c r="J74" s="73" t="n"/>
      <c r="K74" s="74" t="n"/>
      <c r="L74" s="75">
        <f>IF(K74="A",F74,IF(K74="B",H74,IF(K74="C",J74,"")))</f>
        <v/>
      </c>
      <c r="M74" s="72" t="n"/>
      <c r="N74" s="72" t="n"/>
      <c r="O74" s="89" t="n"/>
      <c r="P74" s="89" t="n"/>
      <c r="Q74" s="108" t="n"/>
      <c r="R74" s="120">
        <f>IF(B74="","",IF(Q74&lt;&gt;"",Q74,IF(P74="","",IFERROR(INDEX('Timeline'!$J$7:$J$156,MATCH(P74,'Timeline'!$B$7:$B$156,0)),""))))</f>
        <v/>
      </c>
      <c r="S74" s="126">
        <f>IF(R74="","",R74-IF(O74="",0,O74)-OrderBuf)</f>
        <v/>
      </c>
      <c r="T74" s="126">
        <f>IF(S74="","",S74-DecideBuf)</f>
        <v/>
      </c>
      <c r="U74" s="74" t="n"/>
      <c r="V74" s="108" t="n"/>
      <c r="W74" s="108" t="n"/>
      <c r="X74" s="74" t="n"/>
      <c r="Y74" s="115">
        <f>IF(B74="","",IF(X74="Yes","Delivered",IF(U74="Yes",IF(AND(W74&lt;&gt;"",R74&lt;&gt;""),IF(W74&gt;R74,"⚠️ Delivery after install date","Ordered"),"Ordered"),IF(K74="",IF(T74="","Waiting for decision",IF(T74&lt;=AsOf+AlertDays,"Decide now","Waiting for decision")),IF(S74="","Selected",IF(AsOf&gt;S74,"⚠️ Order late — install at risk",IF(S74&lt;=AsOf+AlertDays,"Order now","Selected")))))))</f>
        <v/>
      </c>
      <c r="Z74" s="79">
        <f>IF(B74="","",IF(OR(AH74=1,AE74=1),2,IF(OR(AG74=1,AF74=1),1,IF(OR(Y74="Ordered",Y74="Delivered"),0,""))))</f>
        <v/>
      </c>
      <c r="AA74" s="111">
        <f>IF(B74="","",IF(AH74=1,IF(Y74="⚠️ Delivery after install date",R74,S74),IF(AD74=1,T74,IF(AI74=1,S74,""))))</f>
        <v/>
      </c>
      <c r="AB74" s="79">
        <f>IF(AA74="","",IF(AH74=1,1,IF(AA74="","",IF(AA74&lt;AsOf,1,IF(AA74&lt;=AsOf+AlertDays,2,IF(AA74&lt;=AsOf+2*AlertDays,3,""))))))</f>
        <v/>
      </c>
      <c r="AC74" s="79">
        <f>IF(AB74="","",IF(AH74=1,IF(Y74="⚠️ Delivery after install date","Delivery after install date: "&amp;B74,"Order late — install at risk: "&amp;B74),IF(AD74=1,IF(AB74=1,"Decision overdue: ","Decide: ")&amp;B74,"Order: "&amp;B74&amp;IF(N74="",""," from "&amp;N74))))</f>
        <v/>
      </c>
      <c r="AD74" s="79">
        <f>IF(AND(B74&lt;&gt;"",K74="",U74&lt;&gt;"Yes",X74&lt;&gt;"Yes"),1,0)</f>
        <v/>
      </c>
      <c r="AE74" s="79">
        <f>IF(AND(AD74=1,T74&lt;&gt;""),IF(T74&lt;AsOf,1,0),0)</f>
        <v/>
      </c>
      <c r="AF74" s="79">
        <f>IF(AND(AD74=1,T74&lt;&gt;""),IF(AND(T74&gt;=AsOf,T74&lt;=AsOf+AlertDays),1,0),0)</f>
        <v/>
      </c>
      <c r="AG74" s="79">
        <f>IF(Y74="Order now",1,0)</f>
        <v/>
      </c>
      <c r="AH74" s="79">
        <f>IF(OR(Y74="⚠️ Order late — install at risk",Y74="⚠️ Delivery after install date"),1,0)</f>
        <v/>
      </c>
      <c r="AI74" s="79">
        <f>IF(AND(B74&lt;&gt;"",K74&lt;&gt;"",U74&lt;&gt;"Yes",X74&lt;&gt;"Yes"),1,0)</f>
        <v/>
      </c>
      <c r="AJ74" s="79">
        <f>IF(Y74="⚠️ Order late — install at risk",1,0)</f>
        <v/>
      </c>
    </row>
    <row r="75" ht="20" customHeight="1">
      <c r="B75" s="72" t="n"/>
      <c r="C75" s="72" t="n"/>
      <c r="D75" s="72" t="n"/>
      <c r="E75" s="72" t="n"/>
      <c r="F75" s="73" t="n"/>
      <c r="G75" s="72" t="n"/>
      <c r="H75" s="73" t="n"/>
      <c r="I75" s="72" t="n"/>
      <c r="J75" s="73" t="n"/>
      <c r="K75" s="74" t="n"/>
      <c r="L75" s="75">
        <f>IF(K75="A",F75,IF(K75="B",H75,IF(K75="C",J75,"")))</f>
        <v/>
      </c>
      <c r="M75" s="72" t="n"/>
      <c r="N75" s="72" t="n"/>
      <c r="O75" s="89" t="n"/>
      <c r="P75" s="89" t="n"/>
      <c r="Q75" s="108" t="n"/>
      <c r="R75" s="120">
        <f>IF(B75="","",IF(Q75&lt;&gt;"",Q75,IF(P75="","",IFERROR(INDEX('Timeline'!$J$7:$J$156,MATCH(P75,'Timeline'!$B$7:$B$156,0)),""))))</f>
        <v/>
      </c>
      <c r="S75" s="126">
        <f>IF(R75="","",R75-IF(O75="",0,O75)-OrderBuf)</f>
        <v/>
      </c>
      <c r="T75" s="126">
        <f>IF(S75="","",S75-DecideBuf)</f>
        <v/>
      </c>
      <c r="U75" s="74" t="n"/>
      <c r="V75" s="108" t="n"/>
      <c r="W75" s="108" t="n"/>
      <c r="X75" s="74" t="n"/>
      <c r="Y75" s="115">
        <f>IF(B75="","",IF(X75="Yes","Delivered",IF(U75="Yes",IF(AND(W75&lt;&gt;"",R75&lt;&gt;""),IF(W75&gt;R75,"⚠️ Delivery after install date","Ordered"),"Ordered"),IF(K75="",IF(T75="","Waiting for decision",IF(T75&lt;=AsOf+AlertDays,"Decide now","Waiting for decision")),IF(S75="","Selected",IF(AsOf&gt;S75,"⚠️ Order late — install at risk",IF(S75&lt;=AsOf+AlertDays,"Order now","Selected")))))))</f>
        <v/>
      </c>
      <c r="Z75" s="79">
        <f>IF(B75="","",IF(OR(AH75=1,AE75=1),2,IF(OR(AG75=1,AF75=1),1,IF(OR(Y75="Ordered",Y75="Delivered"),0,""))))</f>
        <v/>
      </c>
      <c r="AA75" s="111">
        <f>IF(B75="","",IF(AH75=1,IF(Y75="⚠️ Delivery after install date",R75,S75),IF(AD75=1,T75,IF(AI75=1,S75,""))))</f>
        <v/>
      </c>
      <c r="AB75" s="79">
        <f>IF(AA75="","",IF(AH75=1,1,IF(AA75="","",IF(AA75&lt;AsOf,1,IF(AA75&lt;=AsOf+AlertDays,2,IF(AA75&lt;=AsOf+2*AlertDays,3,""))))))</f>
        <v/>
      </c>
      <c r="AC75" s="79">
        <f>IF(AB75="","",IF(AH75=1,IF(Y75="⚠️ Delivery after install date","Delivery after install date: "&amp;B75,"Order late — install at risk: "&amp;B75),IF(AD75=1,IF(AB75=1,"Decision overdue: ","Decide: ")&amp;B75,"Order: "&amp;B75&amp;IF(N75="",""," from "&amp;N75))))</f>
        <v/>
      </c>
      <c r="AD75" s="79">
        <f>IF(AND(B75&lt;&gt;"",K75="",U75&lt;&gt;"Yes",X75&lt;&gt;"Yes"),1,0)</f>
        <v/>
      </c>
      <c r="AE75" s="79">
        <f>IF(AND(AD75=1,T75&lt;&gt;""),IF(T75&lt;AsOf,1,0),0)</f>
        <v/>
      </c>
      <c r="AF75" s="79">
        <f>IF(AND(AD75=1,T75&lt;&gt;""),IF(AND(T75&gt;=AsOf,T75&lt;=AsOf+AlertDays),1,0),0)</f>
        <v/>
      </c>
      <c r="AG75" s="79">
        <f>IF(Y75="Order now",1,0)</f>
        <v/>
      </c>
      <c r="AH75" s="79">
        <f>IF(OR(Y75="⚠️ Order late — install at risk",Y75="⚠️ Delivery after install date"),1,0)</f>
        <v/>
      </c>
      <c r="AI75" s="79">
        <f>IF(AND(B75&lt;&gt;"",K75&lt;&gt;"",U75&lt;&gt;"Yes",X75&lt;&gt;"Yes"),1,0)</f>
        <v/>
      </c>
      <c r="AJ75" s="79">
        <f>IF(Y75="⚠️ Order late — install at risk",1,0)</f>
        <v/>
      </c>
    </row>
    <row r="76" ht="20" customHeight="1">
      <c r="B76" s="72" t="n"/>
      <c r="C76" s="72" t="n"/>
      <c r="D76" s="72" t="n"/>
      <c r="E76" s="72" t="n"/>
      <c r="F76" s="73" t="n"/>
      <c r="G76" s="72" t="n"/>
      <c r="H76" s="73" t="n"/>
      <c r="I76" s="72" t="n"/>
      <c r="J76" s="73" t="n"/>
      <c r="K76" s="74" t="n"/>
      <c r="L76" s="75">
        <f>IF(K76="A",F76,IF(K76="B",H76,IF(K76="C",J76,"")))</f>
        <v/>
      </c>
      <c r="M76" s="72" t="n"/>
      <c r="N76" s="72" t="n"/>
      <c r="O76" s="89" t="n"/>
      <c r="P76" s="89" t="n"/>
      <c r="Q76" s="108" t="n"/>
      <c r="R76" s="120">
        <f>IF(B76="","",IF(Q76&lt;&gt;"",Q76,IF(P76="","",IFERROR(INDEX('Timeline'!$J$7:$J$156,MATCH(P76,'Timeline'!$B$7:$B$156,0)),""))))</f>
        <v/>
      </c>
      <c r="S76" s="126">
        <f>IF(R76="","",R76-IF(O76="",0,O76)-OrderBuf)</f>
        <v/>
      </c>
      <c r="T76" s="126">
        <f>IF(S76="","",S76-DecideBuf)</f>
        <v/>
      </c>
      <c r="U76" s="74" t="n"/>
      <c r="V76" s="108" t="n"/>
      <c r="W76" s="108" t="n"/>
      <c r="X76" s="74" t="n"/>
      <c r="Y76" s="115">
        <f>IF(B76="","",IF(X76="Yes","Delivered",IF(U76="Yes",IF(AND(W76&lt;&gt;"",R76&lt;&gt;""),IF(W76&gt;R76,"⚠️ Delivery after install date","Ordered"),"Ordered"),IF(K76="",IF(T76="","Waiting for decision",IF(T76&lt;=AsOf+AlertDays,"Decide now","Waiting for decision")),IF(S76="","Selected",IF(AsOf&gt;S76,"⚠️ Order late — install at risk",IF(S76&lt;=AsOf+AlertDays,"Order now","Selected")))))))</f>
        <v/>
      </c>
      <c r="Z76" s="79">
        <f>IF(B76="","",IF(OR(AH76=1,AE76=1),2,IF(OR(AG76=1,AF76=1),1,IF(OR(Y76="Ordered",Y76="Delivered"),0,""))))</f>
        <v/>
      </c>
      <c r="AA76" s="111">
        <f>IF(B76="","",IF(AH76=1,IF(Y76="⚠️ Delivery after install date",R76,S76),IF(AD76=1,T76,IF(AI76=1,S76,""))))</f>
        <v/>
      </c>
      <c r="AB76" s="79">
        <f>IF(AA76="","",IF(AH76=1,1,IF(AA76="","",IF(AA76&lt;AsOf,1,IF(AA76&lt;=AsOf+AlertDays,2,IF(AA76&lt;=AsOf+2*AlertDays,3,""))))))</f>
        <v/>
      </c>
      <c r="AC76" s="79">
        <f>IF(AB76="","",IF(AH76=1,IF(Y76="⚠️ Delivery after install date","Delivery after install date: "&amp;B76,"Order late — install at risk: "&amp;B76),IF(AD76=1,IF(AB76=1,"Decision overdue: ","Decide: ")&amp;B76,"Order: "&amp;B76&amp;IF(N76="",""," from "&amp;N76))))</f>
        <v/>
      </c>
      <c r="AD76" s="79">
        <f>IF(AND(B76&lt;&gt;"",K76="",U76&lt;&gt;"Yes",X76&lt;&gt;"Yes"),1,0)</f>
        <v/>
      </c>
      <c r="AE76" s="79">
        <f>IF(AND(AD76=1,T76&lt;&gt;""),IF(T76&lt;AsOf,1,0),0)</f>
        <v/>
      </c>
      <c r="AF76" s="79">
        <f>IF(AND(AD76=1,T76&lt;&gt;""),IF(AND(T76&gt;=AsOf,T76&lt;=AsOf+AlertDays),1,0),0)</f>
        <v/>
      </c>
      <c r="AG76" s="79">
        <f>IF(Y76="Order now",1,0)</f>
        <v/>
      </c>
      <c r="AH76" s="79">
        <f>IF(OR(Y76="⚠️ Order late — install at risk",Y76="⚠️ Delivery after install date"),1,0)</f>
        <v/>
      </c>
      <c r="AI76" s="79">
        <f>IF(AND(B76&lt;&gt;"",K76&lt;&gt;"",U76&lt;&gt;"Yes",X76&lt;&gt;"Yes"),1,0)</f>
        <v/>
      </c>
      <c r="AJ76" s="79">
        <f>IF(Y76="⚠️ Order late — install at risk",1,0)</f>
        <v/>
      </c>
    </row>
    <row r="77" ht="20" customHeight="1">
      <c r="B77" s="72" t="n"/>
      <c r="C77" s="72" t="n"/>
      <c r="D77" s="72" t="n"/>
      <c r="E77" s="72" t="n"/>
      <c r="F77" s="73" t="n"/>
      <c r="G77" s="72" t="n"/>
      <c r="H77" s="73" t="n"/>
      <c r="I77" s="72" t="n"/>
      <c r="J77" s="73" t="n"/>
      <c r="K77" s="74" t="n"/>
      <c r="L77" s="75">
        <f>IF(K77="A",F77,IF(K77="B",H77,IF(K77="C",J77,"")))</f>
        <v/>
      </c>
      <c r="M77" s="72" t="n"/>
      <c r="N77" s="72" t="n"/>
      <c r="O77" s="89" t="n"/>
      <c r="P77" s="89" t="n"/>
      <c r="Q77" s="108" t="n"/>
      <c r="R77" s="120">
        <f>IF(B77="","",IF(Q77&lt;&gt;"",Q77,IF(P77="","",IFERROR(INDEX('Timeline'!$J$7:$J$156,MATCH(P77,'Timeline'!$B$7:$B$156,0)),""))))</f>
        <v/>
      </c>
      <c r="S77" s="126">
        <f>IF(R77="","",R77-IF(O77="",0,O77)-OrderBuf)</f>
        <v/>
      </c>
      <c r="T77" s="126">
        <f>IF(S77="","",S77-DecideBuf)</f>
        <v/>
      </c>
      <c r="U77" s="74" t="n"/>
      <c r="V77" s="108" t="n"/>
      <c r="W77" s="108" t="n"/>
      <c r="X77" s="74" t="n"/>
      <c r="Y77" s="115">
        <f>IF(B77="","",IF(X77="Yes","Delivered",IF(U77="Yes",IF(AND(W77&lt;&gt;"",R77&lt;&gt;""),IF(W77&gt;R77,"⚠️ Delivery after install date","Ordered"),"Ordered"),IF(K77="",IF(T77="","Waiting for decision",IF(T77&lt;=AsOf+AlertDays,"Decide now","Waiting for decision")),IF(S77="","Selected",IF(AsOf&gt;S77,"⚠️ Order late — install at risk",IF(S77&lt;=AsOf+AlertDays,"Order now","Selected")))))))</f>
        <v/>
      </c>
      <c r="Z77" s="79">
        <f>IF(B77="","",IF(OR(AH77=1,AE77=1),2,IF(OR(AG77=1,AF77=1),1,IF(OR(Y77="Ordered",Y77="Delivered"),0,""))))</f>
        <v/>
      </c>
      <c r="AA77" s="111">
        <f>IF(B77="","",IF(AH77=1,IF(Y77="⚠️ Delivery after install date",R77,S77),IF(AD77=1,T77,IF(AI77=1,S77,""))))</f>
        <v/>
      </c>
      <c r="AB77" s="79">
        <f>IF(AA77="","",IF(AH77=1,1,IF(AA77="","",IF(AA77&lt;AsOf,1,IF(AA77&lt;=AsOf+AlertDays,2,IF(AA77&lt;=AsOf+2*AlertDays,3,""))))))</f>
        <v/>
      </c>
      <c r="AC77" s="79">
        <f>IF(AB77="","",IF(AH77=1,IF(Y77="⚠️ Delivery after install date","Delivery after install date: "&amp;B77,"Order late — install at risk: "&amp;B77),IF(AD77=1,IF(AB77=1,"Decision overdue: ","Decide: ")&amp;B77,"Order: "&amp;B77&amp;IF(N77="",""," from "&amp;N77))))</f>
        <v/>
      </c>
      <c r="AD77" s="79">
        <f>IF(AND(B77&lt;&gt;"",K77="",U77&lt;&gt;"Yes",X77&lt;&gt;"Yes"),1,0)</f>
        <v/>
      </c>
      <c r="AE77" s="79">
        <f>IF(AND(AD77=1,T77&lt;&gt;""),IF(T77&lt;AsOf,1,0),0)</f>
        <v/>
      </c>
      <c r="AF77" s="79">
        <f>IF(AND(AD77=1,T77&lt;&gt;""),IF(AND(T77&gt;=AsOf,T77&lt;=AsOf+AlertDays),1,0),0)</f>
        <v/>
      </c>
      <c r="AG77" s="79">
        <f>IF(Y77="Order now",1,0)</f>
        <v/>
      </c>
      <c r="AH77" s="79">
        <f>IF(OR(Y77="⚠️ Order late — install at risk",Y77="⚠️ Delivery after install date"),1,0)</f>
        <v/>
      </c>
      <c r="AI77" s="79">
        <f>IF(AND(B77&lt;&gt;"",K77&lt;&gt;"",U77&lt;&gt;"Yes",X77&lt;&gt;"Yes"),1,0)</f>
        <v/>
      </c>
      <c r="AJ77" s="79">
        <f>IF(Y77="⚠️ Order late — install at risk",1,0)</f>
        <v/>
      </c>
    </row>
    <row r="78" ht="20" customHeight="1">
      <c r="B78" s="72" t="n"/>
      <c r="C78" s="72" t="n"/>
      <c r="D78" s="72" t="n"/>
      <c r="E78" s="72" t="n"/>
      <c r="F78" s="73" t="n"/>
      <c r="G78" s="72" t="n"/>
      <c r="H78" s="73" t="n"/>
      <c r="I78" s="72" t="n"/>
      <c r="J78" s="73" t="n"/>
      <c r="K78" s="74" t="n"/>
      <c r="L78" s="75">
        <f>IF(K78="A",F78,IF(K78="B",H78,IF(K78="C",J78,"")))</f>
        <v/>
      </c>
      <c r="M78" s="72" t="n"/>
      <c r="N78" s="72" t="n"/>
      <c r="O78" s="89" t="n"/>
      <c r="P78" s="89" t="n"/>
      <c r="Q78" s="108" t="n"/>
      <c r="R78" s="120">
        <f>IF(B78="","",IF(Q78&lt;&gt;"",Q78,IF(P78="","",IFERROR(INDEX('Timeline'!$J$7:$J$156,MATCH(P78,'Timeline'!$B$7:$B$156,0)),""))))</f>
        <v/>
      </c>
      <c r="S78" s="126">
        <f>IF(R78="","",R78-IF(O78="",0,O78)-OrderBuf)</f>
        <v/>
      </c>
      <c r="T78" s="126">
        <f>IF(S78="","",S78-DecideBuf)</f>
        <v/>
      </c>
      <c r="U78" s="74" t="n"/>
      <c r="V78" s="108" t="n"/>
      <c r="W78" s="108" t="n"/>
      <c r="X78" s="74" t="n"/>
      <c r="Y78" s="115">
        <f>IF(B78="","",IF(X78="Yes","Delivered",IF(U78="Yes",IF(AND(W78&lt;&gt;"",R78&lt;&gt;""),IF(W78&gt;R78,"⚠️ Delivery after install date","Ordered"),"Ordered"),IF(K78="",IF(T78="","Waiting for decision",IF(T78&lt;=AsOf+AlertDays,"Decide now","Waiting for decision")),IF(S78="","Selected",IF(AsOf&gt;S78,"⚠️ Order late — install at risk",IF(S78&lt;=AsOf+AlertDays,"Order now","Selected")))))))</f>
        <v/>
      </c>
      <c r="Z78" s="79">
        <f>IF(B78="","",IF(OR(AH78=1,AE78=1),2,IF(OR(AG78=1,AF78=1),1,IF(OR(Y78="Ordered",Y78="Delivered"),0,""))))</f>
        <v/>
      </c>
      <c r="AA78" s="111">
        <f>IF(B78="","",IF(AH78=1,IF(Y78="⚠️ Delivery after install date",R78,S78),IF(AD78=1,T78,IF(AI78=1,S78,""))))</f>
        <v/>
      </c>
      <c r="AB78" s="79">
        <f>IF(AA78="","",IF(AH78=1,1,IF(AA78="","",IF(AA78&lt;AsOf,1,IF(AA78&lt;=AsOf+AlertDays,2,IF(AA78&lt;=AsOf+2*AlertDays,3,""))))))</f>
        <v/>
      </c>
      <c r="AC78" s="79">
        <f>IF(AB78="","",IF(AH78=1,IF(Y78="⚠️ Delivery after install date","Delivery after install date: "&amp;B78,"Order late — install at risk: "&amp;B78),IF(AD78=1,IF(AB78=1,"Decision overdue: ","Decide: ")&amp;B78,"Order: "&amp;B78&amp;IF(N78="",""," from "&amp;N78))))</f>
        <v/>
      </c>
      <c r="AD78" s="79">
        <f>IF(AND(B78&lt;&gt;"",K78="",U78&lt;&gt;"Yes",X78&lt;&gt;"Yes"),1,0)</f>
        <v/>
      </c>
      <c r="AE78" s="79">
        <f>IF(AND(AD78=1,T78&lt;&gt;""),IF(T78&lt;AsOf,1,0),0)</f>
        <v/>
      </c>
      <c r="AF78" s="79">
        <f>IF(AND(AD78=1,T78&lt;&gt;""),IF(AND(T78&gt;=AsOf,T78&lt;=AsOf+AlertDays),1,0),0)</f>
        <v/>
      </c>
      <c r="AG78" s="79">
        <f>IF(Y78="Order now",1,0)</f>
        <v/>
      </c>
      <c r="AH78" s="79">
        <f>IF(OR(Y78="⚠️ Order late — install at risk",Y78="⚠️ Delivery after install date"),1,0)</f>
        <v/>
      </c>
      <c r="AI78" s="79">
        <f>IF(AND(B78&lt;&gt;"",K78&lt;&gt;"",U78&lt;&gt;"Yes",X78&lt;&gt;"Yes"),1,0)</f>
        <v/>
      </c>
      <c r="AJ78" s="79">
        <f>IF(Y78="⚠️ Order late — install at risk",1,0)</f>
        <v/>
      </c>
    </row>
    <row r="79" ht="20" customHeight="1">
      <c r="B79" s="72" t="n"/>
      <c r="C79" s="72" t="n"/>
      <c r="D79" s="72" t="n"/>
      <c r="E79" s="72" t="n"/>
      <c r="F79" s="73" t="n"/>
      <c r="G79" s="72" t="n"/>
      <c r="H79" s="73" t="n"/>
      <c r="I79" s="72" t="n"/>
      <c r="J79" s="73" t="n"/>
      <c r="K79" s="74" t="n"/>
      <c r="L79" s="75">
        <f>IF(K79="A",F79,IF(K79="B",H79,IF(K79="C",J79,"")))</f>
        <v/>
      </c>
      <c r="M79" s="72" t="n"/>
      <c r="N79" s="72" t="n"/>
      <c r="O79" s="89" t="n"/>
      <c r="P79" s="89" t="n"/>
      <c r="Q79" s="108" t="n"/>
      <c r="R79" s="120">
        <f>IF(B79="","",IF(Q79&lt;&gt;"",Q79,IF(P79="","",IFERROR(INDEX('Timeline'!$J$7:$J$156,MATCH(P79,'Timeline'!$B$7:$B$156,0)),""))))</f>
        <v/>
      </c>
      <c r="S79" s="126">
        <f>IF(R79="","",R79-IF(O79="",0,O79)-OrderBuf)</f>
        <v/>
      </c>
      <c r="T79" s="126">
        <f>IF(S79="","",S79-DecideBuf)</f>
        <v/>
      </c>
      <c r="U79" s="74" t="n"/>
      <c r="V79" s="108" t="n"/>
      <c r="W79" s="108" t="n"/>
      <c r="X79" s="74" t="n"/>
      <c r="Y79" s="115">
        <f>IF(B79="","",IF(X79="Yes","Delivered",IF(U79="Yes",IF(AND(W79&lt;&gt;"",R79&lt;&gt;""),IF(W79&gt;R79,"⚠️ Delivery after install date","Ordered"),"Ordered"),IF(K79="",IF(T79="","Waiting for decision",IF(T79&lt;=AsOf+AlertDays,"Decide now","Waiting for decision")),IF(S79="","Selected",IF(AsOf&gt;S79,"⚠️ Order late — install at risk",IF(S79&lt;=AsOf+AlertDays,"Order now","Selected")))))))</f>
        <v/>
      </c>
      <c r="Z79" s="79">
        <f>IF(B79="","",IF(OR(AH79=1,AE79=1),2,IF(OR(AG79=1,AF79=1),1,IF(OR(Y79="Ordered",Y79="Delivered"),0,""))))</f>
        <v/>
      </c>
      <c r="AA79" s="111">
        <f>IF(B79="","",IF(AH79=1,IF(Y79="⚠️ Delivery after install date",R79,S79),IF(AD79=1,T79,IF(AI79=1,S79,""))))</f>
        <v/>
      </c>
      <c r="AB79" s="79">
        <f>IF(AA79="","",IF(AH79=1,1,IF(AA79="","",IF(AA79&lt;AsOf,1,IF(AA79&lt;=AsOf+AlertDays,2,IF(AA79&lt;=AsOf+2*AlertDays,3,""))))))</f>
        <v/>
      </c>
      <c r="AC79" s="79">
        <f>IF(AB79="","",IF(AH79=1,IF(Y79="⚠️ Delivery after install date","Delivery after install date: "&amp;B79,"Order late — install at risk: "&amp;B79),IF(AD79=1,IF(AB79=1,"Decision overdue: ","Decide: ")&amp;B79,"Order: "&amp;B79&amp;IF(N79="",""," from "&amp;N79))))</f>
        <v/>
      </c>
      <c r="AD79" s="79">
        <f>IF(AND(B79&lt;&gt;"",K79="",U79&lt;&gt;"Yes",X79&lt;&gt;"Yes"),1,0)</f>
        <v/>
      </c>
      <c r="AE79" s="79">
        <f>IF(AND(AD79=1,T79&lt;&gt;""),IF(T79&lt;AsOf,1,0),0)</f>
        <v/>
      </c>
      <c r="AF79" s="79">
        <f>IF(AND(AD79=1,T79&lt;&gt;""),IF(AND(T79&gt;=AsOf,T79&lt;=AsOf+AlertDays),1,0),0)</f>
        <v/>
      </c>
      <c r="AG79" s="79">
        <f>IF(Y79="Order now",1,0)</f>
        <v/>
      </c>
      <c r="AH79" s="79">
        <f>IF(OR(Y79="⚠️ Order late — install at risk",Y79="⚠️ Delivery after install date"),1,0)</f>
        <v/>
      </c>
      <c r="AI79" s="79">
        <f>IF(AND(B79&lt;&gt;"",K79&lt;&gt;"",U79&lt;&gt;"Yes",X79&lt;&gt;"Yes"),1,0)</f>
        <v/>
      </c>
      <c r="AJ79" s="79">
        <f>IF(Y79="⚠️ Order late — install at risk",1,0)</f>
        <v/>
      </c>
    </row>
    <row r="80" ht="20" customHeight="1">
      <c r="B80" s="72" t="n"/>
      <c r="C80" s="72" t="n"/>
      <c r="D80" s="72" t="n"/>
      <c r="E80" s="72" t="n"/>
      <c r="F80" s="73" t="n"/>
      <c r="G80" s="72" t="n"/>
      <c r="H80" s="73" t="n"/>
      <c r="I80" s="72" t="n"/>
      <c r="J80" s="73" t="n"/>
      <c r="K80" s="74" t="n"/>
      <c r="L80" s="75">
        <f>IF(K80="A",F80,IF(K80="B",H80,IF(K80="C",J80,"")))</f>
        <v/>
      </c>
      <c r="M80" s="72" t="n"/>
      <c r="N80" s="72" t="n"/>
      <c r="O80" s="89" t="n"/>
      <c r="P80" s="89" t="n"/>
      <c r="Q80" s="108" t="n"/>
      <c r="R80" s="120">
        <f>IF(B80="","",IF(Q80&lt;&gt;"",Q80,IF(P80="","",IFERROR(INDEX('Timeline'!$J$7:$J$156,MATCH(P80,'Timeline'!$B$7:$B$156,0)),""))))</f>
        <v/>
      </c>
      <c r="S80" s="126">
        <f>IF(R80="","",R80-IF(O80="",0,O80)-OrderBuf)</f>
        <v/>
      </c>
      <c r="T80" s="126">
        <f>IF(S80="","",S80-DecideBuf)</f>
        <v/>
      </c>
      <c r="U80" s="74" t="n"/>
      <c r="V80" s="108" t="n"/>
      <c r="W80" s="108" t="n"/>
      <c r="X80" s="74" t="n"/>
      <c r="Y80" s="115">
        <f>IF(B80="","",IF(X80="Yes","Delivered",IF(U80="Yes",IF(AND(W80&lt;&gt;"",R80&lt;&gt;""),IF(W80&gt;R80,"⚠️ Delivery after install date","Ordered"),"Ordered"),IF(K80="",IF(T80="","Waiting for decision",IF(T80&lt;=AsOf+AlertDays,"Decide now","Waiting for decision")),IF(S80="","Selected",IF(AsOf&gt;S80,"⚠️ Order late — install at risk",IF(S80&lt;=AsOf+AlertDays,"Order now","Selected")))))))</f>
        <v/>
      </c>
      <c r="Z80" s="79">
        <f>IF(B80="","",IF(OR(AH80=1,AE80=1),2,IF(OR(AG80=1,AF80=1),1,IF(OR(Y80="Ordered",Y80="Delivered"),0,""))))</f>
        <v/>
      </c>
      <c r="AA80" s="111">
        <f>IF(B80="","",IF(AH80=1,IF(Y80="⚠️ Delivery after install date",R80,S80),IF(AD80=1,T80,IF(AI80=1,S80,""))))</f>
        <v/>
      </c>
      <c r="AB80" s="79">
        <f>IF(AA80="","",IF(AH80=1,1,IF(AA80="","",IF(AA80&lt;AsOf,1,IF(AA80&lt;=AsOf+AlertDays,2,IF(AA80&lt;=AsOf+2*AlertDays,3,""))))))</f>
        <v/>
      </c>
      <c r="AC80" s="79">
        <f>IF(AB80="","",IF(AH80=1,IF(Y80="⚠️ Delivery after install date","Delivery after install date: "&amp;B80,"Order late — install at risk: "&amp;B80),IF(AD80=1,IF(AB80=1,"Decision overdue: ","Decide: ")&amp;B80,"Order: "&amp;B80&amp;IF(N80="",""," from "&amp;N80))))</f>
        <v/>
      </c>
      <c r="AD80" s="79">
        <f>IF(AND(B80&lt;&gt;"",K80="",U80&lt;&gt;"Yes",X80&lt;&gt;"Yes"),1,0)</f>
        <v/>
      </c>
      <c r="AE80" s="79">
        <f>IF(AND(AD80=1,T80&lt;&gt;""),IF(T80&lt;AsOf,1,0),0)</f>
        <v/>
      </c>
      <c r="AF80" s="79">
        <f>IF(AND(AD80=1,T80&lt;&gt;""),IF(AND(T80&gt;=AsOf,T80&lt;=AsOf+AlertDays),1,0),0)</f>
        <v/>
      </c>
      <c r="AG80" s="79">
        <f>IF(Y80="Order now",1,0)</f>
        <v/>
      </c>
      <c r="AH80" s="79">
        <f>IF(OR(Y80="⚠️ Order late — install at risk",Y80="⚠️ Delivery after install date"),1,0)</f>
        <v/>
      </c>
      <c r="AI80" s="79">
        <f>IF(AND(B80&lt;&gt;"",K80&lt;&gt;"",U80&lt;&gt;"Yes",X80&lt;&gt;"Yes"),1,0)</f>
        <v/>
      </c>
      <c r="AJ80" s="79">
        <f>IF(Y80="⚠️ Order late — install at risk",1,0)</f>
        <v/>
      </c>
    </row>
    <row r="81" ht="20" customHeight="1">
      <c r="B81" s="72" t="n"/>
      <c r="C81" s="72" t="n"/>
      <c r="D81" s="72" t="n"/>
      <c r="E81" s="72" t="n"/>
      <c r="F81" s="73" t="n"/>
      <c r="G81" s="72" t="n"/>
      <c r="H81" s="73" t="n"/>
      <c r="I81" s="72" t="n"/>
      <c r="J81" s="73" t="n"/>
      <c r="K81" s="74" t="n"/>
      <c r="L81" s="75">
        <f>IF(K81="A",F81,IF(K81="B",H81,IF(K81="C",J81,"")))</f>
        <v/>
      </c>
      <c r="M81" s="72" t="n"/>
      <c r="N81" s="72" t="n"/>
      <c r="O81" s="89" t="n"/>
      <c r="P81" s="89" t="n"/>
      <c r="Q81" s="108" t="n"/>
      <c r="R81" s="120">
        <f>IF(B81="","",IF(Q81&lt;&gt;"",Q81,IF(P81="","",IFERROR(INDEX('Timeline'!$J$7:$J$156,MATCH(P81,'Timeline'!$B$7:$B$156,0)),""))))</f>
        <v/>
      </c>
      <c r="S81" s="126">
        <f>IF(R81="","",R81-IF(O81="",0,O81)-OrderBuf)</f>
        <v/>
      </c>
      <c r="T81" s="126">
        <f>IF(S81="","",S81-DecideBuf)</f>
        <v/>
      </c>
      <c r="U81" s="74" t="n"/>
      <c r="V81" s="108" t="n"/>
      <c r="W81" s="108" t="n"/>
      <c r="X81" s="74" t="n"/>
      <c r="Y81" s="115">
        <f>IF(B81="","",IF(X81="Yes","Delivered",IF(U81="Yes",IF(AND(W81&lt;&gt;"",R81&lt;&gt;""),IF(W81&gt;R81,"⚠️ Delivery after install date","Ordered"),"Ordered"),IF(K81="",IF(T81="","Waiting for decision",IF(T81&lt;=AsOf+AlertDays,"Decide now","Waiting for decision")),IF(S81="","Selected",IF(AsOf&gt;S81,"⚠️ Order late — install at risk",IF(S81&lt;=AsOf+AlertDays,"Order now","Selected")))))))</f>
        <v/>
      </c>
      <c r="Z81" s="79">
        <f>IF(B81="","",IF(OR(AH81=1,AE81=1),2,IF(OR(AG81=1,AF81=1),1,IF(OR(Y81="Ordered",Y81="Delivered"),0,""))))</f>
        <v/>
      </c>
      <c r="AA81" s="111">
        <f>IF(B81="","",IF(AH81=1,IF(Y81="⚠️ Delivery after install date",R81,S81),IF(AD81=1,T81,IF(AI81=1,S81,""))))</f>
        <v/>
      </c>
      <c r="AB81" s="79">
        <f>IF(AA81="","",IF(AH81=1,1,IF(AA81="","",IF(AA81&lt;AsOf,1,IF(AA81&lt;=AsOf+AlertDays,2,IF(AA81&lt;=AsOf+2*AlertDays,3,""))))))</f>
        <v/>
      </c>
      <c r="AC81" s="79">
        <f>IF(AB81="","",IF(AH81=1,IF(Y81="⚠️ Delivery after install date","Delivery after install date: "&amp;B81,"Order late — install at risk: "&amp;B81),IF(AD81=1,IF(AB81=1,"Decision overdue: ","Decide: ")&amp;B81,"Order: "&amp;B81&amp;IF(N81="",""," from "&amp;N81))))</f>
        <v/>
      </c>
      <c r="AD81" s="79">
        <f>IF(AND(B81&lt;&gt;"",K81="",U81&lt;&gt;"Yes",X81&lt;&gt;"Yes"),1,0)</f>
        <v/>
      </c>
      <c r="AE81" s="79">
        <f>IF(AND(AD81=1,T81&lt;&gt;""),IF(T81&lt;AsOf,1,0),0)</f>
        <v/>
      </c>
      <c r="AF81" s="79">
        <f>IF(AND(AD81=1,T81&lt;&gt;""),IF(AND(T81&gt;=AsOf,T81&lt;=AsOf+AlertDays),1,0),0)</f>
        <v/>
      </c>
      <c r="AG81" s="79">
        <f>IF(Y81="Order now",1,0)</f>
        <v/>
      </c>
      <c r="AH81" s="79">
        <f>IF(OR(Y81="⚠️ Order late — install at risk",Y81="⚠️ Delivery after install date"),1,0)</f>
        <v/>
      </c>
      <c r="AI81" s="79">
        <f>IF(AND(B81&lt;&gt;"",K81&lt;&gt;"",U81&lt;&gt;"Yes",X81&lt;&gt;"Yes"),1,0)</f>
        <v/>
      </c>
      <c r="AJ81" s="79">
        <f>IF(Y81="⚠️ Order late — install at risk",1,0)</f>
        <v/>
      </c>
    </row>
    <row r="82" ht="20" customHeight="1">
      <c r="B82" s="72" t="n"/>
      <c r="C82" s="72" t="n"/>
      <c r="D82" s="72" t="n"/>
      <c r="E82" s="72" t="n"/>
      <c r="F82" s="73" t="n"/>
      <c r="G82" s="72" t="n"/>
      <c r="H82" s="73" t="n"/>
      <c r="I82" s="72" t="n"/>
      <c r="J82" s="73" t="n"/>
      <c r="K82" s="74" t="n"/>
      <c r="L82" s="75">
        <f>IF(K82="A",F82,IF(K82="B",H82,IF(K82="C",J82,"")))</f>
        <v/>
      </c>
      <c r="M82" s="72" t="n"/>
      <c r="N82" s="72" t="n"/>
      <c r="O82" s="89" t="n"/>
      <c r="P82" s="89" t="n"/>
      <c r="Q82" s="108" t="n"/>
      <c r="R82" s="120">
        <f>IF(B82="","",IF(Q82&lt;&gt;"",Q82,IF(P82="","",IFERROR(INDEX('Timeline'!$J$7:$J$156,MATCH(P82,'Timeline'!$B$7:$B$156,0)),""))))</f>
        <v/>
      </c>
      <c r="S82" s="126">
        <f>IF(R82="","",R82-IF(O82="",0,O82)-OrderBuf)</f>
        <v/>
      </c>
      <c r="T82" s="126">
        <f>IF(S82="","",S82-DecideBuf)</f>
        <v/>
      </c>
      <c r="U82" s="74" t="n"/>
      <c r="V82" s="108" t="n"/>
      <c r="W82" s="108" t="n"/>
      <c r="X82" s="74" t="n"/>
      <c r="Y82" s="115">
        <f>IF(B82="","",IF(X82="Yes","Delivered",IF(U82="Yes",IF(AND(W82&lt;&gt;"",R82&lt;&gt;""),IF(W82&gt;R82,"⚠️ Delivery after install date","Ordered"),"Ordered"),IF(K82="",IF(T82="","Waiting for decision",IF(T82&lt;=AsOf+AlertDays,"Decide now","Waiting for decision")),IF(S82="","Selected",IF(AsOf&gt;S82,"⚠️ Order late — install at risk",IF(S82&lt;=AsOf+AlertDays,"Order now","Selected")))))))</f>
        <v/>
      </c>
      <c r="Z82" s="79">
        <f>IF(B82="","",IF(OR(AH82=1,AE82=1),2,IF(OR(AG82=1,AF82=1),1,IF(OR(Y82="Ordered",Y82="Delivered"),0,""))))</f>
        <v/>
      </c>
      <c r="AA82" s="111">
        <f>IF(B82="","",IF(AH82=1,IF(Y82="⚠️ Delivery after install date",R82,S82),IF(AD82=1,T82,IF(AI82=1,S82,""))))</f>
        <v/>
      </c>
      <c r="AB82" s="79">
        <f>IF(AA82="","",IF(AH82=1,1,IF(AA82="","",IF(AA82&lt;AsOf,1,IF(AA82&lt;=AsOf+AlertDays,2,IF(AA82&lt;=AsOf+2*AlertDays,3,""))))))</f>
        <v/>
      </c>
      <c r="AC82" s="79">
        <f>IF(AB82="","",IF(AH82=1,IF(Y82="⚠️ Delivery after install date","Delivery after install date: "&amp;B82,"Order late — install at risk: "&amp;B82),IF(AD82=1,IF(AB82=1,"Decision overdue: ","Decide: ")&amp;B82,"Order: "&amp;B82&amp;IF(N82="",""," from "&amp;N82))))</f>
        <v/>
      </c>
      <c r="AD82" s="79">
        <f>IF(AND(B82&lt;&gt;"",K82="",U82&lt;&gt;"Yes",X82&lt;&gt;"Yes"),1,0)</f>
        <v/>
      </c>
      <c r="AE82" s="79">
        <f>IF(AND(AD82=1,T82&lt;&gt;""),IF(T82&lt;AsOf,1,0),0)</f>
        <v/>
      </c>
      <c r="AF82" s="79">
        <f>IF(AND(AD82=1,T82&lt;&gt;""),IF(AND(T82&gt;=AsOf,T82&lt;=AsOf+AlertDays),1,0),0)</f>
        <v/>
      </c>
      <c r="AG82" s="79">
        <f>IF(Y82="Order now",1,0)</f>
        <v/>
      </c>
      <c r="AH82" s="79">
        <f>IF(OR(Y82="⚠️ Order late — install at risk",Y82="⚠️ Delivery after install date"),1,0)</f>
        <v/>
      </c>
      <c r="AI82" s="79">
        <f>IF(AND(B82&lt;&gt;"",K82&lt;&gt;"",U82&lt;&gt;"Yes",X82&lt;&gt;"Yes"),1,0)</f>
        <v/>
      </c>
      <c r="AJ82" s="79">
        <f>IF(Y82="⚠️ Order late — install at risk",1,0)</f>
        <v/>
      </c>
    </row>
    <row r="83" ht="20" customHeight="1">
      <c r="B83" s="72" t="n"/>
      <c r="C83" s="72" t="n"/>
      <c r="D83" s="72" t="n"/>
      <c r="E83" s="72" t="n"/>
      <c r="F83" s="73" t="n"/>
      <c r="G83" s="72" t="n"/>
      <c r="H83" s="73" t="n"/>
      <c r="I83" s="72" t="n"/>
      <c r="J83" s="73" t="n"/>
      <c r="K83" s="74" t="n"/>
      <c r="L83" s="75">
        <f>IF(K83="A",F83,IF(K83="B",H83,IF(K83="C",J83,"")))</f>
        <v/>
      </c>
      <c r="M83" s="72" t="n"/>
      <c r="N83" s="72" t="n"/>
      <c r="O83" s="89" t="n"/>
      <c r="P83" s="89" t="n"/>
      <c r="Q83" s="108" t="n"/>
      <c r="R83" s="120">
        <f>IF(B83="","",IF(Q83&lt;&gt;"",Q83,IF(P83="","",IFERROR(INDEX('Timeline'!$J$7:$J$156,MATCH(P83,'Timeline'!$B$7:$B$156,0)),""))))</f>
        <v/>
      </c>
      <c r="S83" s="126">
        <f>IF(R83="","",R83-IF(O83="",0,O83)-OrderBuf)</f>
        <v/>
      </c>
      <c r="T83" s="126">
        <f>IF(S83="","",S83-DecideBuf)</f>
        <v/>
      </c>
      <c r="U83" s="74" t="n"/>
      <c r="V83" s="108" t="n"/>
      <c r="W83" s="108" t="n"/>
      <c r="X83" s="74" t="n"/>
      <c r="Y83" s="115">
        <f>IF(B83="","",IF(X83="Yes","Delivered",IF(U83="Yes",IF(AND(W83&lt;&gt;"",R83&lt;&gt;""),IF(W83&gt;R83,"⚠️ Delivery after install date","Ordered"),"Ordered"),IF(K83="",IF(T83="","Waiting for decision",IF(T83&lt;=AsOf+AlertDays,"Decide now","Waiting for decision")),IF(S83="","Selected",IF(AsOf&gt;S83,"⚠️ Order late — install at risk",IF(S83&lt;=AsOf+AlertDays,"Order now","Selected")))))))</f>
        <v/>
      </c>
      <c r="Z83" s="79">
        <f>IF(B83="","",IF(OR(AH83=1,AE83=1),2,IF(OR(AG83=1,AF83=1),1,IF(OR(Y83="Ordered",Y83="Delivered"),0,""))))</f>
        <v/>
      </c>
      <c r="AA83" s="111">
        <f>IF(B83="","",IF(AH83=1,IF(Y83="⚠️ Delivery after install date",R83,S83),IF(AD83=1,T83,IF(AI83=1,S83,""))))</f>
        <v/>
      </c>
      <c r="AB83" s="79">
        <f>IF(AA83="","",IF(AH83=1,1,IF(AA83="","",IF(AA83&lt;AsOf,1,IF(AA83&lt;=AsOf+AlertDays,2,IF(AA83&lt;=AsOf+2*AlertDays,3,""))))))</f>
        <v/>
      </c>
      <c r="AC83" s="79">
        <f>IF(AB83="","",IF(AH83=1,IF(Y83="⚠️ Delivery after install date","Delivery after install date: "&amp;B83,"Order late — install at risk: "&amp;B83),IF(AD83=1,IF(AB83=1,"Decision overdue: ","Decide: ")&amp;B83,"Order: "&amp;B83&amp;IF(N83="",""," from "&amp;N83))))</f>
        <v/>
      </c>
      <c r="AD83" s="79">
        <f>IF(AND(B83&lt;&gt;"",K83="",U83&lt;&gt;"Yes",X83&lt;&gt;"Yes"),1,0)</f>
        <v/>
      </c>
      <c r="AE83" s="79">
        <f>IF(AND(AD83=1,T83&lt;&gt;""),IF(T83&lt;AsOf,1,0),0)</f>
        <v/>
      </c>
      <c r="AF83" s="79">
        <f>IF(AND(AD83=1,T83&lt;&gt;""),IF(AND(T83&gt;=AsOf,T83&lt;=AsOf+AlertDays),1,0),0)</f>
        <v/>
      </c>
      <c r="AG83" s="79">
        <f>IF(Y83="Order now",1,0)</f>
        <v/>
      </c>
      <c r="AH83" s="79">
        <f>IF(OR(Y83="⚠️ Order late — install at risk",Y83="⚠️ Delivery after install date"),1,0)</f>
        <v/>
      </c>
      <c r="AI83" s="79">
        <f>IF(AND(B83&lt;&gt;"",K83&lt;&gt;"",U83&lt;&gt;"Yes",X83&lt;&gt;"Yes"),1,0)</f>
        <v/>
      </c>
      <c r="AJ83" s="79">
        <f>IF(Y83="⚠️ Order late — install at risk",1,0)</f>
        <v/>
      </c>
    </row>
    <row r="84" ht="20" customHeight="1">
      <c r="B84" s="72" t="n"/>
      <c r="C84" s="72" t="n"/>
      <c r="D84" s="72" t="n"/>
      <c r="E84" s="72" t="n"/>
      <c r="F84" s="73" t="n"/>
      <c r="G84" s="72" t="n"/>
      <c r="H84" s="73" t="n"/>
      <c r="I84" s="72" t="n"/>
      <c r="J84" s="73" t="n"/>
      <c r="K84" s="74" t="n"/>
      <c r="L84" s="75">
        <f>IF(K84="A",F84,IF(K84="B",H84,IF(K84="C",J84,"")))</f>
        <v/>
      </c>
      <c r="M84" s="72" t="n"/>
      <c r="N84" s="72" t="n"/>
      <c r="O84" s="89" t="n"/>
      <c r="P84" s="89" t="n"/>
      <c r="Q84" s="108" t="n"/>
      <c r="R84" s="120">
        <f>IF(B84="","",IF(Q84&lt;&gt;"",Q84,IF(P84="","",IFERROR(INDEX('Timeline'!$J$7:$J$156,MATCH(P84,'Timeline'!$B$7:$B$156,0)),""))))</f>
        <v/>
      </c>
      <c r="S84" s="126">
        <f>IF(R84="","",R84-IF(O84="",0,O84)-OrderBuf)</f>
        <v/>
      </c>
      <c r="T84" s="126">
        <f>IF(S84="","",S84-DecideBuf)</f>
        <v/>
      </c>
      <c r="U84" s="74" t="n"/>
      <c r="V84" s="108" t="n"/>
      <c r="W84" s="108" t="n"/>
      <c r="X84" s="74" t="n"/>
      <c r="Y84" s="115">
        <f>IF(B84="","",IF(X84="Yes","Delivered",IF(U84="Yes",IF(AND(W84&lt;&gt;"",R84&lt;&gt;""),IF(W84&gt;R84,"⚠️ Delivery after install date","Ordered"),"Ordered"),IF(K84="",IF(T84="","Waiting for decision",IF(T84&lt;=AsOf+AlertDays,"Decide now","Waiting for decision")),IF(S84="","Selected",IF(AsOf&gt;S84,"⚠️ Order late — install at risk",IF(S84&lt;=AsOf+AlertDays,"Order now","Selected")))))))</f>
        <v/>
      </c>
      <c r="Z84" s="79">
        <f>IF(B84="","",IF(OR(AH84=1,AE84=1),2,IF(OR(AG84=1,AF84=1),1,IF(OR(Y84="Ordered",Y84="Delivered"),0,""))))</f>
        <v/>
      </c>
      <c r="AA84" s="111">
        <f>IF(B84="","",IF(AH84=1,IF(Y84="⚠️ Delivery after install date",R84,S84),IF(AD84=1,T84,IF(AI84=1,S84,""))))</f>
        <v/>
      </c>
      <c r="AB84" s="79">
        <f>IF(AA84="","",IF(AH84=1,1,IF(AA84="","",IF(AA84&lt;AsOf,1,IF(AA84&lt;=AsOf+AlertDays,2,IF(AA84&lt;=AsOf+2*AlertDays,3,""))))))</f>
        <v/>
      </c>
      <c r="AC84" s="79">
        <f>IF(AB84="","",IF(AH84=1,IF(Y84="⚠️ Delivery after install date","Delivery after install date: "&amp;B84,"Order late — install at risk: "&amp;B84),IF(AD84=1,IF(AB84=1,"Decision overdue: ","Decide: ")&amp;B84,"Order: "&amp;B84&amp;IF(N84="",""," from "&amp;N84))))</f>
        <v/>
      </c>
      <c r="AD84" s="79">
        <f>IF(AND(B84&lt;&gt;"",K84="",U84&lt;&gt;"Yes",X84&lt;&gt;"Yes"),1,0)</f>
        <v/>
      </c>
      <c r="AE84" s="79">
        <f>IF(AND(AD84=1,T84&lt;&gt;""),IF(T84&lt;AsOf,1,0),0)</f>
        <v/>
      </c>
      <c r="AF84" s="79">
        <f>IF(AND(AD84=1,T84&lt;&gt;""),IF(AND(T84&gt;=AsOf,T84&lt;=AsOf+AlertDays),1,0),0)</f>
        <v/>
      </c>
      <c r="AG84" s="79">
        <f>IF(Y84="Order now",1,0)</f>
        <v/>
      </c>
      <c r="AH84" s="79">
        <f>IF(OR(Y84="⚠️ Order late — install at risk",Y84="⚠️ Delivery after install date"),1,0)</f>
        <v/>
      </c>
      <c r="AI84" s="79">
        <f>IF(AND(B84&lt;&gt;"",K84&lt;&gt;"",U84&lt;&gt;"Yes",X84&lt;&gt;"Yes"),1,0)</f>
        <v/>
      </c>
      <c r="AJ84" s="79">
        <f>IF(Y84="⚠️ Order late — install at risk",1,0)</f>
        <v/>
      </c>
    </row>
    <row r="85" ht="20" customHeight="1">
      <c r="B85" s="72" t="n"/>
      <c r="C85" s="72" t="n"/>
      <c r="D85" s="72" t="n"/>
      <c r="E85" s="72" t="n"/>
      <c r="F85" s="73" t="n"/>
      <c r="G85" s="72" t="n"/>
      <c r="H85" s="73" t="n"/>
      <c r="I85" s="72" t="n"/>
      <c r="J85" s="73" t="n"/>
      <c r="K85" s="74" t="n"/>
      <c r="L85" s="75">
        <f>IF(K85="A",F85,IF(K85="B",H85,IF(K85="C",J85,"")))</f>
        <v/>
      </c>
      <c r="M85" s="72" t="n"/>
      <c r="N85" s="72" t="n"/>
      <c r="O85" s="89" t="n"/>
      <c r="P85" s="89" t="n"/>
      <c r="Q85" s="108" t="n"/>
      <c r="R85" s="120">
        <f>IF(B85="","",IF(Q85&lt;&gt;"",Q85,IF(P85="","",IFERROR(INDEX('Timeline'!$J$7:$J$156,MATCH(P85,'Timeline'!$B$7:$B$156,0)),""))))</f>
        <v/>
      </c>
      <c r="S85" s="126">
        <f>IF(R85="","",R85-IF(O85="",0,O85)-OrderBuf)</f>
        <v/>
      </c>
      <c r="T85" s="126">
        <f>IF(S85="","",S85-DecideBuf)</f>
        <v/>
      </c>
      <c r="U85" s="74" t="n"/>
      <c r="V85" s="108" t="n"/>
      <c r="W85" s="108" t="n"/>
      <c r="X85" s="74" t="n"/>
      <c r="Y85" s="115">
        <f>IF(B85="","",IF(X85="Yes","Delivered",IF(U85="Yes",IF(AND(W85&lt;&gt;"",R85&lt;&gt;""),IF(W85&gt;R85,"⚠️ Delivery after install date","Ordered"),"Ordered"),IF(K85="",IF(T85="","Waiting for decision",IF(T85&lt;=AsOf+AlertDays,"Decide now","Waiting for decision")),IF(S85="","Selected",IF(AsOf&gt;S85,"⚠️ Order late — install at risk",IF(S85&lt;=AsOf+AlertDays,"Order now","Selected")))))))</f>
        <v/>
      </c>
      <c r="Z85" s="79">
        <f>IF(B85="","",IF(OR(AH85=1,AE85=1),2,IF(OR(AG85=1,AF85=1),1,IF(OR(Y85="Ordered",Y85="Delivered"),0,""))))</f>
        <v/>
      </c>
      <c r="AA85" s="111">
        <f>IF(B85="","",IF(AH85=1,IF(Y85="⚠️ Delivery after install date",R85,S85),IF(AD85=1,T85,IF(AI85=1,S85,""))))</f>
        <v/>
      </c>
      <c r="AB85" s="79">
        <f>IF(AA85="","",IF(AH85=1,1,IF(AA85="","",IF(AA85&lt;AsOf,1,IF(AA85&lt;=AsOf+AlertDays,2,IF(AA85&lt;=AsOf+2*AlertDays,3,""))))))</f>
        <v/>
      </c>
      <c r="AC85" s="79">
        <f>IF(AB85="","",IF(AH85=1,IF(Y85="⚠️ Delivery after install date","Delivery after install date: "&amp;B85,"Order late — install at risk: "&amp;B85),IF(AD85=1,IF(AB85=1,"Decision overdue: ","Decide: ")&amp;B85,"Order: "&amp;B85&amp;IF(N85="",""," from "&amp;N85))))</f>
        <v/>
      </c>
      <c r="AD85" s="79">
        <f>IF(AND(B85&lt;&gt;"",K85="",U85&lt;&gt;"Yes",X85&lt;&gt;"Yes"),1,0)</f>
        <v/>
      </c>
      <c r="AE85" s="79">
        <f>IF(AND(AD85=1,T85&lt;&gt;""),IF(T85&lt;AsOf,1,0),0)</f>
        <v/>
      </c>
      <c r="AF85" s="79">
        <f>IF(AND(AD85=1,T85&lt;&gt;""),IF(AND(T85&gt;=AsOf,T85&lt;=AsOf+AlertDays),1,0),0)</f>
        <v/>
      </c>
      <c r="AG85" s="79">
        <f>IF(Y85="Order now",1,0)</f>
        <v/>
      </c>
      <c r="AH85" s="79">
        <f>IF(OR(Y85="⚠️ Order late — install at risk",Y85="⚠️ Delivery after install date"),1,0)</f>
        <v/>
      </c>
      <c r="AI85" s="79">
        <f>IF(AND(B85&lt;&gt;"",K85&lt;&gt;"",U85&lt;&gt;"Yes",X85&lt;&gt;"Yes"),1,0)</f>
        <v/>
      </c>
      <c r="AJ85" s="79">
        <f>IF(Y85="⚠️ Order late — install at risk",1,0)</f>
        <v/>
      </c>
    </row>
    <row r="86" ht="20" customHeight="1">
      <c r="B86" s="72" t="n"/>
      <c r="C86" s="72" t="n"/>
      <c r="D86" s="72" t="n"/>
      <c r="E86" s="72" t="n"/>
      <c r="F86" s="73" t="n"/>
      <c r="G86" s="72" t="n"/>
      <c r="H86" s="73" t="n"/>
      <c r="I86" s="72" t="n"/>
      <c r="J86" s="73" t="n"/>
      <c r="K86" s="74" t="n"/>
      <c r="L86" s="75">
        <f>IF(K86="A",F86,IF(K86="B",H86,IF(K86="C",J86,"")))</f>
        <v/>
      </c>
      <c r="M86" s="72" t="n"/>
      <c r="N86" s="72" t="n"/>
      <c r="O86" s="89" t="n"/>
      <c r="P86" s="89" t="n"/>
      <c r="Q86" s="108" t="n"/>
      <c r="R86" s="120">
        <f>IF(B86="","",IF(Q86&lt;&gt;"",Q86,IF(P86="","",IFERROR(INDEX('Timeline'!$J$7:$J$156,MATCH(P86,'Timeline'!$B$7:$B$156,0)),""))))</f>
        <v/>
      </c>
      <c r="S86" s="126">
        <f>IF(R86="","",R86-IF(O86="",0,O86)-OrderBuf)</f>
        <v/>
      </c>
      <c r="T86" s="126">
        <f>IF(S86="","",S86-DecideBuf)</f>
        <v/>
      </c>
      <c r="U86" s="74" t="n"/>
      <c r="V86" s="108" t="n"/>
      <c r="W86" s="108" t="n"/>
      <c r="X86" s="74" t="n"/>
      <c r="Y86" s="115">
        <f>IF(B86="","",IF(X86="Yes","Delivered",IF(U86="Yes",IF(AND(W86&lt;&gt;"",R86&lt;&gt;""),IF(W86&gt;R86,"⚠️ Delivery after install date","Ordered"),"Ordered"),IF(K86="",IF(T86="","Waiting for decision",IF(T86&lt;=AsOf+AlertDays,"Decide now","Waiting for decision")),IF(S86="","Selected",IF(AsOf&gt;S86,"⚠️ Order late — install at risk",IF(S86&lt;=AsOf+AlertDays,"Order now","Selected")))))))</f>
        <v/>
      </c>
      <c r="Z86" s="79">
        <f>IF(B86="","",IF(OR(AH86=1,AE86=1),2,IF(OR(AG86=1,AF86=1),1,IF(OR(Y86="Ordered",Y86="Delivered"),0,""))))</f>
        <v/>
      </c>
      <c r="AA86" s="111">
        <f>IF(B86="","",IF(AH86=1,IF(Y86="⚠️ Delivery after install date",R86,S86),IF(AD86=1,T86,IF(AI86=1,S86,""))))</f>
        <v/>
      </c>
      <c r="AB86" s="79">
        <f>IF(AA86="","",IF(AH86=1,1,IF(AA86="","",IF(AA86&lt;AsOf,1,IF(AA86&lt;=AsOf+AlertDays,2,IF(AA86&lt;=AsOf+2*AlertDays,3,""))))))</f>
        <v/>
      </c>
      <c r="AC86" s="79">
        <f>IF(AB86="","",IF(AH86=1,IF(Y86="⚠️ Delivery after install date","Delivery after install date: "&amp;B86,"Order late — install at risk: "&amp;B86),IF(AD86=1,IF(AB86=1,"Decision overdue: ","Decide: ")&amp;B86,"Order: "&amp;B86&amp;IF(N86="",""," from "&amp;N86))))</f>
        <v/>
      </c>
      <c r="AD86" s="79">
        <f>IF(AND(B86&lt;&gt;"",K86="",U86&lt;&gt;"Yes",X86&lt;&gt;"Yes"),1,0)</f>
        <v/>
      </c>
      <c r="AE86" s="79">
        <f>IF(AND(AD86=1,T86&lt;&gt;""),IF(T86&lt;AsOf,1,0),0)</f>
        <v/>
      </c>
      <c r="AF86" s="79">
        <f>IF(AND(AD86=1,T86&lt;&gt;""),IF(AND(T86&gt;=AsOf,T86&lt;=AsOf+AlertDays),1,0),0)</f>
        <v/>
      </c>
      <c r="AG86" s="79">
        <f>IF(Y86="Order now",1,0)</f>
        <v/>
      </c>
      <c r="AH86" s="79">
        <f>IF(OR(Y86="⚠️ Order late — install at risk",Y86="⚠️ Delivery after install date"),1,0)</f>
        <v/>
      </c>
      <c r="AI86" s="79">
        <f>IF(AND(B86&lt;&gt;"",K86&lt;&gt;"",U86&lt;&gt;"Yes",X86&lt;&gt;"Yes"),1,0)</f>
        <v/>
      </c>
      <c r="AJ86" s="79">
        <f>IF(Y86="⚠️ Order late — install at risk",1,0)</f>
        <v/>
      </c>
    </row>
    <row r="87" ht="20" customHeight="1">
      <c r="B87" s="72" t="n"/>
      <c r="C87" s="72" t="n"/>
      <c r="D87" s="72" t="n"/>
      <c r="E87" s="72" t="n"/>
      <c r="F87" s="73" t="n"/>
      <c r="G87" s="72" t="n"/>
      <c r="H87" s="73" t="n"/>
      <c r="I87" s="72" t="n"/>
      <c r="J87" s="73" t="n"/>
      <c r="K87" s="74" t="n"/>
      <c r="L87" s="75">
        <f>IF(K87="A",F87,IF(K87="B",H87,IF(K87="C",J87,"")))</f>
        <v/>
      </c>
      <c r="M87" s="72" t="n"/>
      <c r="N87" s="72" t="n"/>
      <c r="O87" s="89" t="n"/>
      <c r="P87" s="89" t="n"/>
      <c r="Q87" s="108" t="n"/>
      <c r="R87" s="120">
        <f>IF(B87="","",IF(Q87&lt;&gt;"",Q87,IF(P87="","",IFERROR(INDEX('Timeline'!$J$7:$J$156,MATCH(P87,'Timeline'!$B$7:$B$156,0)),""))))</f>
        <v/>
      </c>
      <c r="S87" s="126">
        <f>IF(R87="","",R87-IF(O87="",0,O87)-OrderBuf)</f>
        <v/>
      </c>
      <c r="T87" s="126">
        <f>IF(S87="","",S87-DecideBuf)</f>
        <v/>
      </c>
      <c r="U87" s="74" t="n"/>
      <c r="V87" s="108" t="n"/>
      <c r="W87" s="108" t="n"/>
      <c r="X87" s="74" t="n"/>
      <c r="Y87" s="115">
        <f>IF(B87="","",IF(X87="Yes","Delivered",IF(U87="Yes",IF(AND(W87&lt;&gt;"",R87&lt;&gt;""),IF(W87&gt;R87,"⚠️ Delivery after install date","Ordered"),"Ordered"),IF(K87="",IF(T87="","Waiting for decision",IF(T87&lt;=AsOf+AlertDays,"Decide now","Waiting for decision")),IF(S87="","Selected",IF(AsOf&gt;S87,"⚠️ Order late — install at risk",IF(S87&lt;=AsOf+AlertDays,"Order now","Selected")))))))</f>
        <v/>
      </c>
      <c r="Z87" s="79">
        <f>IF(B87="","",IF(OR(AH87=1,AE87=1),2,IF(OR(AG87=1,AF87=1),1,IF(OR(Y87="Ordered",Y87="Delivered"),0,""))))</f>
        <v/>
      </c>
      <c r="AA87" s="111">
        <f>IF(B87="","",IF(AH87=1,IF(Y87="⚠️ Delivery after install date",R87,S87),IF(AD87=1,T87,IF(AI87=1,S87,""))))</f>
        <v/>
      </c>
      <c r="AB87" s="79">
        <f>IF(AA87="","",IF(AH87=1,1,IF(AA87="","",IF(AA87&lt;AsOf,1,IF(AA87&lt;=AsOf+AlertDays,2,IF(AA87&lt;=AsOf+2*AlertDays,3,""))))))</f>
        <v/>
      </c>
      <c r="AC87" s="79">
        <f>IF(AB87="","",IF(AH87=1,IF(Y87="⚠️ Delivery after install date","Delivery after install date: "&amp;B87,"Order late — install at risk: "&amp;B87),IF(AD87=1,IF(AB87=1,"Decision overdue: ","Decide: ")&amp;B87,"Order: "&amp;B87&amp;IF(N87="",""," from "&amp;N87))))</f>
        <v/>
      </c>
      <c r="AD87" s="79">
        <f>IF(AND(B87&lt;&gt;"",K87="",U87&lt;&gt;"Yes",X87&lt;&gt;"Yes"),1,0)</f>
        <v/>
      </c>
      <c r="AE87" s="79">
        <f>IF(AND(AD87=1,T87&lt;&gt;""),IF(T87&lt;AsOf,1,0),0)</f>
        <v/>
      </c>
      <c r="AF87" s="79">
        <f>IF(AND(AD87=1,T87&lt;&gt;""),IF(AND(T87&gt;=AsOf,T87&lt;=AsOf+AlertDays),1,0),0)</f>
        <v/>
      </c>
      <c r="AG87" s="79">
        <f>IF(Y87="Order now",1,0)</f>
        <v/>
      </c>
      <c r="AH87" s="79">
        <f>IF(OR(Y87="⚠️ Order late — install at risk",Y87="⚠️ Delivery after install date"),1,0)</f>
        <v/>
      </c>
      <c r="AI87" s="79">
        <f>IF(AND(B87&lt;&gt;"",K87&lt;&gt;"",U87&lt;&gt;"Yes",X87&lt;&gt;"Yes"),1,0)</f>
        <v/>
      </c>
      <c r="AJ87" s="79">
        <f>IF(Y87="⚠️ Order late — install at risk",1,0)</f>
        <v/>
      </c>
    </row>
    <row r="88" ht="20" customHeight="1">
      <c r="B88" s="72" t="n"/>
      <c r="C88" s="72" t="n"/>
      <c r="D88" s="72" t="n"/>
      <c r="E88" s="72" t="n"/>
      <c r="F88" s="73" t="n"/>
      <c r="G88" s="72" t="n"/>
      <c r="H88" s="73" t="n"/>
      <c r="I88" s="72" t="n"/>
      <c r="J88" s="73" t="n"/>
      <c r="K88" s="74" t="n"/>
      <c r="L88" s="75">
        <f>IF(K88="A",F88,IF(K88="B",H88,IF(K88="C",J88,"")))</f>
        <v/>
      </c>
      <c r="M88" s="72" t="n"/>
      <c r="N88" s="72" t="n"/>
      <c r="O88" s="89" t="n"/>
      <c r="P88" s="89" t="n"/>
      <c r="Q88" s="108" t="n"/>
      <c r="R88" s="120">
        <f>IF(B88="","",IF(Q88&lt;&gt;"",Q88,IF(P88="","",IFERROR(INDEX('Timeline'!$J$7:$J$156,MATCH(P88,'Timeline'!$B$7:$B$156,0)),""))))</f>
        <v/>
      </c>
      <c r="S88" s="126">
        <f>IF(R88="","",R88-IF(O88="",0,O88)-OrderBuf)</f>
        <v/>
      </c>
      <c r="T88" s="126">
        <f>IF(S88="","",S88-DecideBuf)</f>
        <v/>
      </c>
      <c r="U88" s="74" t="n"/>
      <c r="V88" s="108" t="n"/>
      <c r="W88" s="108" t="n"/>
      <c r="X88" s="74" t="n"/>
      <c r="Y88" s="115">
        <f>IF(B88="","",IF(X88="Yes","Delivered",IF(U88="Yes",IF(AND(W88&lt;&gt;"",R88&lt;&gt;""),IF(W88&gt;R88,"⚠️ Delivery after install date","Ordered"),"Ordered"),IF(K88="",IF(T88="","Waiting for decision",IF(T88&lt;=AsOf+AlertDays,"Decide now","Waiting for decision")),IF(S88="","Selected",IF(AsOf&gt;S88,"⚠️ Order late — install at risk",IF(S88&lt;=AsOf+AlertDays,"Order now","Selected")))))))</f>
        <v/>
      </c>
      <c r="Z88" s="79">
        <f>IF(B88="","",IF(OR(AH88=1,AE88=1),2,IF(OR(AG88=1,AF88=1),1,IF(OR(Y88="Ordered",Y88="Delivered"),0,""))))</f>
        <v/>
      </c>
      <c r="AA88" s="111">
        <f>IF(B88="","",IF(AH88=1,IF(Y88="⚠️ Delivery after install date",R88,S88),IF(AD88=1,T88,IF(AI88=1,S88,""))))</f>
        <v/>
      </c>
      <c r="AB88" s="79">
        <f>IF(AA88="","",IF(AH88=1,1,IF(AA88="","",IF(AA88&lt;AsOf,1,IF(AA88&lt;=AsOf+AlertDays,2,IF(AA88&lt;=AsOf+2*AlertDays,3,""))))))</f>
        <v/>
      </c>
      <c r="AC88" s="79">
        <f>IF(AB88="","",IF(AH88=1,IF(Y88="⚠️ Delivery after install date","Delivery after install date: "&amp;B88,"Order late — install at risk: "&amp;B88),IF(AD88=1,IF(AB88=1,"Decision overdue: ","Decide: ")&amp;B88,"Order: "&amp;B88&amp;IF(N88="",""," from "&amp;N88))))</f>
        <v/>
      </c>
      <c r="AD88" s="79">
        <f>IF(AND(B88&lt;&gt;"",K88="",U88&lt;&gt;"Yes",X88&lt;&gt;"Yes"),1,0)</f>
        <v/>
      </c>
      <c r="AE88" s="79">
        <f>IF(AND(AD88=1,T88&lt;&gt;""),IF(T88&lt;AsOf,1,0),0)</f>
        <v/>
      </c>
      <c r="AF88" s="79">
        <f>IF(AND(AD88=1,T88&lt;&gt;""),IF(AND(T88&gt;=AsOf,T88&lt;=AsOf+AlertDays),1,0),0)</f>
        <v/>
      </c>
      <c r="AG88" s="79">
        <f>IF(Y88="Order now",1,0)</f>
        <v/>
      </c>
      <c r="AH88" s="79">
        <f>IF(OR(Y88="⚠️ Order late — install at risk",Y88="⚠️ Delivery after install date"),1,0)</f>
        <v/>
      </c>
      <c r="AI88" s="79">
        <f>IF(AND(B88&lt;&gt;"",K88&lt;&gt;"",U88&lt;&gt;"Yes",X88&lt;&gt;"Yes"),1,0)</f>
        <v/>
      </c>
      <c r="AJ88" s="79">
        <f>IF(Y88="⚠️ Order late — install at risk",1,0)</f>
        <v/>
      </c>
    </row>
    <row r="89" ht="20" customHeight="1">
      <c r="B89" s="72" t="n"/>
      <c r="C89" s="72" t="n"/>
      <c r="D89" s="72" t="n"/>
      <c r="E89" s="72" t="n"/>
      <c r="F89" s="73" t="n"/>
      <c r="G89" s="72" t="n"/>
      <c r="H89" s="73" t="n"/>
      <c r="I89" s="72" t="n"/>
      <c r="J89" s="73" t="n"/>
      <c r="K89" s="74" t="n"/>
      <c r="L89" s="75">
        <f>IF(K89="A",F89,IF(K89="B",H89,IF(K89="C",J89,"")))</f>
        <v/>
      </c>
      <c r="M89" s="72" t="n"/>
      <c r="N89" s="72" t="n"/>
      <c r="O89" s="89" t="n"/>
      <c r="P89" s="89" t="n"/>
      <c r="Q89" s="108" t="n"/>
      <c r="R89" s="120">
        <f>IF(B89="","",IF(Q89&lt;&gt;"",Q89,IF(P89="","",IFERROR(INDEX('Timeline'!$J$7:$J$156,MATCH(P89,'Timeline'!$B$7:$B$156,0)),""))))</f>
        <v/>
      </c>
      <c r="S89" s="126">
        <f>IF(R89="","",R89-IF(O89="",0,O89)-OrderBuf)</f>
        <v/>
      </c>
      <c r="T89" s="126">
        <f>IF(S89="","",S89-DecideBuf)</f>
        <v/>
      </c>
      <c r="U89" s="74" t="n"/>
      <c r="V89" s="108" t="n"/>
      <c r="W89" s="108" t="n"/>
      <c r="X89" s="74" t="n"/>
      <c r="Y89" s="115">
        <f>IF(B89="","",IF(X89="Yes","Delivered",IF(U89="Yes",IF(AND(W89&lt;&gt;"",R89&lt;&gt;""),IF(W89&gt;R89,"⚠️ Delivery after install date","Ordered"),"Ordered"),IF(K89="",IF(T89="","Waiting for decision",IF(T89&lt;=AsOf+AlertDays,"Decide now","Waiting for decision")),IF(S89="","Selected",IF(AsOf&gt;S89,"⚠️ Order late — install at risk",IF(S89&lt;=AsOf+AlertDays,"Order now","Selected")))))))</f>
        <v/>
      </c>
      <c r="Z89" s="79">
        <f>IF(B89="","",IF(OR(AH89=1,AE89=1),2,IF(OR(AG89=1,AF89=1),1,IF(OR(Y89="Ordered",Y89="Delivered"),0,""))))</f>
        <v/>
      </c>
      <c r="AA89" s="111">
        <f>IF(B89="","",IF(AH89=1,IF(Y89="⚠️ Delivery after install date",R89,S89),IF(AD89=1,T89,IF(AI89=1,S89,""))))</f>
        <v/>
      </c>
      <c r="AB89" s="79">
        <f>IF(AA89="","",IF(AH89=1,1,IF(AA89="","",IF(AA89&lt;AsOf,1,IF(AA89&lt;=AsOf+AlertDays,2,IF(AA89&lt;=AsOf+2*AlertDays,3,""))))))</f>
        <v/>
      </c>
      <c r="AC89" s="79">
        <f>IF(AB89="","",IF(AH89=1,IF(Y89="⚠️ Delivery after install date","Delivery after install date: "&amp;B89,"Order late — install at risk: "&amp;B89),IF(AD89=1,IF(AB89=1,"Decision overdue: ","Decide: ")&amp;B89,"Order: "&amp;B89&amp;IF(N89="",""," from "&amp;N89))))</f>
        <v/>
      </c>
      <c r="AD89" s="79">
        <f>IF(AND(B89&lt;&gt;"",K89="",U89&lt;&gt;"Yes",X89&lt;&gt;"Yes"),1,0)</f>
        <v/>
      </c>
      <c r="AE89" s="79">
        <f>IF(AND(AD89=1,T89&lt;&gt;""),IF(T89&lt;AsOf,1,0),0)</f>
        <v/>
      </c>
      <c r="AF89" s="79">
        <f>IF(AND(AD89=1,T89&lt;&gt;""),IF(AND(T89&gt;=AsOf,T89&lt;=AsOf+AlertDays),1,0),0)</f>
        <v/>
      </c>
      <c r="AG89" s="79">
        <f>IF(Y89="Order now",1,0)</f>
        <v/>
      </c>
      <c r="AH89" s="79">
        <f>IF(OR(Y89="⚠️ Order late — install at risk",Y89="⚠️ Delivery after install date"),1,0)</f>
        <v/>
      </c>
      <c r="AI89" s="79">
        <f>IF(AND(B89&lt;&gt;"",K89&lt;&gt;"",U89&lt;&gt;"Yes",X89&lt;&gt;"Yes"),1,0)</f>
        <v/>
      </c>
      <c r="AJ89" s="79">
        <f>IF(Y89="⚠️ Order late — install at risk",1,0)</f>
        <v/>
      </c>
    </row>
    <row r="90" ht="20" customHeight="1">
      <c r="B90" s="72" t="n"/>
      <c r="C90" s="72" t="n"/>
      <c r="D90" s="72" t="n"/>
      <c r="E90" s="72" t="n"/>
      <c r="F90" s="73" t="n"/>
      <c r="G90" s="72" t="n"/>
      <c r="H90" s="73" t="n"/>
      <c r="I90" s="72" t="n"/>
      <c r="J90" s="73" t="n"/>
      <c r="K90" s="74" t="n"/>
      <c r="L90" s="75">
        <f>IF(K90="A",F90,IF(K90="B",H90,IF(K90="C",J90,"")))</f>
        <v/>
      </c>
      <c r="M90" s="72" t="n"/>
      <c r="N90" s="72" t="n"/>
      <c r="O90" s="89" t="n"/>
      <c r="P90" s="89" t="n"/>
      <c r="Q90" s="108" t="n"/>
      <c r="R90" s="120">
        <f>IF(B90="","",IF(Q90&lt;&gt;"",Q90,IF(P90="","",IFERROR(INDEX('Timeline'!$J$7:$J$156,MATCH(P90,'Timeline'!$B$7:$B$156,0)),""))))</f>
        <v/>
      </c>
      <c r="S90" s="126">
        <f>IF(R90="","",R90-IF(O90="",0,O90)-OrderBuf)</f>
        <v/>
      </c>
      <c r="T90" s="126">
        <f>IF(S90="","",S90-DecideBuf)</f>
        <v/>
      </c>
      <c r="U90" s="74" t="n"/>
      <c r="V90" s="108" t="n"/>
      <c r="W90" s="108" t="n"/>
      <c r="X90" s="74" t="n"/>
      <c r="Y90" s="115">
        <f>IF(B90="","",IF(X90="Yes","Delivered",IF(U90="Yes",IF(AND(W90&lt;&gt;"",R90&lt;&gt;""),IF(W90&gt;R90,"⚠️ Delivery after install date","Ordered"),"Ordered"),IF(K90="",IF(T90="","Waiting for decision",IF(T90&lt;=AsOf+AlertDays,"Decide now","Waiting for decision")),IF(S90="","Selected",IF(AsOf&gt;S90,"⚠️ Order late — install at risk",IF(S90&lt;=AsOf+AlertDays,"Order now","Selected")))))))</f>
        <v/>
      </c>
      <c r="Z90" s="79">
        <f>IF(B90="","",IF(OR(AH90=1,AE90=1),2,IF(OR(AG90=1,AF90=1),1,IF(OR(Y90="Ordered",Y90="Delivered"),0,""))))</f>
        <v/>
      </c>
      <c r="AA90" s="111">
        <f>IF(B90="","",IF(AH90=1,IF(Y90="⚠️ Delivery after install date",R90,S90),IF(AD90=1,T90,IF(AI90=1,S90,""))))</f>
        <v/>
      </c>
      <c r="AB90" s="79">
        <f>IF(AA90="","",IF(AH90=1,1,IF(AA90="","",IF(AA90&lt;AsOf,1,IF(AA90&lt;=AsOf+AlertDays,2,IF(AA90&lt;=AsOf+2*AlertDays,3,""))))))</f>
        <v/>
      </c>
      <c r="AC90" s="79">
        <f>IF(AB90="","",IF(AH90=1,IF(Y90="⚠️ Delivery after install date","Delivery after install date: "&amp;B90,"Order late — install at risk: "&amp;B90),IF(AD90=1,IF(AB90=1,"Decision overdue: ","Decide: ")&amp;B90,"Order: "&amp;B90&amp;IF(N90="",""," from "&amp;N90))))</f>
        <v/>
      </c>
      <c r="AD90" s="79">
        <f>IF(AND(B90&lt;&gt;"",K90="",U90&lt;&gt;"Yes",X90&lt;&gt;"Yes"),1,0)</f>
        <v/>
      </c>
      <c r="AE90" s="79">
        <f>IF(AND(AD90=1,T90&lt;&gt;""),IF(T90&lt;AsOf,1,0),0)</f>
        <v/>
      </c>
      <c r="AF90" s="79">
        <f>IF(AND(AD90=1,T90&lt;&gt;""),IF(AND(T90&gt;=AsOf,T90&lt;=AsOf+AlertDays),1,0),0)</f>
        <v/>
      </c>
      <c r="AG90" s="79">
        <f>IF(Y90="Order now",1,0)</f>
        <v/>
      </c>
      <c r="AH90" s="79">
        <f>IF(OR(Y90="⚠️ Order late — install at risk",Y90="⚠️ Delivery after install date"),1,0)</f>
        <v/>
      </c>
      <c r="AI90" s="79">
        <f>IF(AND(B90&lt;&gt;"",K90&lt;&gt;"",U90&lt;&gt;"Yes",X90&lt;&gt;"Yes"),1,0)</f>
        <v/>
      </c>
      <c r="AJ90" s="79">
        <f>IF(Y90="⚠️ Order late — install at risk",1,0)</f>
        <v/>
      </c>
    </row>
    <row r="91" ht="20" customHeight="1">
      <c r="B91" s="72" t="n"/>
      <c r="C91" s="72" t="n"/>
      <c r="D91" s="72" t="n"/>
      <c r="E91" s="72" t="n"/>
      <c r="F91" s="73" t="n"/>
      <c r="G91" s="72" t="n"/>
      <c r="H91" s="73" t="n"/>
      <c r="I91" s="72" t="n"/>
      <c r="J91" s="73" t="n"/>
      <c r="K91" s="74" t="n"/>
      <c r="L91" s="75">
        <f>IF(K91="A",F91,IF(K91="B",H91,IF(K91="C",J91,"")))</f>
        <v/>
      </c>
      <c r="M91" s="72" t="n"/>
      <c r="N91" s="72" t="n"/>
      <c r="O91" s="89" t="n"/>
      <c r="P91" s="89" t="n"/>
      <c r="Q91" s="108" t="n"/>
      <c r="R91" s="120">
        <f>IF(B91="","",IF(Q91&lt;&gt;"",Q91,IF(P91="","",IFERROR(INDEX('Timeline'!$J$7:$J$156,MATCH(P91,'Timeline'!$B$7:$B$156,0)),""))))</f>
        <v/>
      </c>
      <c r="S91" s="126">
        <f>IF(R91="","",R91-IF(O91="",0,O91)-OrderBuf)</f>
        <v/>
      </c>
      <c r="T91" s="126">
        <f>IF(S91="","",S91-DecideBuf)</f>
        <v/>
      </c>
      <c r="U91" s="74" t="n"/>
      <c r="V91" s="108" t="n"/>
      <c r="W91" s="108" t="n"/>
      <c r="X91" s="74" t="n"/>
      <c r="Y91" s="115">
        <f>IF(B91="","",IF(X91="Yes","Delivered",IF(U91="Yes",IF(AND(W91&lt;&gt;"",R91&lt;&gt;""),IF(W91&gt;R91,"⚠️ Delivery after install date","Ordered"),"Ordered"),IF(K91="",IF(T91="","Waiting for decision",IF(T91&lt;=AsOf+AlertDays,"Decide now","Waiting for decision")),IF(S91="","Selected",IF(AsOf&gt;S91,"⚠️ Order late — install at risk",IF(S91&lt;=AsOf+AlertDays,"Order now","Selected")))))))</f>
        <v/>
      </c>
      <c r="Z91" s="79">
        <f>IF(B91="","",IF(OR(AH91=1,AE91=1),2,IF(OR(AG91=1,AF91=1),1,IF(OR(Y91="Ordered",Y91="Delivered"),0,""))))</f>
        <v/>
      </c>
      <c r="AA91" s="111">
        <f>IF(B91="","",IF(AH91=1,IF(Y91="⚠️ Delivery after install date",R91,S91),IF(AD91=1,T91,IF(AI91=1,S91,""))))</f>
        <v/>
      </c>
      <c r="AB91" s="79">
        <f>IF(AA91="","",IF(AH91=1,1,IF(AA91="","",IF(AA91&lt;AsOf,1,IF(AA91&lt;=AsOf+AlertDays,2,IF(AA91&lt;=AsOf+2*AlertDays,3,""))))))</f>
        <v/>
      </c>
      <c r="AC91" s="79">
        <f>IF(AB91="","",IF(AH91=1,IF(Y91="⚠️ Delivery after install date","Delivery after install date: "&amp;B91,"Order late — install at risk: "&amp;B91),IF(AD91=1,IF(AB91=1,"Decision overdue: ","Decide: ")&amp;B91,"Order: "&amp;B91&amp;IF(N91="",""," from "&amp;N91))))</f>
        <v/>
      </c>
      <c r="AD91" s="79">
        <f>IF(AND(B91&lt;&gt;"",K91="",U91&lt;&gt;"Yes",X91&lt;&gt;"Yes"),1,0)</f>
        <v/>
      </c>
      <c r="AE91" s="79">
        <f>IF(AND(AD91=1,T91&lt;&gt;""),IF(T91&lt;AsOf,1,0),0)</f>
        <v/>
      </c>
      <c r="AF91" s="79">
        <f>IF(AND(AD91=1,T91&lt;&gt;""),IF(AND(T91&gt;=AsOf,T91&lt;=AsOf+AlertDays),1,0),0)</f>
        <v/>
      </c>
      <c r="AG91" s="79">
        <f>IF(Y91="Order now",1,0)</f>
        <v/>
      </c>
      <c r="AH91" s="79">
        <f>IF(OR(Y91="⚠️ Order late — install at risk",Y91="⚠️ Delivery after install date"),1,0)</f>
        <v/>
      </c>
      <c r="AI91" s="79">
        <f>IF(AND(B91&lt;&gt;"",K91&lt;&gt;"",U91&lt;&gt;"Yes",X91&lt;&gt;"Yes"),1,0)</f>
        <v/>
      </c>
      <c r="AJ91" s="79">
        <f>IF(Y91="⚠️ Order late — install at risk",1,0)</f>
        <v/>
      </c>
    </row>
    <row r="92" ht="20" customHeight="1">
      <c r="B92" s="72" t="n"/>
      <c r="C92" s="72" t="n"/>
      <c r="D92" s="72" t="n"/>
      <c r="E92" s="72" t="n"/>
      <c r="F92" s="73" t="n"/>
      <c r="G92" s="72" t="n"/>
      <c r="H92" s="73" t="n"/>
      <c r="I92" s="72" t="n"/>
      <c r="J92" s="73" t="n"/>
      <c r="K92" s="74" t="n"/>
      <c r="L92" s="75">
        <f>IF(K92="A",F92,IF(K92="B",H92,IF(K92="C",J92,"")))</f>
        <v/>
      </c>
      <c r="M92" s="72" t="n"/>
      <c r="N92" s="72" t="n"/>
      <c r="O92" s="89" t="n"/>
      <c r="P92" s="89" t="n"/>
      <c r="Q92" s="108" t="n"/>
      <c r="R92" s="120">
        <f>IF(B92="","",IF(Q92&lt;&gt;"",Q92,IF(P92="","",IFERROR(INDEX('Timeline'!$J$7:$J$156,MATCH(P92,'Timeline'!$B$7:$B$156,0)),""))))</f>
        <v/>
      </c>
      <c r="S92" s="126">
        <f>IF(R92="","",R92-IF(O92="",0,O92)-OrderBuf)</f>
        <v/>
      </c>
      <c r="T92" s="126">
        <f>IF(S92="","",S92-DecideBuf)</f>
        <v/>
      </c>
      <c r="U92" s="74" t="n"/>
      <c r="V92" s="108" t="n"/>
      <c r="W92" s="108" t="n"/>
      <c r="X92" s="74" t="n"/>
      <c r="Y92" s="115">
        <f>IF(B92="","",IF(X92="Yes","Delivered",IF(U92="Yes",IF(AND(W92&lt;&gt;"",R92&lt;&gt;""),IF(W92&gt;R92,"⚠️ Delivery after install date","Ordered"),"Ordered"),IF(K92="",IF(T92="","Waiting for decision",IF(T92&lt;=AsOf+AlertDays,"Decide now","Waiting for decision")),IF(S92="","Selected",IF(AsOf&gt;S92,"⚠️ Order late — install at risk",IF(S92&lt;=AsOf+AlertDays,"Order now","Selected")))))))</f>
        <v/>
      </c>
      <c r="Z92" s="79">
        <f>IF(B92="","",IF(OR(AH92=1,AE92=1),2,IF(OR(AG92=1,AF92=1),1,IF(OR(Y92="Ordered",Y92="Delivered"),0,""))))</f>
        <v/>
      </c>
      <c r="AA92" s="111">
        <f>IF(B92="","",IF(AH92=1,IF(Y92="⚠️ Delivery after install date",R92,S92),IF(AD92=1,T92,IF(AI92=1,S92,""))))</f>
        <v/>
      </c>
      <c r="AB92" s="79">
        <f>IF(AA92="","",IF(AH92=1,1,IF(AA92="","",IF(AA92&lt;AsOf,1,IF(AA92&lt;=AsOf+AlertDays,2,IF(AA92&lt;=AsOf+2*AlertDays,3,""))))))</f>
        <v/>
      </c>
      <c r="AC92" s="79">
        <f>IF(AB92="","",IF(AH92=1,IF(Y92="⚠️ Delivery after install date","Delivery after install date: "&amp;B92,"Order late — install at risk: "&amp;B92),IF(AD92=1,IF(AB92=1,"Decision overdue: ","Decide: ")&amp;B92,"Order: "&amp;B92&amp;IF(N92="",""," from "&amp;N92))))</f>
        <v/>
      </c>
      <c r="AD92" s="79">
        <f>IF(AND(B92&lt;&gt;"",K92="",U92&lt;&gt;"Yes",X92&lt;&gt;"Yes"),1,0)</f>
        <v/>
      </c>
      <c r="AE92" s="79">
        <f>IF(AND(AD92=1,T92&lt;&gt;""),IF(T92&lt;AsOf,1,0),0)</f>
        <v/>
      </c>
      <c r="AF92" s="79">
        <f>IF(AND(AD92=1,T92&lt;&gt;""),IF(AND(T92&gt;=AsOf,T92&lt;=AsOf+AlertDays),1,0),0)</f>
        <v/>
      </c>
      <c r="AG92" s="79">
        <f>IF(Y92="Order now",1,0)</f>
        <v/>
      </c>
      <c r="AH92" s="79">
        <f>IF(OR(Y92="⚠️ Order late — install at risk",Y92="⚠️ Delivery after install date"),1,0)</f>
        <v/>
      </c>
      <c r="AI92" s="79">
        <f>IF(AND(B92&lt;&gt;"",K92&lt;&gt;"",U92&lt;&gt;"Yes",X92&lt;&gt;"Yes"),1,0)</f>
        <v/>
      </c>
      <c r="AJ92" s="79">
        <f>IF(Y92="⚠️ Order late — install at risk",1,0)</f>
        <v/>
      </c>
    </row>
    <row r="93" ht="20" customHeight="1">
      <c r="B93" s="72" t="n"/>
      <c r="C93" s="72" t="n"/>
      <c r="D93" s="72" t="n"/>
      <c r="E93" s="72" t="n"/>
      <c r="F93" s="73" t="n"/>
      <c r="G93" s="72" t="n"/>
      <c r="H93" s="73" t="n"/>
      <c r="I93" s="72" t="n"/>
      <c r="J93" s="73" t="n"/>
      <c r="K93" s="74" t="n"/>
      <c r="L93" s="75">
        <f>IF(K93="A",F93,IF(K93="B",H93,IF(K93="C",J93,"")))</f>
        <v/>
      </c>
      <c r="M93" s="72" t="n"/>
      <c r="N93" s="72" t="n"/>
      <c r="O93" s="89" t="n"/>
      <c r="P93" s="89" t="n"/>
      <c r="Q93" s="108" t="n"/>
      <c r="R93" s="120">
        <f>IF(B93="","",IF(Q93&lt;&gt;"",Q93,IF(P93="","",IFERROR(INDEX('Timeline'!$J$7:$J$156,MATCH(P93,'Timeline'!$B$7:$B$156,0)),""))))</f>
        <v/>
      </c>
      <c r="S93" s="126">
        <f>IF(R93="","",R93-IF(O93="",0,O93)-OrderBuf)</f>
        <v/>
      </c>
      <c r="T93" s="126">
        <f>IF(S93="","",S93-DecideBuf)</f>
        <v/>
      </c>
      <c r="U93" s="74" t="n"/>
      <c r="V93" s="108" t="n"/>
      <c r="W93" s="108" t="n"/>
      <c r="X93" s="74" t="n"/>
      <c r="Y93" s="115">
        <f>IF(B93="","",IF(X93="Yes","Delivered",IF(U93="Yes",IF(AND(W93&lt;&gt;"",R93&lt;&gt;""),IF(W93&gt;R93,"⚠️ Delivery after install date","Ordered"),"Ordered"),IF(K93="",IF(T93="","Waiting for decision",IF(T93&lt;=AsOf+AlertDays,"Decide now","Waiting for decision")),IF(S93="","Selected",IF(AsOf&gt;S93,"⚠️ Order late — install at risk",IF(S93&lt;=AsOf+AlertDays,"Order now","Selected")))))))</f>
        <v/>
      </c>
      <c r="Z93" s="79">
        <f>IF(B93="","",IF(OR(AH93=1,AE93=1),2,IF(OR(AG93=1,AF93=1),1,IF(OR(Y93="Ordered",Y93="Delivered"),0,""))))</f>
        <v/>
      </c>
      <c r="AA93" s="111">
        <f>IF(B93="","",IF(AH93=1,IF(Y93="⚠️ Delivery after install date",R93,S93),IF(AD93=1,T93,IF(AI93=1,S93,""))))</f>
        <v/>
      </c>
      <c r="AB93" s="79">
        <f>IF(AA93="","",IF(AH93=1,1,IF(AA93="","",IF(AA93&lt;AsOf,1,IF(AA93&lt;=AsOf+AlertDays,2,IF(AA93&lt;=AsOf+2*AlertDays,3,""))))))</f>
        <v/>
      </c>
      <c r="AC93" s="79">
        <f>IF(AB93="","",IF(AH93=1,IF(Y93="⚠️ Delivery after install date","Delivery after install date: "&amp;B93,"Order late — install at risk: "&amp;B93),IF(AD93=1,IF(AB93=1,"Decision overdue: ","Decide: ")&amp;B93,"Order: "&amp;B93&amp;IF(N93="",""," from "&amp;N93))))</f>
        <v/>
      </c>
      <c r="AD93" s="79">
        <f>IF(AND(B93&lt;&gt;"",K93="",U93&lt;&gt;"Yes",X93&lt;&gt;"Yes"),1,0)</f>
        <v/>
      </c>
      <c r="AE93" s="79">
        <f>IF(AND(AD93=1,T93&lt;&gt;""),IF(T93&lt;AsOf,1,0),0)</f>
        <v/>
      </c>
      <c r="AF93" s="79">
        <f>IF(AND(AD93=1,T93&lt;&gt;""),IF(AND(T93&gt;=AsOf,T93&lt;=AsOf+AlertDays),1,0),0)</f>
        <v/>
      </c>
      <c r="AG93" s="79">
        <f>IF(Y93="Order now",1,0)</f>
        <v/>
      </c>
      <c r="AH93" s="79">
        <f>IF(OR(Y93="⚠️ Order late — install at risk",Y93="⚠️ Delivery after install date"),1,0)</f>
        <v/>
      </c>
      <c r="AI93" s="79">
        <f>IF(AND(B93&lt;&gt;"",K93&lt;&gt;"",U93&lt;&gt;"Yes",X93&lt;&gt;"Yes"),1,0)</f>
        <v/>
      </c>
      <c r="AJ93" s="79">
        <f>IF(Y93="⚠️ Order late — install at risk",1,0)</f>
        <v/>
      </c>
    </row>
    <row r="94" ht="20" customHeight="1">
      <c r="B94" s="72" t="n"/>
      <c r="C94" s="72" t="n"/>
      <c r="D94" s="72" t="n"/>
      <c r="E94" s="72" t="n"/>
      <c r="F94" s="73" t="n"/>
      <c r="G94" s="72" t="n"/>
      <c r="H94" s="73" t="n"/>
      <c r="I94" s="72" t="n"/>
      <c r="J94" s="73" t="n"/>
      <c r="K94" s="74" t="n"/>
      <c r="L94" s="75">
        <f>IF(K94="A",F94,IF(K94="B",H94,IF(K94="C",J94,"")))</f>
        <v/>
      </c>
      <c r="M94" s="72" t="n"/>
      <c r="N94" s="72" t="n"/>
      <c r="O94" s="89" t="n"/>
      <c r="P94" s="89" t="n"/>
      <c r="Q94" s="108" t="n"/>
      <c r="R94" s="120">
        <f>IF(B94="","",IF(Q94&lt;&gt;"",Q94,IF(P94="","",IFERROR(INDEX('Timeline'!$J$7:$J$156,MATCH(P94,'Timeline'!$B$7:$B$156,0)),""))))</f>
        <v/>
      </c>
      <c r="S94" s="126">
        <f>IF(R94="","",R94-IF(O94="",0,O94)-OrderBuf)</f>
        <v/>
      </c>
      <c r="T94" s="126">
        <f>IF(S94="","",S94-DecideBuf)</f>
        <v/>
      </c>
      <c r="U94" s="74" t="n"/>
      <c r="V94" s="108" t="n"/>
      <c r="W94" s="108" t="n"/>
      <c r="X94" s="74" t="n"/>
      <c r="Y94" s="115">
        <f>IF(B94="","",IF(X94="Yes","Delivered",IF(U94="Yes",IF(AND(W94&lt;&gt;"",R94&lt;&gt;""),IF(W94&gt;R94,"⚠️ Delivery after install date","Ordered"),"Ordered"),IF(K94="",IF(T94="","Waiting for decision",IF(T94&lt;=AsOf+AlertDays,"Decide now","Waiting for decision")),IF(S94="","Selected",IF(AsOf&gt;S94,"⚠️ Order late — install at risk",IF(S94&lt;=AsOf+AlertDays,"Order now","Selected")))))))</f>
        <v/>
      </c>
      <c r="Z94" s="79">
        <f>IF(B94="","",IF(OR(AH94=1,AE94=1),2,IF(OR(AG94=1,AF94=1),1,IF(OR(Y94="Ordered",Y94="Delivered"),0,""))))</f>
        <v/>
      </c>
      <c r="AA94" s="111">
        <f>IF(B94="","",IF(AH94=1,IF(Y94="⚠️ Delivery after install date",R94,S94),IF(AD94=1,T94,IF(AI94=1,S94,""))))</f>
        <v/>
      </c>
      <c r="AB94" s="79">
        <f>IF(AA94="","",IF(AH94=1,1,IF(AA94="","",IF(AA94&lt;AsOf,1,IF(AA94&lt;=AsOf+AlertDays,2,IF(AA94&lt;=AsOf+2*AlertDays,3,""))))))</f>
        <v/>
      </c>
      <c r="AC94" s="79">
        <f>IF(AB94="","",IF(AH94=1,IF(Y94="⚠️ Delivery after install date","Delivery after install date: "&amp;B94,"Order late — install at risk: "&amp;B94),IF(AD94=1,IF(AB94=1,"Decision overdue: ","Decide: ")&amp;B94,"Order: "&amp;B94&amp;IF(N94="",""," from "&amp;N94))))</f>
        <v/>
      </c>
      <c r="AD94" s="79">
        <f>IF(AND(B94&lt;&gt;"",K94="",U94&lt;&gt;"Yes",X94&lt;&gt;"Yes"),1,0)</f>
        <v/>
      </c>
      <c r="AE94" s="79">
        <f>IF(AND(AD94=1,T94&lt;&gt;""),IF(T94&lt;AsOf,1,0),0)</f>
        <v/>
      </c>
      <c r="AF94" s="79">
        <f>IF(AND(AD94=1,T94&lt;&gt;""),IF(AND(T94&gt;=AsOf,T94&lt;=AsOf+AlertDays),1,0),0)</f>
        <v/>
      </c>
      <c r="AG94" s="79">
        <f>IF(Y94="Order now",1,0)</f>
        <v/>
      </c>
      <c r="AH94" s="79">
        <f>IF(OR(Y94="⚠️ Order late — install at risk",Y94="⚠️ Delivery after install date"),1,0)</f>
        <v/>
      </c>
      <c r="AI94" s="79">
        <f>IF(AND(B94&lt;&gt;"",K94&lt;&gt;"",U94&lt;&gt;"Yes",X94&lt;&gt;"Yes"),1,0)</f>
        <v/>
      </c>
      <c r="AJ94" s="79">
        <f>IF(Y94="⚠️ Order late — install at risk",1,0)</f>
        <v/>
      </c>
    </row>
    <row r="95" ht="20" customHeight="1">
      <c r="B95" s="72" t="n"/>
      <c r="C95" s="72" t="n"/>
      <c r="D95" s="72" t="n"/>
      <c r="E95" s="72" t="n"/>
      <c r="F95" s="73" t="n"/>
      <c r="G95" s="72" t="n"/>
      <c r="H95" s="73" t="n"/>
      <c r="I95" s="72" t="n"/>
      <c r="J95" s="73" t="n"/>
      <c r="K95" s="74" t="n"/>
      <c r="L95" s="75">
        <f>IF(K95="A",F95,IF(K95="B",H95,IF(K95="C",J95,"")))</f>
        <v/>
      </c>
      <c r="M95" s="72" t="n"/>
      <c r="N95" s="72" t="n"/>
      <c r="O95" s="89" t="n"/>
      <c r="P95" s="89" t="n"/>
      <c r="Q95" s="108" t="n"/>
      <c r="R95" s="120">
        <f>IF(B95="","",IF(Q95&lt;&gt;"",Q95,IF(P95="","",IFERROR(INDEX('Timeline'!$J$7:$J$156,MATCH(P95,'Timeline'!$B$7:$B$156,0)),""))))</f>
        <v/>
      </c>
      <c r="S95" s="126">
        <f>IF(R95="","",R95-IF(O95="",0,O95)-OrderBuf)</f>
        <v/>
      </c>
      <c r="T95" s="126">
        <f>IF(S95="","",S95-DecideBuf)</f>
        <v/>
      </c>
      <c r="U95" s="74" t="n"/>
      <c r="V95" s="108" t="n"/>
      <c r="W95" s="108" t="n"/>
      <c r="X95" s="74" t="n"/>
      <c r="Y95" s="115">
        <f>IF(B95="","",IF(X95="Yes","Delivered",IF(U95="Yes",IF(AND(W95&lt;&gt;"",R95&lt;&gt;""),IF(W95&gt;R95,"⚠️ Delivery after install date","Ordered"),"Ordered"),IF(K95="",IF(T95="","Waiting for decision",IF(T95&lt;=AsOf+AlertDays,"Decide now","Waiting for decision")),IF(S95="","Selected",IF(AsOf&gt;S95,"⚠️ Order late — install at risk",IF(S95&lt;=AsOf+AlertDays,"Order now","Selected")))))))</f>
        <v/>
      </c>
      <c r="Z95" s="79">
        <f>IF(B95="","",IF(OR(AH95=1,AE95=1),2,IF(OR(AG95=1,AF95=1),1,IF(OR(Y95="Ordered",Y95="Delivered"),0,""))))</f>
        <v/>
      </c>
      <c r="AA95" s="111">
        <f>IF(B95="","",IF(AH95=1,IF(Y95="⚠️ Delivery after install date",R95,S95),IF(AD95=1,T95,IF(AI95=1,S95,""))))</f>
        <v/>
      </c>
      <c r="AB95" s="79">
        <f>IF(AA95="","",IF(AH95=1,1,IF(AA95="","",IF(AA95&lt;AsOf,1,IF(AA95&lt;=AsOf+AlertDays,2,IF(AA95&lt;=AsOf+2*AlertDays,3,""))))))</f>
        <v/>
      </c>
      <c r="AC95" s="79">
        <f>IF(AB95="","",IF(AH95=1,IF(Y95="⚠️ Delivery after install date","Delivery after install date: "&amp;B95,"Order late — install at risk: "&amp;B95),IF(AD95=1,IF(AB95=1,"Decision overdue: ","Decide: ")&amp;B95,"Order: "&amp;B95&amp;IF(N95="",""," from "&amp;N95))))</f>
        <v/>
      </c>
      <c r="AD95" s="79">
        <f>IF(AND(B95&lt;&gt;"",K95="",U95&lt;&gt;"Yes",X95&lt;&gt;"Yes"),1,0)</f>
        <v/>
      </c>
      <c r="AE95" s="79">
        <f>IF(AND(AD95=1,T95&lt;&gt;""),IF(T95&lt;AsOf,1,0),0)</f>
        <v/>
      </c>
      <c r="AF95" s="79">
        <f>IF(AND(AD95=1,T95&lt;&gt;""),IF(AND(T95&gt;=AsOf,T95&lt;=AsOf+AlertDays),1,0),0)</f>
        <v/>
      </c>
      <c r="AG95" s="79">
        <f>IF(Y95="Order now",1,0)</f>
        <v/>
      </c>
      <c r="AH95" s="79">
        <f>IF(OR(Y95="⚠️ Order late — install at risk",Y95="⚠️ Delivery after install date"),1,0)</f>
        <v/>
      </c>
      <c r="AI95" s="79">
        <f>IF(AND(B95&lt;&gt;"",K95&lt;&gt;"",U95&lt;&gt;"Yes",X95&lt;&gt;"Yes"),1,0)</f>
        <v/>
      </c>
      <c r="AJ95" s="79">
        <f>IF(Y95="⚠️ Order late — install at risk",1,0)</f>
        <v/>
      </c>
    </row>
    <row r="96" ht="20" customHeight="1">
      <c r="B96" s="72" t="n"/>
      <c r="C96" s="72" t="n"/>
      <c r="D96" s="72" t="n"/>
      <c r="E96" s="72" t="n"/>
      <c r="F96" s="73" t="n"/>
      <c r="G96" s="72" t="n"/>
      <c r="H96" s="73" t="n"/>
      <c r="I96" s="72" t="n"/>
      <c r="J96" s="73" t="n"/>
      <c r="K96" s="74" t="n"/>
      <c r="L96" s="75">
        <f>IF(K96="A",F96,IF(K96="B",H96,IF(K96="C",J96,"")))</f>
        <v/>
      </c>
      <c r="M96" s="72" t="n"/>
      <c r="N96" s="72" t="n"/>
      <c r="O96" s="89" t="n"/>
      <c r="P96" s="89" t="n"/>
      <c r="Q96" s="108" t="n"/>
      <c r="R96" s="120">
        <f>IF(B96="","",IF(Q96&lt;&gt;"",Q96,IF(P96="","",IFERROR(INDEX('Timeline'!$J$7:$J$156,MATCH(P96,'Timeline'!$B$7:$B$156,0)),""))))</f>
        <v/>
      </c>
      <c r="S96" s="126">
        <f>IF(R96="","",R96-IF(O96="",0,O96)-OrderBuf)</f>
        <v/>
      </c>
      <c r="T96" s="126">
        <f>IF(S96="","",S96-DecideBuf)</f>
        <v/>
      </c>
      <c r="U96" s="74" t="n"/>
      <c r="V96" s="108" t="n"/>
      <c r="W96" s="108" t="n"/>
      <c r="X96" s="74" t="n"/>
      <c r="Y96" s="115">
        <f>IF(B96="","",IF(X96="Yes","Delivered",IF(U96="Yes",IF(AND(W96&lt;&gt;"",R96&lt;&gt;""),IF(W96&gt;R96,"⚠️ Delivery after install date","Ordered"),"Ordered"),IF(K96="",IF(T96="","Waiting for decision",IF(T96&lt;=AsOf+AlertDays,"Decide now","Waiting for decision")),IF(S96="","Selected",IF(AsOf&gt;S96,"⚠️ Order late — install at risk",IF(S96&lt;=AsOf+AlertDays,"Order now","Selected")))))))</f>
        <v/>
      </c>
      <c r="Z96" s="79">
        <f>IF(B96="","",IF(OR(AH96=1,AE96=1),2,IF(OR(AG96=1,AF96=1),1,IF(OR(Y96="Ordered",Y96="Delivered"),0,""))))</f>
        <v/>
      </c>
      <c r="AA96" s="111">
        <f>IF(B96="","",IF(AH96=1,IF(Y96="⚠️ Delivery after install date",R96,S96),IF(AD96=1,T96,IF(AI96=1,S96,""))))</f>
        <v/>
      </c>
      <c r="AB96" s="79">
        <f>IF(AA96="","",IF(AH96=1,1,IF(AA96="","",IF(AA96&lt;AsOf,1,IF(AA96&lt;=AsOf+AlertDays,2,IF(AA96&lt;=AsOf+2*AlertDays,3,""))))))</f>
        <v/>
      </c>
      <c r="AC96" s="79">
        <f>IF(AB96="","",IF(AH96=1,IF(Y96="⚠️ Delivery after install date","Delivery after install date: "&amp;B96,"Order late — install at risk: "&amp;B96),IF(AD96=1,IF(AB96=1,"Decision overdue: ","Decide: ")&amp;B96,"Order: "&amp;B96&amp;IF(N96="",""," from "&amp;N96))))</f>
        <v/>
      </c>
      <c r="AD96" s="79">
        <f>IF(AND(B96&lt;&gt;"",K96="",U96&lt;&gt;"Yes",X96&lt;&gt;"Yes"),1,0)</f>
        <v/>
      </c>
      <c r="AE96" s="79">
        <f>IF(AND(AD96=1,T96&lt;&gt;""),IF(T96&lt;AsOf,1,0),0)</f>
        <v/>
      </c>
      <c r="AF96" s="79">
        <f>IF(AND(AD96=1,T96&lt;&gt;""),IF(AND(T96&gt;=AsOf,T96&lt;=AsOf+AlertDays),1,0),0)</f>
        <v/>
      </c>
      <c r="AG96" s="79">
        <f>IF(Y96="Order now",1,0)</f>
        <v/>
      </c>
      <c r="AH96" s="79">
        <f>IF(OR(Y96="⚠️ Order late — install at risk",Y96="⚠️ Delivery after install date"),1,0)</f>
        <v/>
      </c>
      <c r="AI96" s="79">
        <f>IF(AND(B96&lt;&gt;"",K96&lt;&gt;"",U96&lt;&gt;"Yes",X96&lt;&gt;"Yes"),1,0)</f>
        <v/>
      </c>
      <c r="AJ96" s="79">
        <f>IF(Y96="⚠️ Order late — install at risk",1,0)</f>
        <v/>
      </c>
    </row>
    <row r="97" ht="20" customHeight="1">
      <c r="B97" s="72" t="n"/>
      <c r="C97" s="72" t="n"/>
      <c r="D97" s="72" t="n"/>
      <c r="E97" s="72" t="n"/>
      <c r="F97" s="73" t="n"/>
      <c r="G97" s="72" t="n"/>
      <c r="H97" s="73" t="n"/>
      <c r="I97" s="72" t="n"/>
      <c r="J97" s="73" t="n"/>
      <c r="K97" s="74" t="n"/>
      <c r="L97" s="75">
        <f>IF(K97="A",F97,IF(K97="B",H97,IF(K97="C",J97,"")))</f>
        <v/>
      </c>
      <c r="M97" s="72" t="n"/>
      <c r="N97" s="72" t="n"/>
      <c r="O97" s="89" t="n"/>
      <c r="P97" s="89" t="n"/>
      <c r="Q97" s="108" t="n"/>
      <c r="R97" s="120">
        <f>IF(B97="","",IF(Q97&lt;&gt;"",Q97,IF(P97="","",IFERROR(INDEX('Timeline'!$J$7:$J$156,MATCH(P97,'Timeline'!$B$7:$B$156,0)),""))))</f>
        <v/>
      </c>
      <c r="S97" s="126">
        <f>IF(R97="","",R97-IF(O97="",0,O97)-OrderBuf)</f>
        <v/>
      </c>
      <c r="T97" s="126">
        <f>IF(S97="","",S97-DecideBuf)</f>
        <v/>
      </c>
      <c r="U97" s="74" t="n"/>
      <c r="V97" s="108" t="n"/>
      <c r="W97" s="108" t="n"/>
      <c r="X97" s="74" t="n"/>
      <c r="Y97" s="115">
        <f>IF(B97="","",IF(X97="Yes","Delivered",IF(U97="Yes",IF(AND(W97&lt;&gt;"",R97&lt;&gt;""),IF(W97&gt;R97,"⚠️ Delivery after install date","Ordered"),"Ordered"),IF(K97="",IF(T97="","Waiting for decision",IF(T97&lt;=AsOf+AlertDays,"Decide now","Waiting for decision")),IF(S97="","Selected",IF(AsOf&gt;S97,"⚠️ Order late — install at risk",IF(S97&lt;=AsOf+AlertDays,"Order now","Selected")))))))</f>
        <v/>
      </c>
      <c r="Z97" s="79">
        <f>IF(B97="","",IF(OR(AH97=1,AE97=1),2,IF(OR(AG97=1,AF97=1),1,IF(OR(Y97="Ordered",Y97="Delivered"),0,""))))</f>
        <v/>
      </c>
      <c r="AA97" s="111">
        <f>IF(B97="","",IF(AH97=1,IF(Y97="⚠️ Delivery after install date",R97,S97),IF(AD97=1,T97,IF(AI97=1,S97,""))))</f>
        <v/>
      </c>
      <c r="AB97" s="79">
        <f>IF(AA97="","",IF(AH97=1,1,IF(AA97="","",IF(AA97&lt;AsOf,1,IF(AA97&lt;=AsOf+AlertDays,2,IF(AA97&lt;=AsOf+2*AlertDays,3,""))))))</f>
        <v/>
      </c>
      <c r="AC97" s="79">
        <f>IF(AB97="","",IF(AH97=1,IF(Y97="⚠️ Delivery after install date","Delivery after install date: "&amp;B97,"Order late — install at risk: "&amp;B97),IF(AD97=1,IF(AB97=1,"Decision overdue: ","Decide: ")&amp;B97,"Order: "&amp;B97&amp;IF(N97="",""," from "&amp;N97))))</f>
        <v/>
      </c>
      <c r="AD97" s="79">
        <f>IF(AND(B97&lt;&gt;"",K97="",U97&lt;&gt;"Yes",X97&lt;&gt;"Yes"),1,0)</f>
        <v/>
      </c>
      <c r="AE97" s="79">
        <f>IF(AND(AD97=1,T97&lt;&gt;""),IF(T97&lt;AsOf,1,0),0)</f>
        <v/>
      </c>
      <c r="AF97" s="79">
        <f>IF(AND(AD97=1,T97&lt;&gt;""),IF(AND(T97&gt;=AsOf,T97&lt;=AsOf+AlertDays),1,0),0)</f>
        <v/>
      </c>
      <c r="AG97" s="79">
        <f>IF(Y97="Order now",1,0)</f>
        <v/>
      </c>
      <c r="AH97" s="79">
        <f>IF(OR(Y97="⚠️ Order late — install at risk",Y97="⚠️ Delivery after install date"),1,0)</f>
        <v/>
      </c>
      <c r="AI97" s="79">
        <f>IF(AND(B97&lt;&gt;"",K97&lt;&gt;"",U97&lt;&gt;"Yes",X97&lt;&gt;"Yes"),1,0)</f>
        <v/>
      </c>
      <c r="AJ97" s="79">
        <f>IF(Y97="⚠️ Order late — install at risk",1,0)</f>
        <v/>
      </c>
    </row>
    <row r="98" ht="20" customHeight="1">
      <c r="B98" s="72" t="n"/>
      <c r="C98" s="72" t="n"/>
      <c r="D98" s="72" t="n"/>
      <c r="E98" s="72" t="n"/>
      <c r="F98" s="73" t="n"/>
      <c r="G98" s="72" t="n"/>
      <c r="H98" s="73" t="n"/>
      <c r="I98" s="72" t="n"/>
      <c r="J98" s="73" t="n"/>
      <c r="K98" s="74" t="n"/>
      <c r="L98" s="75">
        <f>IF(K98="A",F98,IF(K98="B",H98,IF(K98="C",J98,"")))</f>
        <v/>
      </c>
      <c r="M98" s="72" t="n"/>
      <c r="N98" s="72" t="n"/>
      <c r="O98" s="89" t="n"/>
      <c r="P98" s="89" t="n"/>
      <c r="Q98" s="108" t="n"/>
      <c r="R98" s="120">
        <f>IF(B98="","",IF(Q98&lt;&gt;"",Q98,IF(P98="","",IFERROR(INDEX('Timeline'!$J$7:$J$156,MATCH(P98,'Timeline'!$B$7:$B$156,0)),""))))</f>
        <v/>
      </c>
      <c r="S98" s="126">
        <f>IF(R98="","",R98-IF(O98="",0,O98)-OrderBuf)</f>
        <v/>
      </c>
      <c r="T98" s="126">
        <f>IF(S98="","",S98-DecideBuf)</f>
        <v/>
      </c>
      <c r="U98" s="74" t="n"/>
      <c r="V98" s="108" t="n"/>
      <c r="W98" s="108" t="n"/>
      <c r="X98" s="74" t="n"/>
      <c r="Y98" s="115">
        <f>IF(B98="","",IF(X98="Yes","Delivered",IF(U98="Yes",IF(AND(W98&lt;&gt;"",R98&lt;&gt;""),IF(W98&gt;R98,"⚠️ Delivery after install date","Ordered"),"Ordered"),IF(K98="",IF(T98="","Waiting for decision",IF(T98&lt;=AsOf+AlertDays,"Decide now","Waiting for decision")),IF(S98="","Selected",IF(AsOf&gt;S98,"⚠️ Order late — install at risk",IF(S98&lt;=AsOf+AlertDays,"Order now","Selected")))))))</f>
        <v/>
      </c>
      <c r="Z98" s="79">
        <f>IF(B98="","",IF(OR(AH98=1,AE98=1),2,IF(OR(AG98=1,AF98=1),1,IF(OR(Y98="Ordered",Y98="Delivered"),0,""))))</f>
        <v/>
      </c>
      <c r="AA98" s="111">
        <f>IF(B98="","",IF(AH98=1,IF(Y98="⚠️ Delivery after install date",R98,S98),IF(AD98=1,T98,IF(AI98=1,S98,""))))</f>
        <v/>
      </c>
      <c r="AB98" s="79">
        <f>IF(AA98="","",IF(AH98=1,1,IF(AA98="","",IF(AA98&lt;AsOf,1,IF(AA98&lt;=AsOf+AlertDays,2,IF(AA98&lt;=AsOf+2*AlertDays,3,""))))))</f>
        <v/>
      </c>
      <c r="AC98" s="79">
        <f>IF(AB98="","",IF(AH98=1,IF(Y98="⚠️ Delivery after install date","Delivery after install date: "&amp;B98,"Order late — install at risk: "&amp;B98),IF(AD98=1,IF(AB98=1,"Decision overdue: ","Decide: ")&amp;B98,"Order: "&amp;B98&amp;IF(N98="",""," from "&amp;N98))))</f>
        <v/>
      </c>
      <c r="AD98" s="79">
        <f>IF(AND(B98&lt;&gt;"",K98="",U98&lt;&gt;"Yes",X98&lt;&gt;"Yes"),1,0)</f>
        <v/>
      </c>
      <c r="AE98" s="79">
        <f>IF(AND(AD98=1,T98&lt;&gt;""),IF(T98&lt;AsOf,1,0),0)</f>
        <v/>
      </c>
      <c r="AF98" s="79">
        <f>IF(AND(AD98=1,T98&lt;&gt;""),IF(AND(T98&gt;=AsOf,T98&lt;=AsOf+AlertDays),1,0),0)</f>
        <v/>
      </c>
      <c r="AG98" s="79">
        <f>IF(Y98="Order now",1,0)</f>
        <v/>
      </c>
      <c r="AH98" s="79">
        <f>IF(OR(Y98="⚠️ Order late — install at risk",Y98="⚠️ Delivery after install date"),1,0)</f>
        <v/>
      </c>
      <c r="AI98" s="79">
        <f>IF(AND(B98&lt;&gt;"",K98&lt;&gt;"",U98&lt;&gt;"Yes",X98&lt;&gt;"Yes"),1,0)</f>
        <v/>
      </c>
      <c r="AJ98" s="79">
        <f>IF(Y98="⚠️ Order late — install at risk",1,0)</f>
        <v/>
      </c>
    </row>
    <row r="99" ht="20" customHeight="1">
      <c r="B99" s="72" t="n"/>
      <c r="C99" s="72" t="n"/>
      <c r="D99" s="72" t="n"/>
      <c r="E99" s="72" t="n"/>
      <c r="F99" s="73" t="n"/>
      <c r="G99" s="72" t="n"/>
      <c r="H99" s="73" t="n"/>
      <c r="I99" s="72" t="n"/>
      <c r="J99" s="73" t="n"/>
      <c r="K99" s="74" t="n"/>
      <c r="L99" s="75">
        <f>IF(K99="A",F99,IF(K99="B",H99,IF(K99="C",J99,"")))</f>
        <v/>
      </c>
      <c r="M99" s="72" t="n"/>
      <c r="N99" s="72" t="n"/>
      <c r="O99" s="89" t="n"/>
      <c r="P99" s="89" t="n"/>
      <c r="Q99" s="108" t="n"/>
      <c r="R99" s="120">
        <f>IF(B99="","",IF(Q99&lt;&gt;"",Q99,IF(P99="","",IFERROR(INDEX('Timeline'!$J$7:$J$156,MATCH(P99,'Timeline'!$B$7:$B$156,0)),""))))</f>
        <v/>
      </c>
      <c r="S99" s="126">
        <f>IF(R99="","",R99-IF(O99="",0,O99)-OrderBuf)</f>
        <v/>
      </c>
      <c r="T99" s="126">
        <f>IF(S99="","",S99-DecideBuf)</f>
        <v/>
      </c>
      <c r="U99" s="74" t="n"/>
      <c r="V99" s="108" t="n"/>
      <c r="W99" s="108" t="n"/>
      <c r="X99" s="74" t="n"/>
      <c r="Y99" s="115">
        <f>IF(B99="","",IF(X99="Yes","Delivered",IF(U99="Yes",IF(AND(W99&lt;&gt;"",R99&lt;&gt;""),IF(W99&gt;R99,"⚠️ Delivery after install date","Ordered"),"Ordered"),IF(K99="",IF(T99="","Waiting for decision",IF(T99&lt;=AsOf+AlertDays,"Decide now","Waiting for decision")),IF(S99="","Selected",IF(AsOf&gt;S99,"⚠️ Order late — install at risk",IF(S99&lt;=AsOf+AlertDays,"Order now","Selected")))))))</f>
        <v/>
      </c>
      <c r="Z99" s="79">
        <f>IF(B99="","",IF(OR(AH99=1,AE99=1),2,IF(OR(AG99=1,AF99=1),1,IF(OR(Y99="Ordered",Y99="Delivered"),0,""))))</f>
        <v/>
      </c>
      <c r="AA99" s="111">
        <f>IF(B99="","",IF(AH99=1,IF(Y99="⚠️ Delivery after install date",R99,S99),IF(AD99=1,T99,IF(AI99=1,S99,""))))</f>
        <v/>
      </c>
      <c r="AB99" s="79">
        <f>IF(AA99="","",IF(AH99=1,1,IF(AA99="","",IF(AA99&lt;AsOf,1,IF(AA99&lt;=AsOf+AlertDays,2,IF(AA99&lt;=AsOf+2*AlertDays,3,""))))))</f>
        <v/>
      </c>
      <c r="AC99" s="79">
        <f>IF(AB99="","",IF(AH99=1,IF(Y99="⚠️ Delivery after install date","Delivery after install date: "&amp;B99,"Order late — install at risk: "&amp;B99),IF(AD99=1,IF(AB99=1,"Decision overdue: ","Decide: ")&amp;B99,"Order: "&amp;B99&amp;IF(N99="",""," from "&amp;N99))))</f>
        <v/>
      </c>
      <c r="AD99" s="79">
        <f>IF(AND(B99&lt;&gt;"",K99="",U99&lt;&gt;"Yes",X99&lt;&gt;"Yes"),1,0)</f>
        <v/>
      </c>
      <c r="AE99" s="79">
        <f>IF(AND(AD99=1,T99&lt;&gt;""),IF(T99&lt;AsOf,1,0),0)</f>
        <v/>
      </c>
      <c r="AF99" s="79">
        <f>IF(AND(AD99=1,T99&lt;&gt;""),IF(AND(T99&gt;=AsOf,T99&lt;=AsOf+AlertDays),1,0),0)</f>
        <v/>
      </c>
      <c r="AG99" s="79">
        <f>IF(Y99="Order now",1,0)</f>
        <v/>
      </c>
      <c r="AH99" s="79">
        <f>IF(OR(Y99="⚠️ Order late — install at risk",Y99="⚠️ Delivery after install date"),1,0)</f>
        <v/>
      </c>
      <c r="AI99" s="79">
        <f>IF(AND(B99&lt;&gt;"",K99&lt;&gt;"",U99&lt;&gt;"Yes",X99&lt;&gt;"Yes"),1,0)</f>
        <v/>
      </c>
      <c r="AJ99" s="79">
        <f>IF(Y99="⚠️ Order late — install at risk",1,0)</f>
        <v/>
      </c>
    </row>
    <row r="100" ht="20" customHeight="1">
      <c r="B100" s="72" t="n"/>
      <c r="C100" s="72" t="n"/>
      <c r="D100" s="72" t="n"/>
      <c r="E100" s="72" t="n"/>
      <c r="F100" s="73" t="n"/>
      <c r="G100" s="72" t="n"/>
      <c r="H100" s="73" t="n"/>
      <c r="I100" s="72" t="n"/>
      <c r="J100" s="73" t="n"/>
      <c r="K100" s="74" t="n"/>
      <c r="L100" s="75">
        <f>IF(K100="A",F100,IF(K100="B",H100,IF(K100="C",J100,"")))</f>
        <v/>
      </c>
      <c r="M100" s="72" t="n"/>
      <c r="N100" s="72" t="n"/>
      <c r="O100" s="89" t="n"/>
      <c r="P100" s="89" t="n"/>
      <c r="Q100" s="108" t="n"/>
      <c r="R100" s="120">
        <f>IF(B100="","",IF(Q100&lt;&gt;"",Q100,IF(P100="","",IFERROR(INDEX('Timeline'!$J$7:$J$156,MATCH(P100,'Timeline'!$B$7:$B$156,0)),""))))</f>
        <v/>
      </c>
      <c r="S100" s="126">
        <f>IF(R100="","",R100-IF(O100="",0,O100)-OrderBuf)</f>
        <v/>
      </c>
      <c r="T100" s="126">
        <f>IF(S100="","",S100-DecideBuf)</f>
        <v/>
      </c>
      <c r="U100" s="74" t="n"/>
      <c r="V100" s="108" t="n"/>
      <c r="W100" s="108" t="n"/>
      <c r="X100" s="74" t="n"/>
      <c r="Y100" s="115">
        <f>IF(B100="","",IF(X100="Yes","Delivered",IF(U100="Yes",IF(AND(W100&lt;&gt;"",R100&lt;&gt;""),IF(W100&gt;R100,"⚠️ Delivery after install date","Ordered"),"Ordered"),IF(K100="",IF(T100="","Waiting for decision",IF(T100&lt;=AsOf+AlertDays,"Decide now","Waiting for decision")),IF(S100="","Selected",IF(AsOf&gt;S100,"⚠️ Order late — install at risk",IF(S100&lt;=AsOf+AlertDays,"Order now","Selected")))))))</f>
        <v/>
      </c>
      <c r="Z100" s="79">
        <f>IF(B100="","",IF(OR(AH100=1,AE100=1),2,IF(OR(AG100=1,AF100=1),1,IF(OR(Y100="Ordered",Y100="Delivered"),0,""))))</f>
        <v/>
      </c>
      <c r="AA100" s="111">
        <f>IF(B100="","",IF(AH100=1,IF(Y100="⚠️ Delivery after install date",R100,S100),IF(AD100=1,T100,IF(AI100=1,S100,""))))</f>
        <v/>
      </c>
      <c r="AB100" s="79">
        <f>IF(AA100="","",IF(AH100=1,1,IF(AA100="","",IF(AA100&lt;AsOf,1,IF(AA100&lt;=AsOf+AlertDays,2,IF(AA100&lt;=AsOf+2*AlertDays,3,""))))))</f>
        <v/>
      </c>
      <c r="AC100" s="79">
        <f>IF(AB100="","",IF(AH100=1,IF(Y100="⚠️ Delivery after install date","Delivery after install date: "&amp;B100,"Order late — install at risk: "&amp;B100),IF(AD100=1,IF(AB100=1,"Decision overdue: ","Decide: ")&amp;B100,"Order: "&amp;B100&amp;IF(N100="",""," from "&amp;N100))))</f>
        <v/>
      </c>
      <c r="AD100" s="79">
        <f>IF(AND(B100&lt;&gt;"",K100="",U100&lt;&gt;"Yes",X100&lt;&gt;"Yes"),1,0)</f>
        <v/>
      </c>
      <c r="AE100" s="79">
        <f>IF(AND(AD100=1,T100&lt;&gt;""),IF(T100&lt;AsOf,1,0),0)</f>
        <v/>
      </c>
      <c r="AF100" s="79">
        <f>IF(AND(AD100=1,T100&lt;&gt;""),IF(AND(T100&gt;=AsOf,T100&lt;=AsOf+AlertDays),1,0),0)</f>
        <v/>
      </c>
      <c r="AG100" s="79">
        <f>IF(Y100="Order now",1,0)</f>
        <v/>
      </c>
      <c r="AH100" s="79">
        <f>IF(OR(Y100="⚠️ Order late — install at risk",Y100="⚠️ Delivery after install date"),1,0)</f>
        <v/>
      </c>
      <c r="AI100" s="79">
        <f>IF(AND(B100&lt;&gt;"",K100&lt;&gt;"",U100&lt;&gt;"Yes",X100&lt;&gt;"Yes"),1,0)</f>
        <v/>
      </c>
      <c r="AJ100" s="79">
        <f>IF(Y100="⚠️ Order late — install at risk",1,0)</f>
        <v/>
      </c>
    </row>
    <row r="101" ht="20" customHeight="1">
      <c r="B101" s="72" t="n"/>
      <c r="C101" s="72" t="n"/>
      <c r="D101" s="72" t="n"/>
      <c r="E101" s="72" t="n"/>
      <c r="F101" s="73" t="n"/>
      <c r="G101" s="72" t="n"/>
      <c r="H101" s="73" t="n"/>
      <c r="I101" s="72" t="n"/>
      <c r="J101" s="73" t="n"/>
      <c r="K101" s="74" t="n"/>
      <c r="L101" s="75">
        <f>IF(K101="A",F101,IF(K101="B",H101,IF(K101="C",J101,"")))</f>
        <v/>
      </c>
      <c r="M101" s="72" t="n"/>
      <c r="N101" s="72" t="n"/>
      <c r="O101" s="89" t="n"/>
      <c r="P101" s="89" t="n"/>
      <c r="Q101" s="108" t="n"/>
      <c r="R101" s="120">
        <f>IF(B101="","",IF(Q101&lt;&gt;"",Q101,IF(P101="","",IFERROR(INDEX('Timeline'!$J$7:$J$156,MATCH(P101,'Timeline'!$B$7:$B$156,0)),""))))</f>
        <v/>
      </c>
      <c r="S101" s="126">
        <f>IF(R101="","",R101-IF(O101="",0,O101)-OrderBuf)</f>
        <v/>
      </c>
      <c r="T101" s="126">
        <f>IF(S101="","",S101-DecideBuf)</f>
        <v/>
      </c>
      <c r="U101" s="74" t="n"/>
      <c r="V101" s="108" t="n"/>
      <c r="W101" s="108" t="n"/>
      <c r="X101" s="74" t="n"/>
      <c r="Y101" s="115">
        <f>IF(B101="","",IF(X101="Yes","Delivered",IF(U101="Yes",IF(AND(W101&lt;&gt;"",R101&lt;&gt;""),IF(W101&gt;R101,"⚠️ Delivery after install date","Ordered"),"Ordered"),IF(K101="",IF(T101="","Waiting for decision",IF(T101&lt;=AsOf+AlertDays,"Decide now","Waiting for decision")),IF(S101="","Selected",IF(AsOf&gt;S101,"⚠️ Order late — install at risk",IF(S101&lt;=AsOf+AlertDays,"Order now","Selected")))))))</f>
        <v/>
      </c>
      <c r="Z101" s="79">
        <f>IF(B101="","",IF(OR(AH101=1,AE101=1),2,IF(OR(AG101=1,AF101=1),1,IF(OR(Y101="Ordered",Y101="Delivered"),0,""))))</f>
        <v/>
      </c>
      <c r="AA101" s="111">
        <f>IF(B101="","",IF(AH101=1,IF(Y101="⚠️ Delivery after install date",R101,S101),IF(AD101=1,T101,IF(AI101=1,S101,""))))</f>
        <v/>
      </c>
      <c r="AB101" s="79">
        <f>IF(AA101="","",IF(AH101=1,1,IF(AA101="","",IF(AA101&lt;AsOf,1,IF(AA101&lt;=AsOf+AlertDays,2,IF(AA101&lt;=AsOf+2*AlertDays,3,""))))))</f>
        <v/>
      </c>
      <c r="AC101" s="79">
        <f>IF(AB101="","",IF(AH101=1,IF(Y101="⚠️ Delivery after install date","Delivery after install date: "&amp;B101,"Order late — install at risk: "&amp;B101),IF(AD101=1,IF(AB101=1,"Decision overdue: ","Decide: ")&amp;B101,"Order: "&amp;B101&amp;IF(N101="",""," from "&amp;N101))))</f>
        <v/>
      </c>
      <c r="AD101" s="79">
        <f>IF(AND(B101&lt;&gt;"",K101="",U101&lt;&gt;"Yes",X101&lt;&gt;"Yes"),1,0)</f>
        <v/>
      </c>
      <c r="AE101" s="79">
        <f>IF(AND(AD101=1,T101&lt;&gt;""),IF(T101&lt;AsOf,1,0),0)</f>
        <v/>
      </c>
      <c r="AF101" s="79">
        <f>IF(AND(AD101=1,T101&lt;&gt;""),IF(AND(T101&gt;=AsOf,T101&lt;=AsOf+AlertDays),1,0),0)</f>
        <v/>
      </c>
      <c r="AG101" s="79">
        <f>IF(Y101="Order now",1,0)</f>
        <v/>
      </c>
      <c r="AH101" s="79">
        <f>IF(OR(Y101="⚠️ Order late — install at risk",Y101="⚠️ Delivery after install date"),1,0)</f>
        <v/>
      </c>
      <c r="AI101" s="79">
        <f>IF(AND(B101&lt;&gt;"",K101&lt;&gt;"",U101&lt;&gt;"Yes",X101&lt;&gt;"Yes"),1,0)</f>
        <v/>
      </c>
      <c r="AJ101" s="79">
        <f>IF(Y101="⚠️ Order late — install at risk",1,0)</f>
        <v/>
      </c>
    </row>
    <row r="102" ht="20" customHeight="1">
      <c r="B102" s="72" t="n"/>
      <c r="C102" s="72" t="n"/>
      <c r="D102" s="72" t="n"/>
      <c r="E102" s="72" t="n"/>
      <c r="F102" s="73" t="n"/>
      <c r="G102" s="72" t="n"/>
      <c r="H102" s="73" t="n"/>
      <c r="I102" s="72" t="n"/>
      <c r="J102" s="73" t="n"/>
      <c r="K102" s="74" t="n"/>
      <c r="L102" s="75">
        <f>IF(K102="A",F102,IF(K102="B",H102,IF(K102="C",J102,"")))</f>
        <v/>
      </c>
      <c r="M102" s="72" t="n"/>
      <c r="N102" s="72" t="n"/>
      <c r="O102" s="89" t="n"/>
      <c r="P102" s="89" t="n"/>
      <c r="Q102" s="108" t="n"/>
      <c r="R102" s="120">
        <f>IF(B102="","",IF(Q102&lt;&gt;"",Q102,IF(P102="","",IFERROR(INDEX('Timeline'!$J$7:$J$156,MATCH(P102,'Timeline'!$B$7:$B$156,0)),""))))</f>
        <v/>
      </c>
      <c r="S102" s="126">
        <f>IF(R102="","",R102-IF(O102="",0,O102)-OrderBuf)</f>
        <v/>
      </c>
      <c r="T102" s="126">
        <f>IF(S102="","",S102-DecideBuf)</f>
        <v/>
      </c>
      <c r="U102" s="74" t="n"/>
      <c r="V102" s="108" t="n"/>
      <c r="W102" s="108" t="n"/>
      <c r="X102" s="74" t="n"/>
      <c r="Y102" s="115">
        <f>IF(B102="","",IF(X102="Yes","Delivered",IF(U102="Yes",IF(AND(W102&lt;&gt;"",R102&lt;&gt;""),IF(W102&gt;R102,"⚠️ Delivery after install date","Ordered"),"Ordered"),IF(K102="",IF(T102="","Waiting for decision",IF(T102&lt;=AsOf+AlertDays,"Decide now","Waiting for decision")),IF(S102="","Selected",IF(AsOf&gt;S102,"⚠️ Order late — install at risk",IF(S102&lt;=AsOf+AlertDays,"Order now","Selected")))))))</f>
        <v/>
      </c>
      <c r="Z102" s="79">
        <f>IF(B102="","",IF(OR(AH102=1,AE102=1),2,IF(OR(AG102=1,AF102=1),1,IF(OR(Y102="Ordered",Y102="Delivered"),0,""))))</f>
        <v/>
      </c>
      <c r="AA102" s="111">
        <f>IF(B102="","",IF(AH102=1,IF(Y102="⚠️ Delivery after install date",R102,S102),IF(AD102=1,T102,IF(AI102=1,S102,""))))</f>
        <v/>
      </c>
      <c r="AB102" s="79">
        <f>IF(AA102="","",IF(AH102=1,1,IF(AA102="","",IF(AA102&lt;AsOf,1,IF(AA102&lt;=AsOf+AlertDays,2,IF(AA102&lt;=AsOf+2*AlertDays,3,""))))))</f>
        <v/>
      </c>
      <c r="AC102" s="79">
        <f>IF(AB102="","",IF(AH102=1,IF(Y102="⚠️ Delivery after install date","Delivery after install date: "&amp;B102,"Order late — install at risk: "&amp;B102),IF(AD102=1,IF(AB102=1,"Decision overdue: ","Decide: ")&amp;B102,"Order: "&amp;B102&amp;IF(N102="",""," from "&amp;N102))))</f>
        <v/>
      </c>
      <c r="AD102" s="79">
        <f>IF(AND(B102&lt;&gt;"",K102="",U102&lt;&gt;"Yes",X102&lt;&gt;"Yes"),1,0)</f>
        <v/>
      </c>
      <c r="AE102" s="79">
        <f>IF(AND(AD102=1,T102&lt;&gt;""),IF(T102&lt;AsOf,1,0),0)</f>
        <v/>
      </c>
      <c r="AF102" s="79">
        <f>IF(AND(AD102=1,T102&lt;&gt;""),IF(AND(T102&gt;=AsOf,T102&lt;=AsOf+AlertDays),1,0),0)</f>
        <v/>
      </c>
      <c r="AG102" s="79">
        <f>IF(Y102="Order now",1,0)</f>
        <v/>
      </c>
      <c r="AH102" s="79">
        <f>IF(OR(Y102="⚠️ Order late — install at risk",Y102="⚠️ Delivery after install date"),1,0)</f>
        <v/>
      </c>
      <c r="AI102" s="79">
        <f>IF(AND(B102&lt;&gt;"",K102&lt;&gt;"",U102&lt;&gt;"Yes",X102&lt;&gt;"Yes"),1,0)</f>
        <v/>
      </c>
      <c r="AJ102" s="79">
        <f>IF(Y102="⚠️ Order late — install at risk",1,0)</f>
        <v/>
      </c>
    </row>
    <row r="103" ht="20" customHeight="1">
      <c r="B103" s="72" t="n"/>
      <c r="C103" s="72" t="n"/>
      <c r="D103" s="72" t="n"/>
      <c r="E103" s="72" t="n"/>
      <c r="F103" s="73" t="n"/>
      <c r="G103" s="72" t="n"/>
      <c r="H103" s="73" t="n"/>
      <c r="I103" s="72" t="n"/>
      <c r="J103" s="73" t="n"/>
      <c r="K103" s="74" t="n"/>
      <c r="L103" s="75">
        <f>IF(K103="A",F103,IF(K103="B",H103,IF(K103="C",J103,"")))</f>
        <v/>
      </c>
      <c r="M103" s="72" t="n"/>
      <c r="N103" s="72" t="n"/>
      <c r="O103" s="89" t="n"/>
      <c r="P103" s="89" t="n"/>
      <c r="Q103" s="108" t="n"/>
      <c r="R103" s="120">
        <f>IF(B103="","",IF(Q103&lt;&gt;"",Q103,IF(P103="","",IFERROR(INDEX('Timeline'!$J$7:$J$156,MATCH(P103,'Timeline'!$B$7:$B$156,0)),""))))</f>
        <v/>
      </c>
      <c r="S103" s="126">
        <f>IF(R103="","",R103-IF(O103="",0,O103)-OrderBuf)</f>
        <v/>
      </c>
      <c r="T103" s="126">
        <f>IF(S103="","",S103-DecideBuf)</f>
        <v/>
      </c>
      <c r="U103" s="74" t="n"/>
      <c r="V103" s="108" t="n"/>
      <c r="W103" s="108" t="n"/>
      <c r="X103" s="74" t="n"/>
      <c r="Y103" s="115">
        <f>IF(B103="","",IF(X103="Yes","Delivered",IF(U103="Yes",IF(AND(W103&lt;&gt;"",R103&lt;&gt;""),IF(W103&gt;R103,"⚠️ Delivery after install date","Ordered"),"Ordered"),IF(K103="",IF(T103="","Waiting for decision",IF(T103&lt;=AsOf+AlertDays,"Decide now","Waiting for decision")),IF(S103="","Selected",IF(AsOf&gt;S103,"⚠️ Order late — install at risk",IF(S103&lt;=AsOf+AlertDays,"Order now","Selected")))))))</f>
        <v/>
      </c>
      <c r="Z103" s="79">
        <f>IF(B103="","",IF(OR(AH103=1,AE103=1),2,IF(OR(AG103=1,AF103=1),1,IF(OR(Y103="Ordered",Y103="Delivered"),0,""))))</f>
        <v/>
      </c>
      <c r="AA103" s="111">
        <f>IF(B103="","",IF(AH103=1,IF(Y103="⚠️ Delivery after install date",R103,S103),IF(AD103=1,T103,IF(AI103=1,S103,""))))</f>
        <v/>
      </c>
      <c r="AB103" s="79">
        <f>IF(AA103="","",IF(AH103=1,1,IF(AA103="","",IF(AA103&lt;AsOf,1,IF(AA103&lt;=AsOf+AlertDays,2,IF(AA103&lt;=AsOf+2*AlertDays,3,""))))))</f>
        <v/>
      </c>
      <c r="AC103" s="79">
        <f>IF(AB103="","",IF(AH103=1,IF(Y103="⚠️ Delivery after install date","Delivery after install date: "&amp;B103,"Order late — install at risk: "&amp;B103),IF(AD103=1,IF(AB103=1,"Decision overdue: ","Decide: ")&amp;B103,"Order: "&amp;B103&amp;IF(N103="",""," from "&amp;N103))))</f>
        <v/>
      </c>
      <c r="AD103" s="79">
        <f>IF(AND(B103&lt;&gt;"",K103="",U103&lt;&gt;"Yes",X103&lt;&gt;"Yes"),1,0)</f>
        <v/>
      </c>
      <c r="AE103" s="79">
        <f>IF(AND(AD103=1,T103&lt;&gt;""),IF(T103&lt;AsOf,1,0),0)</f>
        <v/>
      </c>
      <c r="AF103" s="79">
        <f>IF(AND(AD103=1,T103&lt;&gt;""),IF(AND(T103&gt;=AsOf,T103&lt;=AsOf+AlertDays),1,0),0)</f>
        <v/>
      </c>
      <c r="AG103" s="79">
        <f>IF(Y103="Order now",1,0)</f>
        <v/>
      </c>
      <c r="AH103" s="79">
        <f>IF(OR(Y103="⚠️ Order late — install at risk",Y103="⚠️ Delivery after install date"),1,0)</f>
        <v/>
      </c>
      <c r="AI103" s="79">
        <f>IF(AND(B103&lt;&gt;"",K103&lt;&gt;"",U103&lt;&gt;"Yes",X103&lt;&gt;"Yes"),1,0)</f>
        <v/>
      </c>
      <c r="AJ103" s="79">
        <f>IF(Y103="⚠️ Order late — install at risk",1,0)</f>
        <v/>
      </c>
    </row>
    <row r="104" ht="20" customHeight="1">
      <c r="B104" s="72" t="n"/>
      <c r="C104" s="72" t="n"/>
      <c r="D104" s="72" t="n"/>
      <c r="E104" s="72" t="n"/>
      <c r="F104" s="73" t="n"/>
      <c r="G104" s="72" t="n"/>
      <c r="H104" s="73" t="n"/>
      <c r="I104" s="72" t="n"/>
      <c r="J104" s="73" t="n"/>
      <c r="K104" s="74" t="n"/>
      <c r="L104" s="75">
        <f>IF(K104="A",F104,IF(K104="B",H104,IF(K104="C",J104,"")))</f>
        <v/>
      </c>
      <c r="M104" s="72" t="n"/>
      <c r="N104" s="72" t="n"/>
      <c r="O104" s="89" t="n"/>
      <c r="P104" s="89" t="n"/>
      <c r="Q104" s="108" t="n"/>
      <c r="R104" s="120">
        <f>IF(B104="","",IF(Q104&lt;&gt;"",Q104,IF(P104="","",IFERROR(INDEX('Timeline'!$J$7:$J$156,MATCH(P104,'Timeline'!$B$7:$B$156,0)),""))))</f>
        <v/>
      </c>
      <c r="S104" s="126">
        <f>IF(R104="","",R104-IF(O104="",0,O104)-OrderBuf)</f>
        <v/>
      </c>
      <c r="T104" s="126">
        <f>IF(S104="","",S104-DecideBuf)</f>
        <v/>
      </c>
      <c r="U104" s="74" t="n"/>
      <c r="V104" s="108" t="n"/>
      <c r="W104" s="108" t="n"/>
      <c r="X104" s="74" t="n"/>
      <c r="Y104" s="115">
        <f>IF(B104="","",IF(X104="Yes","Delivered",IF(U104="Yes",IF(AND(W104&lt;&gt;"",R104&lt;&gt;""),IF(W104&gt;R104,"⚠️ Delivery after install date","Ordered"),"Ordered"),IF(K104="",IF(T104="","Waiting for decision",IF(T104&lt;=AsOf+AlertDays,"Decide now","Waiting for decision")),IF(S104="","Selected",IF(AsOf&gt;S104,"⚠️ Order late — install at risk",IF(S104&lt;=AsOf+AlertDays,"Order now","Selected")))))))</f>
        <v/>
      </c>
      <c r="Z104" s="79">
        <f>IF(B104="","",IF(OR(AH104=1,AE104=1),2,IF(OR(AG104=1,AF104=1),1,IF(OR(Y104="Ordered",Y104="Delivered"),0,""))))</f>
        <v/>
      </c>
      <c r="AA104" s="111">
        <f>IF(B104="","",IF(AH104=1,IF(Y104="⚠️ Delivery after install date",R104,S104),IF(AD104=1,T104,IF(AI104=1,S104,""))))</f>
        <v/>
      </c>
      <c r="AB104" s="79">
        <f>IF(AA104="","",IF(AH104=1,1,IF(AA104="","",IF(AA104&lt;AsOf,1,IF(AA104&lt;=AsOf+AlertDays,2,IF(AA104&lt;=AsOf+2*AlertDays,3,""))))))</f>
        <v/>
      </c>
      <c r="AC104" s="79">
        <f>IF(AB104="","",IF(AH104=1,IF(Y104="⚠️ Delivery after install date","Delivery after install date: "&amp;B104,"Order late — install at risk: "&amp;B104),IF(AD104=1,IF(AB104=1,"Decision overdue: ","Decide: ")&amp;B104,"Order: "&amp;B104&amp;IF(N104="",""," from "&amp;N104))))</f>
        <v/>
      </c>
      <c r="AD104" s="79">
        <f>IF(AND(B104&lt;&gt;"",K104="",U104&lt;&gt;"Yes",X104&lt;&gt;"Yes"),1,0)</f>
        <v/>
      </c>
      <c r="AE104" s="79">
        <f>IF(AND(AD104=1,T104&lt;&gt;""),IF(T104&lt;AsOf,1,0),0)</f>
        <v/>
      </c>
      <c r="AF104" s="79">
        <f>IF(AND(AD104=1,T104&lt;&gt;""),IF(AND(T104&gt;=AsOf,T104&lt;=AsOf+AlertDays),1,0),0)</f>
        <v/>
      </c>
      <c r="AG104" s="79">
        <f>IF(Y104="Order now",1,0)</f>
        <v/>
      </c>
      <c r="AH104" s="79">
        <f>IF(OR(Y104="⚠️ Order late — install at risk",Y104="⚠️ Delivery after install date"),1,0)</f>
        <v/>
      </c>
      <c r="AI104" s="79">
        <f>IF(AND(B104&lt;&gt;"",K104&lt;&gt;"",U104&lt;&gt;"Yes",X104&lt;&gt;"Yes"),1,0)</f>
        <v/>
      </c>
      <c r="AJ104" s="79">
        <f>IF(Y104="⚠️ Order late — install at risk",1,0)</f>
        <v/>
      </c>
    </row>
    <row r="105" ht="20" customHeight="1">
      <c r="B105" s="72" t="n"/>
      <c r="C105" s="72" t="n"/>
      <c r="D105" s="72" t="n"/>
      <c r="E105" s="72" t="n"/>
      <c r="F105" s="73" t="n"/>
      <c r="G105" s="72" t="n"/>
      <c r="H105" s="73" t="n"/>
      <c r="I105" s="72" t="n"/>
      <c r="J105" s="73" t="n"/>
      <c r="K105" s="74" t="n"/>
      <c r="L105" s="75">
        <f>IF(K105="A",F105,IF(K105="B",H105,IF(K105="C",J105,"")))</f>
        <v/>
      </c>
      <c r="M105" s="72" t="n"/>
      <c r="N105" s="72" t="n"/>
      <c r="O105" s="89" t="n"/>
      <c r="P105" s="89" t="n"/>
      <c r="Q105" s="108" t="n"/>
      <c r="R105" s="120">
        <f>IF(B105="","",IF(Q105&lt;&gt;"",Q105,IF(P105="","",IFERROR(INDEX('Timeline'!$J$7:$J$156,MATCH(P105,'Timeline'!$B$7:$B$156,0)),""))))</f>
        <v/>
      </c>
      <c r="S105" s="126">
        <f>IF(R105="","",R105-IF(O105="",0,O105)-OrderBuf)</f>
        <v/>
      </c>
      <c r="T105" s="126">
        <f>IF(S105="","",S105-DecideBuf)</f>
        <v/>
      </c>
      <c r="U105" s="74" t="n"/>
      <c r="V105" s="108" t="n"/>
      <c r="W105" s="108" t="n"/>
      <c r="X105" s="74" t="n"/>
      <c r="Y105" s="115">
        <f>IF(B105="","",IF(X105="Yes","Delivered",IF(U105="Yes",IF(AND(W105&lt;&gt;"",R105&lt;&gt;""),IF(W105&gt;R105,"⚠️ Delivery after install date","Ordered"),"Ordered"),IF(K105="",IF(T105="","Waiting for decision",IF(T105&lt;=AsOf+AlertDays,"Decide now","Waiting for decision")),IF(S105="","Selected",IF(AsOf&gt;S105,"⚠️ Order late — install at risk",IF(S105&lt;=AsOf+AlertDays,"Order now","Selected")))))))</f>
        <v/>
      </c>
      <c r="Z105" s="79">
        <f>IF(B105="","",IF(OR(AH105=1,AE105=1),2,IF(OR(AG105=1,AF105=1),1,IF(OR(Y105="Ordered",Y105="Delivered"),0,""))))</f>
        <v/>
      </c>
      <c r="AA105" s="111">
        <f>IF(B105="","",IF(AH105=1,IF(Y105="⚠️ Delivery after install date",R105,S105),IF(AD105=1,T105,IF(AI105=1,S105,""))))</f>
        <v/>
      </c>
      <c r="AB105" s="79">
        <f>IF(AA105="","",IF(AH105=1,1,IF(AA105="","",IF(AA105&lt;AsOf,1,IF(AA105&lt;=AsOf+AlertDays,2,IF(AA105&lt;=AsOf+2*AlertDays,3,""))))))</f>
        <v/>
      </c>
      <c r="AC105" s="79">
        <f>IF(AB105="","",IF(AH105=1,IF(Y105="⚠️ Delivery after install date","Delivery after install date: "&amp;B105,"Order late — install at risk: "&amp;B105),IF(AD105=1,IF(AB105=1,"Decision overdue: ","Decide: ")&amp;B105,"Order: "&amp;B105&amp;IF(N105="",""," from "&amp;N105))))</f>
        <v/>
      </c>
      <c r="AD105" s="79">
        <f>IF(AND(B105&lt;&gt;"",K105="",U105&lt;&gt;"Yes",X105&lt;&gt;"Yes"),1,0)</f>
        <v/>
      </c>
      <c r="AE105" s="79">
        <f>IF(AND(AD105=1,T105&lt;&gt;""),IF(T105&lt;AsOf,1,0),0)</f>
        <v/>
      </c>
      <c r="AF105" s="79">
        <f>IF(AND(AD105=1,T105&lt;&gt;""),IF(AND(T105&gt;=AsOf,T105&lt;=AsOf+AlertDays),1,0),0)</f>
        <v/>
      </c>
      <c r="AG105" s="79">
        <f>IF(Y105="Order now",1,0)</f>
        <v/>
      </c>
      <c r="AH105" s="79">
        <f>IF(OR(Y105="⚠️ Order late — install at risk",Y105="⚠️ Delivery after install date"),1,0)</f>
        <v/>
      </c>
      <c r="AI105" s="79">
        <f>IF(AND(B105&lt;&gt;"",K105&lt;&gt;"",U105&lt;&gt;"Yes",X105&lt;&gt;"Yes"),1,0)</f>
        <v/>
      </c>
      <c r="AJ105" s="79">
        <f>IF(Y105="⚠️ Order late — install at risk",1,0)</f>
        <v/>
      </c>
    </row>
    <row r="106" ht="20" customHeight="1">
      <c r="B106" s="72" t="n"/>
      <c r="C106" s="72" t="n"/>
      <c r="D106" s="72" t="n"/>
      <c r="E106" s="72" t="n"/>
      <c r="F106" s="73" t="n"/>
      <c r="G106" s="72" t="n"/>
      <c r="H106" s="73" t="n"/>
      <c r="I106" s="72" t="n"/>
      <c r="J106" s="73" t="n"/>
      <c r="K106" s="74" t="n"/>
      <c r="L106" s="75">
        <f>IF(K106="A",F106,IF(K106="B",H106,IF(K106="C",J106,"")))</f>
        <v/>
      </c>
      <c r="M106" s="72" t="n"/>
      <c r="N106" s="72" t="n"/>
      <c r="O106" s="89" t="n"/>
      <c r="P106" s="89" t="n"/>
      <c r="Q106" s="108" t="n"/>
      <c r="R106" s="120">
        <f>IF(B106="","",IF(Q106&lt;&gt;"",Q106,IF(P106="","",IFERROR(INDEX('Timeline'!$J$7:$J$156,MATCH(P106,'Timeline'!$B$7:$B$156,0)),""))))</f>
        <v/>
      </c>
      <c r="S106" s="126">
        <f>IF(R106="","",R106-IF(O106="",0,O106)-OrderBuf)</f>
        <v/>
      </c>
      <c r="T106" s="126">
        <f>IF(S106="","",S106-DecideBuf)</f>
        <v/>
      </c>
      <c r="U106" s="74" t="n"/>
      <c r="V106" s="108" t="n"/>
      <c r="W106" s="108" t="n"/>
      <c r="X106" s="74" t="n"/>
      <c r="Y106" s="115">
        <f>IF(B106="","",IF(X106="Yes","Delivered",IF(U106="Yes",IF(AND(W106&lt;&gt;"",R106&lt;&gt;""),IF(W106&gt;R106,"⚠️ Delivery after install date","Ordered"),"Ordered"),IF(K106="",IF(T106="","Waiting for decision",IF(T106&lt;=AsOf+AlertDays,"Decide now","Waiting for decision")),IF(S106="","Selected",IF(AsOf&gt;S106,"⚠️ Order late — install at risk",IF(S106&lt;=AsOf+AlertDays,"Order now","Selected")))))))</f>
        <v/>
      </c>
      <c r="Z106" s="79">
        <f>IF(B106="","",IF(OR(AH106=1,AE106=1),2,IF(OR(AG106=1,AF106=1),1,IF(OR(Y106="Ordered",Y106="Delivered"),0,""))))</f>
        <v/>
      </c>
      <c r="AA106" s="111">
        <f>IF(B106="","",IF(AH106=1,IF(Y106="⚠️ Delivery after install date",R106,S106),IF(AD106=1,T106,IF(AI106=1,S106,""))))</f>
        <v/>
      </c>
      <c r="AB106" s="79">
        <f>IF(AA106="","",IF(AH106=1,1,IF(AA106="","",IF(AA106&lt;AsOf,1,IF(AA106&lt;=AsOf+AlertDays,2,IF(AA106&lt;=AsOf+2*AlertDays,3,""))))))</f>
        <v/>
      </c>
      <c r="AC106" s="79">
        <f>IF(AB106="","",IF(AH106=1,IF(Y106="⚠️ Delivery after install date","Delivery after install date: "&amp;B106,"Order late — install at risk: "&amp;B106),IF(AD106=1,IF(AB106=1,"Decision overdue: ","Decide: ")&amp;B106,"Order: "&amp;B106&amp;IF(N106="",""," from "&amp;N106))))</f>
        <v/>
      </c>
      <c r="AD106" s="79">
        <f>IF(AND(B106&lt;&gt;"",K106="",U106&lt;&gt;"Yes",X106&lt;&gt;"Yes"),1,0)</f>
        <v/>
      </c>
      <c r="AE106" s="79">
        <f>IF(AND(AD106=1,T106&lt;&gt;""),IF(T106&lt;AsOf,1,0),0)</f>
        <v/>
      </c>
      <c r="AF106" s="79">
        <f>IF(AND(AD106=1,T106&lt;&gt;""),IF(AND(T106&gt;=AsOf,T106&lt;=AsOf+AlertDays),1,0),0)</f>
        <v/>
      </c>
      <c r="AG106" s="79">
        <f>IF(Y106="Order now",1,0)</f>
        <v/>
      </c>
      <c r="AH106" s="79">
        <f>IF(OR(Y106="⚠️ Order late — install at risk",Y106="⚠️ Delivery after install date"),1,0)</f>
        <v/>
      </c>
      <c r="AI106" s="79">
        <f>IF(AND(B106&lt;&gt;"",K106&lt;&gt;"",U106&lt;&gt;"Yes",X106&lt;&gt;"Yes"),1,0)</f>
        <v/>
      </c>
      <c r="AJ106" s="79">
        <f>IF(Y106="⚠️ Order late — install at risk",1,0)</f>
        <v/>
      </c>
    </row>
    <row r="107" ht="20" customHeight="1">
      <c r="B107" s="72" t="n"/>
      <c r="C107" s="72" t="n"/>
      <c r="D107" s="72" t="n"/>
      <c r="E107" s="72" t="n"/>
      <c r="F107" s="73" t="n"/>
      <c r="G107" s="72" t="n"/>
      <c r="H107" s="73" t="n"/>
      <c r="I107" s="72" t="n"/>
      <c r="J107" s="73" t="n"/>
      <c r="K107" s="74" t="n"/>
      <c r="L107" s="75">
        <f>IF(K107="A",F107,IF(K107="B",H107,IF(K107="C",J107,"")))</f>
        <v/>
      </c>
      <c r="M107" s="72" t="n"/>
      <c r="N107" s="72" t="n"/>
      <c r="O107" s="89" t="n"/>
      <c r="P107" s="89" t="n"/>
      <c r="Q107" s="108" t="n"/>
      <c r="R107" s="120">
        <f>IF(B107="","",IF(Q107&lt;&gt;"",Q107,IF(P107="","",IFERROR(INDEX('Timeline'!$J$7:$J$156,MATCH(P107,'Timeline'!$B$7:$B$156,0)),""))))</f>
        <v/>
      </c>
      <c r="S107" s="126">
        <f>IF(R107="","",R107-IF(O107="",0,O107)-OrderBuf)</f>
        <v/>
      </c>
      <c r="T107" s="126">
        <f>IF(S107="","",S107-DecideBuf)</f>
        <v/>
      </c>
      <c r="U107" s="74" t="n"/>
      <c r="V107" s="108" t="n"/>
      <c r="W107" s="108" t="n"/>
      <c r="X107" s="74" t="n"/>
      <c r="Y107" s="115">
        <f>IF(B107="","",IF(X107="Yes","Delivered",IF(U107="Yes",IF(AND(W107&lt;&gt;"",R107&lt;&gt;""),IF(W107&gt;R107,"⚠️ Delivery after install date","Ordered"),"Ordered"),IF(K107="",IF(T107="","Waiting for decision",IF(T107&lt;=AsOf+AlertDays,"Decide now","Waiting for decision")),IF(S107="","Selected",IF(AsOf&gt;S107,"⚠️ Order late — install at risk",IF(S107&lt;=AsOf+AlertDays,"Order now","Selected")))))))</f>
        <v/>
      </c>
      <c r="Z107" s="79">
        <f>IF(B107="","",IF(OR(AH107=1,AE107=1),2,IF(OR(AG107=1,AF107=1),1,IF(OR(Y107="Ordered",Y107="Delivered"),0,""))))</f>
        <v/>
      </c>
      <c r="AA107" s="111">
        <f>IF(B107="","",IF(AH107=1,IF(Y107="⚠️ Delivery after install date",R107,S107),IF(AD107=1,T107,IF(AI107=1,S107,""))))</f>
        <v/>
      </c>
      <c r="AB107" s="79">
        <f>IF(AA107="","",IF(AH107=1,1,IF(AA107="","",IF(AA107&lt;AsOf,1,IF(AA107&lt;=AsOf+AlertDays,2,IF(AA107&lt;=AsOf+2*AlertDays,3,""))))))</f>
        <v/>
      </c>
      <c r="AC107" s="79">
        <f>IF(AB107="","",IF(AH107=1,IF(Y107="⚠️ Delivery after install date","Delivery after install date: "&amp;B107,"Order late — install at risk: "&amp;B107),IF(AD107=1,IF(AB107=1,"Decision overdue: ","Decide: ")&amp;B107,"Order: "&amp;B107&amp;IF(N107="",""," from "&amp;N107))))</f>
        <v/>
      </c>
      <c r="AD107" s="79">
        <f>IF(AND(B107&lt;&gt;"",K107="",U107&lt;&gt;"Yes",X107&lt;&gt;"Yes"),1,0)</f>
        <v/>
      </c>
      <c r="AE107" s="79">
        <f>IF(AND(AD107=1,T107&lt;&gt;""),IF(T107&lt;AsOf,1,0),0)</f>
        <v/>
      </c>
      <c r="AF107" s="79">
        <f>IF(AND(AD107=1,T107&lt;&gt;""),IF(AND(T107&gt;=AsOf,T107&lt;=AsOf+AlertDays),1,0),0)</f>
        <v/>
      </c>
      <c r="AG107" s="79">
        <f>IF(Y107="Order now",1,0)</f>
        <v/>
      </c>
      <c r="AH107" s="79">
        <f>IF(OR(Y107="⚠️ Order late — install at risk",Y107="⚠️ Delivery after install date"),1,0)</f>
        <v/>
      </c>
      <c r="AI107" s="79">
        <f>IF(AND(B107&lt;&gt;"",K107&lt;&gt;"",U107&lt;&gt;"Yes",X107&lt;&gt;"Yes"),1,0)</f>
        <v/>
      </c>
      <c r="AJ107" s="79">
        <f>IF(Y107="⚠️ Order late — install at risk",1,0)</f>
        <v/>
      </c>
    </row>
    <row r="108" ht="20" customHeight="1">
      <c r="B108" s="72" t="n"/>
      <c r="C108" s="72" t="n"/>
      <c r="D108" s="72" t="n"/>
      <c r="E108" s="72" t="n"/>
      <c r="F108" s="73" t="n"/>
      <c r="G108" s="72" t="n"/>
      <c r="H108" s="73" t="n"/>
      <c r="I108" s="72" t="n"/>
      <c r="J108" s="73" t="n"/>
      <c r="K108" s="74" t="n"/>
      <c r="L108" s="75">
        <f>IF(K108="A",F108,IF(K108="B",H108,IF(K108="C",J108,"")))</f>
        <v/>
      </c>
      <c r="M108" s="72" t="n"/>
      <c r="N108" s="72" t="n"/>
      <c r="O108" s="89" t="n"/>
      <c r="P108" s="89" t="n"/>
      <c r="Q108" s="108" t="n"/>
      <c r="R108" s="120">
        <f>IF(B108="","",IF(Q108&lt;&gt;"",Q108,IF(P108="","",IFERROR(INDEX('Timeline'!$J$7:$J$156,MATCH(P108,'Timeline'!$B$7:$B$156,0)),""))))</f>
        <v/>
      </c>
      <c r="S108" s="126">
        <f>IF(R108="","",R108-IF(O108="",0,O108)-OrderBuf)</f>
        <v/>
      </c>
      <c r="T108" s="126">
        <f>IF(S108="","",S108-DecideBuf)</f>
        <v/>
      </c>
      <c r="U108" s="74" t="n"/>
      <c r="V108" s="108" t="n"/>
      <c r="W108" s="108" t="n"/>
      <c r="X108" s="74" t="n"/>
      <c r="Y108" s="115">
        <f>IF(B108="","",IF(X108="Yes","Delivered",IF(U108="Yes",IF(AND(W108&lt;&gt;"",R108&lt;&gt;""),IF(W108&gt;R108,"⚠️ Delivery after install date","Ordered"),"Ordered"),IF(K108="",IF(T108="","Waiting for decision",IF(T108&lt;=AsOf+AlertDays,"Decide now","Waiting for decision")),IF(S108="","Selected",IF(AsOf&gt;S108,"⚠️ Order late — install at risk",IF(S108&lt;=AsOf+AlertDays,"Order now","Selected")))))))</f>
        <v/>
      </c>
      <c r="Z108" s="79">
        <f>IF(B108="","",IF(OR(AH108=1,AE108=1),2,IF(OR(AG108=1,AF108=1),1,IF(OR(Y108="Ordered",Y108="Delivered"),0,""))))</f>
        <v/>
      </c>
      <c r="AA108" s="111">
        <f>IF(B108="","",IF(AH108=1,IF(Y108="⚠️ Delivery after install date",R108,S108),IF(AD108=1,T108,IF(AI108=1,S108,""))))</f>
        <v/>
      </c>
      <c r="AB108" s="79">
        <f>IF(AA108="","",IF(AH108=1,1,IF(AA108="","",IF(AA108&lt;AsOf,1,IF(AA108&lt;=AsOf+AlertDays,2,IF(AA108&lt;=AsOf+2*AlertDays,3,""))))))</f>
        <v/>
      </c>
      <c r="AC108" s="79">
        <f>IF(AB108="","",IF(AH108=1,IF(Y108="⚠️ Delivery after install date","Delivery after install date: "&amp;B108,"Order late — install at risk: "&amp;B108),IF(AD108=1,IF(AB108=1,"Decision overdue: ","Decide: ")&amp;B108,"Order: "&amp;B108&amp;IF(N108="",""," from "&amp;N108))))</f>
        <v/>
      </c>
      <c r="AD108" s="79">
        <f>IF(AND(B108&lt;&gt;"",K108="",U108&lt;&gt;"Yes",X108&lt;&gt;"Yes"),1,0)</f>
        <v/>
      </c>
      <c r="AE108" s="79">
        <f>IF(AND(AD108=1,T108&lt;&gt;""),IF(T108&lt;AsOf,1,0),0)</f>
        <v/>
      </c>
      <c r="AF108" s="79">
        <f>IF(AND(AD108=1,T108&lt;&gt;""),IF(AND(T108&gt;=AsOf,T108&lt;=AsOf+AlertDays),1,0),0)</f>
        <v/>
      </c>
      <c r="AG108" s="79">
        <f>IF(Y108="Order now",1,0)</f>
        <v/>
      </c>
      <c r="AH108" s="79">
        <f>IF(OR(Y108="⚠️ Order late — install at risk",Y108="⚠️ Delivery after install date"),1,0)</f>
        <v/>
      </c>
      <c r="AI108" s="79">
        <f>IF(AND(B108&lt;&gt;"",K108&lt;&gt;"",U108&lt;&gt;"Yes",X108&lt;&gt;"Yes"),1,0)</f>
        <v/>
      </c>
      <c r="AJ108" s="79">
        <f>IF(Y108="⚠️ Order late — install at risk",1,0)</f>
        <v/>
      </c>
    </row>
    <row r="109" ht="20" customHeight="1">
      <c r="B109" s="72" t="n"/>
      <c r="C109" s="72" t="n"/>
      <c r="D109" s="72" t="n"/>
      <c r="E109" s="72" t="n"/>
      <c r="F109" s="73" t="n"/>
      <c r="G109" s="72" t="n"/>
      <c r="H109" s="73" t="n"/>
      <c r="I109" s="72" t="n"/>
      <c r="J109" s="73" t="n"/>
      <c r="K109" s="74" t="n"/>
      <c r="L109" s="75">
        <f>IF(K109="A",F109,IF(K109="B",H109,IF(K109="C",J109,"")))</f>
        <v/>
      </c>
      <c r="M109" s="72" t="n"/>
      <c r="N109" s="72" t="n"/>
      <c r="O109" s="89" t="n"/>
      <c r="P109" s="89" t="n"/>
      <c r="Q109" s="108" t="n"/>
      <c r="R109" s="120">
        <f>IF(B109="","",IF(Q109&lt;&gt;"",Q109,IF(P109="","",IFERROR(INDEX('Timeline'!$J$7:$J$156,MATCH(P109,'Timeline'!$B$7:$B$156,0)),""))))</f>
        <v/>
      </c>
      <c r="S109" s="126">
        <f>IF(R109="","",R109-IF(O109="",0,O109)-OrderBuf)</f>
        <v/>
      </c>
      <c r="T109" s="126">
        <f>IF(S109="","",S109-DecideBuf)</f>
        <v/>
      </c>
      <c r="U109" s="74" t="n"/>
      <c r="V109" s="108" t="n"/>
      <c r="W109" s="108" t="n"/>
      <c r="X109" s="74" t="n"/>
      <c r="Y109" s="115">
        <f>IF(B109="","",IF(X109="Yes","Delivered",IF(U109="Yes",IF(AND(W109&lt;&gt;"",R109&lt;&gt;""),IF(W109&gt;R109,"⚠️ Delivery after install date","Ordered"),"Ordered"),IF(K109="",IF(T109="","Waiting for decision",IF(T109&lt;=AsOf+AlertDays,"Decide now","Waiting for decision")),IF(S109="","Selected",IF(AsOf&gt;S109,"⚠️ Order late — install at risk",IF(S109&lt;=AsOf+AlertDays,"Order now","Selected")))))))</f>
        <v/>
      </c>
      <c r="Z109" s="79">
        <f>IF(B109="","",IF(OR(AH109=1,AE109=1),2,IF(OR(AG109=1,AF109=1),1,IF(OR(Y109="Ordered",Y109="Delivered"),0,""))))</f>
        <v/>
      </c>
      <c r="AA109" s="111">
        <f>IF(B109="","",IF(AH109=1,IF(Y109="⚠️ Delivery after install date",R109,S109),IF(AD109=1,T109,IF(AI109=1,S109,""))))</f>
        <v/>
      </c>
      <c r="AB109" s="79">
        <f>IF(AA109="","",IF(AH109=1,1,IF(AA109="","",IF(AA109&lt;AsOf,1,IF(AA109&lt;=AsOf+AlertDays,2,IF(AA109&lt;=AsOf+2*AlertDays,3,""))))))</f>
        <v/>
      </c>
      <c r="AC109" s="79">
        <f>IF(AB109="","",IF(AH109=1,IF(Y109="⚠️ Delivery after install date","Delivery after install date: "&amp;B109,"Order late — install at risk: "&amp;B109),IF(AD109=1,IF(AB109=1,"Decision overdue: ","Decide: ")&amp;B109,"Order: "&amp;B109&amp;IF(N109="",""," from "&amp;N109))))</f>
        <v/>
      </c>
      <c r="AD109" s="79">
        <f>IF(AND(B109&lt;&gt;"",K109="",U109&lt;&gt;"Yes",X109&lt;&gt;"Yes"),1,0)</f>
        <v/>
      </c>
      <c r="AE109" s="79">
        <f>IF(AND(AD109=1,T109&lt;&gt;""),IF(T109&lt;AsOf,1,0),0)</f>
        <v/>
      </c>
      <c r="AF109" s="79">
        <f>IF(AND(AD109=1,T109&lt;&gt;""),IF(AND(T109&gt;=AsOf,T109&lt;=AsOf+AlertDays),1,0),0)</f>
        <v/>
      </c>
      <c r="AG109" s="79">
        <f>IF(Y109="Order now",1,0)</f>
        <v/>
      </c>
      <c r="AH109" s="79">
        <f>IF(OR(Y109="⚠️ Order late — install at risk",Y109="⚠️ Delivery after install date"),1,0)</f>
        <v/>
      </c>
      <c r="AI109" s="79">
        <f>IF(AND(B109&lt;&gt;"",K109&lt;&gt;"",U109&lt;&gt;"Yes",X109&lt;&gt;"Yes"),1,0)</f>
        <v/>
      </c>
      <c r="AJ109" s="79">
        <f>IF(Y109="⚠️ Order late — install at risk",1,0)</f>
        <v/>
      </c>
    </row>
    <row r="110" ht="20" customHeight="1">
      <c r="B110" s="72" t="n"/>
      <c r="C110" s="72" t="n"/>
      <c r="D110" s="72" t="n"/>
      <c r="E110" s="72" t="n"/>
      <c r="F110" s="73" t="n"/>
      <c r="G110" s="72" t="n"/>
      <c r="H110" s="73" t="n"/>
      <c r="I110" s="72" t="n"/>
      <c r="J110" s="73" t="n"/>
      <c r="K110" s="74" t="n"/>
      <c r="L110" s="75">
        <f>IF(K110="A",F110,IF(K110="B",H110,IF(K110="C",J110,"")))</f>
        <v/>
      </c>
      <c r="M110" s="72" t="n"/>
      <c r="N110" s="72" t="n"/>
      <c r="O110" s="89" t="n"/>
      <c r="P110" s="89" t="n"/>
      <c r="Q110" s="108" t="n"/>
      <c r="R110" s="120">
        <f>IF(B110="","",IF(Q110&lt;&gt;"",Q110,IF(P110="","",IFERROR(INDEX('Timeline'!$J$7:$J$156,MATCH(P110,'Timeline'!$B$7:$B$156,0)),""))))</f>
        <v/>
      </c>
      <c r="S110" s="126">
        <f>IF(R110="","",R110-IF(O110="",0,O110)-OrderBuf)</f>
        <v/>
      </c>
      <c r="T110" s="126">
        <f>IF(S110="","",S110-DecideBuf)</f>
        <v/>
      </c>
      <c r="U110" s="74" t="n"/>
      <c r="V110" s="108" t="n"/>
      <c r="W110" s="108" t="n"/>
      <c r="X110" s="74" t="n"/>
      <c r="Y110" s="115">
        <f>IF(B110="","",IF(X110="Yes","Delivered",IF(U110="Yes",IF(AND(W110&lt;&gt;"",R110&lt;&gt;""),IF(W110&gt;R110,"⚠️ Delivery after install date","Ordered"),"Ordered"),IF(K110="",IF(T110="","Waiting for decision",IF(T110&lt;=AsOf+AlertDays,"Decide now","Waiting for decision")),IF(S110="","Selected",IF(AsOf&gt;S110,"⚠️ Order late — install at risk",IF(S110&lt;=AsOf+AlertDays,"Order now","Selected")))))))</f>
        <v/>
      </c>
      <c r="Z110" s="79">
        <f>IF(B110="","",IF(OR(AH110=1,AE110=1),2,IF(OR(AG110=1,AF110=1),1,IF(OR(Y110="Ordered",Y110="Delivered"),0,""))))</f>
        <v/>
      </c>
      <c r="AA110" s="111">
        <f>IF(B110="","",IF(AH110=1,IF(Y110="⚠️ Delivery after install date",R110,S110),IF(AD110=1,T110,IF(AI110=1,S110,""))))</f>
        <v/>
      </c>
      <c r="AB110" s="79">
        <f>IF(AA110="","",IF(AH110=1,1,IF(AA110="","",IF(AA110&lt;AsOf,1,IF(AA110&lt;=AsOf+AlertDays,2,IF(AA110&lt;=AsOf+2*AlertDays,3,""))))))</f>
        <v/>
      </c>
      <c r="AC110" s="79">
        <f>IF(AB110="","",IF(AH110=1,IF(Y110="⚠️ Delivery after install date","Delivery after install date: "&amp;B110,"Order late — install at risk: "&amp;B110),IF(AD110=1,IF(AB110=1,"Decision overdue: ","Decide: ")&amp;B110,"Order: "&amp;B110&amp;IF(N110="",""," from "&amp;N110))))</f>
        <v/>
      </c>
      <c r="AD110" s="79">
        <f>IF(AND(B110&lt;&gt;"",K110="",U110&lt;&gt;"Yes",X110&lt;&gt;"Yes"),1,0)</f>
        <v/>
      </c>
      <c r="AE110" s="79">
        <f>IF(AND(AD110=1,T110&lt;&gt;""),IF(T110&lt;AsOf,1,0),0)</f>
        <v/>
      </c>
      <c r="AF110" s="79">
        <f>IF(AND(AD110=1,T110&lt;&gt;""),IF(AND(T110&gt;=AsOf,T110&lt;=AsOf+AlertDays),1,0),0)</f>
        <v/>
      </c>
      <c r="AG110" s="79">
        <f>IF(Y110="Order now",1,0)</f>
        <v/>
      </c>
      <c r="AH110" s="79">
        <f>IF(OR(Y110="⚠️ Order late — install at risk",Y110="⚠️ Delivery after install date"),1,0)</f>
        <v/>
      </c>
      <c r="AI110" s="79">
        <f>IF(AND(B110&lt;&gt;"",K110&lt;&gt;"",U110&lt;&gt;"Yes",X110&lt;&gt;"Yes"),1,0)</f>
        <v/>
      </c>
      <c r="AJ110" s="79">
        <f>IF(Y110="⚠️ Order late — install at risk",1,0)</f>
        <v/>
      </c>
    </row>
    <row r="111" ht="20" customHeight="1">
      <c r="B111" s="72" t="n"/>
      <c r="C111" s="72" t="n"/>
      <c r="D111" s="72" t="n"/>
      <c r="E111" s="72" t="n"/>
      <c r="F111" s="73" t="n"/>
      <c r="G111" s="72" t="n"/>
      <c r="H111" s="73" t="n"/>
      <c r="I111" s="72" t="n"/>
      <c r="J111" s="73" t="n"/>
      <c r="K111" s="74" t="n"/>
      <c r="L111" s="75">
        <f>IF(K111="A",F111,IF(K111="B",H111,IF(K111="C",J111,"")))</f>
        <v/>
      </c>
      <c r="M111" s="72" t="n"/>
      <c r="N111" s="72" t="n"/>
      <c r="O111" s="89" t="n"/>
      <c r="P111" s="89" t="n"/>
      <c r="Q111" s="108" t="n"/>
      <c r="R111" s="120">
        <f>IF(B111="","",IF(Q111&lt;&gt;"",Q111,IF(P111="","",IFERROR(INDEX('Timeline'!$J$7:$J$156,MATCH(P111,'Timeline'!$B$7:$B$156,0)),""))))</f>
        <v/>
      </c>
      <c r="S111" s="126">
        <f>IF(R111="","",R111-IF(O111="",0,O111)-OrderBuf)</f>
        <v/>
      </c>
      <c r="T111" s="126">
        <f>IF(S111="","",S111-DecideBuf)</f>
        <v/>
      </c>
      <c r="U111" s="74" t="n"/>
      <c r="V111" s="108" t="n"/>
      <c r="W111" s="108" t="n"/>
      <c r="X111" s="74" t="n"/>
      <c r="Y111" s="115">
        <f>IF(B111="","",IF(X111="Yes","Delivered",IF(U111="Yes",IF(AND(W111&lt;&gt;"",R111&lt;&gt;""),IF(W111&gt;R111,"⚠️ Delivery after install date","Ordered"),"Ordered"),IF(K111="",IF(T111="","Waiting for decision",IF(T111&lt;=AsOf+AlertDays,"Decide now","Waiting for decision")),IF(S111="","Selected",IF(AsOf&gt;S111,"⚠️ Order late — install at risk",IF(S111&lt;=AsOf+AlertDays,"Order now","Selected")))))))</f>
        <v/>
      </c>
      <c r="Z111" s="79">
        <f>IF(B111="","",IF(OR(AH111=1,AE111=1),2,IF(OR(AG111=1,AF111=1),1,IF(OR(Y111="Ordered",Y111="Delivered"),0,""))))</f>
        <v/>
      </c>
      <c r="AA111" s="111">
        <f>IF(B111="","",IF(AH111=1,IF(Y111="⚠️ Delivery after install date",R111,S111),IF(AD111=1,T111,IF(AI111=1,S111,""))))</f>
        <v/>
      </c>
      <c r="AB111" s="79">
        <f>IF(AA111="","",IF(AH111=1,1,IF(AA111="","",IF(AA111&lt;AsOf,1,IF(AA111&lt;=AsOf+AlertDays,2,IF(AA111&lt;=AsOf+2*AlertDays,3,""))))))</f>
        <v/>
      </c>
      <c r="AC111" s="79">
        <f>IF(AB111="","",IF(AH111=1,IF(Y111="⚠️ Delivery after install date","Delivery after install date: "&amp;B111,"Order late — install at risk: "&amp;B111),IF(AD111=1,IF(AB111=1,"Decision overdue: ","Decide: ")&amp;B111,"Order: "&amp;B111&amp;IF(N111="",""," from "&amp;N111))))</f>
        <v/>
      </c>
      <c r="AD111" s="79">
        <f>IF(AND(B111&lt;&gt;"",K111="",U111&lt;&gt;"Yes",X111&lt;&gt;"Yes"),1,0)</f>
        <v/>
      </c>
      <c r="AE111" s="79">
        <f>IF(AND(AD111=1,T111&lt;&gt;""),IF(T111&lt;AsOf,1,0),0)</f>
        <v/>
      </c>
      <c r="AF111" s="79">
        <f>IF(AND(AD111=1,T111&lt;&gt;""),IF(AND(T111&gt;=AsOf,T111&lt;=AsOf+AlertDays),1,0),0)</f>
        <v/>
      </c>
      <c r="AG111" s="79">
        <f>IF(Y111="Order now",1,0)</f>
        <v/>
      </c>
      <c r="AH111" s="79">
        <f>IF(OR(Y111="⚠️ Order late — install at risk",Y111="⚠️ Delivery after install date"),1,0)</f>
        <v/>
      </c>
      <c r="AI111" s="79">
        <f>IF(AND(B111&lt;&gt;"",K111&lt;&gt;"",U111&lt;&gt;"Yes",X111&lt;&gt;"Yes"),1,0)</f>
        <v/>
      </c>
      <c r="AJ111" s="79">
        <f>IF(Y111="⚠️ Order late — install at risk",1,0)</f>
        <v/>
      </c>
    </row>
    <row r="112" ht="20" customHeight="1">
      <c r="B112" s="72" t="n"/>
      <c r="C112" s="72" t="n"/>
      <c r="D112" s="72" t="n"/>
      <c r="E112" s="72" t="n"/>
      <c r="F112" s="73" t="n"/>
      <c r="G112" s="72" t="n"/>
      <c r="H112" s="73" t="n"/>
      <c r="I112" s="72" t="n"/>
      <c r="J112" s="73" t="n"/>
      <c r="K112" s="74" t="n"/>
      <c r="L112" s="75">
        <f>IF(K112="A",F112,IF(K112="B",H112,IF(K112="C",J112,"")))</f>
        <v/>
      </c>
      <c r="M112" s="72" t="n"/>
      <c r="N112" s="72" t="n"/>
      <c r="O112" s="89" t="n"/>
      <c r="P112" s="89" t="n"/>
      <c r="Q112" s="108" t="n"/>
      <c r="R112" s="120">
        <f>IF(B112="","",IF(Q112&lt;&gt;"",Q112,IF(P112="","",IFERROR(INDEX('Timeline'!$J$7:$J$156,MATCH(P112,'Timeline'!$B$7:$B$156,0)),""))))</f>
        <v/>
      </c>
      <c r="S112" s="126">
        <f>IF(R112="","",R112-IF(O112="",0,O112)-OrderBuf)</f>
        <v/>
      </c>
      <c r="T112" s="126">
        <f>IF(S112="","",S112-DecideBuf)</f>
        <v/>
      </c>
      <c r="U112" s="74" t="n"/>
      <c r="V112" s="108" t="n"/>
      <c r="W112" s="108" t="n"/>
      <c r="X112" s="74" t="n"/>
      <c r="Y112" s="115">
        <f>IF(B112="","",IF(X112="Yes","Delivered",IF(U112="Yes",IF(AND(W112&lt;&gt;"",R112&lt;&gt;""),IF(W112&gt;R112,"⚠️ Delivery after install date","Ordered"),"Ordered"),IF(K112="",IF(T112="","Waiting for decision",IF(T112&lt;=AsOf+AlertDays,"Decide now","Waiting for decision")),IF(S112="","Selected",IF(AsOf&gt;S112,"⚠️ Order late — install at risk",IF(S112&lt;=AsOf+AlertDays,"Order now","Selected")))))))</f>
        <v/>
      </c>
      <c r="Z112" s="79">
        <f>IF(B112="","",IF(OR(AH112=1,AE112=1),2,IF(OR(AG112=1,AF112=1),1,IF(OR(Y112="Ordered",Y112="Delivered"),0,""))))</f>
        <v/>
      </c>
      <c r="AA112" s="111">
        <f>IF(B112="","",IF(AH112=1,IF(Y112="⚠️ Delivery after install date",R112,S112),IF(AD112=1,T112,IF(AI112=1,S112,""))))</f>
        <v/>
      </c>
      <c r="AB112" s="79">
        <f>IF(AA112="","",IF(AH112=1,1,IF(AA112="","",IF(AA112&lt;AsOf,1,IF(AA112&lt;=AsOf+AlertDays,2,IF(AA112&lt;=AsOf+2*AlertDays,3,""))))))</f>
        <v/>
      </c>
      <c r="AC112" s="79">
        <f>IF(AB112="","",IF(AH112=1,IF(Y112="⚠️ Delivery after install date","Delivery after install date: "&amp;B112,"Order late — install at risk: "&amp;B112),IF(AD112=1,IF(AB112=1,"Decision overdue: ","Decide: ")&amp;B112,"Order: "&amp;B112&amp;IF(N112="",""," from "&amp;N112))))</f>
        <v/>
      </c>
      <c r="AD112" s="79">
        <f>IF(AND(B112&lt;&gt;"",K112="",U112&lt;&gt;"Yes",X112&lt;&gt;"Yes"),1,0)</f>
        <v/>
      </c>
      <c r="AE112" s="79">
        <f>IF(AND(AD112=1,T112&lt;&gt;""),IF(T112&lt;AsOf,1,0),0)</f>
        <v/>
      </c>
      <c r="AF112" s="79">
        <f>IF(AND(AD112=1,T112&lt;&gt;""),IF(AND(T112&gt;=AsOf,T112&lt;=AsOf+AlertDays),1,0),0)</f>
        <v/>
      </c>
      <c r="AG112" s="79">
        <f>IF(Y112="Order now",1,0)</f>
        <v/>
      </c>
      <c r="AH112" s="79">
        <f>IF(OR(Y112="⚠️ Order late — install at risk",Y112="⚠️ Delivery after install date"),1,0)</f>
        <v/>
      </c>
      <c r="AI112" s="79">
        <f>IF(AND(B112&lt;&gt;"",K112&lt;&gt;"",U112&lt;&gt;"Yes",X112&lt;&gt;"Yes"),1,0)</f>
        <v/>
      </c>
      <c r="AJ112" s="79">
        <f>IF(Y112="⚠️ Order late — install at risk",1,0)</f>
        <v/>
      </c>
    </row>
    <row r="113" ht="20" customHeight="1">
      <c r="B113" s="72" t="n"/>
      <c r="C113" s="72" t="n"/>
      <c r="D113" s="72" t="n"/>
      <c r="E113" s="72" t="n"/>
      <c r="F113" s="73" t="n"/>
      <c r="G113" s="72" t="n"/>
      <c r="H113" s="73" t="n"/>
      <c r="I113" s="72" t="n"/>
      <c r="J113" s="73" t="n"/>
      <c r="K113" s="74" t="n"/>
      <c r="L113" s="75">
        <f>IF(K113="A",F113,IF(K113="B",H113,IF(K113="C",J113,"")))</f>
        <v/>
      </c>
      <c r="M113" s="72" t="n"/>
      <c r="N113" s="72" t="n"/>
      <c r="O113" s="89" t="n"/>
      <c r="P113" s="89" t="n"/>
      <c r="Q113" s="108" t="n"/>
      <c r="R113" s="120">
        <f>IF(B113="","",IF(Q113&lt;&gt;"",Q113,IF(P113="","",IFERROR(INDEX('Timeline'!$J$7:$J$156,MATCH(P113,'Timeline'!$B$7:$B$156,0)),""))))</f>
        <v/>
      </c>
      <c r="S113" s="126">
        <f>IF(R113="","",R113-IF(O113="",0,O113)-OrderBuf)</f>
        <v/>
      </c>
      <c r="T113" s="126">
        <f>IF(S113="","",S113-DecideBuf)</f>
        <v/>
      </c>
      <c r="U113" s="74" t="n"/>
      <c r="V113" s="108" t="n"/>
      <c r="W113" s="108" t="n"/>
      <c r="X113" s="74" t="n"/>
      <c r="Y113" s="115">
        <f>IF(B113="","",IF(X113="Yes","Delivered",IF(U113="Yes",IF(AND(W113&lt;&gt;"",R113&lt;&gt;""),IF(W113&gt;R113,"⚠️ Delivery after install date","Ordered"),"Ordered"),IF(K113="",IF(T113="","Waiting for decision",IF(T113&lt;=AsOf+AlertDays,"Decide now","Waiting for decision")),IF(S113="","Selected",IF(AsOf&gt;S113,"⚠️ Order late — install at risk",IF(S113&lt;=AsOf+AlertDays,"Order now","Selected")))))))</f>
        <v/>
      </c>
      <c r="Z113" s="79">
        <f>IF(B113="","",IF(OR(AH113=1,AE113=1),2,IF(OR(AG113=1,AF113=1),1,IF(OR(Y113="Ordered",Y113="Delivered"),0,""))))</f>
        <v/>
      </c>
      <c r="AA113" s="111">
        <f>IF(B113="","",IF(AH113=1,IF(Y113="⚠️ Delivery after install date",R113,S113),IF(AD113=1,T113,IF(AI113=1,S113,""))))</f>
        <v/>
      </c>
      <c r="AB113" s="79">
        <f>IF(AA113="","",IF(AH113=1,1,IF(AA113="","",IF(AA113&lt;AsOf,1,IF(AA113&lt;=AsOf+AlertDays,2,IF(AA113&lt;=AsOf+2*AlertDays,3,""))))))</f>
        <v/>
      </c>
      <c r="AC113" s="79">
        <f>IF(AB113="","",IF(AH113=1,IF(Y113="⚠️ Delivery after install date","Delivery after install date: "&amp;B113,"Order late — install at risk: "&amp;B113),IF(AD113=1,IF(AB113=1,"Decision overdue: ","Decide: ")&amp;B113,"Order: "&amp;B113&amp;IF(N113="",""," from "&amp;N113))))</f>
        <v/>
      </c>
      <c r="AD113" s="79">
        <f>IF(AND(B113&lt;&gt;"",K113="",U113&lt;&gt;"Yes",X113&lt;&gt;"Yes"),1,0)</f>
        <v/>
      </c>
      <c r="AE113" s="79">
        <f>IF(AND(AD113=1,T113&lt;&gt;""),IF(T113&lt;AsOf,1,0),0)</f>
        <v/>
      </c>
      <c r="AF113" s="79">
        <f>IF(AND(AD113=1,T113&lt;&gt;""),IF(AND(T113&gt;=AsOf,T113&lt;=AsOf+AlertDays),1,0),0)</f>
        <v/>
      </c>
      <c r="AG113" s="79">
        <f>IF(Y113="Order now",1,0)</f>
        <v/>
      </c>
      <c r="AH113" s="79">
        <f>IF(OR(Y113="⚠️ Order late — install at risk",Y113="⚠️ Delivery after install date"),1,0)</f>
        <v/>
      </c>
      <c r="AI113" s="79">
        <f>IF(AND(B113&lt;&gt;"",K113&lt;&gt;"",U113&lt;&gt;"Yes",X113&lt;&gt;"Yes"),1,0)</f>
        <v/>
      </c>
      <c r="AJ113" s="79">
        <f>IF(Y113="⚠️ Order late — install at risk",1,0)</f>
        <v/>
      </c>
    </row>
    <row r="114" ht="20" customHeight="1">
      <c r="B114" s="72" t="n"/>
      <c r="C114" s="72" t="n"/>
      <c r="D114" s="72" t="n"/>
      <c r="E114" s="72" t="n"/>
      <c r="F114" s="73" t="n"/>
      <c r="G114" s="72" t="n"/>
      <c r="H114" s="73" t="n"/>
      <c r="I114" s="72" t="n"/>
      <c r="J114" s="73" t="n"/>
      <c r="K114" s="74" t="n"/>
      <c r="L114" s="75">
        <f>IF(K114="A",F114,IF(K114="B",H114,IF(K114="C",J114,"")))</f>
        <v/>
      </c>
      <c r="M114" s="72" t="n"/>
      <c r="N114" s="72" t="n"/>
      <c r="O114" s="89" t="n"/>
      <c r="P114" s="89" t="n"/>
      <c r="Q114" s="108" t="n"/>
      <c r="R114" s="120">
        <f>IF(B114="","",IF(Q114&lt;&gt;"",Q114,IF(P114="","",IFERROR(INDEX('Timeline'!$J$7:$J$156,MATCH(P114,'Timeline'!$B$7:$B$156,0)),""))))</f>
        <v/>
      </c>
      <c r="S114" s="126">
        <f>IF(R114="","",R114-IF(O114="",0,O114)-OrderBuf)</f>
        <v/>
      </c>
      <c r="T114" s="126">
        <f>IF(S114="","",S114-DecideBuf)</f>
        <v/>
      </c>
      <c r="U114" s="74" t="n"/>
      <c r="V114" s="108" t="n"/>
      <c r="W114" s="108" t="n"/>
      <c r="X114" s="74" t="n"/>
      <c r="Y114" s="115">
        <f>IF(B114="","",IF(X114="Yes","Delivered",IF(U114="Yes",IF(AND(W114&lt;&gt;"",R114&lt;&gt;""),IF(W114&gt;R114,"⚠️ Delivery after install date","Ordered"),"Ordered"),IF(K114="",IF(T114="","Waiting for decision",IF(T114&lt;=AsOf+AlertDays,"Decide now","Waiting for decision")),IF(S114="","Selected",IF(AsOf&gt;S114,"⚠️ Order late — install at risk",IF(S114&lt;=AsOf+AlertDays,"Order now","Selected")))))))</f>
        <v/>
      </c>
      <c r="Z114" s="79">
        <f>IF(B114="","",IF(OR(AH114=1,AE114=1),2,IF(OR(AG114=1,AF114=1),1,IF(OR(Y114="Ordered",Y114="Delivered"),0,""))))</f>
        <v/>
      </c>
      <c r="AA114" s="111">
        <f>IF(B114="","",IF(AH114=1,IF(Y114="⚠️ Delivery after install date",R114,S114),IF(AD114=1,T114,IF(AI114=1,S114,""))))</f>
        <v/>
      </c>
      <c r="AB114" s="79">
        <f>IF(AA114="","",IF(AH114=1,1,IF(AA114="","",IF(AA114&lt;AsOf,1,IF(AA114&lt;=AsOf+AlertDays,2,IF(AA114&lt;=AsOf+2*AlertDays,3,""))))))</f>
        <v/>
      </c>
      <c r="AC114" s="79">
        <f>IF(AB114="","",IF(AH114=1,IF(Y114="⚠️ Delivery after install date","Delivery after install date: "&amp;B114,"Order late — install at risk: "&amp;B114),IF(AD114=1,IF(AB114=1,"Decision overdue: ","Decide: ")&amp;B114,"Order: "&amp;B114&amp;IF(N114="",""," from "&amp;N114))))</f>
        <v/>
      </c>
      <c r="AD114" s="79">
        <f>IF(AND(B114&lt;&gt;"",K114="",U114&lt;&gt;"Yes",X114&lt;&gt;"Yes"),1,0)</f>
        <v/>
      </c>
      <c r="AE114" s="79">
        <f>IF(AND(AD114=1,T114&lt;&gt;""),IF(T114&lt;AsOf,1,0),0)</f>
        <v/>
      </c>
      <c r="AF114" s="79">
        <f>IF(AND(AD114=1,T114&lt;&gt;""),IF(AND(T114&gt;=AsOf,T114&lt;=AsOf+AlertDays),1,0),0)</f>
        <v/>
      </c>
      <c r="AG114" s="79">
        <f>IF(Y114="Order now",1,0)</f>
        <v/>
      </c>
      <c r="AH114" s="79">
        <f>IF(OR(Y114="⚠️ Order late — install at risk",Y114="⚠️ Delivery after install date"),1,0)</f>
        <v/>
      </c>
      <c r="AI114" s="79">
        <f>IF(AND(B114&lt;&gt;"",K114&lt;&gt;"",U114&lt;&gt;"Yes",X114&lt;&gt;"Yes"),1,0)</f>
        <v/>
      </c>
      <c r="AJ114" s="79">
        <f>IF(Y114="⚠️ Order late — install at risk",1,0)</f>
        <v/>
      </c>
    </row>
    <row r="115" ht="20" customHeight="1">
      <c r="B115" s="72" t="n"/>
      <c r="C115" s="72" t="n"/>
      <c r="D115" s="72" t="n"/>
      <c r="E115" s="72" t="n"/>
      <c r="F115" s="73" t="n"/>
      <c r="G115" s="72" t="n"/>
      <c r="H115" s="73" t="n"/>
      <c r="I115" s="72" t="n"/>
      <c r="J115" s="73" t="n"/>
      <c r="K115" s="74" t="n"/>
      <c r="L115" s="75">
        <f>IF(K115="A",F115,IF(K115="B",H115,IF(K115="C",J115,"")))</f>
        <v/>
      </c>
      <c r="M115" s="72" t="n"/>
      <c r="N115" s="72" t="n"/>
      <c r="O115" s="89" t="n"/>
      <c r="P115" s="89" t="n"/>
      <c r="Q115" s="108" t="n"/>
      <c r="R115" s="120">
        <f>IF(B115="","",IF(Q115&lt;&gt;"",Q115,IF(P115="","",IFERROR(INDEX('Timeline'!$J$7:$J$156,MATCH(P115,'Timeline'!$B$7:$B$156,0)),""))))</f>
        <v/>
      </c>
      <c r="S115" s="126">
        <f>IF(R115="","",R115-IF(O115="",0,O115)-OrderBuf)</f>
        <v/>
      </c>
      <c r="T115" s="126">
        <f>IF(S115="","",S115-DecideBuf)</f>
        <v/>
      </c>
      <c r="U115" s="74" t="n"/>
      <c r="V115" s="108" t="n"/>
      <c r="W115" s="108" t="n"/>
      <c r="X115" s="74" t="n"/>
      <c r="Y115" s="115">
        <f>IF(B115="","",IF(X115="Yes","Delivered",IF(U115="Yes",IF(AND(W115&lt;&gt;"",R115&lt;&gt;""),IF(W115&gt;R115,"⚠️ Delivery after install date","Ordered"),"Ordered"),IF(K115="",IF(T115="","Waiting for decision",IF(T115&lt;=AsOf+AlertDays,"Decide now","Waiting for decision")),IF(S115="","Selected",IF(AsOf&gt;S115,"⚠️ Order late — install at risk",IF(S115&lt;=AsOf+AlertDays,"Order now","Selected")))))))</f>
        <v/>
      </c>
      <c r="Z115" s="79">
        <f>IF(B115="","",IF(OR(AH115=1,AE115=1),2,IF(OR(AG115=1,AF115=1),1,IF(OR(Y115="Ordered",Y115="Delivered"),0,""))))</f>
        <v/>
      </c>
      <c r="AA115" s="111">
        <f>IF(B115="","",IF(AH115=1,IF(Y115="⚠️ Delivery after install date",R115,S115),IF(AD115=1,T115,IF(AI115=1,S115,""))))</f>
        <v/>
      </c>
      <c r="AB115" s="79">
        <f>IF(AA115="","",IF(AH115=1,1,IF(AA115="","",IF(AA115&lt;AsOf,1,IF(AA115&lt;=AsOf+AlertDays,2,IF(AA115&lt;=AsOf+2*AlertDays,3,""))))))</f>
        <v/>
      </c>
      <c r="AC115" s="79">
        <f>IF(AB115="","",IF(AH115=1,IF(Y115="⚠️ Delivery after install date","Delivery after install date: "&amp;B115,"Order late — install at risk: "&amp;B115),IF(AD115=1,IF(AB115=1,"Decision overdue: ","Decide: ")&amp;B115,"Order: "&amp;B115&amp;IF(N115="",""," from "&amp;N115))))</f>
        <v/>
      </c>
      <c r="AD115" s="79">
        <f>IF(AND(B115&lt;&gt;"",K115="",U115&lt;&gt;"Yes",X115&lt;&gt;"Yes"),1,0)</f>
        <v/>
      </c>
      <c r="AE115" s="79">
        <f>IF(AND(AD115=1,T115&lt;&gt;""),IF(T115&lt;AsOf,1,0),0)</f>
        <v/>
      </c>
      <c r="AF115" s="79">
        <f>IF(AND(AD115=1,T115&lt;&gt;""),IF(AND(T115&gt;=AsOf,T115&lt;=AsOf+AlertDays),1,0),0)</f>
        <v/>
      </c>
      <c r="AG115" s="79">
        <f>IF(Y115="Order now",1,0)</f>
        <v/>
      </c>
      <c r="AH115" s="79">
        <f>IF(OR(Y115="⚠️ Order late — install at risk",Y115="⚠️ Delivery after install date"),1,0)</f>
        <v/>
      </c>
      <c r="AI115" s="79">
        <f>IF(AND(B115&lt;&gt;"",K115&lt;&gt;"",U115&lt;&gt;"Yes",X115&lt;&gt;"Yes"),1,0)</f>
        <v/>
      </c>
      <c r="AJ115" s="79">
        <f>IF(Y115="⚠️ Order late — install at risk",1,0)</f>
        <v/>
      </c>
    </row>
    <row r="116" ht="20" customHeight="1">
      <c r="B116" s="72" t="n"/>
      <c r="C116" s="72" t="n"/>
      <c r="D116" s="72" t="n"/>
      <c r="E116" s="72" t="n"/>
      <c r="F116" s="73" t="n"/>
      <c r="G116" s="72" t="n"/>
      <c r="H116" s="73" t="n"/>
      <c r="I116" s="72" t="n"/>
      <c r="J116" s="73" t="n"/>
      <c r="K116" s="74" t="n"/>
      <c r="L116" s="75">
        <f>IF(K116="A",F116,IF(K116="B",H116,IF(K116="C",J116,"")))</f>
        <v/>
      </c>
      <c r="M116" s="72" t="n"/>
      <c r="N116" s="72" t="n"/>
      <c r="O116" s="89" t="n"/>
      <c r="P116" s="89" t="n"/>
      <c r="Q116" s="108" t="n"/>
      <c r="R116" s="120">
        <f>IF(B116="","",IF(Q116&lt;&gt;"",Q116,IF(P116="","",IFERROR(INDEX('Timeline'!$J$7:$J$156,MATCH(P116,'Timeline'!$B$7:$B$156,0)),""))))</f>
        <v/>
      </c>
      <c r="S116" s="126">
        <f>IF(R116="","",R116-IF(O116="",0,O116)-OrderBuf)</f>
        <v/>
      </c>
      <c r="T116" s="126">
        <f>IF(S116="","",S116-DecideBuf)</f>
        <v/>
      </c>
      <c r="U116" s="74" t="n"/>
      <c r="V116" s="108" t="n"/>
      <c r="W116" s="108" t="n"/>
      <c r="X116" s="74" t="n"/>
      <c r="Y116" s="115">
        <f>IF(B116="","",IF(X116="Yes","Delivered",IF(U116="Yes",IF(AND(W116&lt;&gt;"",R116&lt;&gt;""),IF(W116&gt;R116,"⚠️ Delivery after install date","Ordered"),"Ordered"),IF(K116="",IF(T116="","Waiting for decision",IF(T116&lt;=AsOf+AlertDays,"Decide now","Waiting for decision")),IF(S116="","Selected",IF(AsOf&gt;S116,"⚠️ Order late — install at risk",IF(S116&lt;=AsOf+AlertDays,"Order now","Selected")))))))</f>
        <v/>
      </c>
      <c r="Z116" s="79">
        <f>IF(B116="","",IF(OR(AH116=1,AE116=1),2,IF(OR(AG116=1,AF116=1),1,IF(OR(Y116="Ordered",Y116="Delivered"),0,""))))</f>
        <v/>
      </c>
      <c r="AA116" s="111">
        <f>IF(B116="","",IF(AH116=1,IF(Y116="⚠️ Delivery after install date",R116,S116),IF(AD116=1,T116,IF(AI116=1,S116,""))))</f>
        <v/>
      </c>
      <c r="AB116" s="79">
        <f>IF(AA116="","",IF(AH116=1,1,IF(AA116="","",IF(AA116&lt;AsOf,1,IF(AA116&lt;=AsOf+AlertDays,2,IF(AA116&lt;=AsOf+2*AlertDays,3,""))))))</f>
        <v/>
      </c>
      <c r="AC116" s="79">
        <f>IF(AB116="","",IF(AH116=1,IF(Y116="⚠️ Delivery after install date","Delivery after install date: "&amp;B116,"Order late — install at risk: "&amp;B116),IF(AD116=1,IF(AB116=1,"Decision overdue: ","Decide: ")&amp;B116,"Order: "&amp;B116&amp;IF(N116="",""," from "&amp;N116))))</f>
        <v/>
      </c>
      <c r="AD116" s="79">
        <f>IF(AND(B116&lt;&gt;"",K116="",U116&lt;&gt;"Yes",X116&lt;&gt;"Yes"),1,0)</f>
        <v/>
      </c>
      <c r="AE116" s="79">
        <f>IF(AND(AD116=1,T116&lt;&gt;""),IF(T116&lt;AsOf,1,0),0)</f>
        <v/>
      </c>
      <c r="AF116" s="79">
        <f>IF(AND(AD116=1,T116&lt;&gt;""),IF(AND(T116&gt;=AsOf,T116&lt;=AsOf+AlertDays),1,0),0)</f>
        <v/>
      </c>
      <c r="AG116" s="79">
        <f>IF(Y116="Order now",1,0)</f>
        <v/>
      </c>
      <c r="AH116" s="79">
        <f>IF(OR(Y116="⚠️ Order late — install at risk",Y116="⚠️ Delivery after install date"),1,0)</f>
        <v/>
      </c>
      <c r="AI116" s="79">
        <f>IF(AND(B116&lt;&gt;"",K116&lt;&gt;"",U116&lt;&gt;"Yes",X116&lt;&gt;"Yes"),1,0)</f>
        <v/>
      </c>
      <c r="AJ116" s="79">
        <f>IF(Y116="⚠️ Order late — install at risk",1,0)</f>
        <v/>
      </c>
    </row>
    <row r="117" ht="20" customHeight="1">
      <c r="B117" s="72" t="n"/>
      <c r="C117" s="72" t="n"/>
      <c r="D117" s="72" t="n"/>
      <c r="E117" s="72" t="n"/>
      <c r="F117" s="73" t="n"/>
      <c r="G117" s="72" t="n"/>
      <c r="H117" s="73" t="n"/>
      <c r="I117" s="72" t="n"/>
      <c r="J117" s="73" t="n"/>
      <c r="K117" s="74" t="n"/>
      <c r="L117" s="75">
        <f>IF(K117="A",F117,IF(K117="B",H117,IF(K117="C",J117,"")))</f>
        <v/>
      </c>
      <c r="M117" s="72" t="n"/>
      <c r="N117" s="72" t="n"/>
      <c r="O117" s="89" t="n"/>
      <c r="P117" s="89" t="n"/>
      <c r="Q117" s="108" t="n"/>
      <c r="R117" s="120">
        <f>IF(B117="","",IF(Q117&lt;&gt;"",Q117,IF(P117="","",IFERROR(INDEX('Timeline'!$J$7:$J$156,MATCH(P117,'Timeline'!$B$7:$B$156,0)),""))))</f>
        <v/>
      </c>
      <c r="S117" s="126">
        <f>IF(R117="","",R117-IF(O117="",0,O117)-OrderBuf)</f>
        <v/>
      </c>
      <c r="T117" s="126">
        <f>IF(S117="","",S117-DecideBuf)</f>
        <v/>
      </c>
      <c r="U117" s="74" t="n"/>
      <c r="V117" s="108" t="n"/>
      <c r="W117" s="108" t="n"/>
      <c r="X117" s="74" t="n"/>
      <c r="Y117" s="115">
        <f>IF(B117="","",IF(X117="Yes","Delivered",IF(U117="Yes",IF(AND(W117&lt;&gt;"",R117&lt;&gt;""),IF(W117&gt;R117,"⚠️ Delivery after install date","Ordered"),"Ordered"),IF(K117="",IF(T117="","Waiting for decision",IF(T117&lt;=AsOf+AlertDays,"Decide now","Waiting for decision")),IF(S117="","Selected",IF(AsOf&gt;S117,"⚠️ Order late — install at risk",IF(S117&lt;=AsOf+AlertDays,"Order now","Selected")))))))</f>
        <v/>
      </c>
      <c r="Z117" s="79">
        <f>IF(B117="","",IF(OR(AH117=1,AE117=1),2,IF(OR(AG117=1,AF117=1),1,IF(OR(Y117="Ordered",Y117="Delivered"),0,""))))</f>
        <v/>
      </c>
      <c r="AA117" s="111">
        <f>IF(B117="","",IF(AH117=1,IF(Y117="⚠️ Delivery after install date",R117,S117),IF(AD117=1,T117,IF(AI117=1,S117,""))))</f>
        <v/>
      </c>
      <c r="AB117" s="79">
        <f>IF(AA117="","",IF(AH117=1,1,IF(AA117="","",IF(AA117&lt;AsOf,1,IF(AA117&lt;=AsOf+AlertDays,2,IF(AA117&lt;=AsOf+2*AlertDays,3,""))))))</f>
        <v/>
      </c>
      <c r="AC117" s="79">
        <f>IF(AB117="","",IF(AH117=1,IF(Y117="⚠️ Delivery after install date","Delivery after install date: "&amp;B117,"Order late — install at risk: "&amp;B117),IF(AD117=1,IF(AB117=1,"Decision overdue: ","Decide: ")&amp;B117,"Order: "&amp;B117&amp;IF(N117="",""," from "&amp;N117))))</f>
        <v/>
      </c>
      <c r="AD117" s="79">
        <f>IF(AND(B117&lt;&gt;"",K117="",U117&lt;&gt;"Yes",X117&lt;&gt;"Yes"),1,0)</f>
        <v/>
      </c>
      <c r="AE117" s="79">
        <f>IF(AND(AD117=1,T117&lt;&gt;""),IF(T117&lt;AsOf,1,0),0)</f>
        <v/>
      </c>
      <c r="AF117" s="79">
        <f>IF(AND(AD117=1,T117&lt;&gt;""),IF(AND(T117&gt;=AsOf,T117&lt;=AsOf+AlertDays),1,0),0)</f>
        <v/>
      </c>
      <c r="AG117" s="79">
        <f>IF(Y117="Order now",1,0)</f>
        <v/>
      </c>
      <c r="AH117" s="79">
        <f>IF(OR(Y117="⚠️ Order late — install at risk",Y117="⚠️ Delivery after install date"),1,0)</f>
        <v/>
      </c>
      <c r="AI117" s="79">
        <f>IF(AND(B117&lt;&gt;"",K117&lt;&gt;"",U117&lt;&gt;"Yes",X117&lt;&gt;"Yes"),1,0)</f>
        <v/>
      </c>
      <c r="AJ117" s="79">
        <f>IF(Y117="⚠️ Order late — install at risk",1,0)</f>
        <v/>
      </c>
    </row>
    <row r="118" ht="20" customHeight="1">
      <c r="B118" s="72" t="n"/>
      <c r="C118" s="72" t="n"/>
      <c r="D118" s="72" t="n"/>
      <c r="E118" s="72" t="n"/>
      <c r="F118" s="73" t="n"/>
      <c r="G118" s="72" t="n"/>
      <c r="H118" s="73" t="n"/>
      <c r="I118" s="72" t="n"/>
      <c r="J118" s="73" t="n"/>
      <c r="K118" s="74" t="n"/>
      <c r="L118" s="75">
        <f>IF(K118="A",F118,IF(K118="B",H118,IF(K118="C",J118,"")))</f>
        <v/>
      </c>
      <c r="M118" s="72" t="n"/>
      <c r="N118" s="72" t="n"/>
      <c r="O118" s="89" t="n"/>
      <c r="P118" s="89" t="n"/>
      <c r="Q118" s="108" t="n"/>
      <c r="R118" s="120">
        <f>IF(B118="","",IF(Q118&lt;&gt;"",Q118,IF(P118="","",IFERROR(INDEX('Timeline'!$J$7:$J$156,MATCH(P118,'Timeline'!$B$7:$B$156,0)),""))))</f>
        <v/>
      </c>
      <c r="S118" s="126">
        <f>IF(R118="","",R118-IF(O118="",0,O118)-OrderBuf)</f>
        <v/>
      </c>
      <c r="T118" s="126">
        <f>IF(S118="","",S118-DecideBuf)</f>
        <v/>
      </c>
      <c r="U118" s="74" t="n"/>
      <c r="V118" s="108" t="n"/>
      <c r="W118" s="108" t="n"/>
      <c r="X118" s="74" t="n"/>
      <c r="Y118" s="115">
        <f>IF(B118="","",IF(X118="Yes","Delivered",IF(U118="Yes",IF(AND(W118&lt;&gt;"",R118&lt;&gt;""),IF(W118&gt;R118,"⚠️ Delivery after install date","Ordered"),"Ordered"),IF(K118="",IF(T118="","Waiting for decision",IF(T118&lt;=AsOf+AlertDays,"Decide now","Waiting for decision")),IF(S118="","Selected",IF(AsOf&gt;S118,"⚠️ Order late — install at risk",IF(S118&lt;=AsOf+AlertDays,"Order now","Selected")))))))</f>
        <v/>
      </c>
      <c r="Z118" s="79">
        <f>IF(B118="","",IF(OR(AH118=1,AE118=1),2,IF(OR(AG118=1,AF118=1),1,IF(OR(Y118="Ordered",Y118="Delivered"),0,""))))</f>
        <v/>
      </c>
      <c r="AA118" s="111">
        <f>IF(B118="","",IF(AH118=1,IF(Y118="⚠️ Delivery after install date",R118,S118),IF(AD118=1,T118,IF(AI118=1,S118,""))))</f>
        <v/>
      </c>
      <c r="AB118" s="79">
        <f>IF(AA118="","",IF(AH118=1,1,IF(AA118="","",IF(AA118&lt;AsOf,1,IF(AA118&lt;=AsOf+AlertDays,2,IF(AA118&lt;=AsOf+2*AlertDays,3,""))))))</f>
        <v/>
      </c>
      <c r="AC118" s="79">
        <f>IF(AB118="","",IF(AH118=1,IF(Y118="⚠️ Delivery after install date","Delivery after install date: "&amp;B118,"Order late — install at risk: "&amp;B118),IF(AD118=1,IF(AB118=1,"Decision overdue: ","Decide: ")&amp;B118,"Order: "&amp;B118&amp;IF(N118="",""," from "&amp;N118))))</f>
        <v/>
      </c>
      <c r="AD118" s="79">
        <f>IF(AND(B118&lt;&gt;"",K118="",U118&lt;&gt;"Yes",X118&lt;&gt;"Yes"),1,0)</f>
        <v/>
      </c>
      <c r="AE118" s="79">
        <f>IF(AND(AD118=1,T118&lt;&gt;""),IF(T118&lt;AsOf,1,0),0)</f>
        <v/>
      </c>
      <c r="AF118" s="79">
        <f>IF(AND(AD118=1,T118&lt;&gt;""),IF(AND(T118&gt;=AsOf,T118&lt;=AsOf+AlertDays),1,0),0)</f>
        <v/>
      </c>
      <c r="AG118" s="79">
        <f>IF(Y118="Order now",1,0)</f>
        <v/>
      </c>
      <c r="AH118" s="79">
        <f>IF(OR(Y118="⚠️ Order late — install at risk",Y118="⚠️ Delivery after install date"),1,0)</f>
        <v/>
      </c>
      <c r="AI118" s="79">
        <f>IF(AND(B118&lt;&gt;"",K118&lt;&gt;"",U118&lt;&gt;"Yes",X118&lt;&gt;"Yes"),1,0)</f>
        <v/>
      </c>
      <c r="AJ118" s="79">
        <f>IF(Y118="⚠️ Order late — install at risk",1,0)</f>
        <v/>
      </c>
    </row>
    <row r="119" ht="20" customHeight="1">
      <c r="B119" s="72" t="n"/>
      <c r="C119" s="72" t="n"/>
      <c r="D119" s="72" t="n"/>
      <c r="E119" s="72" t="n"/>
      <c r="F119" s="73" t="n"/>
      <c r="G119" s="72" t="n"/>
      <c r="H119" s="73" t="n"/>
      <c r="I119" s="72" t="n"/>
      <c r="J119" s="73" t="n"/>
      <c r="K119" s="74" t="n"/>
      <c r="L119" s="75">
        <f>IF(K119="A",F119,IF(K119="B",H119,IF(K119="C",J119,"")))</f>
        <v/>
      </c>
      <c r="M119" s="72" t="n"/>
      <c r="N119" s="72" t="n"/>
      <c r="O119" s="89" t="n"/>
      <c r="P119" s="89" t="n"/>
      <c r="Q119" s="108" t="n"/>
      <c r="R119" s="120">
        <f>IF(B119="","",IF(Q119&lt;&gt;"",Q119,IF(P119="","",IFERROR(INDEX('Timeline'!$J$7:$J$156,MATCH(P119,'Timeline'!$B$7:$B$156,0)),""))))</f>
        <v/>
      </c>
      <c r="S119" s="126">
        <f>IF(R119="","",R119-IF(O119="",0,O119)-OrderBuf)</f>
        <v/>
      </c>
      <c r="T119" s="126">
        <f>IF(S119="","",S119-DecideBuf)</f>
        <v/>
      </c>
      <c r="U119" s="74" t="n"/>
      <c r="V119" s="108" t="n"/>
      <c r="W119" s="108" t="n"/>
      <c r="X119" s="74" t="n"/>
      <c r="Y119" s="115">
        <f>IF(B119="","",IF(X119="Yes","Delivered",IF(U119="Yes",IF(AND(W119&lt;&gt;"",R119&lt;&gt;""),IF(W119&gt;R119,"⚠️ Delivery after install date","Ordered"),"Ordered"),IF(K119="",IF(T119="","Waiting for decision",IF(T119&lt;=AsOf+AlertDays,"Decide now","Waiting for decision")),IF(S119="","Selected",IF(AsOf&gt;S119,"⚠️ Order late — install at risk",IF(S119&lt;=AsOf+AlertDays,"Order now","Selected")))))))</f>
        <v/>
      </c>
      <c r="Z119" s="79">
        <f>IF(B119="","",IF(OR(AH119=1,AE119=1),2,IF(OR(AG119=1,AF119=1),1,IF(OR(Y119="Ordered",Y119="Delivered"),0,""))))</f>
        <v/>
      </c>
      <c r="AA119" s="111">
        <f>IF(B119="","",IF(AH119=1,IF(Y119="⚠️ Delivery after install date",R119,S119),IF(AD119=1,T119,IF(AI119=1,S119,""))))</f>
        <v/>
      </c>
      <c r="AB119" s="79">
        <f>IF(AA119="","",IF(AH119=1,1,IF(AA119="","",IF(AA119&lt;AsOf,1,IF(AA119&lt;=AsOf+AlertDays,2,IF(AA119&lt;=AsOf+2*AlertDays,3,""))))))</f>
        <v/>
      </c>
      <c r="AC119" s="79">
        <f>IF(AB119="","",IF(AH119=1,IF(Y119="⚠️ Delivery after install date","Delivery after install date: "&amp;B119,"Order late — install at risk: "&amp;B119),IF(AD119=1,IF(AB119=1,"Decision overdue: ","Decide: ")&amp;B119,"Order: "&amp;B119&amp;IF(N119="",""," from "&amp;N119))))</f>
        <v/>
      </c>
      <c r="AD119" s="79">
        <f>IF(AND(B119&lt;&gt;"",K119="",U119&lt;&gt;"Yes",X119&lt;&gt;"Yes"),1,0)</f>
        <v/>
      </c>
      <c r="AE119" s="79">
        <f>IF(AND(AD119=1,T119&lt;&gt;""),IF(T119&lt;AsOf,1,0),0)</f>
        <v/>
      </c>
      <c r="AF119" s="79">
        <f>IF(AND(AD119=1,T119&lt;&gt;""),IF(AND(T119&gt;=AsOf,T119&lt;=AsOf+AlertDays),1,0),0)</f>
        <v/>
      </c>
      <c r="AG119" s="79">
        <f>IF(Y119="Order now",1,0)</f>
        <v/>
      </c>
      <c r="AH119" s="79">
        <f>IF(OR(Y119="⚠️ Order late — install at risk",Y119="⚠️ Delivery after install date"),1,0)</f>
        <v/>
      </c>
      <c r="AI119" s="79">
        <f>IF(AND(B119&lt;&gt;"",K119&lt;&gt;"",U119&lt;&gt;"Yes",X119&lt;&gt;"Yes"),1,0)</f>
        <v/>
      </c>
      <c r="AJ119" s="79">
        <f>IF(Y119="⚠️ Order late — install at risk",1,0)</f>
        <v/>
      </c>
    </row>
    <row r="120" ht="20" customHeight="1">
      <c r="B120" s="72" t="n"/>
      <c r="C120" s="72" t="n"/>
      <c r="D120" s="72" t="n"/>
      <c r="E120" s="72" t="n"/>
      <c r="F120" s="73" t="n"/>
      <c r="G120" s="72" t="n"/>
      <c r="H120" s="73" t="n"/>
      <c r="I120" s="72" t="n"/>
      <c r="J120" s="73" t="n"/>
      <c r="K120" s="74" t="n"/>
      <c r="L120" s="75">
        <f>IF(K120="A",F120,IF(K120="B",H120,IF(K120="C",J120,"")))</f>
        <v/>
      </c>
      <c r="M120" s="72" t="n"/>
      <c r="N120" s="72" t="n"/>
      <c r="O120" s="89" t="n"/>
      <c r="P120" s="89" t="n"/>
      <c r="Q120" s="108" t="n"/>
      <c r="R120" s="120">
        <f>IF(B120="","",IF(Q120&lt;&gt;"",Q120,IF(P120="","",IFERROR(INDEX('Timeline'!$J$7:$J$156,MATCH(P120,'Timeline'!$B$7:$B$156,0)),""))))</f>
        <v/>
      </c>
      <c r="S120" s="126">
        <f>IF(R120="","",R120-IF(O120="",0,O120)-OrderBuf)</f>
        <v/>
      </c>
      <c r="T120" s="126">
        <f>IF(S120="","",S120-DecideBuf)</f>
        <v/>
      </c>
      <c r="U120" s="74" t="n"/>
      <c r="V120" s="108" t="n"/>
      <c r="W120" s="108" t="n"/>
      <c r="X120" s="74" t="n"/>
      <c r="Y120" s="115">
        <f>IF(B120="","",IF(X120="Yes","Delivered",IF(U120="Yes",IF(AND(W120&lt;&gt;"",R120&lt;&gt;""),IF(W120&gt;R120,"⚠️ Delivery after install date","Ordered"),"Ordered"),IF(K120="",IF(T120="","Waiting for decision",IF(T120&lt;=AsOf+AlertDays,"Decide now","Waiting for decision")),IF(S120="","Selected",IF(AsOf&gt;S120,"⚠️ Order late — install at risk",IF(S120&lt;=AsOf+AlertDays,"Order now","Selected")))))))</f>
        <v/>
      </c>
      <c r="Z120" s="79">
        <f>IF(B120="","",IF(OR(AH120=1,AE120=1),2,IF(OR(AG120=1,AF120=1),1,IF(OR(Y120="Ordered",Y120="Delivered"),0,""))))</f>
        <v/>
      </c>
      <c r="AA120" s="111">
        <f>IF(B120="","",IF(AH120=1,IF(Y120="⚠️ Delivery after install date",R120,S120),IF(AD120=1,T120,IF(AI120=1,S120,""))))</f>
        <v/>
      </c>
      <c r="AB120" s="79">
        <f>IF(AA120="","",IF(AH120=1,1,IF(AA120="","",IF(AA120&lt;AsOf,1,IF(AA120&lt;=AsOf+AlertDays,2,IF(AA120&lt;=AsOf+2*AlertDays,3,""))))))</f>
        <v/>
      </c>
      <c r="AC120" s="79">
        <f>IF(AB120="","",IF(AH120=1,IF(Y120="⚠️ Delivery after install date","Delivery after install date: "&amp;B120,"Order late — install at risk: "&amp;B120),IF(AD120=1,IF(AB120=1,"Decision overdue: ","Decide: ")&amp;B120,"Order: "&amp;B120&amp;IF(N120="",""," from "&amp;N120))))</f>
        <v/>
      </c>
      <c r="AD120" s="79">
        <f>IF(AND(B120&lt;&gt;"",K120="",U120&lt;&gt;"Yes",X120&lt;&gt;"Yes"),1,0)</f>
        <v/>
      </c>
      <c r="AE120" s="79">
        <f>IF(AND(AD120=1,T120&lt;&gt;""),IF(T120&lt;AsOf,1,0),0)</f>
        <v/>
      </c>
      <c r="AF120" s="79">
        <f>IF(AND(AD120=1,T120&lt;&gt;""),IF(AND(T120&gt;=AsOf,T120&lt;=AsOf+AlertDays),1,0),0)</f>
        <v/>
      </c>
      <c r="AG120" s="79">
        <f>IF(Y120="Order now",1,0)</f>
        <v/>
      </c>
      <c r="AH120" s="79">
        <f>IF(OR(Y120="⚠️ Order late — install at risk",Y120="⚠️ Delivery after install date"),1,0)</f>
        <v/>
      </c>
      <c r="AI120" s="79">
        <f>IF(AND(B120&lt;&gt;"",K120&lt;&gt;"",U120&lt;&gt;"Yes",X120&lt;&gt;"Yes"),1,0)</f>
        <v/>
      </c>
      <c r="AJ120" s="79">
        <f>IF(Y120="⚠️ Order late — install at risk",1,0)</f>
        <v/>
      </c>
    </row>
    <row r="121" ht="20" customHeight="1">
      <c r="B121" s="72" t="n"/>
      <c r="C121" s="72" t="n"/>
      <c r="D121" s="72" t="n"/>
      <c r="E121" s="72" t="n"/>
      <c r="F121" s="73" t="n"/>
      <c r="G121" s="72" t="n"/>
      <c r="H121" s="73" t="n"/>
      <c r="I121" s="72" t="n"/>
      <c r="J121" s="73" t="n"/>
      <c r="K121" s="74" t="n"/>
      <c r="L121" s="75">
        <f>IF(K121="A",F121,IF(K121="B",H121,IF(K121="C",J121,"")))</f>
        <v/>
      </c>
      <c r="M121" s="72" t="n"/>
      <c r="N121" s="72" t="n"/>
      <c r="O121" s="89" t="n"/>
      <c r="P121" s="89" t="n"/>
      <c r="Q121" s="108" t="n"/>
      <c r="R121" s="120">
        <f>IF(B121="","",IF(Q121&lt;&gt;"",Q121,IF(P121="","",IFERROR(INDEX('Timeline'!$J$7:$J$156,MATCH(P121,'Timeline'!$B$7:$B$156,0)),""))))</f>
        <v/>
      </c>
      <c r="S121" s="126">
        <f>IF(R121="","",R121-IF(O121="",0,O121)-OrderBuf)</f>
        <v/>
      </c>
      <c r="T121" s="126">
        <f>IF(S121="","",S121-DecideBuf)</f>
        <v/>
      </c>
      <c r="U121" s="74" t="n"/>
      <c r="V121" s="108" t="n"/>
      <c r="W121" s="108" t="n"/>
      <c r="X121" s="74" t="n"/>
      <c r="Y121" s="115">
        <f>IF(B121="","",IF(X121="Yes","Delivered",IF(U121="Yes",IF(AND(W121&lt;&gt;"",R121&lt;&gt;""),IF(W121&gt;R121,"⚠️ Delivery after install date","Ordered"),"Ordered"),IF(K121="",IF(T121="","Waiting for decision",IF(T121&lt;=AsOf+AlertDays,"Decide now","Waiting for decision")),IF(S121="","Selected",IF(AsOf&gt;S121,"⚠️ Order late — install at risk",IF(S121&lt;=AsOf+AlertDays,"Order now","Selected")))))))</f>
        <v/>
      </c>
      <c r="Z121" s="79">
        <f>IF(B121="","",IF(OR(AH121=1,AE121=1),2,IF(OR(AG121=1,AF121=1),1,IF(OR(Y121="Ordered",Y121="Delivered"),0,""))))</f>
        <v/>
      </c>
      <c r="AA121" s="111">
        <f>IF(B121="","",IF(AH121=1,IF(Y121="⚠️ Delivery after install date",R121,S121),IF(AD121=1,T121,IF(AI121=1,S121,""))))</f>
        <v/>
      </c>
      <c r="AB121" s="79">
        <f>IF(AA121="","",IF(AH121=1,1,IF(AA121="","",IF(AA121&lt;AsOf,1,IF(AA121&lt;=AsOf+AlertDays,2,IF(AA121&lt;=AsOf+2*AlertDays,3,""))))))</f>
        <v/>
      </c>
      <c r="AC121" s="79">
        <f>IF(AB121="","",IF(AH121=1,IF(Y121="⚠️ Delivery after install date","Delivery after install date: "&amp;B121,"Order late — install at risk: "&amp;B121),IF(AD121=1,IF(AB121=1,"Decision overdue: ","Decide: ")&amp;B121,"Order: "&amp;B121&amp;IF(N121="",""," from "&amp;N121))))</f>
        <v/>
      </c>
      <c r="AD121" s="79">
        <f>IF(AND(B121&lt;&gt;"",K121="",U121&lt;&gt;"Yes",X121&lt;&gt;"Yes"),1,0)</f>
        <v/>
      </c>
      <c r="AE121" s="79">
        <f>IF(AND(AD121=1,T121&lt;&gt;""),IF(T121&lt;AsOf,1,0),0)</f>
        <v/>
      </c>
      <c r="AF121" s="79">
        <f>IF(AND(AD121=1,T121&lt;&gt;""),IF(AND(T121&gt;=AsOf,T121&lt;=AsOf+AlertDays),1,0),0)</f>
        <v/>
      </c>
      <c r="AG121" s="79">
        <f>IF(Y121="Order now",1,0)</f>
        <v/>
      </c>
      <c r="AH121" s="79">
        <f>IF(OR(Y121="⚠️ Order late — install at risk",Y121="⚠️ Delivery after install date"),1,0)</f>
        <v/>
      </c>
      <c r="AI121" s="79">
        <f>IF(AND(B121&lt;&gt;"",K121&lt;&gt;"",U121&lt;&gt;"Yes",X121&lt;&gt;"Yes"),1,0)</f>
        <v/>
      </c>
      <c r="AJ121" s="79">
        <f>IF(Y121="⚠️ Order late — install at risk",1,0)</f>
        <v/>
      </c>
    </row>
    <row r="122" ht="20" customHeight="1">
      <c r="B122" s="72" t="n"/>
      <c r="C122" s="72" t="n"/>
      <c r="D122" s="72" t="n"/>
      <c r="E122" s="72" t="n"/>
      <c r="F122" s="73" t="n"/>
      <c r="G122" s="72" t="n"/>
      <c r="H122" s="73" t="n"/>
      <c r="I122" s="72" t="n"/>
      <c r="J122" s="73" t="n"/>
      <c r="K122" s="74" t="n"/>
      <c r="L122" s="75">
        <f>IF(K122="A",F122,IF(K122="B",H122,IF(K122="C",J122,"")))</f>
        <v/>
      </c>
      <c r="M122" s="72" t="n"/>
      <c r="N122" s="72" t="n"/>
      <c r="O122" s="89" t="n"/>
      <c r="P122" s="89" t="n"/>
      <c r="Q122" s="108" t="n"/>
      <c r="R122" s="120">
        <f>IF(B122="","",IF(Q122&lt;&gt;"",Q122,IF(P122="","",IFERROR(INDEX('Timeline'!$J$7:$J$156,MATCH(P122,'Timeline'!$B$7:$B$156,0)),""))))</f>
        <v/>
      </c>
      <c r="S122" s="126">
        <f>IF(R122="","",R122-IF(O122="",0,O122)-OrderBuf)</f>
        <v/>
      </c>
      <c r="T122" s="126">
        <f>IF(S122="","",S122-DecideBuf)</f>
        <v/>
      </c>
      <c r="U122" s="74" t="n"/>
      <c r="V122" s="108" t="n"/>
      <c r="W122" s="108" t="n"/>
      <c r="X122" s="74" t="n"/>
      <c r="Y122" s="115">
        <f>IF(B122="","",IF(X122="Yes","Delivered",IF(U122="Yes",IF(AND(W122&lt;&gt;"",R122&lt;&gt;""),IF(W122&gt;R122,"⚠️ Delivery after install date","Ordered"),"Ordered"),IF(K122="",IF(T122="","Waiting for decision",IF(T122&lt;=AsOf+AlertDays,"Decide now","Waiting for decision")),IF(S122="","Selected",IF(AsOf&gt;S122,"⚠️ Order late — install at risk",IF(S122&lt;=AsOf+AlertDays,"Order now","Selected")))))))</f>
        <v/>
      </c>
      <c r="Z122" s="79">
        <f>IF(B122="","",IF(OR(AH122=1,AE122=1),2,IF(OR(AG122=1,AF122=1),1,IF(OR(Y122="Ordered",Y122="Delivered"),0,""))))</f>
        <v/>
      </c>
      <c r="AA122" s="111">
        <f>IF(B122="","",IF(AH122=1,IF(Y122="⚠️ Delivery after install date",R122,S122),IF(AD122=1,T122,IF(AI122=1,S122,""))))</f>
        <v/>
      </c>
      <c r="AB122" s="79">
        <f>IF(AA122="","",IF(AH122=1,1,IF(AA122="","",IF(AA122&lt;AsOf,1,IF(AA122&lt;=AsOf+AlertDays,2,IF(AA122&lt;=AsOf+2*AlertDays,3,""))))))</f>
        <v/>
      </c>
      <c r="AC122" s="79">
        <f>IF(AB122="","",IF(AH122=1,IF(Y122="⚠️ Delivery after install date","Delivery after install date: "&amp;B122,"Order late — install at risk: "&amp;B122),IF(AD122=1,IF(AB122=1,"Decision overdue: ","Decide: ")&amp;B122,"Order: "&amp;B122&amp;IF(N122="",""," from "&amp;N122))))</f>
        <v/>
      </c>
      <c r="AD122" s="79">
        <f>IF(AND(B122&lt;&gt;"",K122="",U122&lt;&gt;"Yes",X122&lt;&gt;"Yes"),1,0)</f>
        <v/>
      </c>
      <c r="AE122" s="79">
        <f>IF(AND(AD122=1,T122&lt;&gt;""),IF(T122&lt;AsOf,1,0),0)</f>
        <v/>
      </c>
      <c r="AF122" s="79">
        <f>IF(AND(AD122=1,T122&lt;&gt;""),IF(AND(T122&gt;=AsOf,T122&lt;=AsOf+AlertDays),1,0),0)</f>
        <v/>
      </c>
      <c r="AG122" s="79">
        <f>IF(Y122="Order now",1,0)</f>
        <v/>
      </c>
      <c r="AH122" s="79">
        <f>IF(OR(Y122="⚠️ Order late — install at risk",Y122="⚠️ Delivery after install date"),1,0)</f>
        <v/>
      </c>
      <c r="AI122" s="79">
        <f>IF(AND(B122&lt;&gt;"",K122&lt;&gt;"",U122&lt;&gt;"Yes",X122&lt;&gt;"Yes"),1,0)</f>
        <v/>
      </c>
      <c r="AJ122" s="79">
        <f>IF(Y122="⚠️ Order late — install at risk",1,0)</f>
        <v/>
      </c>
    </row>
    <row r="123" ht="20" customHeight="1">
      <c r="B123" s="72" t="n"/>
      <c r="C123" s="72" t="n"/>
      <c r="D123" s="72" t="n"/>
      <c r="E123" s="72" t="n"/>
      <c r="F123" s="73" t="n"/>
      <c r="G123" s="72" t="n"/>
      <c r="H123" s="73" t="n"/>
      <c r="I123" s="72" t="n"/>
      <c r="J123" s="73" t="n"/>
      <c r="K123" s="74" t="n"/>
      <c r="L123" s="75">
        <f>IF(K123="A",F123,IF(K123="B",H123,IF(K123="C",J123,"")))</f>
        <v/>
      </c>
      <c r="M123" s="72" t="n"/>
      <c r="N123" s="72" t="n"/>
      <c r="O123" s="89" t="n"/>
      <c r="P123" s="89" t="n"/>
      <c r="Q123" s="108" t="n"/>
      <c r="R123" s="120">
        <f>IF(B123="","",IF(Q123&lt;&gt;"",Q123,IF(P123="","",IFERROR(INDEX('Timeline'!$J$7:$J$156,MATCH(P123,'Timeline'!$B$7:$B$156,0)),""))))</f>
        <v/>
      </c>
      <c r="S123" s="126">
        <f>IF(R123="","",R123-IF(O123="",0,O123)-OrderBuf)</f>
        <v/>
      </c>
      <c r="T123" s="126">
        <f>IF(S123="","",S123-DecideBuf)</f>
        <v/>
      </c>
      <c r="U123" s="74" t="n"/>
      <c r="V123" s="108" t="n"/>
      <c r="W123" s="108" t="n"/>
      <c r="X123" s="74" t="n"/>
      <c r="Y123" s="115">
        <f>IF(B123="","",IF(X123="Yes","Delivered",IF(U123="Yes",IF(AND(W123&lt;&gt;"",R123&lt;&gt;""),IF(W123&gt;R123,"⚠️ Delivery after install date","Ordered"),"Ordered"),IF(K123="",IF(T123="","Waiting for decision",IF(T123&lt;=AsOf+AlertDays,"Decide now","Waiting for decision")),IF(S123="","Selected",IF(AsOf&gt;S123,"⚠️ Order late — install at risk",IF(S123&lt;=AsOf+AlertDays,"Order now","Selected")))))))</f>
        <v/>
      </c>
      <c r="Z123" s="79">
        <f>IF(B123="","",IF(OR(AH123=1,AE123=1),2,IF(OR(AG123=1,AF123=1),1,IF(OR(Y123="Ordered",Y123="Delivered"),0,""))))</f>
        <v/>
      </c>
      <c r="AA123" s="111">
        <f>IF(B123="","",IF(AH123=1,IF(Y123="⚠️ Delivery after install date",R123,S123),IF(AD123=1,T123,IF(AI123=1,S123,""))))</f>
        <v/>
      </c>
      <c r="AB123" s="79">
        <f>IF(AA123="","",IF(AH123=1,1,IF(AA123="","",IF(AA123&lt;AsOf,1,IF(AA123&lt;=AsOf+AlertDays,2,IF(AA123&lt;=AsOf+2*AlertDays,3,""))))))</f>
        <v/>
      </c>
      <c r="AC123" s="79">
        <f>IF(AB123="","",IF(AH123=1,IF(Y123="⚠️ Delivery after install date","Delivery after install date: "&amp;B123,"Order late — install at risk: "&amp;B123),IF(AD123=1,IF(AB123=1,"Decision overdue: ","Decide: ")&amp;B123,"Order: "&amp;B123&amp;IF(N123="",""," from "&amp;N123))))</f>
        <v/>
      </c>
      <c r="AD123" s="79">
        <f>IF(AND(B123&lt;&gt;"",K123="",U123&lt;&gt;"Yes",X123&lt;&gt;"Yes"),1,0)</f>
        <v/>
      </c>
      <c r="AE123" s="79">
        <f>IF(AND(AD123=1,T123&lt;&gt;""),IF(T123&lt;AsOf,1,0),0)</f>
        <v/>
      </c>
      <c r="AF123" s="79">
        <f>IF(AND(AD123=1,T123&lt;&gt;""),IF(AND(T123&gt;=AsOf,T123&lt;=AsOf+AlertDays),1,0),0)</f>
        <v/>
      </c>
      <c r="AG123" s="79">
        <f>IF(Y123="Order now",1,0)</f>
        <v/>
      </c>
      <c r="AH123" s="79">
        <f>IF(OR(Y123="⚠️ Order late — install at risk",Y123="⚠️ Delivery after install date"),1,0)</f>
        <v/>
      </c>
      <c r="AI123" s="79">
        <f>IF(AND(B123&lt;&gt;"",K123&lt;&gt;"",U123&lt;&gt;"Yes",X123&lt;&gt;"Yes"),1,0)</f>
        <v/>
      </c>
      <c r="AJ123" s="79">
        <f>IF(Y123="⚠️ Order late — install at risk",1,0)</f>
        <v/>
      </c>
    </row>
    <row r="124" ht="20" customHeight="1">
      <c r="B124" s="72" t="n"/>
      <c r="C124" s="72" t="n"/>
      <c r="D124" s="72" t="n"/>
      <c r="E124" s="72" t="n"/>
      <c r="F124" s="73" t="n"/>
      <c r="G124" s="72" t="n"/>
      <c r="H124" s="73" t="n"/>
      <c r="I124" s="72" t="n"/>
      <c r="J124" s="73" t="n"/>
      <c r="K124" s="74" t="n"/>
      <c r="L124" s="75">
        <f>IF(K124="A",F124,IF(K124="B",H124,IF(K124="C",J124,"")))</f>
        <v/>
      </c>
      <c r="M124" s="72" t="n"/>
      <c r="N124" s="72" t="n"/>
      <c r="O124" s="89" t="n"/>
      <c r="P124" s="89" t="n"/>
      <c r="Q124" s="108" t="n"/>
      <c r="R124" s="120">
        <f>IF(B124="","",IF(Q124&lt;&gt;"",Q124,IF(P124="","",IFERROR(INDEX('Timeline'!$J$7:$J$156,MATCH(P124,'Timeline'!$B$7:$B$156,0)),""))))</f>
        <v/>
      </c>
      <c r="S124" s="126">
        <f>IF(R124="","",R124-IF(O124="",0,O124)-OrderBuf)</f>
        <v/>
      </c>
      <c r="T124" s="126">
        <f>IF(S124="","",S124-DecideBuf)</f>
        <v/>
      </c>
      <c r="U124" s="74" t="n"/>
      <c r="V124" s="108" t="n"/>
      <c r="W124" s="108" t="n"/>
      <c r="X124" s="74" t="n"/>
      <c r="Y124" s="115">
        <f>IF(B124="","",IF(X124="Yes","Delivered",IF(U124="Yes",IF(AND(W124&lt;&gt;"",R124&lt;&gt;""),IF(W124&gt;R124,"⚠️ Delivery after install date","Ordered"),"Ordered"),IF(K124="",IF(T124="","Waiting for decision",IF(T124&lt;=AsOf+AlertDays,"Decide now","Waiting for decision")),IF(S124="","Selected",IF(AsOf&gt;S124,"⚠️ Order late — install at risk",IF(S124&lt;=AsOf+AlertDays,"Order now","Selected")))))))</f>
        <v/>
      </c>
      <c r="Z124" s="79">
        <f>IF(B124="","",IF(OR(AH124=1,AE124=1),2,IF(OR(AG124=1,AF124=1),1,IF(OR(Y124="Ordered",Y124="Delivered"),0,""))))</f>
        <v/>
      </c>
      <c r="AA124" s="111">
        <f>IF(B124="","",IF(AH124=1,IF(Y124="⚠️ Delivery after install date",R124,S124),IF(AD124=1,T124,IF(AI124=1,S124,""))))</f>
        <v/>
      </c>
      <c r="AB124" s="79">
        <f>IF(AA124="","",IF(AH124=1,1,IF(AA124="","",IF(AA124&lt;AsOf,1,IF(AA124&lt;=AsOf+AlertDays,2,IF(AA124&lt;=AsOf+2*AlertDays,3,""))))))</f>
        <v/>
      </c>
      <c r="AC124" s="79">
        <f>IF(AB124="","",IF(AH124=1,IF(Y124="⚠️ Delivery after install date","Delivery after install date: "&amp;B124,"Order late — install at risk: "&amp;B124),IF(AD124=1,IF(AB124=1,"Decision overdue: ","Decide: ")&amp;B124,"Order: "&amp;B124&amp;IF(N124="",""," from "&amp;N124))))</f>
        <v/>
      </c>
      <c r="AD124" s="79">
        <f>IF(AND(B124&lt;&gt;"",K124="",U124&lt;&gt;"Yes",X124&lt;&gt;"Yes"),1,0)</f>
        <v/>
      </c>
      <c r="AE124" s="79">
        <f>IF(AND(AD124=1,T124&lt;&gt;""),IF(T124&lt;AsOf,1,0),0)</f>
        <v/>
      </c>
      <c r="AF124" s="79">
        <f>IF(AND(AD124=1,T124&lt;&gt;""),IF(AND(T124&gt;=AsOf,T124&lt;=AsOf+AlertDays),1,0),0)</f>
        <v/>
      </c>
      <c r="AG124" s="79">
        <f>IF(Y124="Order now",1,0)</f>
        <v/>
      </c>
      <c r="AH124" s="79">
        <f>IF(OR(Y124="⚠️ Order late — install at risk",Y124="⚠️ Delivery after install date"),1,0)</f>
        <v/>
      </c>
      <c r="AI124" s="79">
        <f>IF(AND(B124&lt;&gt;"",K124&lt;&gt;"",U124&lt;&gt;"Yes",X124&lt;&gt;"Yes"),1,0)</f>
        <v/>
      </c>
      <c r="AJ124" s="79">
        <f>IF(Y124="⚠️ Order late — install at risk",1,0)</f>
        <v/>
      </c>
    </row>
    <row r="125" ht="20" customHeight="1">
      <c r="B125" s="72" t="n"/>
      <c r="C125" s="72" t="n"/>
      <c r="D125" s="72" t="n"/>
      <c r="E125" s="72" t="n"/>
      <c r="F125" s="73" t="n"/>
      <c r="G125" s="72" t="n"/>
      <c r="H125" s="73" t="n"/>
      <c r="I125" s="72" t="n"/>
      <c r="J125" s="73" t="n"/>
      <c r="K125" s="74" t="n"/>
      <c r="L125" s="75">
        <f>IF(K125="A",F125,IF(K125="B",H125,IF(K125="C",J125,"")))</f>
        <v/>
      </c>
      <c r="M125" s="72" t="n"/>
      <c r="N125" s="72" t="n"/>
      <c r="O125" s="89" t="n"/>
      <c r="P125" s="89" t="n"/>
      <c r="Q125" s="108" t="n"/>
      <c r="R125" s="120">
        <f>IF(B125="","",IF(Q125&lt;&gt;"",Q125,IF(P125="","",IFERROR(INDEX('Timeline'!$J$7:$J$156,MATCH(P125,'Timeline'!$B$7:$B$156,0)),""))))</f>
        <v/>
      </c>
      <c r="S125" s="126">
        <f>IF(R125="","",R125-IF(O125="",0,O125)-OrderBuf)</f>
        <v/>
      </c>
      <c r="T125" s="126">
        <f>IF(S125="","",S125-DecideBuf)</f>
        <v/>
      </c>
      <c r="U125" s="74" t="n"/>
      <c r="V125" s="108" t="n"/>
      <c r="W125" s="108" t="n"/>
      <c r="X125" s="74" t="n"/>
      <c r="Y125" s="115">
        <f>IF(B125="","",IF(X125="Yes","Delivered",IF(U125="Yes",IF(AND(W125&lt;&gt;"",R125&lt;&gt;""),IF(W125&gt;R125,"⚠️ Delivery after install date","Ordered"),"Ordered"),IF(K125="",IF(T125="","Waiting for decision",IF(T125&lt;=AsOf+AlertDays,"Decide now","Waiting for decision")),IF(S125="","Selected",IF(AsOf&gt;S125,"⚠️ Order late — install at risk",IF(S125&lt;=AsOf+AlertDays,"Order now","Selected")))))))</f>
        <v/>
      </c>
      <c r="Z125" s="79">
        <f>IF(B125="","",IF(OR(AH125=1,AE125=1),2,IF(OR(AG125=1,AF125=1),1,IF(OR(Y125="Ordered",Y125="Delivered"),0,""))))</f>
        <v/>
      </c>
      <c r="AA125" s="111">
        <f>IF(B125="","",IF(AH125=1,IF(Y125="⚠️ Delivery after install date",R125,S125),IF(AD125=1,T125,IF(AI125=1,S125,""))))</f>
        <v/>
      </c>
      <c r="AB125" s="79">
        <f>IF(AA125="","",IF(AH125=1,1,IF(AA125="","",IF(AA125&lt;AsOf,1,IF(AA125&lt;=AsOf+AlertDays,2,IF(AA125&lt;=AsOf+2*AlertDays,3,""))))))</f>
        <v/>
      </c>
      <c r="AC125" s="79">
        <f>IF(AB125="","",IF(AH125=1,IF(Y125="⚠️ Delivery after install date","Delivery after install date: "&amp;B125,"Order late — install at risk: "&amp;B125),IF(AD125=1,IF(AB125=1,"Decision overdue: ","Decide: ")&amp;B125,"Order: "&amp;B125&amp;IF(N125="",""," from "&amp;N125))))</f>
        <v/>
      </c>
      <c r="AD125" s="79">
        <f>IF(AND(B125&lt;&gt;"",K125="",U125&lt;&gt;"Yes",X125&lt;&gt;"Yes"),1,0)</f>
        <v/>
      </c>
      <c r="AE125" s="79">
        <f>IF(AND(AD125=1,T125&lt;&gt;""),IF(T125&lt;AsOf,1,0),0)</f>
        <v/>
      </c>
      <c r="AF125" s="79">
        <f>IF(AND(AD125=1,T125&lt;&gt;""),IF(AND(T125&gt;=AsOf,T125&lt;=AsOf+AlertDays),1,0),0)</f>
        <v/>
      </c>
      <c r="AG125" s="79">
        <f>IF(Y125="Order now",1,0)</f>
        <v/>
      </c>
      <c r="AH125" s="79">
        <f>IF(OR(Y125="⚠️ Order late — install at risk",Y125="⚠️ Delivery after install date"),1,0)</f>
        <v/>
      </c>
      <c r="AI125" s="79">
        <f>IF(AND(B125&lt;&gt;"",K125&lt;&gt;"",U125&lt;&gt;"Yes",X125&lt;&gt;"Yes"),1,0)</f>
        <v/>
      </c>
      <c r="AJ125" s="79">
        <f>IF(Y125="⚠️ Order late — install at risk",1,0)</f>
        <v/>
      </c>
    </row>
    <row r="126" ht="20" customHeight="1">
      <c r="B126" s="72" t="n"/>
      <c r="C126" s="72" t="n"/>
      <c r="D126" s="72" t="n"/>
      <c r="E126" s="72" t="n"/>
      <c r="F126" s="73" t="n"/>
      <c r="G126" s="72" t="n"/>
      <c r="H126" s="73" t="n"/>
      <c r="I126" s="72" t="n"/>
      <c r="J126" s="73" t="n"/>
      <c r="K126" s="74" t="n"/>
      <c r="L126" s="75">
        <f>IF(K126="A",F126,IF(K126="B",H126,IF(K126="C",J126,"")))</f>
        <v/>
      </c>
      <c r="M126" s="72" t="n"/>
      <c r="N126" s="72" t="n"/>
      <c r="O126" s="89" t="n"/>
      <c r="P126" s="89" t="n"/>
      <c r="Q126" s="108" t="n"/>
      <c r="R126" s="120">
        <f>IF(B126="","",IF(Q126&lt;&gt;"",Q126,IF(P126="","",IFERROR(INDEX('Timeline'!$J$7:$J$156,MATCH(P126,'Timeline'!$B$7:$B$156,0)),""))))</f>
        <v/>
      </c>
      <c r="S126" s="126">
        <f>IF(R126="","",R126-IF(O126="",0,O126)-OrderBuf)</f>
        <v/>
      </c>
      <c r="T126" s="126">
        <f>IF(S126="","",S126-DecideBuf)</f>
        <v/>
      </c>
      <c r="U126" s="74" t="n"/>
      <c r="V126" s="108" t="n"/>
      <c r="W126" s="108" t="n"/>
      <c r="X126" s="74" t="n"/>
      <c r="Y126" s="115">
        <f>IF(B126="","",IF(X126="Yes","Delivered",IF(U126="Yes",IF(AND(W126&lt;&gt;"",R126&lt;&gt;""),IF(W126&gt;R126,"⚠️ Delivery after install date","Ordered"),"Ordered"),IF(K126="",IF(T126="","Waiting for decision",IF(T126&lt;=AsOf+AlertDays,"Decide now","Waiting for decision")),IF(S126="","Selected",IF(AsOf&gt;S126,"⚠️ Order late — install at risk",IF(S126&lt;=AsOf+AlertDays,"Order now","Selected")))))))</f>
        <v/>
      </c>
      <c r="Z126" s="79">
        <f>IF(B126="","",IF(OR(AH126=1,AE126=1),2,IF(OR(AG126=1,AF126=1),1,IF(OR(Y126="Ordered",Y126="Delivered"),0,""))))</f>
        <v/>
      </c>
      <c r="AA126" s="111">
        <f>IF(B126="","",IF(AH126=1,IF(Y126="⚠️ Delivery after install date",R126,S126),IF(AD126=1,T126,IF(AI126=1,S126,""))))</f>
        <v/>
      </c>
      <c r="AB126" s="79">
        <f>IF(AA126="","",IF(AH126=1,1,IF(AA126="","",IF(AA126&lt;AsOf,1,IF(AA126&lt;=AsOf+AlertDays,2,IF(AA126&lt;=AsOf+2*AlertDays,3,""))))))</f>
        <v/>
      </c>
      <c r="AC126" s="79">
        <f>IF(AB126="","",IF(AH126=1,IF(Y126="⚠️ Delivery after install date","Delivery after install date: "&amp;B126,"Order late — install at risk: "&amp;B126),IF(AD126=1,IF(AB126=1,"Decision overdue: ","Decide: ")&amp;B126,"Order: "&amp;B126&amp;IF(N126="",""," from "&amp;N126))))</f>
        <v/>
      </c>
      <c r="AD126" s="79">
        <f>IF(AND(B126&lt;&gt;"",K126="",U126&lt;&gt;"Yes",X126&lt;&gt;"Yes"),1,0)</f>
        <v/>
      </c>
      <c r="AE126" s="79">
        <f>IF(AND(AD126=1,T126&lt;&gt;""),IF(T126&lt;AsOf,1,0),0)</f>
        <v/>
      </c>
      <c r="AF126" s="79">
        <f>IF(AND(AD126=1,T126&lt;&gt;""),IF(AND(T126&gt;=AsOf,T126&lt;=AsOf+AlertDays),1,0),0)</f>
        <v/>
      </c>
      <c r="AG126" s="79">
        <f>IF(Y126="Order now",1,0)</f>
        <v/>
      </c>
      <c r="AH126" s="79">
        <f>IF(OR(Y126="⚠️ Order late — install at risk",Y126="⚠️ Delivery after install date"),1,0)</f>
        <v/>
      </c>
      <c r="AI126" s="79">
        <f>IF(AND(B126&lt;&gt;"",K126&lt;&gt;"",U126&lt;&gt;"Yes",X126&lt;&gt;"Yes"),1,0)</f>
        <v/>
      </c>
      <c r="AJ126" s="79">
        <f>IF(Y126="⚠️ Order late — install at risk",1,0)</f>
        <v/>
      </c>
    </row>
    <row r="127" ht="20" customHeight="1">
      <c r="B127" s="72" t="n"/>
      <c r="C127" s="72" t="n"/>
      <c r="D127" s="72" t="n"/>
      <c r="E127" s="72" t="n"/>
      <c r="F127" s="73" t="n"/>
      <c r="G127" s="72" t="n"/>
      <c r="H127" s="73" t="n"/>
      <c r="I127" s="72" t="n"/>
      <c r="J127" s="73" t="n"/>
      <c r="K127" s="74" t="n"/>
      <c r="L127" s="75">
        <f>IF(K127="A",F127,IF(K127="B",H127,IF(K127="C",J127,"")))</f>
        <v/>
      </c>
      <c r="M127" s="72" t="n"/>
      <c r="N127" s="72" t="n"/>
      <c r="O127" s="89" t="n"/>
      <c r="P127" s="89" t="n"/>
      <c r="Q127" s="108" t="n"/>
      <c r="R127" s="120">
        <f>IF(B127="","",IF(Q127&lt;&gt;"",Q127,IF(P127="","",IFERROR(INDEX('Timeline'!$J$7:$J$156,MATCH(P127,'Timeline'!$B$7:$B$156,0)),""))))</f>
        <v/>
      </c>
      <c r="S127" s="126">
        <f>IF(R127="","",R127-IF(O127="",0,O127)-OrderBuf)</f>
        <v/>
      </c>
      <c r="T127" s="126">
        <f>IF(S127="","",S127-DecideBuf)</f>
        <v/>
      </c>
      <c r="U127" s="74" t="n"/>
      <c r="V127" s="108" t="n"/>
      <c r="W127" s="108" t="n"/>
      <c r="X127" s="74" t="n"/>
      <c r="Y127" s="115">
        <f>IF(B127="","",IF(X127="Yes","Delivered",IF(U127="Yes",IF(AND(W127&lt;&gt;"",R127&lt;&gt;""),IF(W127&gt;R127,"⚠️ Delivery after install date","Ordered"),"Ordered"),IF(K127="",IF(T127="","Waiting for decision",IF(T127&lt;=AsOf+AlertDays,"Decide now","Waiting for decision")),IF(S127="","Selected",IF(AsOf&gt;S127,"⚠️ Order late — install at risk",IF(S127&lt;=AsOf+AlertDays,"Order now","Selected")))))))</f>
        <v/>
      </c>
      <c r="Z127" s="79">
        <f>IF(B127="","",IF(OR(AH127=1,AE127=1),2,IF(OR(AG127=1,AF127=1),1,IF(OR(Y127="Ordered",Y127="Delivered"),0,""))))</f>
        <v/>
      </c>
      <c r="AA127" s="111">
        <f>IF(B127="","",IF(AH127=1,IF(Y127="⚠️ Delivery after install date",R127,S127),IF(AD127=1,T127,IF(AI127=1,S127,""))))</f>
        <v/>
      </c>
      <c r="AB127" s="79">
        <f>IF(AA127="","",IF(AH127=1,1,IF(AA127="","",IF(AA127&lt;AsOf,1,IF(AA127&lt;=AsOf+AlertDays,2,IF(AA127&lt;=AsOf+2*AlertDays,3,""))))))</f>
        <v/>
      </c>
      <c r="AC127" s="79">
        <f>IF(AB127="","",IF(AH127=1,IF(Y127="⚠️ Delivery after install date","Delivery after install date: "&amp;B127,"Order late — install at risk: "&amp;B127),IF(AD127=1,IF(AB127=1,"Decision overdue: ","Decide: ")&amp;B127,"Order: "&amp;B127&amp;IF(N127="",""," from "&amp;N127))))</f>
        <v/>
      </c>
      <c r="AD127" s="79">
        <f>IF(AND(B127&lt;&gt;"",K127="",U127&lt;&gt;"Yes",X127&lt;&gt;"Yes"),1,0)</f>
        <v/>
      </c>
      <c r="AE127" s="79">
        <f>IF(AND(AD127=1,T127&lt;&gt;""),IF(T127&lt;AsOf,1,0),0)</f>
        <v/>
      </c>
      <c r="AF127" s="79">
        <f>IF(AND(AD127=1,T127&lt;&gt;""),IF(AND(T127&gt;=AsOf,T127&lt;=AsOf+AlertDays),1,0),0)</f>
        <v/>
      </c>
      <c r="AG127" s="79">
        <f>IF(Y127="Order now",1,0)</f>
        <v/>
      </c>
      <c r="AH127" s="79">
        <f>IF(OR(Y127="⚠️ Order late — install at risk",Y127="⚠️ Delivery after install date"),1,0)</f>
        <v/>
      </c>
      <c r="AI127" s="79">
        <f>IF(AND(B127&lt;&gt;"",K127&lt;&gt;"",U127&lt;&gt;"Yes",X127&lt;&gt;"Yes"),1,0)</f>
        <v/>
      </c>
      <c r="AJ127" s="79">
        <f>IF(Y127="⚠️ Order late — install at risk",1,0)</f>
        <v/>
      </c>
    </row>
    <row r="128" ht="20" customHeight="1">
      <c r="B128" s="72" t="n"/>
      <c r="C128" s="72" t="n"/>
      <c r="D128" s="72" t="n"/>
      <c r="E128" s="72" t="n"/>
      <c r="F128" s="73" t="n"/>
      <c r="G128" s="72" t="n"/>
      <c r="H128" s="73" t="n"/>
      <c r="I128" s="72" t="n"/>
      <c r="J128" s="73" t="n"/>
      <c r="K128" s="74" t="n"/>
      <c r="L128" s="75">
        <f>IF(K128="A",F128,IF(K128="B",H128,IF(K128="C",J128,"")))</f>
        <v/>
      </c>
      <c r="M128" s="72" t="n"/>
      <c r="N128" s="72" t="n"/>
      <c r="O128" s="89" t="n"/>
      <c r="P128" s="89" t="n"/>
      <c r="Q128" s="108" t="n"/>
      <c r="R128" s="120">
        <f>IF(B128="","",IF(Q128&lt;&gt;"",Q128,IF(P128="","",IFERROR(INDEX('Timeline'!$J$7:$J$156,MATCH(P128,'Timeline'!$B$7:$B$156,0)),""))))</f>
        <v/>
      </c>
      <c r="S128" s="126">
        <f>IF(R128="","",R128-IF(O128="",0,O128)-OrderBuf)</f>
        <v/>
      </c>
      <c r="T128" s="126">
        <f>IF(S128="","",S128-DecideBuf)</f>
        <v/>
      </c>
      <c r="U128" s="74" t="n"/>
      <c r="V128" s="108" t="n"/>
      <c r="W128" s="108" t="n"/>
      <c r="X128" s="74" t="n"/>
      <c r="Y128" s="115">
        <f>IF(B128="","",IF(X128="Yes","Delivered",IF(U128="Yes",IF(AND(W128&lt;&gt;"",R128&lt;&gt;""),IF(W128&gt;R128,"⚠️ Delivery after install date","Ordered"),"Ordered"),IF(K128="",IF(T128="","Waiting for decision",IF(T128&lt;=AsOf+AlertDays,"Decide now","Waiting for decision")),IF(S128="","Selected",IF(AsOf&gt;S128,"⚠️ Order late — install at risk",IF(S128&lt;=AsOf+AlertDays,"Order now","Selected")))))))</f>
        <v/>
      </c>
      <c r="Z128" s="79">
        <f>IF(B128="","",IF(OR(AH128=1,AE128=1),2,IF(OR(AG128=1,AF128=1),1,IF(OR(Y128="Ordered",Y128="Delivered"),0,""))))</f>
        <v/>
      </c>
      <c r="AA128" s="111">
        <f>IF(B128="","",IF(AH128=1,IF(Y128="⚠️ Delivery after install date",R128,S128),IF(AD128=1,T128,IF(AI128=1,S128,""))))</f>
        <v/>
      </c>
      <c r="AB128" s="79">
        <f>IF(AA128="","",IF(AH128=1,1,IF(AA128="","",IF(AA128&lt;AsOf,1,IF(AA128&lt;=AsOf+AlertDays,2,IF(AA128&lt;=AsOf+2*AlertDays,3,""))))))</f>
        <v/>
      </c>
      <c r="AC128" s="79">
        <f>IF(AB128="","",IF(AH128=1,IF(Y128="⚠️ Delivery after install date","Delivery after install date: "&amp;B128,"Order late — install at risk: "&amp;B128),IF(AD128=1,IF(AB128=1,"Decision overdue: ","Decide: ")&amp;B128,"Order: "&amp;B128&amp;IF(N128="",""," from "&amp;N128))))</f>
        <v/>
      </c>
      <c r="AD128" s="79">
        <f>IF(AND(B128&lt;&gt;"",K128="",U128&lt;&gt;"Yes",X128&lt;&gt;"Yes"),1,0)</f>
        <v/>
      </c>
      <c r="AE128" s="79">
        <f>IF(AND(AD128=1,T128&lt;&gt;""),IF(T128&lt;AsOf,1,0),0)</f>
        <v/>
      </c>
      <c r="AF128" s="79">
        <f>IF(AND(AD128=1,T128&lt;&gt;""),IF(AND(T128&gt;=AsOf,T128&lt;=AsOf+AlertDays),1,0),0)</f>
        <v/>
      </c>
      <c r="AG128" s="79">
        <f>IF(Y128="Order now",1,0)</f>
        <v/>
      </c>
      <c r="AH128" s="79">
        <f>IF(OR(Y128="⚠️ Order late — install at risk",Y128="⚠️ Delivery after install date"),1,0)</f>
        <v/>
      </c>
      <c r="AI128" s="79">
        <f>IF(AND(B128&lt;&gt;"",K128&lt;&gt;"",U128&lt;&gt;"Yes",X128&lt;&gt;"Yes"),1,0)</f>
        <v/>
      </c>
      <c r="AJ128" s="79">
        <f>IF(Y128="⚠️ Order late — install at risk",1,0)</f>
        <v/>
      </c>
    </row>
    <row r="129" ht="20" customHeight="1">
      <c r="B129" s="72" t="n"/>
      <c r="C129" s="72" t="n"/>
      <c r="D129" s="72" t="n"/>
      <c r="E129" s="72" t="n"/>
      <c r="F129" s="73" t="n"/>
      <c r="G129" s="72" t="n"/>
      <c r="H129" s="73" t="n"/>
      <c r="I129" s="72" t="n"/>
      <c r="J129" s="73" t="n"/>
      <c r="K129" s="74" t="n"/>
      <c r="L129" s="75">
        <f>IF(K129="A",F129,IF(K129="B",H129,IF(K129="C",J129,"")))</f>
        <v/>
      </c>
      <c r="M129" s="72" t="n"/>
      <c r="N129" s="72" t="n"/>
      <c r="O129" s="89" t="n"/>
      <c r="P129" s="89" t="n"/>
      <c r="Q129" s="108" t="n"/>
      <c r="R129" s="120">
        <f>IF(B129="","",IF(Q129&lt;&gt;"",Q129,IF(P129="","",IFERROR(INDEX('Timeline'!$J$7:$J$156,MATCH(P129,'Timeline'!$B$7:$B$156,0)),""))))</f>
        <v/>
      </c>
      <c r="S129" s="126">
        <f>IF(R129="","",R129-IF(O129="",0,O129)-OrderBuf)</f>
        <v/>
      </c>
      <c r="T129" s="126">
        <f>IF(S129="","",S129-DecideBuf)</f>
        <v/>
      </c>
      <c r="U129" s="74" t="n"/>
      <c r="V129" s="108" t="n"/>
      <c r="W129" s="108" t="n"/>
      <c r="X129" s="74" t="n"/>
      <c r="Y129" s="115">
        <f>IF(B129="","",IF(X129="Yes","Delivered",IF(U129="Yes",IF(AND(W129&lt;&gt;"",R129&lt;&gt;""),IF(W129&gt;R129,"⚠️ Delivery after install date","Ordered"),"Ordered"),IF(K129="",IF(T129="","Waiting for decision",IF(T129&lt;=AsOf+AlertDays,"Decide now","Waiting for decision")),IF(S129="","Selected",IF(AsOf&gt;S129,"⚠️ Order late — install at risk",IF(S129&lt;=AsOf+AlertDays,"Order now","Selected")))))))</f>
        <v/>
      </c>
      <c r="Z129" s="79">
        <f>IF(B129="","",IF(OR(AH129=1,AE129=1),2,IF(OR(AG129=1,AF129=1),1,IF(OR(Y129="Ordered",Y129="Delivered"),0,""))))</f>
        <v/>
      </c>
      <c r="AA129" s="111">
        <f>IF(B129="","",IF(AH129=1,IF(Y129="⚠️ Delivery after install date",R129,S129),IF(AD129=1,T129,IF(AI129=1,S129,""))))</f>
        <v/>
      </c>
      <c r="AB129" s="79">
        <f>IF(AA129="","",IF(AH129=1,1,IF(AA129="","",IF(AA129&lt;AsOf,1,IF(AA129&lt;=AsOf+AlertDays,2,IF(AA129&lt;=AsOf+2*AlertDays,3,""))))))</f>
        <v/>
      </c>
      <c r="AC129" s="79">
        <f>IF(AB129="","",IF(AH129=1,IF(Y129="⚠️ Delivery after install date","Delivery after install date: "&amp;B129,"Order late — install at risk: "&amp;B129),IF(AD129=1,IF(AB129=1,"Decision overdue: ","Decide: ")&amp;B129,"Order: "&amp;B129&amp;IF(N129="",""," from "&amp;N129))))</f>
        <v/>
      </c>
      <c r="AD129" s="79">
        <f>IF(AND(B129&lt;&gt;"",K129="",U129&lt;&gt;"Yes",X129&lt;&gt;"Yes"),1,0)</f>
        <v/>
      </c>
      <c r="AE129" s="79">
        <f>IF(AND(AD129=1,T129&lt;&gt;""),IF(T129&lt;AsOf,1,0),0)</f>
        <v/>
      </c>
      <c r="AF129" s="79">
        <f>IF(AND(AD129=1,T129&lt;&gt;""),IF(AND(T129&gt;=AsOf,T129&lt;=AsOf+AlertDays),1,0),0)</f>
        <v/>
      </c>
      <c r="AG129" s="79">
        <f>IF(Y129="Order now",1,0)</f>
        <v/>
      </c>
      <c r="AH129" s="79">
        <f>IF(OR(Y129="⚠️ Order late — install at risk",Y129="⚠️ Delivery after install date"),1,0)</f>
        <v/>
      </c>
      <c r="AI129" s="79">
        <f>IF(AND(B129&lt;&gt;"",K129&lt;&gt;"",U129&lt;&gt;"Yes",X129&lt;&gt;"Yes"),1,0)</f>
        <v/>
      </c>
      <c r="AJ129" s="79">
        <f>IF(Y129="⚠️ Order late — install at risk",1,0)</f>
        <v/>
      </c>
    </row>
    <row r="130" ht="20" customHeight="1">
      <c r="B130" s="72" t="n"/>
      <c r="C130" s="72" t="n"/>
      <c r="D130" s="72" t="n"/>
      <c r="E130" s="72" t="n"/>
      <c r="F130" s="73" t="n"/>
      <c r="G130" s="72" t="n"/>
      <c r="H130" s="73" t="n"/>
      <c r="I130" s="72" t="n"/>
      <c r="J130" s="73" t="n"/>
      <c r="K130" s="74" t="n"/>
      <c r="L130" s="75">
        <f>IF(K130="A",F130,IF(K130="B",H130,IF(K130="C",J130,"")))</f>
        <v/>
      </c>
      <c r="M130" s="72" t="n"/>
      <c r="N130" s="72" t="n"/>
      <c r="O130" s="89" t="n"/>
      <c r="P130" s="89" t="n"/>
      <c r="Q130" s="108" t="n"/>
      <c r="R130" s="120">
        <f>IF(B130="","",IF(Q130&lt;&gt;"",Q130,IF(P130="","",IFERROR(INDEX('Timeline'!$J$7:$J$156,MATCH(P130,'Timeline'!$B$7:$B$156,0)),""))))</f>
        <v/>
      </c>
      <c r="S130" s="126">
        <f>IF(R130="","",R130-IF(O130="",0,O130)-OrderBuf)</f>
        <v/>
      </c>
      <c r="T130" s="126">
        <f>IF(S130="","",S130-DecideBuf)</f>
        <v/>
      </c>
      <c r="U130" s="74" t="n"/>
      <c r="V130" s="108" t="n"/>
      <c r="W130" s="108" t="n"/>
      <c r="X130" s="74" t="n"/>
      <c r="Y130" s="115">
        <f>IF(B130="","",IF(X130="Yes","Delivered",IF(U130="Yes",IF(AND(W130&lt;&gt;"",R130&lt;&gt;""),IF(W130&gt;R130,"⚠️ Delivery after install date","Ordered"),"Ordered"),IF(K130="",IF(T130="","Waiting for decision",IF(T130&lt;=AsOf+AlertDays,"Decide now","Waiting for decision")),IF(S130="","Selected",IF(AsOf&gt;S130,"⚠️ Order late — install at risk",IF(S130&lt;=AsOf+AlertDays,"Order now","Selected")))))))</f>
        <v/>
      </c>
      <c r="Z130" s="79">
        <f>IF(B130="","",IF(OR(AH130=1,AE130=1),2,IF(OR(AG130=1,AF130=1),1,IF(OR(Y130="Ordered",Y130="Delivered"),0,""))))</f>
        <v/>
      </c>
      <c r="AA130" s="111">
        <f>IF(B130="","",IF(AH130=1,IF(Y130="⚠️ Delivery after install date",R130,S130),IF(AD130=1,T130,IF(AI130=1,S130,""))))</f>
        <v/>
      </c>
      <c r="AB130" s="79">
        <f>IF(AA130="","",IF(AH130=1,1,IF(AA130="","",IF(AA130&lt;AsOf,1,IF(AA130&lt;=AsOf+AlertDays,2,IF(AA130&lt;=AsOf+2*AlertDays,3,""))))))</f>
        <v/>
      </c>
      <c r="AC130" s="79">
        <f>IF(AB130="","",IF(AH130=1,IF(Y130="⚠️ Delivery after install date","Delivery after install date: "&amp;B130,"Order late — install at risk: "&amp;B130),IF(AD130=1,IF(AB130=1,"Decision overdue: ","Decide: ")&amp;B130,"Order: "&amp;B130&amp;IF(N130="",""," from "&amp;N130))))</f>
        <v/>
      </c>
      <c r="AD130" s="79">
        <f>IF(AND(B130&lt;&gt;"",K130="",U130&lt;&gt;"Yes",X130&lt;&gt;"Yes"),1,0)</f>
        <v/>
      </c>
      <c r="AE130" s="79">
        <f>IF(AND(AD130=1,T130&lt;&gt;""),IF(T130&lt;AsOf,1,0),0)</f>
        <v/>
      </c>
      <c r="AF130" s="79">
        <f>IF(AND(AD130=1,T130&lt;&gt;""),IF(AND(T130&gt;=AsOf,T130&lt;=AsOf+AlertDays),1,0),0)</f>
        <v/>
      </c>
      <c r="AG130" s="79">
        <f>IF(Y130="Order now",1,0)</f>
        <v/>
      </c>
      <c r="AH130" s="79">
        <f>IF(OR(Y130="⚠️ Order late — install at risk",Y130="⚠️ Delivery after install date"),1,0)</f>
        <v/>
      </c>
      <c r="AI130" s="79">
        <f>IF(AND(B130&lt;&gt;"",K130&lt;&gt;"",U130&lt;&gt;"Yes",X130&lt;&gt;"Yes"),1,0)</f>
        <v/>
      </c>
      <c r="AJ130" s="79">
        <f>IF(Y130="⚠️ Order late — install at risk",1,0)</f>
        <v/>
      </c>
    </row>
    <row r="131" ht="20" customHeight="1">
      <c r="B131" s="72" t="n"/>
      <c r="C131" s="72" t="n"/>
      <c r="D131" s="72" t="n"/>
      <c r="E131" s="72" t="n"/>
      <c r="F131" s="73" t="n"/>
      <c r="G131" s="72" t="n"/>
      <c r="H131" s="73" t="n"/>
      <c r="I131" s="72" t="n"/>
      <c r="J131" s="73" t="n"/>
      <c r="K131" s="74" t="n"/>
      <c r="L131" s="75">
        <f>IF(K131="A",F131,IF(K131="B",H131,IF(K131="C",J131,"")))</f>
        <v/>
      </c>
      <c r="M131" s="72" t="n"/>
      <c r="N131" s="72" t="n"/>
      <c r="O131" s="89" t="n"/>
      <c r="P131" s="89" t="n"/>
      <c r="Q131" s="108" t="n"/>
      <c r="R131" s="120">
        <f>IF(B131="","",IF(Q131&lt;&gt;"",Q131,IF(P131="","",IFERROR(INDEX('Timeline'!$J$7:$J$156,MATCH(P131,'Timeline'!$B$7:$B$156,0)),""))))</f>
        <v/>
      </c>
      <c r="S131" s="126">
        <f>IF(R131="","",R131-IF(O131="",0,O131)-OrderBuf)</f>
        <v/>
      </c>
      <c r="T131" s="126">
        <f>IF(S131="","",S131-DecideBuf)</f>
        <v/>
      </c>
      <c r="U131" s="74" t="n"/>
      <c r="V131" s="108" t="n"/>
      <c r="W131" s="108" t="n"/>
      <c r="X131" s="74" t="n"/>
      <c r="Y131" s="115">
        <f>IF(B131="","",IF(X131="Yes","Delivered",IF(U131="Yes",IF(AND(W131&lt;&gt;"",R131&lt;&gt;""),IF(W131&gt;R131,"⚠️ Delivery after install date","Ordered"),"Ordered"),IF(K131="",IF(T131="","Waiting for decision",IF(T131&lt;=AsOf+AlertDays,"Decide now","Waiting for decision")),IF(S131="","Selected",IF(AsOf&gt;S131,"⚠️ Order late — install at risk",IF(S131&lt;=AsOf+AlertDays,"Order now","Selected")))))))</f>
        <v/>
      </c>
      <c r="Z131" s="79">
        <f>IF(B131="","",IF(OR(AH131=1,AE131=1),2,IF(OR(AG131=1,AF131=1),1,IF(OR(Y131="Ordered",Y131="Delivered"),0,""))))</f>
        <v/>
      </c>
      <c r="AA131" s="111">
        <f>IF(B131="","",IF(AH131=1,IF(Y131="⚠️ Delivery after install date",R131,S131),IF(AD131=1,T131,IF(AI131=1,S131,""))))</f>
        <v/>
      </c>
      <c r="AB131" s="79">
        <f>IF(AA131="","",IF(AH131=1,1,IF(AA131="","",IF(AA131&lt;AsOf,1,IF(AA131&lt;=AsOf+AlertDays,2,IF(AA131&lt;=AsOf+2*AlertDays,3,""))))))</f>
        <v/>
      </c>
      <c r="AC131" s="79">
        <f>IF(AB131="","",IF(AH131=1,IF(Y131="⚠️ Delivery after install date","Delivery after install date: "&amp;B131,"Order late — install at risk: "&amp;B131),IF(AD131=1,IF(AB131=1,"Decision overdue: ","Decide: ")&amp;B131,"Order: "&amp;B131&amp;IF(N131="",""," from "&amp;N131))))</f>
        <v/>
      </c>
      <c r="AD131" s="79">
        <f>IF(AND(B131&lt;&gt;"",K131="",U131&lt;&gt;"Yes",X131&lt;&gt;"Yes"),1,0)</f>
        <v/>
      </c>
      <c r="AE131" s="79">
        <f>IF(AND(AD131=1,T131&lt;&gt;""),IF(T131&lt;AsOf,1,0),0)</f>
        <v/>
      </c>
      <c r="AF131" s="79">
        <f>IF(AND(AD131=1,T131&lt;&gt;""),IF(AND(T131&gt;=AsOf,T131&lt;=AsOf+AlertDays),1,0),0)</f>
        <v/>
      </c>
      <c r="AG131" s="79">
        <f>IF(Y131="Order now",1,0)</f>
        <v/>
      </c>
      <c r="AH131" s="79">
        <f>IF(OR(Y131="⚠️ Order late — install at risk",Y131="⚠️ Delivery after install date"),1,0)</f>
        <v/>
      </c>
      <c r="AI131" s="79">
        <f>IF(AND(B131&lt;&gt;"",K131&lt;&gt;"",U131&lt;&gt;"Yes",X131&lt;&gt;"Yes"),1,0)</f>
        <v/>
      </c>
      <c r="AJ131" s="79">
        <f>IF(Y131="⚠️ Order late — install at risk",1,0)</f>
        <v/>
      </c>
    </row>
    <row r="132" ht="20" customHeight="1">
      <c r="B132" s="72" t="n"/>
      <c r="C132" s="72" t="n"/>
      <c r="D132" s="72" t="n"/>
      <c r="E132" s="72" t="n"/>
      <c r="F132" s="73" t="n"/>
      <c r="G132" s="72" t="n"/>
      <c r="H132" s="73" t="n"/>
      <c r="I132" s="72" t="n"/>
      <c r="J132" s="73" t="n"/>
      <c r="K132" s="74" t="n"/>
      <c r="L132" s="75">
        <f>IF(K132="A",F132,IF(K132="B",H132,IF(K132="C",J132,"")))</f>
        <v/>
      </c>
      <c r="M132" s="72" t="n"/>
      <c r="N132" s="72" t="n"/>
      <c r="O132" s="89" t="n"/>
      <c r="P132" s="89" t="n"/>
      <c r="Q132" s="108" t="n"/>
      <c r="R132" s="120">
        <f>IF(B132="","",IF(Q132&lt;&gt;"",Q132,IF(P132="","",IFERROR(INDEX('Timeline'!$J$7:$J$156,MATCH(P132,'Timeline'!$B$7:$B$156,0)),""))))</f>
        <v/>
      </c>
      <c r="S132" s="126">
        <f>IF(R132="","",R132-IF(O132="",0,O132)-OrderBuf)</f>
        <v/>
      </c>
      <c r="T132" s="126">
        <f>IF(S132="","",S132-DecideBuf)</f>
        <v/>
      </c>
      <c r="U132" s="74" t="n"/>
      <c r="V132" s="108" t="n"/>
      <c r="W132" s="108" t="n"/>
      <c r="X132" s="74" t="n"/>
      <c r="Y132" s="115">
        <f>IF(B132="","",IF(X132="Yes","Delivered",IF(U132="Yes",IF(AND(W132&lt;&gt;"",R132&lt;&gt;""),IF(W132&gt;R132,"⚠️ Delivery after install date","Ordered"),"Ordered"),IF(K132="",IF(T132="","Waiting for decision",IF(T132&lt;=AsOf+AlertDays,"Decide now","Waiting for decision")),IF(S132="","Selected",IF(AsOf&gt;S132,"⚠️ Order late — install at risk",IF(S132&lt;=AsOf+AlertDays,"Order now","Selected")))))))</f>
        <v/>
      </c>
      <c r="Z132" s="79">
        <f>IF(B132="","",IF(OR(AH132=1,AE132=1),2,IF(OR(AG132=1,AF132=1),1,IF(OR(Y132="Ordered",Y132="Delivered"),0,""))))</f>
        <v/>
      </c>
      <c r="AA132" s="111">
        <f>IF(B132="","",IF(AH132=1,IF(Y132="⚠️ Delivery after install date",R132,S132),IF(AD132=1,T132,IF(AI132=1,S132,""))))</f>
        <v/>
      </c>
      <c r="AB132" s="79">
        <f>IF(AA132="","",IF(AH132=1,1,IF(AA132="","",IF(AA132&lt;AsOf,1,IF(AA132&lt;=AsOf+AlertDays,2,IF(AA132&lt;=AsOf+2*AlertDays,3,""))))))</f>
        <v/>
      </c>
      <c r="AC132" s="79">
        <f>IF(AB132="","",IF(AH132=1,IF(Y132="⚠️ Delivery after install date","Delivery after install date: "&amp;B132,"Order late — install at risk: "&amp;B132),IF(AD132=1,IF(AB132=1,"Decision overdue: ","Decide: ")&amp;B132,"Order: "&amp;B132&amp;IF(N132="",""," from "&amp;N132))))</f>
        <v/>
      </c>
      <c r="AD132" s="79">
        <f>IF(AND(B132&lt;&gt;"",K132="",U132&lt;&gt;"Yes",X132&lt;&gt;"Yes"),1,0)</f>
        <v/>
      </c>
      <c r="AE132" s="79">
        <f>IF(AND(AD132=1,T132&lt;&gt;""),IF(T132&lt;AsOf,1,0),0)</f>
        <v/>
      </c>
      <c r="AF132" s="79">
        <f>IF(AND(AD132=1,T132&lt;&gt;""),IF(AND(T132&gt;=AsOf,T132&lt;=AsOf+AlertDays),1,0),0)</f>
        <v/>
      </c>
      <c r="AG132" s="79">
        <f>IF(Y132="Order now",1,0)</f>
        <v/>
      </c>
      <c r="AH132" s="79">
        <f>IF(OR(Y132="⚠️ Order late — install at risk",Y132="⚠️ Delivery after install date"),1,0)</f>
        <v/>
      </c>
      <c r="AI132" s="79">
        <f>IF(AND(B132&lt;&gt;"",K132&lt;&gt;"",U132&lt;&gt;"Yes",X132&lt;&gt;"Yes"),1,0)</f>
        <v/>
      </c>
      <c r="AJ132" s="79">
        <f>IF(Y132="⚠️ Order late — install at risk",1,0)</f>
        <v/>
      </c>
    </row>
    <row r="133" ht="20" customHeight="1">
      <c r="B133" s="72" t="n"/>
      <c r="C133" s="72" t="n"/>
      <c r="D133" s="72" t="n"/>
      <c r="E133" s="72" t="n"/>
      <c r="F133" s="73" t="n"/>
      <c r="G133" s="72" t="n"/>
      <c r="H133" s="73" t="n"/>
      <c r="I133" s="72" t="n"/>
      <c r="J133" s="73" t="n"/>
      <c r="K133" s="74" t="n"/>
      <c r="L133" s="75">
        <f>IF(K133="A",F133,IF(K133="B",H133,IF(K133="C",J133,"")))</f>
        <v/>
      </c>
      <c r="M133" s="72" t="n"/>
      <c r="N133" s="72" t="n"/>
      <c r="O133" s="89" t="n"/>
      <c r="P133" s="89" t="n"/>
      <c r="Q133" s="108" t="n"/>
      <c r="R133" s="120">
        <f>IF(B133="","",IF(Q133&lt;&gt;"",Q133,IF(P133="","",IFERROR(INDEX('Timeline'!$J$7:$J$156,MATCH(P133,'Timeline'!$B$7:$B$156,0)),""))))</f>
        <v/>
      </c>
      <c r="S133" s="126">
        <f>IF(R133="","",R133-IF(O133="",0,O133)-OrderBuf)</f>
        <v/>
      </c>
      <c r="T133" s="126">
        <f>IF(S133="","",S133-DecideBuf)</f>
        <v/>
      </c>
      <c r="U133" s="74" t="n"/>
      <c r="V133" s="108" t="n"/>
      <c r="W133" s="108" t="n"/>
      <c r="X133" s="74" t="n"/>
      <c r="Y133" s="115">
        <f>IF(B133="","",IF(X133="Yes","Delivered",IF(U133="Yes",IF(AND(W133&lt;&gt;"",R133&lt;&gt;""),IF(W133&gt;R133,"⚠️ Delivery after install date","Ordered"),"Ordered"),IF(K133="",IF(T133="","Waiting for decision",IF(T133&lt;=AsOf+AlertDays,"Decide now","Waiting for decision")),IF(S133="","Selected",IF(AsOf&gt;S133,"⚠️ Order late — install at risk",IF(S133&lt;=AsOf+AlertDays,"Order now","Selected")))))))</f>
        <v/>
      </c>
      <c r="Z133" s="79">
        <f>IF(B133="","",IF(OR(AH133=1,AE133=1),2,IF(OR(AG133=1,AF133=1),1,IF(OR(Y133="Ordered",Y133="Delivered"),0,""))))</f>
        <v/>
      </c>
      <c r="AA133" s="111">
        <f>IF(B133="","",IF(AH133=1,IF(Y133="⚠️ Delivery after install date",R133,S133),IF(AD133=1,T133,IF(AI133=1,S133,""))))</f>
        <v/>
      </c>
      <c r="AB133" s="79">
        <f>IF(AA133="","",IF(AH133=1,1,IF(AA133="","",IF(AA133&lt;AsOf,1,IF(AA133&lt;=AsOf+AlertDays,2,IF(AA133&lt;=AsOf+2*AlertDays,3,""))))))</f>
        <v/>
      </c>
      <c r="AC133" s="79">
        <f>IF(AB133="","",IF(AH133=1,IF(Y133="⚠️ Delivery after install date","Delivery after install date: "&amp;B133,"Order late — install at risk: "&amp;B133),IF(AD133=1,IF(AB133=1,"Decision overdue: ","Decide: ")&amp;B133,"Order: "&amp;B133&amp;IF(N133="",""," from "&amp;N133))))</f>
        <v/>
      </c>
      <c r="AD133" s="79">
        <f>IF(AND(B133&lt;&gt;"",K133="",U133&lt;&gt;"Yes",X133&lt;&gt;"Yes"),1,0)</f>
        <v/>
      </c>
      <c r="AE133" s="79">
        <f>IF(AND(AD133=1,T133&lt;&gt;""),IF(T133&lt;AsOf,1,0),0)</f>
        <v/>
      </c>
      <c r="AF133" s="79">
        <f>IF(AND(AD133=1,T133&lt;&gt;""),IF(AND(T133&gt;=AsOf,T133&lt;=AsOf+AlertDays),1,0),0)</f>
        <v/>
      </c>
      <c r="AG133" s="79">
        <f>IF(Y133="Order now",1,0)</f>
        <v/>
      </c>
      <c r="AH133" s="79">
        <f>IF(OR(Y133="⚠️ Order late — install at risk",Y133="⚠️ Delivery after install date"),1,0)</f>
        <v/>
      </c>
      <c r="AI133" s="79">
        <f>IF(AND(B133&lt;&gt;"",K133&lt;&gt;"",U133&lt;&gt;"Yes",X133&lt;&gt;"Yes"),1,0)</f>
        <v/>
      </c>
      <c r="AJ133" s="79">
        <f>IF(Y133="⚠️ Order late — install at risk",1,0)</f>
        <v/>
      </c>
    </row>
    <row r="134" ht="20" customHeight="1">
      <c r="B134" s="72" t="n"/>
      <c r="C134" s="72" t="n"/>
      <c r="D134" s="72" t="n"/>
      <c r="E134" s="72" t="n"/>
      <c r="F134" s="73" t="n"/>
      <c r="G134" s="72" t="n"/>
      <c r="H134" s="73" t="n"/>
      <c r="I134" s="72" t="n"/>
      <c r="J134" s="73" t="n"/>
      <c r="K134" s="74" t="n"/>
      <c r="L134" s="75">
        <f>IF(K134="A",F134,IF(K134="B",H134,IF(K134="C",J134,"")))</f>
        <v/>
      </c>
      <c r="M134" s="72" t="n"/>
      <c r="N134" s="72" t="n"/>
      <c r="O134" s="89" t="n"/>
      <c r="P134" s="89" t="n"/>
      <c r="Q134" s="108" t="n"/>
      <c r="R134" s="120">
        <f>IF(B134="","",IF(Q134&lt;&gt;"",Q134,IF(P134="","",IFERROR(INDEX('Timeline'!$J$7:$J$156,MATCH(P134,'Timeline'!$B$7:$B$156,0)),""))))</f>
        <v/>
      </c>
      <c r="S134" s="126">
        <f>IF(R134="","",R134-IF(O134="",0,O134)-OrderBuf)</f>
        <v/>
      </c>
      <c r="T134" s="126">
        <f>IF(S134="","",S134-DecideBuf)</f>
        <v/>
      </c>
      <c r="U134" s="74" t="n"/>
      <c r="V134" s="108" t="n"/>
      <c r="W134" s="108" t="n"/>
      <c r="X134" s="74" t="n"/>
      <c r="Y134" s="115">
        <f>IF(B134="","",IF(X134="Yes","Delivered",IF(U134="Yes",IF(AND(W134&lt;&gt;"",R134&lt;&gt;""),IF(W134&gt;R134,"⚠️ Delivery after install date","Ordered"),"Ordered"),IF(K134="",IF(T134="","Waiting for decision",IF(T134&lt;=AsOf+AlertDays,"Decide now","Waiting for decision")),IF(S134="","Selected",IF(AsOf&gt;S134,"⚠️ Order late — install at risk",IF(S134&lt;=AsOf+AlertDays,"Order now","Selected")))))))</f>
        <v/>
      </c>
      <c r="Z134" s="79">
        <f>IF(B134="","",IF(OR(AH134=1,AE134=1),2,IF(OR(AG134=1,AF134=1),1,IF(OR(Y134="Ordered",Y134="Delivered"),0,""))))</f>
        <v/>
      </c>
      <c r="AA134" s="111">
        <f>IF(B134="","",IF(AH134=1,IF(Y134="⚠️ Delivery after install date",R134,S134),IF(AD134=1,T134,IF(AI134=1,S134,""))))</f>
        <v/>
      </c>
      <c r="AB134" s="79">
        <f>IF(AA134="","",IF(AH134=1,1,IF(AA134="","",IF(AA134&lt;AsOf,1,IF(AA134&lt;=AsOf+AlertDays,2,IF(AA134&lt;=AsOf+2*AlertDays,3,""))))))</f>
        <v/>
      </c>
      <c r="AC134" s="79">
        <f>IF(AB134="","",IF(AH134=1,IF(Y134="⚠️ Delivery after install date","Delivery after install date: "&amp;B134,"Order late — install at risk: "&amp;B134),IF(AD134=1,IF(AB134=1,"Decision overdue: ","Decide: ")&amp;B134,"Order: "&amp;B134&amp;IF(N134="",""," from "&amp;N134))))</f>
        <v/>
      </c>
      <c r="AD134" s="79">
        <f>IF(AND(B134&lt;&gt;"",K134="",U134&lt;&gt;"Yes",X134&lt;&gt;"Yes"),1,0)</f>
        <v/>
      </c>
      <c r="AE134" s="79">
        <f>IF(AND(AD134=1,T134&lt;&gt;""),IF(T134&lt;AsOf,1,0),0)</f>
        <v/>
      </c>
      <c r="AF134" s="79">
        <f>IF(AND(AD134=1,T134&lt;&gt;""),IF(AND(T134&gt;=AsOf,T134&lt;=AsOf+AlertDays),1,0),0)</f>
        <v/>
      </c>
      <c r="AG134" s="79">
        <f>IF(Y134="Order now",1,0)</f>
        <v/>
      </c>
      <c r="AH134" s="79">
        <f>IF(OR(Y134="⚠️ Order late — install at risk",Y134="⚠️ Delivery after install date"),1,0)</f>
        <v/>
      </c>
      <c r="AI134" s="79">
        <f>IF(AND(B134&lt;&gt;"",K134&lt;&gt;"",U134&lt;&gt;"Yes",X134&lt;&gt;"Yes"),1,0)</f>
        <v/>
      </c>
      <c r="AJ134" s="79">
        <f>IF(Y134="⚠️ Order late — install at risk",1,0)</f>
        <v/>
      </c>
    </row>
    <row r="135" ht="20" customHeight="1">
      <c r="B135" s="72" t="n"/>
      <c r="C135" s="72" t="n"/>
      <c r="D135" s="72" t="n"/>
      <c r="E135" s="72" t="n"/>
      <c r="F135" s="73" t="n"/>
      <c r="G135" s="72" t="n"/>
      <c r="H135" s="73" t="n"/>
      <c r="I135" s="72" t="n"/>
      <c r="J135" s="73" t="n"/>
      <c r="K135" s="74" t="n"/>
      <c r="L135" s="75">
        <f>IF(K135="A",F135,IF(K135="B",H135,IF(K135="C",J135,"")))</f>
        <v/>
      </c>
      <c r="M135" s="72" t="n"/>
      <c r="N135" s="72" t="n"/>
      <c r="O135" s="89" t="n"/>
      <c r="P135" s="89" t="n"/>
      <c r="Q135" s="108" t="n"/>
      <c r="R135" s="120">
        <f>IF(B135="","",IF(Q135&lt;&gt;"",Q135,IF(P135="","",IFERROR(INDEX('Timeline'!$J$7:$J$156,MATCH(P135,'Timeline'!$B$7:$B$156,0)),""))))</f>
        <v/>
      </c>
      <c r="S135" s="126">
        <f>IF(R135="","",R135-IF(O135="",0,O135)-OrderBuf)</f>
        <v/>
      </c>
      <c r="T135" s="126">
        <f>IF(S135="","",S135-DecideBuf)</f>
        <v/>
      </c>
      <c r="U135" s="74" t="n"/>
      <c r="V135" s="108" t="n"/>
      <c r="W135" s="108" t="n"/>
      <c r="X135" s="74" t="n"/>
      <c r="Y135" s="115">
        <f>IF(B135="","",IF(X135="Yes","Delivered",IF(U135="Yes",IF(AND(W135&lt;&gt;"",R135&lt;&gt;""),IF(W135&gt;R135,"⚠️ Delivery after install date","Ordered"),"Ordered"),IF(K135="",IF(T135="","Waiting for decision",IF(T135&lt;=AsOf+AlertDays,"Decide now","Waiting for decision")),IF(S135="","Selected",IF(AsOf&gt;S135,"⚠️ Order late — install at risk",IF(S135&lt;=AsOf+AlertDays,"Order now","Selected")))))))</f>
        <v/>
      </c>
      <c r="Z135" s="79">
        <f>IF(B135="","",IF(OR(AH135=1,AE135=1),2,IF(OR(AG135=1,AF135=1),1,IF(OR(Y135="Ordered",Y135="Delivered"),0,""))))</f>
        <v/>
      </c>
      <c r="AA135" s="111">
        <f>IF(B135="","",IF(AH135=1,IF(Y135="⚠️ Delivery after install date",R135,S135),IF(AD135=1,T135,IF(AI135=1,S135,""))))</f>
        <v/>
      </c>
      <c r="AB135" s="79">
        <f>IF(AA135="","",IF(AH135=1,1,IF(AA135="","",IF(AA135&lt;AsOf,1,IF(AA135&lt;=AsOf+AlertDays,2,IF(AA135&lt;=AsOf+2*AlertDays,3,""))))))</f>
        <v/>
      </c>
      <c r="AC135" s="79">
        <f>IF(AB135="","",IF(AH135=1,IF(Y135="⚠️ Delivery after install date","Delivery after install date: "&amp;B135,"Order late — install at risk: "&amp;B135),IF(AD135=1,IF(AB135=1,"Decision overdue: ","Decide: ")&amp;B135,"Order: "&amp;B135&amp;IF(N135="",""," from "&amp;N135))))</f>
        <v/>
      </c>
      <c r="AD135" s="79">
        <f>IF(AND(B135&lt;&gt;"",K135="",U135&lt;&gt;"Yes",X135&lt;&gt;"Yes"),1,0)</f>
        <v/>
      </c>
      <c r="AE135" s="79">
        <f>IF(AND(AD135=1,T135&lt;&gt;""),IF(T135&lt;AsOf,1,0),0)</f>
        <v/>
      </c>
      <c r="AF135" s="79">
        <f>IF(AND(AD135=1,T135&lt;&gt;""),IF(AND(T135&gt;=AsOf,T135&lt;=AsOf+AlertDays),1,0),0)</f>
        <v/>
      </c>
      <c r="AG135" s="79">
        <f>IF(Y135="Order now",1,0)</f>
        <v/>
      </c>
      <c r="AH135" s="79">
        <f>IF(OR(Y135="⚠️ Order late — install at risk",Y135="⚠️ Delivery after install date"),1,0)</f>
        <v/>
      </c>
      <c r="AI135" s="79">
        <f>IF(AND(B135&lt;&gt;"",K135&lt;&gt;"",U135&lt;&gt;"Yes",X135&lt;&gt;"Yes"),1,0)</f>
        <v/>
      </c>
      <c r="AJ135" s="79">
        <f>IF(Y135="⚠️ Order late — install at risk",1,0)</f>
        <v/>
      </c>
    </row>
    <row r="136" ht="20" customHeight="1">
      <c r="B136" s="72" t="n"/>
      <c r="C136" s="72" t="n"/>
      <c r="D136" s="72" t="n"/>
      <c r="E136" s="72" t="n"/>
      <c r="F136" s="73" t="n"/>
      <c r="G136" s="72" t="n"/>
      <c r="H136" s="73" t="n"/>
      <c r="I136" s="72" t="n"/>
      <c r="J136" s="73" t="n"/>
      <c r="K136" s="74" t="n"/>
      <c r="L136" s="75">
        <f>IF(K136="A",F136,IF(K136="B",H136,IF(K136="C",J136,"")))</f>
        <v/>
      </c>
      <c r="M136" s="72" t="n"/>
      <c r="N136" s="72" t="n"/>
      <c r="O136" s="89" t="n"/>
      <c r="P136" s="89" t="n"/>
      <c r="Q136" s="108" t="n"/>
      <c r="R136" s="120">
        <f>IF(B136="","",IF(Q136&lt;&gt;"",Q136,IF(P136="","",IFERROR(INDEX('Timeline'!$J$7:$J$156,MATCH(P136,'Timeline'!$B$7:$B$156,0)),""))))</f>
        <v/>
      </c>
      <c r="S136" s="126">
        <f>IF(R136="","",R136-IF(O136="",0,O136)-OrderBuf)</f>
        <v/>
      </c>
      <c r="T136" s="126">
        <f>IF(S136="","",S136-DecideBuf)</f>
        <v/>
      </c>
      <c r="U136" s="74" t="n"/>
      <c r="V136" s="108" t="n"/>
      <c r="W136" s="108" t="n"/>
      <c r="X136" s="74" t="n"/>
      <c r="Y136" s="115">
        <f>IF(B136="","",IF(X136="Yes","Delivered",IF(U136="Yes",IF(AND(W136&lt;&gt;"",R136&lt;&gt;""),IF(W136&gt;R136,"⚠️ Delivery after install date","Ordered"),"Ordered"),IF(K136="",IF(T136="","Waiting for decision",IF(T136&lt;=AsOf+AlertDays,"Decide now","Waiting for decision")),IF(S136="","Selected",IF(AsOf&gt;S136,"⚠️ Order late — install at risk",IF(S136&lt;=AsOf+AlertDays,"Order now","Selected")))))))</f>
        <v/>
      </c>
      <c r="Z136" s="79">
        <f>IF(B136="","",IF(OR(AH136=1,AE136=1),2,IF(OR(AG136=1,AF136=1),1,IF(OR(Y136="Ordered",Y136="Delivered"),0,""))))</f>
        <v/>
      </c>
      <c r="AA136" s="111">
        <f>IF(B136="","",IF(AH136=1,IF(Y136="⚠️ Delivery after install date",R136,S136),IF(AD136=1,T136,IF(AI136=1,S136,""))))</f>
        <v/>
      </c>
      <c r="AB136" s="79">
        <f>IF(AA136="","",IF(AH136=1,1,IF(AA136="","",IF(AA136&lt;AsOf,1,IF(AA136&lt;=AsOf+AlertDays,2,IF(AA136&lt;=AsOf+2*AlertDays,3,""))))))</f>
        <v/>
      </c>
      <c r="AC136" s="79">
        <f>IF(AB136="","",IF(AH136=1,IF(Y136="⚠️ Delivery after install date","Delivery after install date: "&amp;B136,"Order late — install at risk: "&amp;B136),IF(AD136=1,IF(AB136=1,"Decision overdue: ","Decide: ")&amp;B136,"Order: "&amp;B136&amp;IF(N136="",""," from "&amp;N136))))</f>
        <v/>
      </c>
      <c r="AD136" s="79">
        <f>IF(AND(B136&lt;&gt;"",K136="",U136&lt;&gt;"Yes",X136&lt;&gt;"Yes"),1,0)</f>
        <v/>
      </c>
      <c r="AE136" s="79">
        <f>IF(AND(AD136=1,T136&lt;&gt;""),IF(T136&lt;AsOf,1,0),0)</f>
        <v/>
      </c>
      <c r="AF136" s="79">
        <f>IF(AND(AD136=1,T136&lt;&gt;""),IF(AND(T136&gt;=AsOf,T136&lt;=AsOf+AlertDays),1,0),0)</f>
        <v/>
      </c>
      <c r="AG136" s="79">
        <f>IF(Y136="Order now",1,0)</f>
        <v/>
      </c>
      <c r="AH136" s="79">
        <f>IF(OR(Y136="⚠️ Order late — install at risk",Y136="⚠️ Delivery after install date"),1,0)</f>
        <v/>
      </c>
      <c r="AI136" s="79">
        <f>IF(AND(B136&lt;&gt;"",K136&lt;&gt;"",U136&lt;&gt;"Yes",X136&lt;&gt;"Yes"),1,0)</f>
        <v/>
      </c>
      <c r="AJ136" s="79">
        <f>IF(Y136="⚠️ Order late — install at risk",1,0)</f>
        <v/>
      </c>
    </row>
    <row r="137" ht="20" customHeight="1">
      <c r="B137" s="72" t="n"/>
      <c r="C137" s="72" t="n"/>
      <c r="D137" s="72" t="n"/>
      <c r="E137" s="72" t="n"/>
      <c r="F137" s="73" t="n"/>
      <c r="G137" s="72" t="n"/>
      <c r="H137" s="73" t="n"/>
      <c r="I137" s="72" t="n"/>
      <c r="J137" s="73" t="n"/>
      <c r="K137" s="74" t="n"/>
      <c r="L137" s="75">
        <f>IF(K137="A",F137,IF(K137="B",H137,IF(K137="C",J137,"")))</f>
        <v/>
      </c>
      <c r="M137" s="72" t="n"/>
      <c r="N137" s="72" t="n"/>
      <c r="O137" s="89" t="n"/>
      <c r="P137" s="89" t="n"/>
      <c r="Q137" s="108" t="n"/>
      <c r="R137" s="120">
        <f>IF(B137="","",IF(Q137&lt;&gt;"",Q137,IF(P137="","",IFERROR(INDEX('Timeline'!$J$7:$J$156,MATCH(P137,'Timeline'!$B$7:$B$156,0)),""))))</f>
        <v/>
      </c>
      <c r="S137" s="126">
        <f>IF(R137="","",R137-IF(O137="",0,O137)-OrderBuf)</f>
        <v/>
      </c>
      <c r="T137" s="126">
        <f>IF(S137="","",S137-DecideBuf)</f>
        <v/>
      </c>
      <c r="U137" s="74" t="n"/>
      <c r="V137" s="108" t="n"/>
      <c r="W137" s="108" t="n"/>
      <c r="X137" s="74" t="n"/>
      <c r="Y137" s="115">
        <f>IF(B137="","",IF(X137="Yes","Delivered",IF(U137="Yes",IF(AND(W137&lt;&gt;"",R137&lt;&gt;""),IF(W137&gt;R137,"⚠️ Delivery after install date","Ordered"),"Ordered"),IF(K137="",IF(T137="","Waiting for decision",IF(T137&lt;=AsOf+AlertDays,"Decide now","Waiting for decision")),IF(S137="","Selected",IF(AsOf&gt;S137,"⚠️ Order late — install at risk",IF(S137&lt;=AsOf+AlertDays,"Order now","Selected")))))))</f>
        <v/>
      </c>
      <c r="Z137" s="79">
        <f>IF(B137="","",IF(OR(AH137=1,AE137=1),2,IF(OR(AG137=1,AF137=1),1,IF(OR(Y137="Ordered",Y137="Delivered"),0,""))))</f>
        <v/>
      </c>
      <c r="AA137" s="111">
        <f>IF(B137="","",IF(AH137=1,IF(Y137="⚠️ Delivery after install date",R137,S137),IF(AD137=1,T137,IF(AI137=1,S137,""))))</f>
        <v/>
      </c>
      <c r="AB137" s="79">
        <f>IF(AA137="","",IF(AH137=1,1,IF(AA137="","",IF(AA137&lt;AsOf,1,IF(AA137&lt;=AsOf+AlertDays,2,IF(AA137&lt;=AsOf+2*AlertDays,3,""))))))</f>
        <v/>
      </c>
      <c r="AC137" s="79">
        <f>IF(AB137="","",IF(AH137=1,IF(Y137="⚠️ Delivery after install date","Delivery after install date: "&amp;B137,"Order late — install at risk: "&amp;B137),IF(AD137=1,IF(AB137=1,"Decision overdue: ","Decide: ")&amp;B137,"Order: "&amp;B137&amp;IF(N137="",""," from "&amp;N137))))</f>
        <v/>
      </c>
      <c r="AD137" s="79">
        <f>IF(AND(B137&lt;&gt;"",K137="",U137&lt;&gt;"Yes",X137&lt;&gt;"Yes"),1,0)</f>
        <v/>
      </c>
      <c r="AE137" s="79">
        <f>IF(AND(AD137=1,T137&lt;&gt;""),IF(T137&lt;AsOf,1,0),0)</f>
        <v/>
      </c>
      <c r="AF137" s="79">
        <f>IF(AND(AD137=1,T137&lt;&gt;""),IF(AND(T137&gt;=AsOf,T137&lt;=AsOf+AlertDays),1,0),0)</f>
        <v/>
      </c>
      <c r="AG137" s="79">
        <f>IF(Y137="Order now",1,0)</f>
        <v/>
      </c>
      <c r="AH137" s="79">
        <f>IF(OR(Y137="⚠️ Order late — install at risk",Y137="⚠️ Delivery after install date"),1,0)</f>
        <v/>
      </c>
      <c r="AI137" s="79">
        <f>IF(AND(B137&lt;&gt;"",K137&lt;&gt;"",U137&lt;&gt;"Yes",X137&lt;&gt;"Yes"),1,0)</f>
        <v/>
      </c>
      <c r="AJ137" s="79">
        <f>IF(Y137="⚠️ Order late — install at risk",1,0)</f>
        <v/>
      </c>
    </row>
    <row r="138" ht="20" customHeight="1">
      <c r="B138" s="72" t="n"/>
      <c r="C138" s="72" t="n"/>
      <c r="D138" s="72" t="n"/>
      <c r="E138" s="72" t="n"/>
      <c r="F138" s="73" t="n"/>
      <c r="G138" s="72" t="n"/>
      <c r="H138" s="73" t="n"/>
      <c r="I138" s="72" t="n"/>
      <c r="J138" s="73" t="n"/>
      <c r="K138" s="74" t="n"/>
      <c r="L138" s="75">
        <f>IF(K138="A",F138,IF(K138="B",H138,IF(K138="C",J138,"")))</f>
        <v/>
      </c>
      <c r="M138" s="72" t="n"/>
      <c r="N138" s="72" t="n"/>
      <c r="O138" s="89" t="n"/>
      <c r="P138" s="89" t="n"/>
      <c r="Q138" s="108" t="n"/>
      <c r="R138" s="120">
        <f>IF(B138="","",IF(Q138&lt;&gt;"",Q138,IF(P138="","",IFERROR(INDEX('Timeline'!$J$7:$J$156,MATCH(P138,'Timeline'!$B$7:$B$156,0)),""))))</f>
        <v/>
      </c>
      <c r="S138" s="126">
        <f>IF(R138="","",R138-IF(O138="",0,O138)-OrderBuf)</f>
        <v/>
      </c>
      <c r="T138" s="126">
        <f>IF(S138="","",S138-DecideBuf)</f>
        <v/>
      </c>
      <c r="U138" s="74" t="n"/>
      <c r="V138" s="108" t="n"/>
      <c r="W138" s="108" t="n"/>
      <c r="X138" s="74" t="n"/>
      <c r="Y138" s="115">
        <f>IF(B138="","",IF(X138="Yes","Delivered",IF(U138="Yes",IF(AND(W138&lt;&gt;"",R138&lt;&gt;""),IF(W138&gt;R138,"⚠️ Delivery after install date","Ordered"),"Ordered"),IF(K138="",IF(T138="","Waiting for decision",IF(T138&lt;=AsOf+AlertDays,"Decide now","Waiting for decision")),IF(S138="","Selected",IF(AsOf&gt;S138,"⚠️ Order late — install at risk",IF(S138&lt;=AsOf+AlertDays,"Order now","Selected")))))))</f>
        <v/>
      </c>
      <c r="Z138" s="79">
        <f>IF(B138="","",IF(OR(AH138=1,AE138=1),2,IF(OR(AG138=1,AF138=1),1,IF(OR(Y138="Ordered",Y138="Delivered"),0,""))))</f>
        <v/>
      </c>
      <c r="AA138" s="111">
        <f>IF(B138="","",IF(AH138=1,IF(Y138="⚠️ Delivery after install date",R138,S138),IF(AD138=1,T138,IF(AI138=1,S138,""))))</f>
        <v/>
      </c>
      <c r="AB138" s="79">
        <f>IF(AA138="","",IF(AH138=1,1,IF(AA138="","",IF(AA138&lt;AsOf,1,IF(AA138&lt;=AsOf+AlertDays,2,IF(AA138&lt;=AsOf+2*AlertDays,3,""))))))</f>
        <v/>
      </c>
      <c r="AC138" s="79">
        <f>IF(AB138="","",IF(AH138=1,IF(Y138="⚠️ Delivery after install date","Delivery after install date: "&amp;B138,"Order late — install at risk: "&amp;B138),IF(AD138=1,IF(AB138=1,"Decision overdue: ","Decide: ")&amp;B138,"Order: "&amp;B138&amp;IF(N138="",""," from "&amp;N138))))</f>
        <v/>
      </c>
      <c r="AD138" s="79">
        <f>IF(AND(B138&lt;&gt;"",K138="",U138&lt;&gt;"Yes",X138&lt;&gt;"Yes"),1,0)</f>
        <v/>
      </c>
      <c r="AE138" s="79">
        <f>IF(AND(AD138=1,T138&lt;&gt;""),IF(T138&lt;AsOf,1,0),0)</f>
        <v/>
      </c>
      <c r="AF138" s="79">
        <f>IF(AND(AD138=1,T138&lt;&gt;""),IF(AND(T138&gt;=AsOf,T138&lt;=AsOf+AlertDays),1,0),0)</f>
        <v/>
      </c>
      <c r="AG138" s="79">
        <f>IF(Y138="Order now",1,0)</f>
        <v/>
      </c>
      <c r="AH138" s="79">
        <f>IF(OR(Y138="⚠️ Order late — install at risk",Y138="⚠️ Delivery after install date"),1,0)</f>
        <v/>
      </c>
      <c r="AI138" s="79">
        <f>IF(AND(B138&lt;&gt;"",K138&lt;&gt;"",U138&lt;&gt;"Yes",X138&lt;&gt;"Yes"),1,0)</f>
        <v/>
      </c>
      <c r="AJ138" s="79">
        <f>IF(Y138="⚠️ Order late — install at risk",1,0)</f>
        <v/>
      </c>
    </row>
    <row r="139" ht="20" customHeight="1">
      <c r="B139" s="72" t="n"/>
      <c r="C139" s="72" t="n"/>
      <c r="D139" s="72" t="n"/>
      <c r="E139" s="72" t="n"/>
      <c r="F139" s="73" t="n"/>
      <c r="G139" s="72" t="n"/>
      <c r="H139" s="73" t="n"/>
      <c r="I139" s="72" t="n"/>
      <c r="J139" s="73" t="n"/>
      <c r="K139" s="74" t="n"/>
      <c r="L139" s="75">
        <f>IF(K139="A",F139,IF(K139="B",H139,IF(K139="C",J139,"")))</f>
        <v/>
      </c>
      <c r="M139" s="72" t="n"/>
      <c r="N139" s="72" t="n"/>
      <c r="O139" s="89" t="n"/>
      <c r="P139" s="89" t="n"/>
      <c r="Q139" s="108" t="n"/>
      <c r="R139" s="120">
        <f>IF(B139="","",IF(Q139&lt;&gt;"",Q139,IF(P139="","",IFERROR(INDEX('Timeline'!$J$7:$J$156,MATCH(P139,'Timeline'!$B$7:$B$156,0)),""))))</f>
        <v/>
      </c>
      <c r="S139" s="126">
        <f>IF(R139="","",R139-IF(O139="",0,O139)-OrderBuf)</f>
        <v/>
      </c>
      <c r="T139" s="126">
        <f>IF(S139="","",S139-DecideBuf)</f>
        <v/>
      </c>
      <c r="U139" s="74" t="n"/>
      <c r="V139" s="108" t="n"/>
      <c r="W139" s="108" t="n"/>
      <c r="X139" s="74" t="n"/>
      <c r="Y139" s="115">
        <f>IF(B139="","",IF(X139="Yes","Delivered",IF(U139="Yes",IF(AND(W139&lt;&gt;"",R139&lt;&gt;""),IF(W139&gt;R139,"⚠️ Delivery after install date","Ordered"),"Ordered"),IF(K139="",IF(T139="","Waiting for decision",IF(T139&lt;=AsOf+AlertDays,"Decide now","Waiting for decision")),IF(S139="","Selected",IF(AsOf&gt;S139,"⚠️ Order late — install at risk",IF(S139&lt;=AsOf+AlertDays,"Order now","Selected")))))))</f>
        <v/>
      </c>
      <c r="Z139" s="79">
        <f>IF(B139="","",IF(OR(AH139=1,AE139=1),2,IF(OR(AG139=1,AF139=1),1,IF(OR(Y139="Ordered",Y139="Delivered"),0,""))))</f>
        <v/>
      </c>
      <c r="AA139" s="111">
        <f>IF(B139="","",IF(AH139=1,IF(Y139="⚠️ Delivery after install date",R139,S139),IF(AD139=1,T139,IF(AI139=1,S139,""))))</f>
        <v/>
      </c>
      <c r="AB139" s="79">
        <f>IF(AA139="","",IF(AH139=1,1,IF(AA139="","",IF(AA139&lt;AsOf,1,IF(AA139&lt;=AsOf+AlertDays,2,IF(AA139&lt;=AsOf+2*AlertDays,3,""))))))</f>
        <v/>
      </c>
      <c r="AC139" s="79">
        <f>IF(AB139="","",IF(AH139=1,IF(Y139="⚠️ Delivery after install date","Delivery after install date: "&amp;B139,"Order late — install at risk: "&amp;B139),IF(AD139=1,IF(AB139=1,"Decision overdue: ","Decide: ")&amp;B139,"Order: "&amp;B139&amp;IF(N139="",""," from "&amp;N139))))</f>
        <v/>
      </c>
      <c r="AD139" s="79">
        <f>IF(AND(B139&lt;&gt;"",K139="",U139&lt;&gt;"Yes",X139&lt;&gt;"Yes"),1,0)</f>
        <v/>
      </c>
      <c r="AE139" s="79">
        <f>IF(AND(AD139=1,T139&lt;&gt;""),IF(T139&lt;AsOf,1,0),0)</f>
        <v/>
      </c>
      <c r="AF139" s="79">
        <f>IF(AND(AD139=1,T139&lt;&gt;""),IF(AND(T139&gt;=AsOf,T139&lt;=AsOf+AlertDays),1,0),0)</f>
        <v/>
      </c>
      <c r="AG139" s="79">
        <f>IF(Y139="Order now",1,0)</f>
        <v/>
      </c>
      <c r="AH139" s="79">
        <f>IF(OR(Y139="⚠️ Order late — install at risk",Y139="⚠️ Delivery after install date"),1,0)</f>
        <v/>
      </c>
      <c r="AI139" s="79">
        <f>IF(AND(B139&lt;&gt;"",K139&lt;&gt;"",U139&lt;&gt;"Yes",X139&lt;&gt;"Yes"),1,0)</f>
        <v/>
      </c>
      <c r="AJ139" s="79">
        <f>IF(Y139="⚠️ Order late — install at risk",1,0)</f>
        <v/>
      </c>
    </row>
    <row r="140" ht="20" customHeight="1">
      <c r="B140" s="72" t="n"/>
      <c r="C140" s="72" t="n"/>
      <c r="D140" s="72" t="n"/>
      <c r="E140" s="72" t="n"/>
      <c r="F140" s="73" t="n"/>
      <c r="G140" s="72" t="n"/>
      <c r="H140" s="73" t="n"/>
      <c r="I140" s="72" t="n"/>
      <c r="J140" s="73" t="n"/>
      <c r="K140" s="74" t="n"/>
      <c r="L140" s="75">
        <f>IF(K140="A",F140,IF(K140="B",H140,IF(K140="C",J140,"")))</f>
        <v/>
      </c>
      <c r="M140" s="72" t="n"/>
      <c r="N140" s="72" t="n"/>
      <c r="O140" s="89" t="n"/>
      <c r="P140" s="89" t="n"/>
      <c r="Q140" s="108" t="n"/>
      <c r="R140" s="120">
        <f>IF(B140="","",IF(Q140&lt;&gt;"",Q140,IF(P140="","",IFERROR(INDEX('Timeline'!$J$7:$J$156,MATCH(P140,'Timeline'!$B$7:$B$156,0)),""))))</f>
        <v/>
      </c>
      <c r="S140" s="126">
        <f>IF(R140="","",R140-IF(O140="",0,O140)-OrderBuf)</f>
        <v/>
      </c>
      <c r="T140" s="126">
        <f>IF(S140="","",S140-DecideBuf)</f>
        <v/>
      </c>
      <c r="U140" s="74" t="n"/>
      <c r="V140" s="108" t="n"/>
      <c r="W140" s="108" t="n"/>
      <c r="X140" s="74" t="n"/>
      <c r="Y140" s="115">
        <f>IF(B140="","",IF(X140="Yes","Delivered",IF(U140="Yes",IF(AND(W140&lt;&gt;"",R140&lt;&gt;""),IF(W140&gt;R140,"⚠️ Delivery after install date","Ordered"),"Ordered"),IF(K140="",IF(T140="","Waiting for decision",IF(T140&lt;=AsOf+AlertDays,"Decide now","Waiting for decision")),IF(S140="","Selected",IF(AsOf&gt;S140,"⚠️ Order late — install at risk",IF(S140&lt;=AsOf+AlertDays,"Order now","Selected")))))))</f>
        <v/>
      </c>
      <c r="Z140" s="79">
        <f>IF(B140="","",IF(OR(AH140=1,AE140=1),2,IF(OR(AG140=1,AF140=1),1,IF(OR(Y140="Ordered",Y140="Delivered"),0,""))))</f>
        <v/>
      </c>
      <c r="AA140" s="111">
        <f>IF(B140="","",IF(AH140=1,IF(Y140="⚠️ Delivery after install date",R140,S140),IF(AD140=1,T140,IF(AI140=1,S140,""))))</f>
        <v/>
      </c>
      <c r="AB140" s="79">
        <f>IF(AA140="","",IF(AH140=1,1,IF(AA140="","",IF(AA140&lt;AsOf,1,IF(AA140&lt;=AsOf+AlertDays,2,IF(AA140&lt;=AsOf+2*AlertDays,3,""))))))</f>
        <v/>
      </c>
      <c r="AC140" s="79">
        <f>IF(AB140="","",IF(AH140=1,IF(Y140="⚠️ Delivery after install date","Delivery after install date: "&amp;B140,"Order late — install at risk: "&amp;B140),IF(AD140=1,IF(AB140=1,"Decision overdue: ","Decide: ")&amp;B140,"Order: "&amp;B140&amp;IF(N140="",""," from "&amp;N140))))</f>
        <v/>
      </c>
      <c r="AD140" s="79">
        <f>IF(AND(B140&lt;&gt;"",K140="",U140&lt;&gt;"Yes",X140&lt;&gt;"Yes"),1,0)</f>
        <v/>
      </c>
      <c r="AE140" s="79">
        <f>IF(AND(AD140=1,T140&lt;&gt;""),IF(T140&lt;AsOf,1,0),0)</f>
        <v/>
      </c>
      <c r="AF140" s="79">
        <f>IF(AND(AD140=1,T140&lt;&gt;""),IF(AND(T140&gt;=AsOf,T140&lt;=AsOf+AlertDays),1,0),0)</f>
        <v/>
      </c>
      <c r="AG140" s="79">
        <f>IF(Y140="Order now",1,0)</f>
        <v/>
      </c>
      <c r="AH140" s="79">
        <f>IF(OR(Y140="⚠️ Order late — install at risk",Y140="⚠️ Delivery after install date"),1,0)</f>
        <v/>
      </c>
      <c r="AI140" s="79">
        <f>IF(AND(B140&lt;&gt;"",K140&lt;&gt;"",U140&lt;&gt;"Yes",X140&lt;&gt;"Yes"),1,0)</f>
        <v/>
      </c>
      <c r="AJ140" s="79">
        <f>IF(Y140="⚠️ Order late — install at risk",1,0)</f>
        <v/>
      </c>
    </row>
    <row r="141" ht="20" customHeight="1">
      <c r="B141" s="72" t="n"/>
      <c r="C141" s="72" t="n"/>
      <c r="D141" s="72" t="n"/>
      <c r="E141" s="72" t="n"/>
      <c r="F141" s="73" t="n"/>
      <c r="G141" s="72" t="n"/>
      <c r="H141" s="73" t="n"/>
      <c r="I141" s="72" t="n"/>
      <c r="J141" s="73" t="n"/>
      <c r="K141" s="74" t="n"/>
      <c r="L141" s="75">
        <f>IF(K141="A",F141,IF(K141="B",H141,IF(K141="C",J141,"")))</f>
        <v/>
      </c>
      <c r="M141" s="72" t="n"/>
      <c r="N141" s="72" t="n"/>
      <c r="O141" s="89" t="n"/>
      <c r="P141" s="89" t="n"/>
      <c r="Q141" s="108" t="n"/>
      <c r="R141" s="120">
        <f>IF(B141="","",IF(Q141&lt;&gt;"",Q141,IF(P141="","",IFERROR(INDEX('Timeline'!$J$7:$J$156,MATCH(P141,'Timeline'!$B$7:$B$156,0)),""))))</f>
        <v/>
      </c>
      <c r="S141" s="126">
        <f>IF(R141="","",R141-IF(O141="",0,O141)-OrderBuf)</f>
        <v/>
      </c>
      <c r="T141" s="126">
        <f>IF(S141="","",S141-DecideBuf)</f>
        <v/>
      </c>
      <c r="U141" s="74" t="n"/>
      <c r="V141" s="108" t="n"/>
      <c r="W141" s="108" t="n"/>
      <c r="X141" s="74" t="n"/>
      <c r="Y141" s="115">
        <f>IF(B141="","",IF(X141="Yes","Delivered",IF(U141="Yes",IF(AND(W141&lt;&gt;"",R141&lt;&gt;""),IF(W141&gt;R141,"⚠️ Delivery after install date","Ordered"),"Ordered"),IF(K141="",IF(T141="","Waiting for decision",IF(T141&lt;=AsOf+AlertDays,"Decide now","Waiting for decision")),IF(S141="","Selected",IF(AsOf&gt;S141,"⚠️ Order late — install at risk",IF(S141&lt;=AsOf+AlertDays,"Order now","Selected")))))))</f>
        <v/>
      </c>
      <c r="Z141" s="79">
        <f>IF(B141="","",IF(OR(AH141=1,AE141=1),2,IF(OR(AG141=1,AF141=1),1,IF(OR(Y141="Ordered",Y141="Delivered"),0,""))))</f>
        <v/>
      </c>
      <c r="AA141" s="111">
        <f>IF(B141="","",IF(AH141=1,IF(Y141="⚠️ Delivery after install date",R141,S141),IF(AD141=1,T141,IF(AI141=1,S141,""))))</f>
        <v/>
      </c>
      <c r="AB141" s="79">
        <f>IF(AA141="","",IF(AH141=1,1,IF(AA141="","",IF(AA141&lt;AsOf,1,IF(AA141&lt;=AsOf+AlertDays,2,IF(AA141&lt;=AsOf+2*AlertDays,3,""))))))</f>
        <v/>
      </c>
      <c r="AC141" s="79">
        <f>IF(AB141="","",IF(AH141=1,IF(Y141="⚠️ Delivery after install date","Delivery after install date: "&amp;B141,"Order late — install at risk: "&amp;B141),IF(AD141=1,IF(AB141=1,"Decision overdue: ","Decide: ")&amp;B141,"Order: "&amp;B141&amp;IF(N141="",""," from "&amp;N141))))</f>
        <v/>
      </c>
      <c r="AD141" s="79">
        <f>IF(AND(B141&lt;&gt;"",K141="",U141&lt;&gt;"Yes",X141&lt;&gt;"Yes"),1,0)</f>
        <v/>
      </c>
      <c r="AE141" s="79">
        <f>IF(AND(AD141=1,T141&lt;&gt;""),IF(T141&lt;AsOf,1,0),0)</f>
        <v/>
      </c>
      <c r="AF141" s="79">
        <f>IF(AND(AD141=1,T141&lt;&gt;""),IF(AND(T141&gt;=AsOf,T141&lt;=AsOf+AlertDays),1,0),0)</f>
        <v/>
      </c>
      <c r="AG141" s="79">
        <f>IF(Y141="Order now",1,0)</f>
        <v/>
      </c>
      <c r="AH141" s="79">
        <f>IF(OR(Y141="⚠️ Order late — install at risk",Y141="⚠️ Delivery after install date"),1,0)</f>
        <v/>
      </c>
      <c r="AI141" s="79">
        <f>IF(AND(B141&lt;&gt;"",K141&lt;&gt;"",U141&lt;&gt;"Yes",X141&lt;&gt;"Yes"),1,0)</f>
        <v/>
      </c>
      <c r="AJ141" s="79">
        <f>IF(Y141="⚠️ Order late — install at risk",1,0)</f>
        <v/>
      </c>
    </row>
    <row r="142" ht="20" customHeight="1">
      <c r="B142" s="72" t="n"/>
      <c r="C142" s="72" t="n"/>
      <c r="D142" s="72" t="n"/>
      <c r="E142" s="72" t="n"/>
      <c r="F142" s="73" t="n"/>
      <c r="G142" s="72" t="n"/>
      <c r="H142" s="73" t="n"/>
      <c r="I142" s="72" t="n"/>
      <c r="J142" s="73" t="n"/>
      <c r="K142" s="74" t="n"/>
      <c r="L142" s="75">
        <f>IF(K142="A",F142,IF(K142="B",H142,IF(K142="C",J142,"")))</f>
        <v/>
      </c>
      <c r="M142" s="72" t="n"/>
      <c r="N142" s="72" t="n"/>
      <c r="O142" s="89" t="n"/>
      <c r="P142" s="89" t="n"/>
      <c r="Q142" s="108" t="n"/>
      <c r="R142" s="120">
        <f>IF(B142="","",IF(Q142&lt;&gt;"",Q142,IF(P142="","",IFERROR(INDEX('Timeline'!$J$7:$J$156,MATCH(P142,'Timeline'!$B$7:$B$156,0)),""))))</f>
        <v/>
      </c>
      <c r="S142" s="126">
        <f>IF(R142="","",R142-IF(O142="",0,O142)-OrderBuf)</f>
        <v/>
      </c>
      <c r="T142" s="126">
        <f>IF(S142="","",S142-DecideBuf)</f>
        <v/>
      </c>
      <c r="U142" s="74" t="n"/>
      <c r="V142" s="108" t="n"/>
      <c r="W142" s="108" t="n"/>
      <c r="X142" s="74" t="n"/>
      <c r="Y142" s="115">
        <f>IF(B142="","",IF(X142="Yes","Delivered",IF(U142="Yes",IF(AND(W142&lt;&gt;"",R142&lt;&gt;""),IF(W142&gt;R142,"⚠️ Delivery after install date","Ordered"),"Ordered"),IF(K142="",IF(T142="","Waiting for decision",IF(T142&lt;=AsOf+AlertDays,"Decide now","Waiting for decision")),IF(S142="","Selected",IF(AsOf&gt;S142,"⚠️ Order late — install at risk",IF(S142&lt;=AsOf+AlertDays,"Order now","Selected")))))))</f>
        <v/>
      </c>
      <c r="Z142" s="79">
        <f>IF(B142="","",IF(OR(AH142=1,AE142=1),2,IF(OR(AG142=1,AF142=1),1,IF(OR(Y142="Ordered",Y142="Delivered"),0,""))))</f>
        <v/>
      </c>
      <c r="AA142" s="111">
        <f>IF(B142="","",IF(AH142=1,IF(Y142="⚠️ Delivery after install date",R142,S142),IF(AD142=1,T142,IF(AI142=1,S142,""))))</f>
        <v/>
      </c>
      <c r="AB142" s="79">
        <f>IF(AA142="","",IF(AH142=1,1,IF(AA142="","",IF(AA142&lt;AsOf,1,IF(AA142&lt;=AsOf+AlertDays,2,IF(AA142&lt;=AsOf+2*AlertDays,3,""))))))</f>
        <v/>
      </c>
      <c r="AC142" s="79">
        <f>IF(AB142="","",IF(AH142=1,IF(Y142="⚠️ Delivery after install date","Delivery after install date: "&amp;B142,"Order late — install at risk: "&amp;B142),IF(AD142=1,IF(AB142=1,"Decision overdue: ","Decide: ")&amp;B142,"Order: "&amp;B142&amp;IF(N142="",""," from "&amp;N142))))</f>
        <v/>
      </c>
      <c r="AD142" s="79">
        <f>IF(AND(B142&lt;&gt;"",K142="",U142&lt;&gt;"Yes",X142&lt;&gt;"Yes"),1,0)</f>
        <v/>
      </c>
      <c r="AE142" s="79">
        <f>IF(AND(AD142=1,T142&lt;&gt;""),IF(T142&lt;AsOf,1,0),0)</f>
        <v/>
      </c>
      <c r="AF142" s="79">
        <f>IF(AND(AD142=1,T142&lt;&gt;""),IF(AND(T142&gt;=AsOf,T142&lt;=AsOf+AlertDays),1,0),0)</f>
        <v/>
      </c>
      <c r="AG142" s="79">
        <f>IF(Y142="Order now",1,0)</f>
        <v/>
      </c>
      <c r="AH142" s="79">
        <f>IF(OR(Y142="⚠️ Order late — install at risk",Y142="⚠️ Delivery after install date"),1,0)</f>
        <v/>
      </c>
      <c r="AI142" s="79">
        <f>IF(AND(B142&lt;&gt;"",K142&lt;&gt;"",U142&lt;&gt;"Yes",X142&lt;&gt;"Yes"),1,0)</f>
        <v/>
      </c>
      <c r="AJ142" s="79">
        <f>IF(Y142="⚠️ Order late — install at risk",1,0)</f>
        <v/>
      </c>
    </row>
    <row r="143" ht="20" customHeight="1">
      <c r="B143" s="72" t="n"/>
      <c r="C143" s="72" t="n"/>
      <c r="D143" s="72" t="n"/>
      <c r="E143" s="72" t="n"/>
      <c r="F143" s="73" t="n"/>
      <c r="G143" s="72" t="n"/>
      <c r="H143" s="73" t="n"/>
      <c r="I143" s="72" t="n"/>
      <c r="J143" s="73" t="n"/>
      <c r="K143" s="74" t="n"/>
      <c r="L143" s="75">
        <f>IF(K143="A",F143,IF(K143="B",H143,IF(K143="C",J143,"")))</f>
        <v/>
      </c>
      <c r="M143" s="72" t="n"/>
      <c r="N143" s="72" t="n"/>
      <c r="O143" s="89" t="n"/>
      <c r="P143" s="89" t="n"/>
      <c r="Q143" s="108" t="n"/>
      <c r="R143" s="120">
        <f>IF(B143="","",IF(Q143&lt;&gt;"",Q143,IF(P143="","",IFERROR(INDEX('Timeline'!$J$7:$J$156,MATCH(P143,'Timeline'!$B$7:$B$156,0)),""))))</f>
        <v/>
      </c>
      <c r="S143" s="126">
        <f>IF(R143="","",R143-IF(O143="",0,O143)-OrderBuf)</f>
        <v/>
      </c>
      <c r="T143" s="126">
        <f>IF(S143="","",S143-DecideBuf)</f>
        <v/>
      </c>
      <c r="U143" s="74" t="n"/>
      <c r="V143" s="108" t="n"/>
      <c r="W143" s="108" t="n"/>
      <c r="X143" s="74" t="n"/>
      <c r="Y143" s="115">
        <f>IF(B143="","",IF(X143="Yes","Delivered",IF(U143="Yes",IF(AND(W143&lt;&gt;"",R143&lt;&gt;""),IF(W143&gt;R143,"⚠️ Delivery after install date","Ordered"),"Ordered"),IF(K143="",IF(T143="","Waiting for decision",IF(T143&lt;=AsOf+AlertDays,"Decide now","Waiting for decision")),IF(S143="","Selected",IF(AsOf&gt;S143,"⚠️ Order late — install at risk",IF(S143&lt;=AsOf+AlertDays,"Order now","Selected")))))))</f>
        <v/>
      </c>
      <c r="Z143" s="79">
        <f>IF(B143="","",IF(OR(AH143=1,AE143=1),2,IF(OR(AG143=1,AF143=1),1,IF(OR(Y143="Ordered",Y143="Delivered"),0,""))))</f>
        <v/>
      </c>
      <c r="AA143" s="111">
        <f>IF(B143="","",IF(AH143=1,IF(Y143="⚠️ Delivery after install date",R143,S143),IF(AD143=1,T143,IF(AI143=1,S143,""))))</f>
        <v/>
      </c>
      <c r="AB143" s="79">
        <f>IF(AA143="","",IF(AH143=1,1,IF(AA143="","",IF(AA143&lt;AsOf,1,IF(AA143&lt;=AsOf+AlertDays,2,IF(AA143&lt;=AsOf+2*AlertDays,3,""))))))</f>
        <v/>
      </c>
      <c r="AC143" s="79">
        <f>IF(AB143="","",IF(AH143=1,IF(Y143="⚠️ Delivery after install date","Delivery after install date: "&amp;B143,"Order late — install at risk: "&amp;B143),IF(AD143=1,IF(AB143=1,"Decision overdue: ","Decide: ")&amp;B143,"Order: "&amp;B143&amp;IF(N143="",""," from "&amp;N143))))</f>
        <v/>
      </c>
      <c r="AD143" s="79">
        <f>IF(AND(B143&lt;&gt;"",K143="",U143&lt;&gt;"Yes",X143&lt;&gt;"Yes"),1,0)</f>
        <v/>
      </c>
      <c r="AE143" s="79">
        <f>IF(AND(AD143=1,T143&lt;&gt;""),IF(T143&lt;AsOf,1,0),0)</f>
        <v/>
      </c>
      <c r="AF143" s="79">
        <f>IF(AND(AD143=1,T143&lt;&gt;""),IF(AND(T143&gt;=AsOf,T143&lt;=AsOf+AlertDays),1,0),0)</f>
        <v/>
      </c>
      <c r="AG143" s="79">
        <f>IF(Y143="Order now",1,0)</f>
        <v/>
      </c>
      <c r="AH143" s="79">
        <f>IF(OR(Y143="⚠️ Order late — install at risk",Y143="⚠️ Delivery after install date"),1,0)</f>
        <v/>
      </c>
      <c r="AI143" s="79">
        <f>IF(AND(B143&lt;&gt;"",K143&lt;&gt;"",U143&lt;&gt;"Yes",X143&lt;&gt;"Yes"),1,0)</f>
        <v/>
      </c>
      <c r="AJ143" s="79">
        <f>IF(Y143="⚠️ Order late — install at risk",1,0)</f>
        <v/>
      </c>
    </row>
    <row r="144" ht="20" customHeight="1">
      <c r="B144" s="72" t="n"/>
      <c r="C144" s="72" t="n"/>
      <c r="D144" s="72" t="n"/>
      <c r="E144" s="72" t="n"/>
      <c r="F144" s="73" t="n"/>
      <c r="G144" s="72" t="n"/>
      <c r="H144" s="73" t="n"/>
      <c r="I144" s="72" t="n"/>
      <c r="J144" s="73" t="n"/>
      <c r="K144" s="74" t="n"/>
      <c r="L144" s="75">
        <f>IF(K144="A",F144,IF(K144="B",H144,IF(K144="C",J144,"")))</f>
        <v/>
      </c>
      <c r="M144" s="72" t="n"/>
      <c r="N144" s="72" t="n"/>
      <c r="O144" s="89" t="n"/>
      <c r="P144" s="89" t="n"/>
      <c r="Q144" s="108" t="n"/>
      <c r="R144" s="120">
        <f>IF(B144="","",IF(Q144&lt;&gt;"",Q144,IF(P144="","",IFERROR(INDEX('Timeline'!$J$7:$J$156,MATCH(P144,'Timeline'!$B$7:$B$156,0)),""))))</f>
        <v/>
      </c>
      <c r="S144" s="126">
        <f>IF(R144="","",R144-IF(O144="",0,O144)-OrderBuf)</f>
        <v/>
      </c>
      <c r="T144" s="126">
        <f>IF(S144="","",S144-DecideBuf)</f>
        <v/>
      </c>
      <c r="U144" s="74" t="n"/>
      <c r="V144" s="108" t="n"/>
      <c r="W144" s="108" t="n"/>
      <c r="X144" s="74" t="n"/>
      <c r="Y144" s="115">
        <f>IF(B144="","",IF(X144="Yes","Delivered",IF(U144="Yes",IF(AND(W144&lt;&gt;"",R144&lt;&gt;""),IF(W144&gt;R144,"⚠️ Delivery after install date","Ordered"),"Ordered"),IF(K144="",IF(T144="","Waiting for decision",IF(T144&lt;=AsOf+AlertDays,"Decide now","Waiting for decision")),IF(S144="","Selected",IF(AsOf&gt;S144,"⚠️ Order late — install at risk",IF(S144&lt;=AsOf+AlertDays,"Order now","Selected")))))))</f>
        <v/>
      </c>
      <c r="Z144" s="79">
        <f>IF(B144="","",IF(OR(AH144=1,AE144=1),2,IF(OR(AG144=1,AF144=1),1,IF(OR(Y144="Ordered",Y144="Delivered"),0,""))))</f>
        <v/>
      </c>
      <c r="AA144" s="111">
        <f>IF(B144="","",IF(AH144=1,IF(Y144="⚠️ Delivery after install date",R144,S144),IF(AD144=1,T144,IF(AI144=1,S144,""))))</f>
        <v/>
      </c>
      <c r="AB144" s="79">
        <f>IF(AA144="","",IF(AH144=1,1,IF(AA144="","",IF(AA144&lt;AsOf,1,IF(AA144&lt;=AsOf+AlertDays,2,IF(AA144&lt;=AsOf+2*AlertDays,3,""))))))</f>
        <v/>
      </c>
      <c r="AC144" s="79">
        <f>IF(AB144="","",IF(AH144=1,IF(Y144="⚠️ Delivery after install date","Delivery after install date: "&amp;B144,"Order late — install at risk: "&amp;B144),IF(AD144=1,IF(AB144=1,"Decision overdue: ","Decide: ")&amp;B144,"Order: "&amp;B144&amp;IF(N144="",""," from "&amp;N144))))</f>
        <v/>
      </c>
      <c r="AD144" s="79">
        <f>IF(AND(B144&lt;&gt;"",K144="",U144&lt;&gt;"Yes",X144&lt;&gt;"Yes"),1,0)</f>
        <v/>
      </c>
      <c r="AE144" s="79">
        <f>IF(AND(AD144=1,T144&lt;&gt;""),IF(T144&lt;AsOf,1,0),0)</f>
        <v/>
      </c>
      <c r="AF144" s="79">
        <f>IF(AND(AD144=1,T144&lt;&gt;""),IF(AND(T144&gt;=AsOf,T144&lt;=AsOf+AlertDays),1,0),0)</f>
        <v/>
      </c>
      <c r="AG144" s="79">
        <f>IF(Y144="Order now",1,0)</f>
        <v/>
      </c>
      <c r="AH144" s="79">
        <f>IF(OR(Y144="⚠️ Order late — install at risk",Y144="⚠️ Delivery after install date"),1,0)</f>
        <v/>
      </c>
      <c r="AI144" s="79">
        <f>IF(AND(B144&lt;&gt;"",K144&lt;&gt;"",U144&lt;&gt;"Yes",X144&lt;&gt;"Yes"),1,0)</f>
        <v/>
      </c>
      <c r="AJ144" s="79">
        <f>IF(Y144="⚠️ Order late — install at risk",1,0)</f>
        <v/>
      </c>
    </row>
    <row r="145" ht="20" customHeight="1">
      <c r="B145" s="72" t="n"/>
      <c r="C145" s="72" t="n"/>
      <c r="D145" s="72" t="n"/>
      <c r="E145" s="72" t="n"/>
      <c r="F145" s="73" t="n"/>
      <c r="G145" s="72" t="n"/>
      <c r="H145" s="73" t="n"/>
      <c r="I145" s="72" t="n"/>
      <c r="J145" s="73" t="n"/>
      <c r="K145" s="74" t="n"/>
      <c r="L145" s="75">
        <f>IF(K145="A",F145,IF(K145="B",H145,IF(K145="C",J145,"")))</f>
        <v/>
      </c>
      <c r="M145" s="72" t="n"/>
      <c r="N145" s="72" t="n"/>
      <c r="O145" s="89" t="n"/>
      <c r="P145" s="89" t="n"/>
      <c r="Q145" s="108" t="n"/>
      <c r="R145" s="120">
        <f>IF(B145="","",IF(Q145&lt;&gt;"",Q145,IF(P145="","",IFERROR(INDEX('Timeline'!$J$7:$J$156,MATCH(P145,'Timeline'!$B$7:$B$156,0)),""))))</f>
        <v/>
      </c>
      <c r="S145" s="126">
        <f>IF(R145="","",R145-IF(O145="",0,O145)-OrderBuf)</f>
        <v/>
      </c>
      <c r="T145" s="126">
        <f>IF(S145="","",S145-DecideBuf)</f>
        <v/>
      </c>
      <c r="U145" s="74" t="n"/>
      <c r="V145" s="108" t="n"/>
      <c r="W145" s="108" t="n"/>
      <c r="X145" s="74" t="n"/>
      <c r="Y145" s="115">
        <f>IF(B145="","",IF(X145="Yes","Delivered",IF(U145="Yes",IF(AND(W145&lt;&gt;"",R145&lt;&gt;""),IF(W145&gt;R145,"⚠️ Delivery after install date","Ordered"),"Ordered"),IF(K145="",IF(T145="","Waiting for decision",IF(T145&lt;=AsOf+AlertDays,"Decide now","Waiting for decision")),IF(S145="","Selected",IF(AsOf&gt;S145,"⚠️ Order late — install at risk",IF(S145&lt;=AsOf+AlertDays,"Order now","Selected")))))))</f>
        <v/>
      </c>
      <c r="Z145" s="79">
        <f>IF(B145="","",IF(OR(AH145=1,AE145=1),2,IF(OR(AG145=1,AF145=1),1,IF(OR(Y145="Ordered",Y145="Delivered"),0,""))))</f>
        <v/>
      </c>
      <c r="AA145" s="111">
        <f>IF(B145="","",IF(AH145=1,IF(Y145="⚠️ Delivery after install date",R145,S145),IF(AD145=1,T145,IF(AI145=1,S145,""))))</f>
        <v/>
      </c>
      <c r="AB145" s="79">
        <f>IF(AA145="","",IF(AH145=1,1,IF(AA145="","",IF(AA145&lt;AsOf,1,IF(AA145&lt;=AsOf+AlertDays,2,IF(AA145&lt;=AsOf+2*AlertDays,3,""))))))</f>
        <v/>
      </c>
      <c r="AC145" s="79">
        <f>IF(AB145="","",IF(AH145=1,IF(Y145="⚠️ Delivery after install date","Delivery after install date: "&amp;B145,"Order late — install at risk: "&amp;B145),IF(AD145=1,IF(AB145=1,"Decision overdue: ","Decide: ")&amp;B145,"Order: "&amp;B145&amp;IF(N145="",""," from "&amp;N145))))</f>
        <v/>
      </c>
      <c r="AD145" s="79">
        <f>IF(AND(B145&lt;&gt;"",K145="",U145&lt;&gt;"Yes",X145&lt;&gt;"Yes"),1,0)</f>
        <v/>
      </c>
      <c r="AE145" s="79">
        <f>IF(AND(AD145=1,T145&lt;&gt;""),IF(T145&lt;AsOf,1,0),0)</f>
        <v/>
      </c>
      <c r="AF145" s="79">
        <f>IF(AND(AD145=1,T145&lt;&gt;""),IF(AND(T145&gt;=AsOf,T145&lt;=AsOf+AlertDays),1,0),0)</f>
        <v/>
      </c>
      <c r="AG145" s="79">
        <f>IF(Y145="Order now",1,0)</f>
        <v/>
      </c>
      <c r="AH145" s="79">
        <f>IF(OR(Y145="⚠️ Order late — install at risk",Y145="⚠️ Delivery after install date"),1,0)</f>
        <v/>
      </c>
      <c r="AI145" s="79">
        <f>IF(AND(B145&lt;&gt;"",K145&lt;&gt;"",U145&lt;&gt;"Yes",X145&lt;&gt;"Yes"),1,0)</f>
        <v/>
      </c>
      <c r="AJ145" s="79">
        <f>IF(Y145="⚠️ Order late — install at risk",1,0)</f>
        <v/>
      </c>
    </row>
    <row r="146" ht="20" customHeight="1">
      <c r="B146" s="72" t="n"/>
      <c r="C146" s="72" t="n"/>
      <c r="D146" s="72" t="n"/>
      <c r="E146" s="72" t="n"/>
      <c r="F146" s="73" t="n"/>
      <c r="G146" s="72" t="n"/>
      <c r="H146" s="73" t="n"/>
      <c r="I146" s="72" t="n"/>
      <c r="J146" s="73" t="n"/>
      <c r="K146" s="74" t="n"/>
      <c r="L146" s="75">
        <f>IF(K146="A",F146,IF(K146="B",H146,IF(K146="C",J146,"")))</f>
        <v/>
      </c>
      <c r="M146" s="72" t="n"/>
      <c r="N146" s="72" t="n"/>
      <c r="O146" s="89" t="n"/>
      <c r="P146" s="89" t="n"/>
      <c r="Q146" s="108" t="n"/>
      <c r="R146" s="120">
        <f>IF(B146="","",IF(Q146&lt;&gt;"",Q146,IF(P146="","",IFERROR(INDEX('Timeline'!$J$7:$J$156,MATCH(P146,'Timeline'!$B$7:$B$156,0)),""))))</f>
        <v/>
      </c>
      <c r="S146" s="126">
        <f>IF(R146="","",R146-IF(O146="",0,O146)-OrderBuf)</f>
        <v/>
      </c>
      <c r="T146" s="126">
        <f>IF(S146="","",S146-DecideBuf)</f>
        <v/>
      </c>
      <c r="U146" s="74" t="n"/>
      <c r="V146" s="108" t="n"/>
      <c r="W146" s="108" t="n"/>
      <c r="X146" s="74" t="n"/>
      <c r="Y146" s="115">
        <f>IF(B146="","",IF(X146="Yes","Delivered",IF(U146="Yes",IF(AND(W146&lt;&gt;"",R146&lt;&gt;""),IF(W146&gt;R146,"⚠️ Delivery after install date","Ordered"),"Ordered"),IF(K146="",IF(T146="","Waiting for decision",IF(T146&lt;=AsOf+AlertDays,"Decide now","Waiting for decision")),IF(S146="","Selected",IF(AsOf&gt;S146,"⚠️ Order late — install at risk",IF(S146&lt;=AsOf+AlertDays,"Order now","Selected")))))))</f>
        <v/>
      </c>
      <c r="Z146" s="79">
        <f>IF(B146="","",IF(OR(AH146=1,AE146=1),2,IF(OR(AG146=1,AF146=1),1,IF(OR(Y146="Ordered",Y146="Delivered"),0,""))))</f>
        <v/>
      </c>
      <c r="AA146" s="111">
        <f>IF(B146="","",IF(AH146=1,IF(Y146="⚠️ Delivery after install date",R146,S146),IF(AD146=1,T146,IF(AI146=1,S146,""))))</f>
        <v/>
      </c>
      <c r="AB146" s="79">
        <f>IF(AA146="","",IF(AH146=1,1,IF(AA146="","",IF(AA146&lt;AsOf,1,IF(AA146&lt;=AsOf+AlertDays,2,IF(AA146&lt;=AsOf+2*AlertDays,3,""))))))</f>
        <v/>
      </c>
      <c r="AC146" s="79">
        <f>IF(AB146="","",IF(AH146=1,IF(Y146="⚠️ Delivery after install date","Delivery after install date: "&amp;B146,"Order late — install at risk: "&amp;B146),IF(AD146=1,IF(AB146=1,"Decision overdue: ","Decide: ")&amp;B146,"Order: "&amp;B146&amp;IF(N146="",""," from "&amp;N146))))</f>
        <v/>
      </c>
      <c r="AD146" s="79">
        <f>IF(AND(B146&lt;&gt;"",K146="",U146&lt;&gt;"Yes",X146&lt;&gt;"Yes"),1,0)</f>
        <v/>
      </c>
      <c r="AE146" s="79">
        <f>IF(AND(AD146=1,T146&lt;&gt;""),IF(T146&lt;AsOf,1,0),0)</f>
        <v/>
      </c>
      <c r="AF146" s="79">
        <f>IF(AND(AD146=1,T146&lt;&gt;""),IF(AND(T146&gt;=AsOf,T146&lt;=AsOf+AlertDays),1,0),0)</f>
        <v/>
      </c>
      <c r="AG146" s="79">
        <f>IF(Y146="Order now",1,0)</f>
        <v/>
      </c>
      <c r="AH146" s="79">
        <f>IF(OR(Y146="⚠️ Order late — install at risk",Y146="⚠️ Delivery after install date"),1,0)</f>
        <v/>
      </c>
      <c r="AI146" s="79">
        <f>IF(AND(B146&lt;&gt;"",K146&lt;&gt;"",U146&lt;&gt;"Yes",X146&lt;&gt;"Yes"),1,0)</f>
        <v/>
      </c>
      <c r="AJ146" s="79">
        <f>IF(Y146="⚠️ Order late — install at risk",1,0)</f>
        <v/>
      </c>
    </row>
    <row r="147" ht="20" customHeight="1">
      <c r="B147" s="72" t="n"/>
      <c r="C147" s="72" t="n"/>
      <c r="D147" s="72" t="n"/>
      <c r="E147" s="72" t="n"/>
      <c r="F147" s="73" t="n"/>
      <c r="G147" s="72" t="n"/>
      <c r="H147" s="73" t="n"/>
      <c r="I147" s="72" t="n"/>
      <c r="J147" s="73" t="n"/>
      <c r="K147" s="74" t="n"/>
      <c r="L147" s="75">
        <f>IF(K147="A",F147,IF(K147="B",H147,IF(K147="C",J147,"")))</f>
        <v/>
      </c>
      <c r="M147" s="72" t="n"/>
      <c r="N147" s="72" t="n"/>
      <c r="O147" s="89" t="n"/>
      <c r="P147" s="89" t="n"/>
      <c r="Q147" s="108" t="n"/>
      <c r="R147" s="120">
        <f>IF(B147="","",IF(Q147&lt;&gt;"",Q147,IF(P147="","",IFERROR(INDEX('Timeline'!$J$7:$J$156,MATCH(P147,'Timeline'!$B$7:$B$156,0)),""))))</f>
        <v/>
      </c>
      <c r="S147" s="126">
        <f>IF(R147="","",R147-IF(O147="",0,O147)-OrderBuf)</f>
        <v/>
      </c>
      <c r="T147" s="126">
        <f>IF(S147="","",S147-DecideBuf)</f>
        <v/>
      </c>
      <c r="U147" s="74" t="n"/>
      <c r="V147" s="108" t="n"/>
      <c r="W147" s="108" t="n"/>
      <c r="X147" s="74" t="n"/>
      <c r="Y147" s="115">
        <f>IF(B147="","",IF(X147="Yes","Delivered",IF(U147="Yes",IF(AND(W147&lt;&gt;"",R147&lt;&gt;""),IF(W147&gt;R147,"⚠️ Delivery after install date","Ordered"),"Ordered"),IF(K147="",IF(T147="","Waiting for decision",IF(T147&lt;=AsOf+AlertDays,"Decide now","Waiting for decision")),IF(S147="","Selected",IF(AsOf&gt;S147,"⚠️ Order late — install at risk",IF(S147&lt;=AsOf+AlertDays,"Order now","Selected")))))))</f>
        <v/>
      </c>
      <c r="Z147" s="79">
        <f>IF(B147="","",IF(OR(AH147=1,AE147=1),2,IF(OR(AG147=1,AF147=1),1,IF(OR(Y147="Ordered",Y147="Delivered"),0,""))))</f>
        <v/>
      </c>
      <c r="AA147" s="111">
        <f>IF(B147="","",IF(AH147=1,IF(Y147="⚠️ Delivery after install date",R147,S147),IF(AD147=1,T147,IF(AI147=1,S147,""))))</f>
        <v/>
      </c>
      <c r="AB147" s="79">
        <f>IF(AA147="","",IF(AH147=1,1,IF(AA147="","",IF(AA147&lt;AsOf,1,IF(AA147&lt;=AsOf+AlertDays,2,IF(AA147&lt;=AsOf+2*AlertDays,3,""))))))</f>
        <v/>
      </c>
      <c r="AC147" s="79">
        <f>IF(AB147="","",IF(AH147=1,IF(Y147="⚠️ Delivery after install date","Delivery after install date: "&amp;B147,"Order late — install at risk: "&amp;B147),IF(AD147=1,IF(AB147=1,"Decision overdue: ","Decide: ")&amp;B147,"Order: "&amp;B147&amp;IF(N147="",""," from "&amp;N147))))</f>
        <v/>
      </c>
      <c r="AD147" s="79">
        <f>IF(AND(B147&lt;&gt;"",K147="",U147&lt;&gt;"Yes",X147&lt;&gt;"Yes"),1,0)</f>
        <v/>
      </c>
      <c r="AE147" s="79">
        <f>IF(AND(AD147=1,T147&lt;&gt;""),IF(T147&lt;AsOf,1,0),0)</f>
        <v/>
      </c>
      <c r="AF147" s="79">
        <f>IF(AND(AD147=1,T147&lt;&gt;""),IF(AND(T147&gt;=AsOf,T147&lt;=AsOf+AlertDays),1,0),0)</f>
        <v/>
      </c>
      <c r="AG147" s="79">
        <f>IF(Y147="Order now",1,0)</f>
        <v/>
      </c>
      <c r="AH147" s="79">
        <f>IF(OR(Y147="⚠️ Order late — install at risk",Y147="⚠️ Delivery after install date"),1,0)</f>
        <v/>
      </c>
      <c r="AI147" s="79">
        <f>IF(AND(B147&lt;&gt;"",K147&lt;&gt;"",U147&lt;&gt;"Yes",X147&lt;&gt;"Yes"),1,0)</f>
        <v/>
      </c>
      <c r="AJ147" s="79">
        <f>IF(Y147="⚠️ Order late — install at risk",1,0)</f>
        <v/>
      </c>
    </row>
    <row r="148" ht="20" customHeight="1">
      <c r="B148" s="72" t="n"/>
      <c r="C148" s="72" t="n"/>
      <c r="D148" s="72" t="n"/>
      <c r="E148" s="72" t="n"/>
      <c r="F148" s="73" t="n"/>
      <c r="G148" s="72" t="n"/>
      <c r="H148" s="73" t="n"/>
      <c r="I148" s="72" t="n"/>
      <c r="J148" s="73" t="n"/>
      <c r="K148" s="74" t="n"/>
      <c r="L148" s="75">
        <f>IF(K148="A",F148,IF(K148="B",H148,IF(K148="C",J148,"")))</f>
        <v/>
      </c>
      <c r="M148" s="72" t="n"/>
      <c r="N148" s="72" t="n"/>
      <c r="O148" s="89" t="n"/>
      <c r="P148" s="89" t="n"/>
      <c r="Q148" s="108" t="n"/>
      <c r="R148" s="120">
        <f>IF(B148="","",IF(Q148&lt;&gt;"",Q148,IF(P148="","",IFERROR(INDEX('Timeline'!$J$7:$J$156,MATCH(P148,'Timeline'!$B$7:$B$156,0)),""))))</f>
        <v/>
      </c>
      <c r="S148" s="126">
        <f>IF(R148="","",R148-IF(O148="",0,O148)-OrderBuf)</f>
        <v/>
      </c>
      <c r="T148" s="126">
        <f>IF(S148="","",S148-DecideBuf)</f>
        <v/>
      </c>
      <c r="U148" s="74" t="n"/>
      <c r="V148" s="108" t="n"/>
      <c r="W148" s="108" t="n"/>
      <c r="X148" s="74" t="n"/>
      <c r="Y148" s="115">
        <f>IF(B148="","",IF(X148="Yes","Delivered",IF(U148="Yes",IF(AND(W148&lt;&gt;"",R148&lt;&gt;""),IF(W148&gt;R148,"⚠️ Delivery after install date","Ordered"),"Ordered"),IF(K148="",IF(T148="","Waiting for decision",IF(T148&lt;=AsOf+AlertDays,"Decide now","Waiting for decision")),IF(S148="","Selected",IF(AsOf&gt;S148,"⚠️ Order late — install at risk",IF(S148&lt;=AsOf+AlertDays,"Order now","Selected")))))))</f>
        <v/>
      </c>
      <c r="Z148" s="79">
        <f>IF(B148="","",IF(OR(AH148=1,AE148=1),2,IF(OR(AG148=1,AF148=1),1,IF(OR(Y148="Ordered",Y148="Delivered"),0,""))))</f>
        <v/>
      </c>
      <c r="AA148" s="111">
        <f>IF(B148="","",IF(AH148=1,IF(Y148="⚠️ Delivery after install date",R148,S148),IF(AD148=1,T148,IF(AI148=1,S148,""))))</f>
        <v/>
      </c>
      <c r="AB148" s="79">
        <f>IF(AA148="","",IF(AH148=1,1,IF(AA148="","",IF(AA148&lt;AsOf,1,IF(AA148&lt;=AsOf+AlertDays,2,IF(AA148&lt;=AsOf+2*AlertDays,3,""))))))</f>
        <v/>
      </c>
      <c r="AC148" s="79">
        <f>IF(AB148="","",IF(AH148=1,IF(Y148="⚠️ Delivery after install date","Delivery after install date: "&amp;B148,"Order late — install at risk: "&amp;B148),IF(AD148=1,IF(AB148=1,"Decision overdue: ","Decide: ")&amp;B148,"Order: "&amp;B148&amp;IF(N148="",""," from "&amp;N148))))</f>
        <v/>
      </c>
      <c r="AD148" s="79">
        <f>IF(AND(B148&lt;&gt;"",K148="",U148&lt;&gt;"Yes",X148&lt;&gt;"Yes"),1,0)</f>
        <v/>
      </c>
      <c r="AE148" s="79">
        <f>IF(AND(AD148=1,T148&lt;&gt;""),IF(T148&lt;AsOf,1,0),0)</f>
        <v/>
      </c>
      <c r="AF148" s="79">
        <f>IF(AND(AD148=1,T148&lt;&gt;""),IF(AND(T148&gt;=AsOf,T148&lt;=AsOf+AlertDays),1,0),0)</f>
        <v/>
      </c>
      <c r="AG148" s="79">
        <f>IF(Y148="Order now",1,0)</f>
        <v/>
      </c>
      <c r="AH148" s="79">
        <f>IF(OR(Y148="⚠️ Order late — install at risk",Y148="⚠️ Delivery after install date"),1,0)</f>
        <v/>
      </c>
      <c r="AI148" s="79">
        <f>IF(AND(B148&lt;&gt;"",K148&lt;&gt;"",U148&lt;&gt;"Yes",X148&lt;&gt;"Yes"),1,0)</f>
        <v/>
      </c>
      <c r="AJ148" s="79">
        <f>IF(Y148="⚠️ Order late — install at risk",1,0)</f>
        <v/>
      </c>
    </row>
    <row r="149" ht="20" customHeight="1">
      <c r="B149" s="72" t="n"/>
      <c r="C149" s="72" t="n"/>
      <c r="D149" s="72" t="n"/>
      <c r="E149" s="72" t="n"/>
      <c r="F149" s="73" t="n"/>
      <c r="G149" s="72" t="n"/>
      <c r="H149" s="73" t="n"/>
      <c r="I149" s="72" t="n"/>
      <c r="J149" s="73" t="n"/>
      <c r="K149" s="74" t="n"/>
      <c r="L149" s="75">
        <f>IF(K149="A",F149,IF(K149="B",H149,IF(K149="C",J149,"")))</f>
        <v/>
      </c>
      <c r="M149" s="72" t="n"/>
      <c r="N149" s="72" t="n"/>
      <c r="O149" s="89" t="n"/>
      <c r="P149" s="89" t="n"/>
      <c r="Q149" s="108" t="n"/>
      <c r="R149" s="120">
        <f>IF(B149="","",IF(Q149&lt;&gt;"",Q149,IF(P149="","",IFERROR(INDEX('Timeline'!$J$7:$J$156,MATCH(P149,'Timeline'!$B$7:$B$156,0)),""))))</f>
        <v/>
      </c>
      <c r="S149" s="126">
        <f>IF(R149="","",R149-IF(O149="",0,O149)-OrderBuf)</f>
        <v/>
      </c>
      <c r="T149" s="126">
        <f>IF(S149="","",S149-DecideBuf)</f>
        <v/>
      </c>
      <c r="U149" s="74" t="n"/>
      <c r="V149" s="108" t="n"/>
      <c r="W149" s="108" t="n"/>
      <c r="X149" s="74" t="n"/>
      <c r="Y149" s="115">
        <f>IF(B149="","",IF(X149="Yes","Delivered",IF(U149="Yes",IF(AND(W149&lt;&gt;"",R149&lt;&gt;""),IF(W149&gt;R149,"⚠️ Delivery after install date","Ordered"),"Ordered"),IF(K149="",IF(T149="","Waiting for decision",IF(T149&lt;=AsOf+AlertDays,"Decide now","Waiting for decision")),IF(S149="","Selected",IF(AsOf&gt;S149,"⚠️ Order late — install at risk",IF(S149&lt;=AsOf+AlertDays,"Order now","Selected")))))))</f>
        <v/>
      </c>
      <c r="Z149" s="79">
        <f>IF(B149="","",IF(OR(AH149=1,AE149=1),2,IF(OR(AG149=1,AF149=1),1,IF(OR(Y149="Ordered",Y149="Delivered"),0,""))))</f>
        <v/>
      </c>
      <c r="AA149" s="111">
        <f>IF(B149="","",IF(AH149=1,IF(Y149="⚠️ Delivery after install date",R149,S149),IF(AD149=1,T149,IF(AI149=1,S149,""))))</f>
        <v/>
      </c>
      <c r="AB149" s="79">
        <f>IF(AA149="","",IF(AH149=1,1,IF(AA149="","",IF(AA149&lt;AsOf,1,IF(AA149&lt;=AsOf+AlertDays,2,IF(AA149&lt;=AsOf+2*AlertDays,3,""))))))</f>
        <v/>
      </c>
      <c r="AC149" s="79">
        <f>IF(AB149="","",IF(AH149=1,IF(Y149="⚠️ Delivery after install date","Delivery after install date: "&amp;B149,"Order late — install at risk: "&amp;B149),IF(AD149=1,IF(AB149=1,"Decision overdue: ","Decide: ")&amp;B149,"Order: "&amp;B149&amp;IF(N149="",""," from "&amp;N149))))</f>
        <v/>
      </c>
      <c r="AD149" s="79">
        <f>IF(AND(B149&lt;&gt;"",K149="",U149&lt;&gt;"Yes",X149&lt;&gt;"Yes"),1,0)</f>
        <v/>
      </c>
      <c r="AE149" s="79">
        <f>IF(AND(AD149=1,T149&lt;&gt;""),IF(T149&lt;AsOf,1,0),0)</f>
        <v/>
      </c>
      <c r="AF149" s="79">
        <f>IF(AND(AD149=1,T149&lt;&gt;""),IF(AND(T149&gt;=AsOf,T149&lt;=AsOf+AlertDays),1,0),0)</f>
        <v/>
      </c>
      <c r="AG149" s="79">
        <f>IF(Y149="Order now",1,0)</f>
        <v/>
      </c>
      <c r="AH149" s="79">
        <f>IF(OR(Y149="⚠️ Order late — install at risk",Y149="⚠️ Delivery after install date"),1,0)</f>
        <v/>
      </c>
      <c r="AI149" s="79">
        <f>IF(AND(B149&lt;&gt;"",K149&lt;&gt;"",U149&lt;&gt;"Yes",X149&lt;&gt;"Yes"),1,0)</f>
        <v/>
      </c>
      <c r="AJ149" s="79">
        <f>IF(Y149="⚠️ Order late — install at risk",1,0)</f>
        <v/>
      </c>
    </row>
    <row r="150" ht="20" customHeight="1">
      <c r="B150" s="72" t="n"/>
      <c r="C150" s="72" t="n"/>
      <c r="D150" s="72" t="n"/>
      <c r="E150" s="72" t="n"/>
      <c r="F150" s="73" t="n"/>
      <c r="G150" s="72" t="n"/>
      <c r="H150" s="73" t="n"/>
      <c r="I150" s="72" t="n"/>
      <c r="J150" s="73" t="n"/>
      <c r="K150" s="74" t="n"/>
      <c r="L150" s="75">
        <f>IF(K150="A",F150,IF(K150="B",H150,IF(K150="C",J150,"")))</f>
        <v/>
      </c>
      <c r="M150" s="72" t="n"/>
      <c r="N150" s="72" t="n"/>
      <c r="O150" s="89" t="n"/>
      <c r="P150" s="89" t="n"/>
      <c r="Q150" s="108" t="n"/>
      <c r="R150" s="120">
        <f>IF(B150="","",IF(Q150&lt;&gt;"",Q150,IF(P150="","",IFERROR(INDEX('Timeline'!$J$7:$J$156,MATCH(P150,'Timeline'!$B$7:$B$156,0)),""))))</f>
        <v/>
      </c>
      <c r="S150" s="126">
        <f>IF(R150="","",R150-IF(O150="",0,O150)-OrderBuf)</f>
        <v/>
      </c>
      <c r="T150" s="126">
        <f>IF(S150="","",S150-DecideBuf)</f>
        <v/>
      </c>
      <c r="U150" s="74" t="n"/>
      <c r="V150" s="108" t="n"/>
      <c r="W150" s="108" t="n"/>
      <c r="X150" s="74" t="n"/>
      <c r="Y150" s="115">
        <f>IF(B150="","",IF(X150="Yes","Delivered",IF(U150="Yes",IF(AND(W150&lt;&gt;"",R150&lt;&gt;""),IF(W150&gt;R150,"⚠️ Delivery after install date","Ordered"),"Ordered"),IF(K150="",IF(T150="","Waiting for decision",IF(T150&lt;=AsOf+AlertDays,"Decide now","Waiting for decision")),IF(S150="","Selected",IF(AsOf&gt;S150,"⚠️ Order late — install at risk",IF(S150&lt;=AsOf+AlertDays,"Order now","Selected")))))))</f>
        <v/>
      </c>
      <c r="Z150" s="79">
        <f>IF(B150="","",IF(OR(AH150=1,AE150=1),2,IF(OR(AG150=1,AF150=1),1,IF(OR(Y150="Ordered",Y150="Delivered"),0,""))))</f>
        <v/>
      </c>
      <c r="AA150" s="111">
        <f>IF(B150="","",IF(AH150=1,IF(Y150="⚠️ Delivery after install date",R150,S150),IF(AD150=1,T150,IF(AI150=1,S150,""))))</f>
        <v/>
      </c>
      <c r="AB150" s="79">
        <f>IF(AA150="","",IF(AH150=1,1,IF(AA150="","",IF(AA150&lt;AsOf,1,IF(AA150&lt;=AsOf+AlertDays,2,IF(AA150&lt;=AsOf+2*AlertDays,3,""))))))</f>
        <v/>
      </c>
      <c r="AC150" s="79">
        <f>IF(AB150="","",IF(AH150=1,IF(Y150="⚠️ Delivery after install date","Delivery after install date: "&amp;B150,"Order late — install at risk: "&amp;B150),IF(AD150=1,IF(AB150=1,"Decision overdue: ","Decide: ")&amp;B150,"Order: "&amp;B150&amp;IF(N150="",""," from "&amp;N150))))</f>
        <v/>
      </c>
      <c r="AD150" s="79">
        <f>IF(AND(B150&lt;&gt;"",K150="",U150&lt;&gt;"Yes",X150&lt;&gt;"Yes"),1,0)</f>
        <v/>
      </c>
      <c r="AE150" s="79">
        <f>IF(AND(AD150=1,T150&lt;&gt;""),IF(T150&lt;AsOf,1,0),0)</f>
        <v/>
      </c>
      <c r="AF150" s="79">
        <f>IF(AND(AD150=1,T150&lt;&gt;""),IF(AND(T150&gt;=AsOf,T150&lt;=AsOf+AlertDays),1,0),0)</f>
        <v/>
      </c>
      <c r="AG150" s="79">
        <f>IF(Y150="Order now",1,0)</f>
        <v/>
      </c>
      <c r="AH150" s="79">
        <f>IF(OR(Y150="⚠️ Order late — install at risk",Y150="⚠️ Delivery after install date"),1,0)</f>
        <v/>
      </c>
      <c r="AI150" s="79">
        <f>IF(AND(B150&lt;&gt;"",K150&lt;&gt;"",U150&lt;&gt;"Yes",X150&lt;&gt;"Yes"),1,0)</f>
        <v/>
      </c>
      <c r="AJ150" s="79">
        <f>IF(Y150="⚠️ Order late — install at risk",1,0)</f>
        <v/>
      </c>
    </row>
    <row r="151" ht="20" customHeight="1">
      <c r="B151" s="72" t="n"/>
      <c r="C151" s="72" t="n"/>
      <c r="D151" s="72" t="n"/>
      <c r="E151" s="72" t="n"/>
      <c r="F151" s="73" t="n"/>
      <c r="G151" s="72" t="n"/>
      <c r="H151" s="73" t="n"/>
      <c r="I151" s="72" t="n"/>
      <c r="J151" s="73" t="n"/>
      <c r="K151" s="74" t="n"/>
      <c r="L151" s="75">
        <f>IF(K151="A",F151,IF(K151="B",H151,IF(K151="C",J151,"")))</f>
        <v/>
      </c>
      <c r="M151" s="72" t="n"/>
      <c r="N151" s="72" t="n"/>
      <c r="O151" s="89" t="n"/>
      <c r="P151" s="89" t="n"/>
      <c r="Q151" s="108" t="n"/>
      <c r="R151" s="120">
        <f>IF(B151="","",IF(Q151&lt;&gt;"",Q151,IF(P151="","",IFERROR(INDEX('Timeline'!$J$7:$J$156,MATCH(P151,'Timeline'!$B$7:$B$156,0)),""))))</f>
        <v/>
      </c>
      <c r="S151" s="126">
        <f>IF(R151="","",R151-IF(O151="",0,O151)-OrderBuf)</f>
        <v/>
      </c>
      <c r="T151" s="126">
        <f>IF(S151="","",S151-DecideBuf)</f>
        <v/>
      </c>
      <c r="U151" s="74" t="n"/>
      <c r="V151" s="108" t="n"/>
      <c r="W151" s="108" t="n"/>
      <c r="X151" s="74" t="n"/>
      <c r="Y151" s="115">
        <f>IF(B151="","",IF(X151="Yes","Delivered",IF(U151="Yes",IF(AND(W151&lt;&gt;"",R151&lt;&gt;""),IF(W151&gt;R151,"⚠️ Delivery after install date","Ordered"),"Ordered"),IF(K151="",IF(T151="","Waiting for decision",IF(T151&lt;=AsOf+AlertDays,"Decide now","Waiting for decision")),IF(S151="","Selected",IF(AsOf&gt;S151,"⚠️ Order late — install at risk",IF(S151&lt;=AsOf+AlertDays,"Order now","Selected")))))))</f>
        <v/>
      </c>
      <c r="Z151" s="79">
        <f>IF(B151="","",IF(OR(AH151=1,AE151=1),2,IF(OR(AG151=1,AF151=1),1,IF(OR(Y151="Ordered",Y151="Delivered"),0,""))))</f>
        <v/>
      </c>
      <c r="AA151" s="111">
        <f>IF(B151="","",IF(AH151=1,IF(Y151="⚠️ Delivery after install date",R151,S151),IF(AD151=1,T151,IF(AI151=1,S151,""))))</f>
        <v/>
      </c>
      <c r="AB151" s="79">
        <f>IF(AA151="","",IF(AH151=1,1,IF(AA151="","",IF(AA151&lt;AsOf,1,IF(AA151&lt;=AsOf+AlertDays,2,IF(AA151&lt;=AsOf+2*AlertDays,3,""))))))</f>
        <v/>
      </c>
      <c r="AC151" s="79">
        <f>IF(AB151="","",IF(AH151=1,IF(Y151="⚠️ Delivery after install date","Delivery after install date: "&amp;B151,"Order late — install at risk: "&amp;B151),IF(AD151=1,IF(AB151=1,"Decision overdue: ","Decide: ")&amp;B151,"Order: "&amp;B151&amp;IF(N151="",""," from "&amp;N151))))</f>
        <v/>
      </c>
      <c r="AD151" s="79">
        <f>IF(AND(B151&lt;&gt;"",K151="",U151&lt;&gt;"Yes",X151&lt;&gt;"Yes"),1,0)</f>
        <v/>
      </c>
      <c r="AE151" s="79">
        <f>IF(AND(AD151=1,T151&lt;&gt;""),IF(T151&lt;AsOf,1,0),0)</f>
        <v/>
      </c>
      <c r="AF151" s="79">
        <f>IF(AND(AD151=1,T151&lt;&gt;""),IF(AND(T151&gt;=AsOf,T151&lt;=AsOf+AlertDays),1,0),0)</f>
        <v/>
      </c>
      <c r="AG151" s="79">
        <f>IF(Y151="Order now",1,0)</f>
        <v/>
      </c>
      <c r="AH151" s="79">
        <f>IF(OR(Y151="⚠️ Order late — install at risk",Y151="⚠️ Delivery after install date"),1,0)</f>
        <v/>
      </c>
      <c r="AI151" s="79">
        <f>IF(AND(B151&lt;&gt;"",K151&lt;&gt;"",U151&lt;&gt;"Yes",X151&lt;&gt;"Yes"),1,0)</f>
        <v/>
      </c>
      <c r="AJ151" s="79">
        <f>IF(Y151="⚠️ Order late — install at risk",1,0)</f>
        <v/>
      </c>
    </row>
    <row r="152" ht="20" customHeight="1">
      <c r="B152" s="72" t="n"/>
      <c r="C152" s="72" t="n"/>
      <c r="D152" s="72" t="n"/>
      <c r="E152" s="72" t="n"/>
      <c r="F152" s="73" t="n"/>
      <c r="G152" s="72" t="n"/>
      <c r="H152" s="73" t="n"/>
      <c r="I152" s="72" t="n"/>
      <c r="J152" s="73" t="n"/>
      <c r="K152" s="74" t="n"/>
      <c r="L152" s="75">
        <f>IF(K152="A",F152,IF(K152="B",H152,IF(K152="C",J152,"")))</f>
        <v/>
      </c>
      <c r="M152" s="72" t="n"/>
      <c r="N152" s="72" t="n"/>
      <c r="O152" s="89" t="n"/>
      <c r="P152" s="89" t="n"/>
      <c r="Q152" s="108" t="n"/>
      <c r="R152" s="120">
        <f>IF(B152="","",IF(Q152&lt;&gt;"",Q152,IF(P152="","",IFERROR(INDEX('Timeline'!$J$7:$J$156,MATCH(P152,'Timeline'!$B$7:$B$156,0)),""))))</f>
        <v/>
      </c>
      <c r="S152" s="126">
        <f>IF(R152="","",R152-IF(O152="",0,O152)-OrderBuf)</f>
        <v/>
      </c>
      <c r="T152" s="126">
        <f>IF(S152="","",S152-DecideBuf)</f>
        <v/>
      </c>
      <c r="U152" s="74" t="n"/>
      <c r="V152" s="108" t="n"/>
      <c r="W152" s="108" t="n"/>
      <c r="X152" s="74" t="n"/>
      <c r="Y152" s="115">
        <f>IF(B152="","",IF(X152="Yes","Delivered",IF(U152="Yes",IF(AND(W152&lt;&gt;"",R152&lt;&gt;""),IF(W152&gt;R152,"⚠️ Delivery after install date","Ordered"),"Ordered"),IF(K152="",IF(T152="","Waiting for decision",IF(T152&lt;=AsOf+AlertDays,"Decide now","Waiting for decision")),IF(S152="","Selected",IF(AsOf&gt;S152,"⚠️ Order late — install at risk",IF(S152&lt;=AsOf+AlertDays,"Order now","Selected")))))))</f>
        <v/>
      </c>
      <c r="Z152" s="79">
        <f>IF(B152="","",IF(OR(AH152=1,AE152=1),2,IF(OR(AG152=1,AF152=1),1,IF(OR(Y152="Ordered",Y152="Delivered"),0,""))))</f>
        <v/>
      </c>
      <c r="AA152" s="111">
        <f>IF(B152="","",IF(AH152=1,IF(Y152="⚠️ Delivery after install date",R152,S152),IF(AD152=1,T152,IF(AI152=1,S152,""))))</f>
        <v/>
      </c>
      <c r="AB152" s="79">
        <f>IF(AA152="","",IF(AH152=1,1,IF(AA152="","",IF(AA152&lt;AsOf,1,IF(AA152&lt;=AsOf+AlertDays,2,IF(AA152&lt;=AsOf+2*AlertDays,3,""))))))</f>
        <v/>
      </c>
      <c r="AC152" s="79">
        <f>IF(AB152="","",IF(AH152=1,IF(Y152="⚠️ Delivery after install date","Delivery after install date: "&amp;B152,"Order late — install at risk: "&amp;B152),IF(AD152=1,IF(AB152=1,"Decision overdue: ","Decide: ")&amp;B152,"Order: "&amp;B152&amp;IF(N152="",""," from "&amp;N152))))</f>
        <v/>
      </c>
      <c r="AD152" s="79">
        <f>IF(AND(B152&lt;&gt;"",K152="",U152&lt;&gt;"Yes",X152&lt;&gt;"Yes"),1,0)</f>
        <v/>
      </c>
      <c r="AE152" s="79">
        <f>IF(AND(AD152=1,T152&lt;&gt;""),IF(T152&lt;AsOf,1,0),0)</f>
        <v/>
      </c>
      <c r="AF152" s="79">
        <f>IF(AND(AD152=1,T152&lt;&gt;""),IF(AND(T152&gt;=AsOf,T152&lt;=AsOf+AlertDays),1,0),0)</f>
        <v/>
      </c>
      <c r="AG152" s="79">
        <f>IF(Y152="Order now",1,0)</f>
        <v/>
      </c>
      <c r="AH152" s="79">
        <f>IF(OR(Y152="⚠️ Order late — install at risk",Y152="⚠️ Delivery after install date"),1,0)</f>
        <v/>
      </c>
      <c r="AI152" s="79">
        <f>IF(AND(B152&lt;&gt;"",K152&lt;&gt;"",U152&lt;&gt;"Yes",X152&lt;&gt;"Yes"),1,0)</f>
        <v/>
      </c>
      <c r="AJ152" s="79">
        <f>IF(Y152="⚠️ Order late — install at risk",1,0)</f>
        <v/>
      </c>
    </row>
    <row r="153" ht="20" customHeight="1">
      <c r="B153" s="72" t="n"/>
      <c r="C153" s="72" t="n"/>
      <c r="D153" s="72" t="n"/>
      <c r="E153" s="72" t="n"/>
      <c r="F153" s="73" t="n"/>
      <c r="G153" s="72" t="n"/>
      <c r="H153" s="73" t="n"/>
      <c r="I153" s="72" t="n"/>
      <c r="J153" s="73" t="n"/>
      <c r="K153" s="74" t="n"/>
      <c r="L153" s="75">
        <f>IF(K153="A",F153,IF(K153="B",H153,IF(K153="C",J153,"")))</f>
        <v/>
      </c>
      <c r="M153" s="72" t="n"/>
      <c r="N153" s="72" t="n"/>
      <c r="O153" s="89" t="n"/>
      <c r="P153" s="89" t="n"/>
      <c r="Q153" s="108" t="n"/>
      <c r="R153" s="120">
        <f>IF(B153="","",IF(Q153&lt;&gt;"",Q153,IF(P153="","",IFERROR(INDEX('Timeline'!$J$7:$J$156,MATCH(P153,'Timeline'!$B$7:$B$156,0)),""))))</f>
        <v/>
      </c>
      <c r="S153" s="126">
        <f>IF(R153="","",R153-IF(O153="",0,O153)-OrderBuf)</f>
        <v/>
      </c>
      <c r="T153" s="126">
        <f>IF(S153="","",S153-DecideBuf)</f>
        <v/>
      </c>
      <c r="U153" s="74" t="n"/>
      <c r="V153" s="108" t="n"/>
      <c r="W153" s="108" t="n"/>
      <c r="X153" s="74" t="n"/>
      <c r="Y153" s="115">
        <f>IF(B153="","",IF(X153="Yes","Delivered",IF(U153="Yes",IF(AND(W153&lt;&gt;"",R153&lt;&gt;""),IF(W153&gt;R153,"⚠️ Delivery after install date","Ordered"),"Ordered"),IF(K153="",IF(T153="","Waiting for decision",IF(T153&lt;=AsOf+AlertDays,"Decide now","Waiting for decision")),IF(S153="","Selected",IF(AsOf&gt;S153,"⚠️ Order late — install at risk",IF(S153&lt;=AsOf+AlertDays,"Order now","Selected")))))))</f>
        <v/>
      </c>
      <c r="Z153" s="79">
        <f>IF(B153="","",IF(OR(AH153=1,AE153=1),2,IF(OR(AG153=1,AF153=1),1,IF(OR(Y153="Ordered",Y153="Delivered"),0,""))))</f>
        <v/>
      </c>
      <c r="AA153" s="111">
        <f>IF(B153="","",IF(AH153=1,IF(Y153="⚠️ Delivery after install date",R153,S153),IF(AD153=1,T153,IF(AI153=1,S153,""))))</f>
        <v/>
      </c>
      <c r="AB153" s="79">
        <f>IF(AA153="","",IF(AH153=1,1,IF(AA153="","",IF(AA153&lt;AsOf,1,IF(AA153&lt;=AsOf+AlertDays,2,IF(AA153&lt;=AsOf+2*AlertDays,3,""))))))</f>
        <v/>
      </c>
      <c r="AC153" s="79">
        <f>IF(AB153="","",IF(AH153=1,IF(Y153="⚠️ Delivery after install date","Delivery after install date: "&amp;B153,"Order late — install at risk: "&amp;B153),IF(AD153=1,IF(AB153=1,"Decision overdue: ","Decide: ")&amp;B153,"Order: "&amp;B153&amp;IF(N153="",""," from "&amp;N153))))</f>
        <v/>
      </c>
      <c r="AD153" s="79">
        <f>IF(AND(B153&lt;&gt;"",K153="",U153&lt;&gt;"Yes",X153&lt;&gt;"Yes"),1,0)</f>
        <v/>
      </c>
      <c r="AE153" s="79">
        <f>IF(AND(AD153=1,T153&lt;&gt;""),IF(T153&lt;AsOf,1,0),0)</f>
        <v/>
      </c>
      <c r="AF153" s="79">
        <f>IF(AND(AD153=1,T153&lt;&gt;""),IF(AND(T153&gt;=AsOf,T153&lt;=AsOf+AlertDays),1,0),0)</f>
        <v/>
      </c>
      <c r="AG153" s="79">
        <f>IF(Y153="Order now",1,0)</f>
        <v/>
      </c>
      <c r="AH153" s="79">
        <f>IF(OR(Y153="⚠️ Order late — install at risk",Y153="⚠️ Delivery after install date"),1,0)</f>
        <v/>
      </c>
      <c r="AI153" s="79">
        <f>IF(AND(B153&lt;&gt;"",K153&lt;&gt;"",U153&lt;&gt;"Yes",X153&lt;&gt;"Yes"),1,0)</f>
        <v/>
      </c>
      <c r="AJ153" s="79">
        <f>IF(Y153="⚠️ Order late — install at risk",1,0)</f>
        <v/>
      </c>
    </row>
    <row r="154" ht="20" customHeight="1">
      <c r="B154" s="72" t="n"/>
      <c r="C154" s="72" t="n"/>
      <c r="D154" s="72" t="n"/>
      <c r="E154" s="72" t="n"/>
      <c r="F154" s="73" t="n"/>
      <c r="G154" s="72" t="n"/>
      <c r="H154" s="73" t="n"/>
      <c r="I154" s="72" t="n"/>
      <c r="J154" s="73" t="n"/>
      <c r="K154" s="74" t="n"/>
      <c r="L154" s="75">
        <f>IF(K154="A",F154,IF(K154="B",H154,IF(K154="C",J154,"")))</f>
        <v/>
      </c>
      <c r="M154" s="72" t="n"/>
      <c r="N154" s="72" t="n"/>
      <c r="O154" s="89" t="n"/>
      <c r="P154" s="89" t="n"/>
      <c r="Q154" s="108" t="n"/>
      <c r="R154" s="120">
        <f>IF(B154="","",IF(Q154&lt;&gt;"",Q154,IF(P154="","",IFERROR(INDEX('Timeline'!$J$7:$J$156,MATCH(P154,'Timeline'!$B$7:$B$156,0)),""))))</f>
        <v/>
      </c>
      <c r="S154" s="126">
        <f>IF(R154="","",R154-IF(O154="",0,O154)-OrderBuf)</f>
        <v/>
      </c>
      <c r="T154" s="126">
        <f>IF(S154="","",S154-DecideBuf)</f>
        <v/>
      </c>
      <c r="U154" s="74" t="n"/>
      <c r="V154" s="108" t="n"/>
      <c r="W154" s="108" t="n"/>
      <c r="X154" s="74" t="n"/>
      <c r="Y154" s="115">
        <f>IF(B154="","",IF(X154="Yes","Delivered",IF(U154="Yes",IF(AND(W154&lt;&gt;"",R154&lt;&gt;""),IF(W154&gt;R154,"⚠️ Delivery after install date","Ordered"),"Ordered"),IF(K154="",IF(T154="","Waiting for decision",IF(T154&lt;=AsOf+AlertDays,"Decide now","Waiting for decision")),IF(S154="","Selected",IF(AsOf&gt;S154,"⚠️ Order late — install at risk",IF(S154&lt;=AsOf+AlertDays,"Order now","Selected")))))))</f>
        <v/>
      </c>
      <c r="Z154" s="79">
        <f>IF(B154="","",IF(OR(AH154=1,AE154=1),2,IF(OR(AG154=1,AF154=1),1,IF(OR(Y154="Ordered",Y154="Delivered"),0,""))))</f>
        <v/>
      </c>
      <c r="AA154" s="111">
        <f>IF(B154="","",IF(AH154=1,IF(Y154="⚠️ Delivery after install date",R154,S154),IF(AD154=1,T154,IF(AI154=1,S154,""))))</f>
        <v/>
      </c>
      <c r="AB154" s="79">
        <f>IF(AA154="","",IF(AH154=1,1,IF(AA154="","",IF(AA154&lt;AsOf,1,IF(AA154&lt;=AsOf+AlertDays,2,IF(AA154&lt;=AsOf+2*AlertDays,3,""))))))</f>
        <v/>
      </c>
      <c r="AC154" s="79">
        <f>IF(AB154="","",IF(AH154=1,IF(Y154="⚠️ Delivery after install date","Delivery after install date: "&amp;B154,"Order late — install at risk: "&amp;B154),IF(AD154=1,IF(AB154=1,"Decision overdue: ","Decide: ")&amp;B154,"Order: "&amp;B154&amp;IF(N154="",""," from "&amp;N154))))</f>
        <v/>
      </c>
      <c r="AD154" s="79">
        <f>IF(AND(B154&lt;&gt;"",K154="",U154&lt;&gt;"Yes",X154&lt;&gt;"Yes"),1,0)</f>
        <v/>
      </c>
      <c r="AE154" s="79">
        <f>IF(AND(AD154=1,T154&lt;&gt;""),IF(T154&lt;AsOf,1,0),0)</f>
        <v/>
      </c>
      <c r="AF154" s="79">
        <f>IF(AND(AD154=1,T154&lt;&gt;""),IF(AND(T154&gt;=AsOf,T154&lt;=AsOf+AlertDays),1,0),0)</f>
        <v/>
      </c>
      <c r="AG154" s="79">
        <f>IF(Y154="Order now",1,0)</f>
        <v/>
      </c>
      <c r="AH154" s="79">
        <f>IF(OR(Y154="⚠️ Order late — install at risk",Y154="⚠️ Delivery after install date"),1,0)</f>
        <v/>
      </c>
      <c r="AI154" s="79">
        <f>IF(AND(B154&lt;&gt;"",K154&lt;&gt;"",U154&lt;&gt;"Yes",X154&lt;&gt;"Yes"),1,0)</f>
        <v/>
      </c>
      <c r="AJ154" s="79">
        <f>IF(Y154="⚠️ Order late — install at risk",1,0)</f>
        <v/>
      </c>
    </row>
    <row r="155" ht="20" customHeight="1">
      <c r="B155" s="72" t="n"/>
      <c r="C155" s="72" t="n"/>
      <c r="D155" s="72" t="n"/>
      <c r="E155" s="72" t="n"/>
      <c r="F155" s="73" t="n"/>
      <c r="G155" s="72" t="n"/>
      <c r="H155" s="73" t="n"/>
      <c r="I155" s="72" t="n"/>
      <c r="J155" s="73" t="n"/>
      <c r="K155" s="74" t="n"/>
      <c r="L155" s="75">
        <f>IF(K155="A",F155,IF(K155="B",H155,IF(K155="C",J155,"")))</f>
        <v/>
      </c>
      <c r="M155" s="72" t="n"/>
      <c r="N155" s="72" t="n"/>
      <c r="O155" s="89" t="n"/>
      <c r="P155" s="89" t="n"/>
      <c r="Q155" s="108" t="n"/>
      <c r="R155" s="120">
        <f>IF(B155="","",IF(Q155&lt;&gt;"",Q155,IF(P155="","",IFERROR(INDEX('Timeline'!$J$7:$J$156,MATCH(P155,'Timeline'!$B$7:$B$156,0)),""))))</f>
        <v/>
      </c>
      <c r="S155" s="126">
        <f>IF(R155="","",R155-IF(O155="",0,O155)-OrderBuf)</f>
        <v/>
      </c>
      <c r="T155" s="126">
        <f>IF(S155="","",S155-DecideBuf)</f>
        <v/>
      </c>
      <c r="U155" s="74" t="n"/>
      <c r="V155" s="108" t="n"/>
      <c r="W155" s="108" t="n"/>
      <c r="X155" s="74" t="n"/>
      <c r="Y155" s="115">
        <f>IF(B155="","",IF(X155="Yes","Delivered",IF(U155="Yes",IF(AND(W155&lt;&gt;"",R155&lt;&gt;""),IF(W155&gt;R155,"⚠️ Delivery after install date","Ordered"),"Ordered"),IF(K155="",IF(T155="","Waiting for decision",IF(T155&lt;=AsOf+AlertDays,"Decide now","Waiting for decision")),IF(S155="","Selected",IF(AsOf&gt;S155,"⚠️ Order late — install at risk",IF(S155&lt;=AsOf+AlertDays,"Order now","Selected")))))))</f>
        <v/>
      </c>
      <c r="Z155" s="79">
        <f>IF(B155="","",IF(OR(AH155=1,AE155=1),2,IF(OR(AG155=1,AF155=1),1,IF(OR(Y155="Ordered",Y155="Delivered"),0,""))))</f>
        <v/>
      </c>
      <c r="AA155" s="111">
        <f>IF(B155="","",IF(AH155=1,IF(Y155="⚠️ Delivery after install date",R155,S155),IF(AD155=1,T155,IF(AI155=1,S155,""))))</f>
        <v/>
      </c>
      <c r="AB155" s="79">
        <f>IF(AA155="","",IF(AH155=1,1,IF(AA155="","",IF(AA155&lt;AsOf,1,IF(AA155&lt;=AsOf+AlertDays,2,IF(AA155&lt;=AsOf+2*AlertDays,3,""))))))</f>
        <v/>
      </c>
      <c r="AC155" s="79">
        <f>IF(AB155="","",IF(AH155=1,IF(Y155="⚠️ Delivery after install date","Delivery after install date: "&amp;B155,"Order late — install at risk: "&amp;B155),IF(AD155=1,IF(AB155=1,"Decision overdue: ","Decide: ")&amp;B155,"Order: "&amp;B155&amp;IF(N155="",""," from "&amp;N155))))</f>
        <v/>
      </c>
      <c r="AD155" s="79">
        <f>IF(AND(B155&lt;&gt;"",K155="",U155&lt;&gt;"Yes",X155&lt;&gt;"Yes"),1,0)</f>
        <v/>
      </c>
      <c r="AE155" s="79">
        <f>IF(AND(AD155=1,T155&lt;&gt;""),IF(T155&lt;AsOf,1,0),0)</f>
        <v/>
      </c>
      <c r="AF155" s="79">
        <f>IF(AND(AD155=1,T155&lt;&gt;""),IF(AND(T155&gt;=AsOf,T155&lt;=AsOf+AlertDays),1,0),0)</f>
        <v/>
      </c>
      <c r="AG155" s="79">
        <f>IF(Y155="Order now",1,0)</f>
        <v/>
      </c>
      <c r="AH155" s="79">
        <f>IF(OR(Y155="⚠️ Order late — install at risk",Y155="⚠️ Delivery after install date"),1,0)</f>
        <v/>
      </c>
      <c r="AI155" s="79">
        <f>IF(AND(B155&lt;&gt;"",K155&lt;&gt;"",U155&lt;&gt;"Yes",X155&lt;&gt;"Yes"),1,0)</f>
        <v/>
      </c>
      <c r="AJ155" s="79">
        <f>IF(Y155="⚠️ Order late — install at risk",1,0)</f>
        <v/>
      </c>
    </row>
    <row r="156" ht="20" customHeight="1">
      <c r="B156" s="72" t="n"/>
      <c r="C156" s="72" t="n"/>
      <c r="D156" s="72" t="n"/>
      <c r="E156" s="72" t="n"/>
      <c r="F156" s="73" t="n"/>
      <c r="G156" s="72" t="n"/>
      <c r="H156" s="73" t="n"/>
      <c r="I156" s="72" t="n"/>
      <c r="J156" s="73" t="n"/>
      <c r="K156" s="74" t="n"/>
      <c r="L156" s="75">
        <f>IF(K156="A",F156,IF(K156="B",H156,IF(K156="C",J156,"")))</f>
        <v/>
      </c>
      <c r="M156" s="72" t="n"/>
      <c r="N156" s="72" t="n"/>
      <c r="O156" s="89" t="n"/>
      <c r="P156" s="89" t="n"/>
      <c r="Q156" s="108" t="n"/>
      <c r="R156" s="120">
        <f>IF(B156="","",IF(Q156&lt;&gt;"",Q156,IF(P156="","",IFERROR(INDEX('Timeline'!$J$7:$J$156,MATCH(P156,'Timeline'!$B$7:$B$156,0)),""))))</f>
        <v/>
      </c>
      <c r="S156" s="126">
        <f>IF(R156="","",R156-IF(O156="",0,O156)-OrderBuf)</f>
        <v/>
      </c>
      <c r="T156" s="126">
        <f>IF(S156="","",S156-DecideBuf)</f>
        <v/>
      </c>
      <c r="U156" s="74" t="n"/>
      <c r="V156" s="108" t="n"/>
      <c r="W156" s="108" t="n"/>
      <c r="X156" s="74" t="n"/>
      <c r="Y156" s="115">
        <f>IF(B156="","",IF(X156="Yes","Delivered",IF(U156="Yes",IF(AND(W156&lt;&gt;"",R156&lt;&gt;""),IF(W156&gt;R156,"⚠️ Delivery after install date","Ordered"),"Ordered"),IF(K156="",IF(T156="","Waiting for decision",IF(T156&lt;=AsOf+AlertDays,"Decide now","Waiting for decision")),IF(S156="","Selected",IF(AsOf&gt;S156,"⚠️ Order late — install at risk",IF(S156&lt;=AsOf+AlertDays,"Order now","Selected")))))))</f>
        <v/>
      </c>
      <c r="Z156" s="79">
        <f>IF(B156="","",IF(OR(AH156=1,AE156=1),2,IF(OR(AG156=1,AF156=1),1,IF(OR(Y156="Ordered",Y156="Delivered"),0,""))))</f>
        <v/>
      </c>
      <c r="AA156" s="111">
        <f>IF(B156="","",IF(AH156=1,IF(Y156="⚠️ Delivery after install date",R156,S156),IF(AD156=1,T156,IF(AI156=1,S156,""))))</f>
        <v/>
      </c>
      <c r="AB156" s="79">
        <f>IF(AA156="","",IF(AH156=1,1,IF(AA156="","",IF(AA156&lt;AsOf,1,IF(AA156&lt;=AsOf+AlertDays,2,IF(AA156&lt;=AsOf+2*AlertDays,3,""))))))</f>
        <v/>
      </c>
      <c r="AC156" s="79">
        <f>IF(AB156="","",IF(AH156=1,IF(Y156="⚠️ Delivery after install date","Delivery after install date: "&amp;B156,"Order late — install at risk: "&amp;B156),IF(AD156=1,IF(AB156=1,"Decision overdue: ","Decide: ")&amp;B156,"Order: "&amp;B156&amp;IF(N156="",""," from "&amp;N156))))</f>
        <v/>
      </c>
      <c r="AD156" s="79">
        <f>IF(AND(B156&lt;&gt;"",K156="",U156&lt;&gt;"Yes",X156&lt;&gt;"Yes"),1,0)</f>
        <v/>
      </c>
      <c r="AE156" s="79">
        <f>IF(AND(AD156=1,T156&lt;&gt;""),IF(T156&lt;AsOf,1,0),0)</f>
        <v/>
      </c>
      <c r="AF156" s="79">
        <f>IF(AND(AD156=1,T156&lt;&gt;""),IF(AND(T156&gt;=AsOf,T156&lt;=AsOf+AlertDays),1,0),0)</f>
        <v/>
      </c>
      <c r="AG156" s="79">
        <f>IF(Y156="Order now",1,0)</f>
        <v/>
      </c>
      <c r="AH156" s="79">
        <f>IF(OR(Y156="⚠️ Order late — install at risk",Y156="⚠️ Delivery after install date"),1,0)</f>
        <v/>
      </c>
      <c r="AI156" s="79">
        <f>IF(AND(B156&lt;&gt;"",K156&lt;&gt;"",U156&lt;&gt;"Yes",X156&lt;&gt;"Yes"),1,0)</f>
        <v/>
      </c>
      <c r="AJ156" s="79">
        <f>IF(Y156="⚠️ Order late — install at risk",1,0)</f>
        <v/>
      </c>
    </row>
    <row r="157" ht="20" customHeight="1">
      <c r="B157" s="72" t="n"/>
      <c r="C157" s="72" t="n"/>
      <c r="D157" s="72" t="n"/>
      <c r="E157" s="72" t="n"/>
      <c r="F157" s="73" t="n"/>
      <c r="G157" s="72" t="n"/>
      <c r="H157" s="73" t="n"/>
      <c r="I157" s="72" t="n"/>
      <c r="J157" s="73" t="n"/>
      <c r="K157" s="74" t="n"/>
      <c r="L157" s="75">
        <f>IF(K157="A",F157,IF(K157="B",H157,IF(K157="C",J157,"")))</f>
        <v/>
      </c>
      <c r="M157" s="72" t="n"/>
      <c r="N157" s="72" t="n"/>
      <c r="O157" s="89" t="n"/>
      <c r="P157" s="89" t="n"/>
      <c r="Q157" s="108" t="n"/>
      <c r="R157" s="120">
        <f>IF(B157="","",IF(Q157&lt;&gt;"",Q157,IF(P157="","",IFERROR(INDEX('Timeline'!$J$7:$J$156,MATCH(P157,'Timeline'!$B$7:$B$156,0)),""))))</f>
        <v/>
      </c>
      <c r="S157" s="126">
        <f>IF(R157="","",R157-IF(O157="",0,O157)-OrderBuf)</f>
        <v/>
      </c>
      <c r="T157" s="126">
        <f>IF(S157="","",S157-DecideBuf)</f>
        <v/>
      </c>
      <c r="U157" s="74" t="n"/>
      <c r="V157" s="108" t="n"/>
      <c r="W157" s="108" t="n"/>
      <c r="X157" s="74" t="n"/>
      <c r="Y157" s="115">
        <f>IF(B157="","",IF(X157="Yes","Delivered",IF(U157="Yes",IF(AND(W157&lt;&gt;"",R157&lt;&gt;""),IF(W157&gt;R157,"⚠️ Delivery after install date","Ordered"),"Ordered"),IF(K157="",IF(T157="","Waiting for decision",IF(T157&lt;=AsOf+AlertDays,"Decide now","Waiting for decision")),IF(S157="","Selected",IF(AsOf&gt;S157,"⚠️ Order late — install at risk",IF(S157&lt;=AsOf+AlertDays,"Order now","Selected")))))))</f>
        <v/>
      </c>
      <c r="Z157" s="79">
        <f>IF(B157="","",IF(OR(AH157=1,AE157=1),2,IF(OR(AG157=1,AF157=1),1,IF(OR(Y157="Ordered",Y157="Delivered"),0,""))))</f>
        <v/>
      </c>
      <c r="AA157" s="111">
        <f>IF(B157="","",IF(AH157=1,IF(Y157="⚠️ Delivery after install date",R157,S157),IF(AD157=1,T157,IF(AI157=1,S157,""))))</f>
        <v/>
      </c>
      <c r="AB157" s="79">
        <f>IF(AA157="","",IF(AH157=1,1,IF(AA157="","",IF(AA157&lt;AsOf,1,IF(AA157&lt;=AsOf+AlertDays,2,IF(AA157&lt;=AsOf+2*AlertDays,3,""))))))</f>
        <v/>
      </c>
      <c r="AC157" s="79">
        <f>IF(AB157="","",IF(AH157=1,IF(Y157="⚠️ Delivery after install date","Delivery after install date: "&amp;B157,"Order late — install at risk: "&amp;B157),IF(AD157=1,IF(AB157=1,"Decision overdue: ","Decide: ")&amp;B157,"Order: "&amp;B157&amp;IF(N157="",""," from "&amp;N157))))</f>
        <v/>
      </c>
      <c r="AD157" s="79">
        <f>IF(AND(B157&lt;&gt;"",K157="",U157&lt;&gt;"Yes",X157&lt;&gt;"Yes"),1,0)</f>
        <v/>
      </c>
      <c r="AE157" s="79">
        <f>IF(AND(AD157=1,T157&lt;&gt;""),IF(T157&lt;AsOf,1,0),0)</f>
        <v/>
      </c>
      <c r="AF157" s="79">
        <f>IF(AND(AD157=1,T157&lt;&gt;""),IF(AND(T157&gt;=AsOf,T157&lt;=AsOf+AlertDays),1,0),0)</f>
        <v/>
      </c>
      <c r="AG157" s="79">
        <f>IF(Y157="Order now",1,0)</f>
        <v/>
      </c>
      <c r="AH157" s="79">
        <f>IF(OR(Y157="⚠️ Order late — install at risk",Y157="⚠️ Delivery after install date"),1,0)</f>
        <v/>
      </c>
      <c r="AI157" s="79">
        <f>IF(AND(B157&lt;&gt;"",K157&lt;&gt;"",U157&lt;&gt;"Yes",X157&lt;&gt;"Yes"),1,0)</f>
        <v/>
      </c>
      <c r="AJ157" s="79">
        <f>IF(Y157="⚠️ Order late — install at risk",1,0)</f>
        <v/>
      </c>
    </row>
  </sheetData>
  <sheetProtection selectLockedCells="1" selectUnlockedCells="0" sheet="1" objects="0" insertRows="1" insertHyperlinks="1" autoFilter="1" scenarios="0" formatColumns="0" deleteColumns="1" insertColumns="1" pivotTables="1" deleteRows="1" formatCells="1" formatRows="0" sort="1" password="CD61"/>
  <mergeCells count="8">
    <mergeCell ref="P5:R5"/>
    <mergeCell ref="E5:G5"/>
    <mergeCell ref="B5:C5"/>
    <mergeCell ref="J4:M4"/>
    <mergeCell ref="E4:G4"/>
    <mergeCell ref="P4:R4"/>
    <mergeCell ref="J5:M5"/>
    <mergeCell ref="B4:C4"/>
  </mergeCells>
  <conditionalFormatting sqref="Y8:Y157">
    <cfRule type="expression" priority="1" dxfId="0" stopIfTrue="0">
      <formula>$Z8=2</formula>
    </cfRule>
    <cfRule type="expression" priority="2" dxfId="2" stopIfTrue="0">
      <formula>$Z8=1</formula>
    </cfRule>
    <cfRule type="expression" priority="3" dxfId="3" stopIfTrue="0">
      <formula>$Z8=0</formula>
    </cfRule>
  </conditionalFormatting>
  <conditionalFormatting sqref="S8:S157">
    <cfRule type="expression" priority="4" dxfId="0" stopIfTrue="0">
      <formula>AND(S8&lt;&gt;"",$Z8=2)</formula>
    </cfRule>
  </conditionalFormatting>
  <conditionalFormatting sqref="T8:T157">
    <cfRule type="expression" priority="5" dxfId="0" stopIfTrue="0">
      <formula>AND(T8&lt;&gt;"",$Z8=2)</formula>
    </cfRule>
  </conditionalFormatting>
  <conditionalFormatting sqref="B5">
    <cfRule type="expression" priority="6" dxfId="2" stopIfTrue="0">
      <formula>B5&gt;0</formula>
    </cfRule>
  </conditionalFormatting>
  <conditionalFormatting sqref="E5">
    <cfRule type="expression" priority="7" dxfId="2" stopIfTrue="0">
      <formula>E5&gt;0</formula>
    </cfRule>
  </conditionalFormatting>
  <conditionalFormatting sqref="J5">
    <cfRule type="expression" priority="8" dxfId="0" stopIfTrue="0">
      <formula>J5&gt;0</formula>
    </cfRule>
  </conditionalFormatting>
  <conditionalFormatting sqref="P5">
    <cfRule type="expression" priority="9" dxfId="0" stopIfTrue="0">
      <formula>P5&gt;0</formula>
    </cfRule>
  </conditionalFormatting>
  <dataValidations count="4">
    <dataValidation sqref="C8:C157" showDropDown="0" showInputMessage="0" showErrorMessage="1" allowBlank="1" errorTitle="Renovation OS" error="Please pick a value from the dropdown list." type="list">
      <formula1>='Lists'!$W$2:$W$12</formula1>
    </dataValidation>
    <dataValidation sqref="D8:D157" showDropDown="0" showInputMessage="0" showErrorMessage="1" allowBlank="1" errorTitle="Renovation OS" error="Please pick a value from the dropdown list." type="list">
      <formula1>='Lists'!$V$2:$V$31</formula1>
    </dataValidation>
    <dataValidation sqref="K8:K157" showDropDown="0" showInputMessage="0" showErrorMessage="1" allowBlank="1" errorTitle="Renovation OS" error="Please pick a value from the dropdown list." type="list">
      <formula1>='Lists'!$N$2:$N$4</formula1>
    </dataValidation>
    <dataValidation sqref="U8:U157 X8:X157" showDropDown="0" showInputMessage="0" showErrorMessage="1" allowBlank="1" errorTitle="Renovation OS" error="Please pick a value from the dropdown list." type="list">
      <formula1>='Lists'!$A$2:$A$3</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E07B00"/>
    <outlinePr summaryBelow="1" summaryRight="1"/>
    <pageSetUpPr/>
  </sheetPr>
  <dimension ref="A1:V207"/>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1" customWidth="1" min="3" max="3"/>
    <col width="12" customWidth="1" min="4" max="4"/>
    <col width="14" customWidth="1" min="5" max="5"/>
    <col width="34" customWidth="1" min="6" max="6"/>
    <col width="20" customWidth="1" min="7" max="7"/>
    <col width="10" customWidth="1" min="8" max="8"/>
    <col width="12" customWidth="1" min="9" max="9"/>
    <col width="26" customWidth="1" min="10" max="10"/>
    <col width="12" customWidth="1" min="11" max="11"/>
    <col width="12"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Issues &amp; Punch List</t>
        </is>
      </c>
    </row>
    <row r="2" ht="20" customHeight="1">
      <c r="B2" s="2" t="inlineStr">
        <is>
          <t>What this tab does: every problem found on site and every snag for the final punch list — with who fixes it, by when, and what it may cost.</t>
        </is>
      </c>
    </row>
    <row r="3">
      <c r="B3" s="3" t="inlineStr">
        <is>
          <t>© 2026 Hang Nguyen — Renovation OS. Licensed to the original purchaser for personal use only. Do not share, copy, resell or redistribute.</t>
        </is>
      </c>
    </row>
    <row r="4">
      <c r="B4" s="27" t="inlineStr">
        <is>
          <t>Open — High</t>
        </is>
      </c>
      <c r="D4" s="27" t="inlineStr">
        <is>
          <t>Open — Medium</t>
        </is>
      </c>
      <c r="F4" s="27" t="inlineStr">
        <is>
          <t>Open — Low</t>
        </is>
      </c>
      <c r="G4" s="27" t="inlineStr">
        <is>
          <t>Open punch items</t>
        </is>
      </c>
      <c r="I4" s="69">
        <f>"Est. cost of open issues ("&amp;CurSym&amp;")"</f>
        <v/>
      </c>
    </row>
    <row r="5" ht="30" customHeight="1">
      <c r="B5" s="143">
        <f>COUNTIFS($O$8:$O$207,1,$H$8:$H$207,"High")</f>
        <v/>
      </c>
      <c r="D5" s="143">
        <f>COUNTIFS($O$8:$O$207,1,$H$8:$H$207,"Medium")</f>
        <v/>
      </c>
      <c r="F5" s="143">
        <f>COUNTIFS($O$8:$O$207,1,$H$8:$H$207,"Low")</f>
        <v/>
      </c>
      <c r="G5" s="143">
        <f>SUM($V$8:$V$207)</f>
        <v/>
      </c>
      <c r="I5" s="144">
        <f>IssuesOpenCost</f>
        <v/>
      </c>
    </row>
    <row r="6"/>
    <row r="7" ht="32" customHeight="1">
      <c r="B7" s="52" t="inlineStr">
        <is>
          <t>#</t>
        </is>
      </c>
      <c r="C7" s="52" t="inlineStr">
        <is>
          <t>Type</t>
        </is>
      </c>
      <c r="D7" s="52" t="inlineStr">
        <is>
          <t>Date found</t>
        </is>
      </c>
      <c r="E7" s="52" t="inlineStr">
        <is>
          <t>Room</t>
        </is>
      </c>
      <c r="F7" s="52" t="inlineStr">
        <is>
          <t>Description</t>
        </is>
      </c>
      <c r="G7" s="52" t="inlineStr">
        <is>
          <t>Responsible</t>
        </is>
      </c>
      <c r="H7" s="52" t="inlineStr">
        <is>
          <t>Severity</t>
        </is>
      </c>
      <c r="I7" s="70">
        <f>"Estimated cost ("&amp;CurSym&amp;")"</f>
        <v/>
      </c>
      <c r="J7" s="52" t="inlineStr">
        <is>
          <t>Next action</t>
        </is>
      </c>
      <c r="K7" s="52" t="inlineStr">
        <is>
          <t>Action date</t>
        </is>
      </c>
      <c r="L7" s="52" t="inlineStr">
        <is>
          <t>Status</t>
        </is>
      </c>
      <c r="M7" s="52" t="inlineStr">
        <is>
          <t>Resolved date</t>
        </is>
      </c>
      <c r="N7" s="52" t="inlineStr">
        <is>
          <t>Photo link</t>
        </is>
      </c>
      <c r="O7" s="71" t="inlineStr">
        <is>
          <t>open</t>
        </is>
      </c>
      <c r="P7" s="71" t="inlineStr">
        <is>
          <t>lvl</t>
        </is>
      </c>
      <c r="Q7" s="71" t="inlineStr">
        <is>
          <t>due</t>
        </is>
      </c>
      <c r="R7" s="71" t="inlineStr">
        <is>
          <t>pri</t>
        </is>
      </c>
      <c r="S7" s="71" t="inlineStr">
        <is>
          <t>text</t>
        </is>
      </c>
      <c r="T7" s="71" t="inlineStr">
        <is>
          <t>open_cost</t>
        </is>
      </c>
      <c r="U7" s="71" t="inlineStr">
        <is>
          <t>open_high</t>
        </is>
      </c>
      <c r="V7" s="71" t="inlineStr">
        <is>
          <t>open_punch</t>
        </is>
      </c>
    </row>
    <row r="8" ht="24" customHeight="1">
      <c r="B8" s="125" t="n">
        <v>1</v>
      </c>
      <c r="C8" s="72" t="inlineStr">
        <is>
          <t>Issue</t>
        </is>
      </c>
      <c r="D8" s="108" t="n">
        <v>46156</v>
      </c>
      <c r="E8" s="72" t="inlineStr">
        <is>
          <t>Living room</t>
        </is>
      </c>
      <c r="F8" s="112" t="inlineStr">
        <is>
          <t>Rotten joist found under living room floor</t>
        </is>
      </c>
      <c r="G8" s="72" t="inlineStr">
        <is>
          <t>Solid Structures Ltd</t>
        </is>
      </c>
      <c r="H8" s="74" t="inlineStr">
        <is>
          <t>High</t>
        </is>
      </c>
      <c r="I8" s="73" t="n">
        <v>1800</v>
      </c>
      <c r="J8" s="112" t="inlineStr">
        <is>
          <t>Engineer to confirm repair method</t>
        </is>
      </c>
      <c r="K8" s="108" t="n">
        <v>46185</v>
      </c>
      <c r="L8" s="72" t="inlineStr">
        <is>
          <t>Open</t>
        </is>
      </c>
      <c r="M8" s="108" t="n"/>
      <c r="N8" s="72" t="n"/>
      <c r="O8" s="79">
        <f>IF(AND(F8&lt;&gt;"",L8&lt;&gt;"Resolved"),1,0)</f>
        <v/>
      </c>
      <c r="P8" s="79">
        <f>IF(F8="","",IF(O8=0,0,IF(H8="High",2,1)))</f>
        <v/>
      </c>
      <c r="Q8" s="111">
        <f>IF(O8=1,IF(K8&lt;&gt;"",K8,IF(H8="High",AsOf,"")),"")</f>
        <v/>
      </c>
      <c r="R8" s="79">
        <f>IF(Q8="","",IF(H8="High",1,IF(Q8="","",IF(Q8&lt;AsOf,1,IF(Q8&lt;=AsOf+AlertDays,2,IF(Q8&lt;=AsOf+2*AlertDays,3,""))))))</f>
        <v/>
      </c>
      <c r="S8" s="79">
        <f>IF(R8="","",IF(H8="High","High-severity issue: ",IF(C8="Punch item","Punch item: ","Issue action due: "))&amp;F8&amp;IF(J8="",""," → "&amp;J8))</f>
        <v/>
      </c>
      <c r="T8" s="79">
        <f>IF(O8=1,IF(I8="",0,I8),0)</f>
        <v/>
      </c>
      <c r="U8" s="79">
        <f>IF(AND(O8=1,H8="High"),1,0)</f>
        <v/>
      </c>
      <c r="V8" s="79">
        <f>IF(AND(O8=1,C8="Punch item"),1,0)</f>
        <v/>
      </c>
    </row>
    <row r="9" ht="24" customHeight="1">
      <c r="B9" s="125" t="n">
        <v>2</v>
      </c>
      <c r="C9" s="72" t="inlineStr">
        <is>
          <t>Issue</t>
        </is>
      </c>
      <c r="D9" s="108" t="n">
        <v>46176</v>
      </c>
      <c r="E9" s="72" t="inlineStr">
        <is>
          <t>Bathroom 1</t>
        </is>
      </c>
      <c r="F9" s="112" t="inlineStr">
        <is>
          <t>Waste pipe routed through planned shower niche</t>
        </is>
      </c>
      <c r="G9" s="72" t="inlineStr">
        <is>
          <t>FlowRight Plumbing</t>
        </is>
      </c>
      <c r="H9" s="74" t="inlineStr">
        <is>
          <t>Medium</t>
        </is>
      </c>
      <c r="I9" s="73" t="n">
        <v>350</v>
      </c>
      <c r="J9" s="112" t="inlineStr">
        <is>
          <t>Site meeting to agree re-route</t>
        </is>
      </c>
      <c r="K9" s="108" t="n">
        <v>46190</v>
      </c>
      <c r="L9" s="72" t="inlineStr">
        <is>
          <t>In progress</t>
        </is>
      </c>
      <c r="M9" s="108" t="n"/>
      <c r="N9" s="72" t="n"/>
      <c r="O9" s="79">
        <f>IF(AND(F9&lt;&gt;"",L9&lt;&gt;"Resolved"),1,0)</f>
        <v/>
      </c>
      <c r="P9" s="79">
        <f>IF(F9="","",IF(O9=0,0,IF(H9="High",2,1)))</f>
        <v/>
      </c>
      <c r="Q9" s="111">
        <f>IF(O9=1,IF(K9&lt;&gt;"",K9,IF(H9="High",AsOf,"")),"")</f>
        <v/>
      </c>
      <c r="R9" s="79">
        <f>IF(Q9="","",IF(H9="High",1,IF(Q9="","",IF(Q9&lt;AsOf,1,IF(Q9&lt;=AsOf+AlertDays,2,IF(Q9&lt;=AsOf+2*AlertDays,3,""))))))</f>
        <v/>
      </c>
      <c r="S9" s="79">
        <f>IF(R9="","",IF(H9="High","High-severity issue: ",IF(C9="Punch item","Punch item: ","Issue action due: "))&amp;F9&amp;IF(J9="",""," → "&amp;J9))</f>
        <v/>
      </c>
      <c r="T9" s="79">
        <f>IF(O9=1,IF(I9="",0,I9),0)</f>
        <v/>
      </c>
      <c r="U9" s="79">
        <f>IF(AND(O9=1,H9="High"),1,0)</f>
        <v/>
      </c>
      <c r="V9" s="79">
        <f>IF(AND(O9=1,C9="Punch item"),1,0)</f>
        <v/>
      </c>
    </row>
    <row r="10" ht="24" customHeight="1">
      <c r="B10" s="125" t="n">
        <v>3</v>
      </c>
      <c r="C10" s="72" t="inlineStr">
        <is>
          <t>Issue</t>
        </is>
      </c>
      <c r="D10" s="108" t="n">
        <v>46183</v>
      </c>
      <c r="E10" s="72" t="inlineStr">
        <is>
          <t>Kitchen</t>
        </is>
      </c>
      <c r="F10" s="112" t="inlineStr">
        <is>
          <t>Socket positions don't match kitchen plan</t>
        </is>
      </c>
      <c r="G10" s="72" t="inlineStr">
        <is>
          <t>Bright Spark Electric</t>
        </is>
      </c>
      <c r="H10" s="74" t="inlineStr">
        <is>
          <t>Medium</t>
        </is>
      </c>
      <c r="I10" s="73" t="n">
        <v>250</v>
      </c>
      <c r="J10" s="112" t="inlineStr">
        <is>
          <t>Send marked-up plan to electrician</t>
        </is>
      </c>
      <c r="K10" s="108" t="n">
        <v>46184</v>
      </c>
      <c r="L10" s="72" t="inlineStr">
        <is>
          <t>Open</t>
        </is>
      </c>
      <c r="M10" s="108" t="n"/>
      <c r="N10" s="72" t="n"/>
      <c r="O10" s="79">
        <f>IF(AND(F10&lt;&gt;"",L10&lt;&gt;"Resolved"),1,0)</f>
        <v/>
      </c>
      <c r="P10" s="79">
        <f>IF(F10="","",IF(O10=0,0,IF(H10="High",2,1)))</f>
        <v/>
      </c>
      <c r="Q10" s="111">
        <f>IF(O10=1,IF(K10&lt;&gt;"",K10,IF(H10="High",AsOf,"")),"")</f>
        <v/>
      </c>
      <c r="R10" s="79">
        <f>IF(Q10="","",IF(H10="High",1,IF(Q10="","",IF(Q10&lt;AsOf,1,IF(Q10&lt;=AsOf+AlertDays,2,IF(Q10&lt;=AsOf+2*AlertDays,3,""))))))</f>
        <v/>
      </c>
      <c r="S10" s="79">
        <f>IF(R10="","",IF(H10="High","High-severity issue: ",IF(C10="Punch item","Punch item: ","Issue action due: "))&amp;F10&amp;IF(J10="",""," → "&amp;J10))</f>
        <v/>
      </c>
      <c r="T10" s="79">
        <f>IF(O10=1,IF(I10="",0,I10),0)</f>
        <v/>
      </c>
      <c r="U10" s="79">
        <f>IF(AND(O10=1,H10="High"),1,0)</f>
        <v/>
      </c>
      <c r="V10" s="79">
        <f>IF(AND(O10=1,C10="Punch item"),1,0)</f>
        <v/>
      </c>
    </row>
    <row r="11" ht="24" customHeight="1">
      <c r="B11" s="125" t="n">
        <v>4</v>
      </c>
      <c r="C11" s="72" t="inlineStr">
        <is>
          <t>Punch item</t>
        </is>
      </c>
      <c r="D11" s="108" t="n">
        <v>46151</v>
      </c>
      <c r="E11" s="72" t="inlineStr">
        <is>
          <t>Master bedroom</t>
        </is>
      </c>
      <c r="F11" s="112" t="inlineStr">
        <is>
          <t>Window handle loose</t>
        </is>
      </c>
      <c r="G11" s="72" t="inlineStr">
        <is>
          <t>ClearView Windows</t>
        </is>
      </c>
      <c r="H11" s="74" t="inlineStr">
        <is>
          <t>Low</t>
        </is>
      </c>
      <c r="I11" s="73" t="n">
        <v>0</v>
      </c>
      <c r="J11" s="112" t="inlineStr">
        <is>
          <t>Fix at final visit</t>
        </is>
      </c>
      <c r="K11" s="108" t="n">
        <v>46193</v>
      </c>
      <c r="L11" s="72" t="inlineStr">
        <is>
          <t>Open</t>
        </is>
      </c>
      <c r="M11" s="108" t="n"/>
      <c r="N11" s="72" t="n"/>
      <c r="O11" s="79">
        <f>IF(AND(F11&lt;&gt;"",L11&lt;&gt;"Resolved"),1,0)</f>
        <v/>
      </c>
      <c r="P11" s="79">
        <f>IF(F11="","",IF(O11=0,0,IF(H11="High",2,1)))</f>
        <v/>
      </c>
      <c r="Q11" s="111">
        <f>IF(O11=1,IF(K11&lt;&gt;"",K11,IF(H11="High",AsOf,"")),"")</f>
        <v/>
      </c>
      <c r="R11" s="79">
        <f>IF(Q11="","",IF(H11="High",1,IF(Q11="","",IF(Q11&lt;AsOf,1,IF(Q11&lt;=AsOf+AlertDays,2,IF(Q11&lt;=AsOf+2*AlertDays,3,""))))))</f>
        <v/>
      </c>
      <c r="S11" s="79">
        <f>IF(R11="","",IF(H11="High","High-severity issue: ",IF(C11="Punch item","Punch item: ","Issue action due: "))&amp;F11&amp;IF(J11="",""," → "&amp;J11))</f>
        <v/>
      </c>
      <c r="T11" s="79">
        <f>IF(O11=1,IF(I11="",0,I11),0)</f>
        <v/>
      </c>
      <c r="U11" s="79">
        <f>IF(AND(O11=1,H11="High"),1,0)</f>
        <v/>
      </c>
      <c r="V11" s="79">
        <f>IF(AND(O11=1,C11="Punch item"),1,0)</f>
        <v/>
      </c>
    </row>
    <row r="12" ht="24" customHeight="1">
      <c r="B12" s="125" t="n">
        <v>5</v>
      </c>
      <c r="C12" s="72" t="inlineStr">
        <is>
          <t>Punch item</t>
        </is>
      </c>
      <c r="D12" s="108" t="n">
        <v>46188</v>
      </c>
      <c r="E12" s="72" t="inlineStr">
        <is>
          <t>Living room</t>
        </is>
      </c>
      <c r="F12" s="112" t="inlineStr">
        <is>
          <t>Scratch on new sliding door frame</t>
        </is>
      </c>
      <c r="G12" s="72" t="inlineStr">
        <is>
          <t>ClearView Windows</t>
        </is>
      </c>
      <c r="H12" s="74" t="inlineStr">
        <is>
          <t>Low</t>
        </is>
      </c>
      <c r="I12" s="73" t="n">
        <v>0</v>
      </c>
      <c r="J12" s="112" t="inlineStr">
        <is>
          <t>Touch-up at final visit</t>
        </is>
      </c>
      <c r="K12" s="108" t="n">
        <v>46199</v>
      </c>
      <c r="L12" s="72" t="inlineStr">
        <is>
          <t>Open</t>
        </is>
      </c>
      <c r="M12" s="108" t="n"/>
      <c r="N12" s="72" t="n"/>
      <c r="O12" s="79">
        <f>IF(AND(F12&lt;&gt;"",L12&lt;&gt;"Resolved"),1,0)</f>
        <v/>
      </c>
      <c r="P12" s="79">
        <f>IF(F12="","",IF(O12=0,0,IF(H12="High",2,1)))</f>
        <v/>
      </c>
      <c r="Q12" s="111">
        <f>IF(O12=1,IF(K12&lt;&gt;"",K12,IF(H12="High",AsOf,"")),"")</f>
        <v/>
      </c>
      <c r="R12" s="79">
        <f>IF(Q12="","",IF(H12="High",1,IF(Q12="","",IF(Q12&lt;AsOf,1,IF(Q12&lt;=AsOf+AlertDays,2,IF(Q12&lt;=AsOf+2*AlertDays,3,""))))))</f>
        <v/>
      </c>
      <c r="S12" s="79">
        <f>IF(R12="","",IF(H12="High","High-severity issue: ",IF(C12="Punch item","Punch item: ","Issue action due: "))&amp;F12&amp;IF(J12="",""," → "&amp;J12))</f>
        <v/>
      </c>
      <c r="T12" s="79">
        <f>IF(O12=1,IF(I12="",0,I12),0)</f>
        <v/>
      </c>
      <c r="U12" s="79">
        <f>IF(AND(O12=1,H12="High"),1,0)</f>
        <v/>
      </c>
      <c r="V12" s="79">
        <f>IF(AND(O12=1,C12="Punch item"),1,0)</f>
        <v/>
      </c>
    </row>
    <row r="13" ht="24" customHeight="1">
      <c r="B13" s="125" t="n">
        <v>6</v>
      </c>
      <c r="C13" s="72" t="inlineStr">
        <is>
          <t>Issue</t>
        </is>
      </c>
      <c r="D13" s="108" t="n">
        <v>46134</v>
      </c>
      <c r="E13" s="72" t="inlineStr">
        <is>
          <t>Whole house</t>
        </is>
      </c>
      <c r="F13" s="112" t="inlineStr">
        <is>
          <t>Asbestos in old floor tiles</t>
        </is>
      </c>
      <c r="G13" s="72" t="inlineStr">
        <is>
          <t>Hansen Demolition</t>
        </is>
      </c>
      <c r="H13" s="74" t="inlineStr">
        <is>
          <t>High</t>
        </is>
      </c>
      <c r="I13" s="73" t="n">
        <v>1100</v>
      </c>
      <c r="J13" s="112" t="inlineStr">
        <is>
          <t>Licensed removal</t>
        </is>
      </c>
      <c r="K13" s="108" t="n">
        <v>46137</v>
      </c>
      <c r="L13" s="72" t="inlineStr">
        <is>
          <t>Resolved</t>
        </is>
      </c>
      <c r="M13" s="108" t="n">
        <v>46140</v>
      </c>
      <c r="N13" s="72" t="n"/>
      <c r="O13" s="79">
        <f>IF(AND(F13&lt;&gt;"",L13&lt;&gt;"Resolved"),1,0)</f>
        <v/>
      </c>
      <c r="P13" s="79">
        <f>IF(F13="","",IF(O13=0,0,IF(H13="High",2,1)))</f>
        <v/>
      </c>
      <c r="Q13" s="111">
        <f>IF(O13=1,IF(K13&lt;&gt;"",K13,IF(H13="High",AsOf,"")),"")</f>
        <v/>
      </c>
      <c r="R13" s="79">
        <f>IF(Q13="","",IF(H13="High",1,IF(Q13="","",IF(Q13&lt;AsOf,1,IF(Q13&lt;=AsOf+AlertDays,2,IF(Q13&lt;=AsOf+2*AlertDays,3,""))))))</f>
        <v/>
      </c>
      <c r="S13" s="79">
        <f>IF(R13="","",IF(H13="High","High-severity issue: ",IF(C13="Punch item","Punch item: ","Issue action due: "))&amp;F13&amp;IF(J13="",""," → "&amp;J13))</f>
        <v/>
      </c>
      <c r="T13" s="79">
        <f>IF(O13=1,IF(I13="",0,I13),0)</f>
        <v/>
      </c>
      <c r="U13" s="79">
        <f>IF(AND(O13=1,H13="High"),1,0)</f>
        <v/>
      </c>
      <c r="V13" s="79">
        <f>IF(AND(O13=1,C13="Punch item"),1,0)</f>
        <v/>
      </c>
    </row>
    <row r="14" ht="24" customHeight="1">
      <c r="B14" s="125" t="n">
        <v>7</v>
      </c>
      <c r="C14" s="72" t="inlineStr">
        <is>
          <t>Issue</t>
        </is>
      </c>
      <c r="D14" s="108" t="n">
        <v>46147</v>
      </c>
      <c r="E14" s="72" t="inlineStr">
        <is>
          <t>Exterior</t>
        </is>
      </c>
      <c r="F14" s="112" t="inlineStr">
        <is>
          <t>Skip blocking neighbour's driveway</t>
        </is>
      </c>
      <c r="G14" s="72" t="inlineStr">
        <is>
          <t>Hansen Demolition</t>
        </is>
      </c>
      <c r="H14" s="74" t="inlineStr">
        <is>
          <t>Low</t>
        </is>
      </c>
      <c r="I14" s="73" t="n">
        <v>0</v>
      </c>
      <c r="J14" s="112" t="inlineStr">
        <is>
          <t>Move skip</t>
        </is>
      </c>
      <c r="K14" s="108" t="n">
        <v>46148</v>
      </c>
      <c r="L14" s="72" t="inlineStr">
        <is>
          <t>Resolved</t>
        </is>
      </c>
      <c r="M14" s="108" t="n">
        <v>46148</v>
      </c>
      <c r="N14" s="72" t="n"/>
      <c r="O14" s="79">
        <f>IF(AND(F14&lt;&gt;"",L14&lt;&gt;"Resolved"),1,0)</f>
        <v/>
      </c>
      <c r="P14" s="79">
        <f>IF(F14="","",IF(O14=0,0,IF(H14="High",2,1)))</f>
        <v/>
      </c>
      <c r="Q14" s="111">
        <f>IF(O14=1,IF(K14&lt;&gt;"",K14,IF(H14="High",AsOf,"")),"")</f>
        <v/>
      </c>
      <c r="R14" s="79">
        <f>IF(Q14="","",IF(H14="High",1,IF(Q14="","",IF(Q14&lt;AsOf,1,IF(Q14&lt;=AsOf+AlertDays,2,IF(Q14&lt;=AsOf+2*AlertDays,3,""))))))</f>
        <v/>
      </c>
      <c r="S14" s="79">
        <f>IF(R14="","",IF(H14="High","High-severity issue: ",IF(C14="Punch item","Punch item: ","Issue action due: "))&amp;F14&amp;IF(J14="",""," → "&amp;J14))</f>
        <v/>
      </c>
      <c r="T14" s="79">
        <f>IF(O14=1,IF(I14="",0,I14),0)</f>
        <v/>
      </c>
      <c r="U14" s="79">
        <f>IF(AND(O14=1,H14="High"),1,0)</f>
        <v/>
      </c>
      <c r="V14" s="79">
        <f>IF(AND(O14=1,C14="Punch item"),1,0)</f>
        <v/>
      </c>
    </row>
    <row r="15" ht="24" customHeight="1">
      <c r="B15" s="125" t="n">
        <v>8</v>
      </c>
      <c r="C15" s="72" t="n"/>
      <c r="D15" s="108" t="n"/>
      <c r="E15" s="72" t="n"/>
      <c r="F15" s="112" t="n"/>
      <c r="G15" s="72" t="n"/>
      <c r="H15" s="74" t="n"/>
      <c r="I15" s="73" t="n"/>
      <c r="J15" s="112" t="n"/>
      <c r="K15" s="108" t="n"/>
      <c r="L15" s="72" t="n"/>
      <c r="M15" s="108" t="n"/>
      <c r="N15" s="72" t="n"/>
      <c r="O15" s="79">
        <f>IF(AND(F15&lt;&gt;"",L15&lt;&gt;"Resolved"),1,0)</f>
        <v/>
      </c>
      <c r="P15" s="79">
        <f>IF(F15="","",IF(O15=0,0,IF(H15="High",2,1)))</f>
        <v/>
      </c>
      <c r="Q15" s="111">
        <f>IF(O15=1,IF(K15&lt;&gt;"",K15,IF(H15="High",AsOf,"")),"")</f>
        <v/>
      </c>
      <c r="R15" s="79">
        <f>IF(Q15="","",IF(H15="High",1,IF(Q15="","",IF(Q15&lt;AsOf,1,IF(Q15&lt;=AsOf+AlertDays,2,IF(Q15&lt;=AsOf+2*AlertDays,3,""))))))</f>
        <v/>
      </c>
      <c r="S15" s="79">
        <f>IF(R15="","",IF(H15="High","High-severity issue: ",IF(C15="Punch item","Punch item: ","Issue action due: "))&amp;F15&amp;IF(J15="",""," → "&amp;J15))</f>
        <v/>
      </c>
      <c r="T15" s="79">
        <f>IF(O15=1,IF(I15="",0,I15),0)</f>
        <v/>
      </c>
      <c r="U15" s="79">
        <f>IF(AND(O15=1,H15="High"),1,0)</f>
        <v/>
      </c>
      <c r="V15" s="79">
        <f>IF(AND(O15=1,C15="Punch item"),1,0)</f>
        <v/>
      </c>
    </row>
    <row r="16" ht="24" customHeight="1">
      <c r="B16" s="125" t="n">
        <v>9</v>
      </c>
      <c r="C16" s="72" t="n"/>
      <c r="D16" s="108" t="n"/>
      <c r="E16" s="72" t="n"/>
      <c r="F16" s="112" t="n"/>
      <c r="G16" s="72" t="n"/>
      <c r="H16" s="74" t="n"/>
      <c r="I16" s="73" t="n"/>
      <c r="J16" s="112" t="n"/>
      <c r="K16" s="108" t="n"/>
      <c r="L16" s="72" t="n"/>
      <c r="M16" s="108" t="n"/>
      <c r="N16" s="72" t="n"/>
      <c r="O16" s="79">
        <f>IF(AND(F16&lt;&gt;"",L16&lt;&gt;"Resolved"),1,0)</f>
        <v/>
      </c>
      <c r="P16" s="79">
        <f>IF(F16="","",IF(O16=0,0,IF(H16="High",2,1)))</f>
        <v/>
      </c>
      <c r="Q16" s="111">
        <f>IF(O16=1,IF(K16&lt;&gt;"",K16,IF(H16="High",AsOf,"")),"")</f>
        <v/>
      </c>
      <c r="R16" s="79">
        <f>IF(Q16="","",IF(H16="High",1,IF(Q16="","",IF(Q16&lt;AsOf,1,IF(Q16&lt;=AsOf+AlertDays,2,IF(Q16&lt;=AsOf+2*AlertDays,3,""))))))</f>
        <v/>
      </c>
      <c r="S16" s="79">
        <f>IF(R16="","",IF(H16="High","High-severity issue: ",IF(C16="Punch item","Punch item: ","Issue action due: "))&amp;F16&amp;IF(J16="",""," → "&amp;J16))</f>
        <v/>
      </c>
      <c r="T16" s="79">
        <f>IF(O16=1,IF(I16="",0,I16),0)</f>
        <v/>
      </c>
      <c r="U16" s="79">
        <f>IF(AND(O16=1,H16="High"),1,0)</f>
        <v/>
      </c>
      <c r="V16" s="79">
        <f>IF(AND(O16=1,C16="Punch item"),1,0)</f>
        <v/>
      </c>
    </row>
    <row r="17" ht="24" customHeight="1">
      <c r="B17" s="125" t="n">
        <v>10</v>
      </c>
      <c r="C17" s="72" t="n"/>
      <c r="D17" s="108" t="n"/>
      <c r="E17" s="72" t="n"/>
      <c r="F17" s="112" t="n"/>
      <c r="G17" s="72" t="n"/>
      <c r="H17" s="74" t="n"/>
      <c r="I17" s="73" t="n"/>
      <c r="J17" s="112" t="n"/>
      <c r="K17" s="108" t="n"/>
      <c r="L17" s="72" t="n"/>
      <c r="M17" s="108" t="n"/>
      <c r="N17" s="72" t="n"/>
      <c r="O17" s="79">
        <f>IF(AND(F17&lt;&gt;"",L17&lt;&gt;"Resolved"),1,0)</f>
        <v/>
      </c>
      <c r="P17" s="79">
        <f>IF(F17="","",IF(O17=0,0,IF(H17="High",2,1)))</f>
        <v/>
      </c>
      <c r="Q17" s="111">
        <f>IF(O17=1,IF(K17&lt;&gt;"",K17,IF(H17="High",AsOf,"")),"")</f>
        <v/>
      </c>
      <c r="R17" s="79">
        <f>IF(Q17="","",IF(H17="High",1,IF(Q17="","",IF(Q17&lt;AsOf,1,IF(Q17&lt;=AsOf+AlertDays,2,IF(Q17&lt;=AsOf+2*AlertDays,3,""))))))</f>
        <v/>
      </c>
      <c r="S17" s="79">
        <f>IF(R17="","",IF(H17="High","High-severity issue: ",IF(C17="Punch item","Punch item: ","Issue action due: "))&amp;F17&amp;IF(J17="",""," → "&amp;J17))</f>
        <v/>
      </c>
      <c r="T17" s="79">
        <f>IF(O17=1,IF(I17="",0,I17),0)</f>
        <v/>
      </c>
      <c r="U17" s="79">
        <f>IF(AND(O17=1,H17="High"),1,0)</f>
        <v/>
      </c>
      <c r="V17" s="79">
        <f>IF(AND(O17=1,C17="Punch item"),1,0)</f>
        <v/>
      </c>
    </row>
    <row r="18" ht="24" customHeight="1">
      <c r="B18" s="125" t="n">
        <v>11</v>
      </c>
      <c r="C18" s="72" t="n"/>
      <c r="D18" s="108" t="n"/>
      <c r="E18" s="72" t="n"/>
      <c r="F18" s="112" t="n"/>
      <c r="G18" s="72" t="n"/>
      <c r="H18" s="74" t="n"/>
      <c r="I18" s="73" t="n"/>
      <c r="J18" s="112" t="n"/>
      <c r="K18" s="108" t="n"/>
      <c r="L18" s="72" t="n"/>
      <c r="M18" s="108" t="n"/>
      <c r="N18" s="72" t="n"/>
      <c r="O18" s="79">
        <f>IF(AND(F18&lt;&gt;"",L18&lt;&gt;"Resolved"),1,0)</f>
        <v/>
      </c>
      <c r="P18" s="79">
        <f>IF(F18="","",IF(O18=0,0,IF(H18="High",2,1)))</f>
        <v/>
      </c>
      <c r="Q18" s="111">
        <f>IF(O18=1,IF(K18&lt;&gt;"",K18,IF(H18="High",AsOf,"")),"")</f>
        <v/>
      </c>
      <c r="R18" s="79">
        <f>IF(Q18="","",IF(H18="High",1,IF(Q18="","",IF(Q18&lt;AsOf,1,IF(Q18&lt;=AsOf+AlertDays,2,IF(Q18&lt;=AsOf+2*AlertDays,3,""))))))</f>
        <v/>
      </c>
      <c r="S18" s="79">
        <f>IF(R18="","",IF(H18="High","High-severity issue: ",IF(C18="Punch item","Punch item: ","Issue action due: "))&amp;F18&amp;IF(J18="",""," → "&amp;J18))</f>
        <v/>
      </c>
      <c r="T18" s="79">
        <f>IF(O18=1,IF(I18="",0,I18),0)</f>
        <v/>
      </c>
      <c r="U18" s="79">
        <f>IF(AND(O18=1,H18="High"),1,0)</f>
        <v/>
      </c>
      <c r="V18" s="79">
        <f>IF(AND(O18=1,C18="Punch item"),1,0)</f>
        <v/>
      </c>
    </row>
    <row r="19" ht="24" customHeight="1">
      <c r="B19" s="125" t="n">
        <v>12</v>
      </c>
      <c r="C19" s="72" t="n"/>
      <c r="D19" s="108" t="n"/>
      <c r="E19" s="72" t="n"/>
      <c r="F19" s="112" t="n"/>
      <c r="G19" s="72" t="n"/>
      <c r="H19" s="74" t="n"/>
      <c r="I19" s="73" t="n"/>
      <c r="J19" s="112" t="n"/>
      <c r="K19" s="108" t="n"/>
      <c r="L19" s="72" t="n"/>
      <c r="M19" s="108" t="n"/>
      <c r="N19" s="72" t="n"/>
      <c r="O19" s="79">
        <f>IF(AND(F19&lt;&gt;"",L19&lt;&gt;"Resolved"),1,0)</f>
        <v/>
      </c>
      <c r="P19" s="79">
        <f>IF(F19="","",IF(O19=0,0,IF(H19="High",2,1)))</f>
        <v/>
      </c>
      <c r="Q19" s="111">
        <f>IF(O19=1,IF(K19&lt;&gt;"",K19,IF(H19="High",AsOf,"")),"")</f>
        <v/>
      </c>
      <c r="R19" s="79">
        <f>IF(Q19="","",IF(H19="High",1,IF(Q19="","",IF(Q19&lt;AsOf,1,IF(Q19&lt;=AsOf+AlertDays,2,IF(Q19&lt;=AsOf+2*AlertDays,3,""))))))</f>
        <v/>
      </c>
      <c r="S19" s="79">
        <f>IF(R19="","",IF(H19="High","High-severity issue: ",IF(C19="Punch item","Punch item: ","Issue action due: "))&amp;F19&amp;IF(J19="",""," → "&amp;J19))</f>
        <v/>
      </c>
      <c r="T19" s="79">
        <f>IF(O19=1,IF(I19="",0,I19),0)</f>
        <v/>
      </c>
      <c r="U19" s="79">
        <f>IF(AND(O19=1,H19="High"),1,0)</f>
        <v/>
      </c>
      <c r="V19" s="79">
        <f>IF(AND(O19=1,C19="Punch item"),1,0)</f>
        <v/>
      </c>
    </row>
    <row r="20" ht="24" customHeight="1">
      <c r="B20" s="125" t="n">
        <v>13</v>
      </c>
      <c r="C20" s="72" t="n"/>
      <c r="D20" s="108" t="n"/>
      <c r="E20" s="72" t="n"/>
      <c r="F20" s="112" t="n"/>
      <c r="G20" s="72" t="n"/>
      <c r="H20" s="74" t="n"/>
      <c r="I20" s="73" t="n"/>
      <c r="J20" s="112" t="n"/>
      <c r="K20" s="108" t="n"/>
      <c r="L20" s="72" t="n"/>
      <c r="M20" s="108" t="n"/>
      <c r="N20" s="72" t="n"/>
      <c r="O20" s="79">
        <f>IF(AND(F20&lt;&gt;"",L20&lt;&gt;"Resolved"),1,0)</f>
        <v/>
      </c>
      <c r="P20" s="79">
        <f>IF(F20="","",IF(O20=0,0,IF(H20="High",2,1)))</f>
        <v/>
      </c>
      <c r="Q20" s="111">
        <f>IF(O20=1,IF(K20&lt;&gt;"",K20,IF(H20="High",AsOf,"")),"")</f>
        <v/>
      </c>
      <c r="R20" s="79">
        <f>IF(Q20="","",IF(H20="High",1,IF(Q20="","",IF(Q20&lt;AsOf,1,IF(Q20&lt;=AsOf+AlertDays,2,IF(Q20&lt;=AsOf+2*AlertDays,3,""))))))</f>
        <v/>
      </c>
      <c r="S20" s="79">
        <f>IF(R20="","",IF(H20="High","High-severity issue: ",IF(C20="Punch item","Punch item: ","Issue action due: "))&amp;F20&amp;IF(J20="",""," → "&amp;J20))</f>
        <v/>
      </c>
      <c r="T20" s="79">
        <f>IF(O20=1,IF(I20="",0,I20),0)</f>
        <v/>
      </c>
      <c r="U20" s="79">
        <f>IF(AND(O20=1,H20="High"),1,0)</f>
        <v/>
      </c>
      <c r="V20" s="79">
        <f>IF(AND(O20=1,C20="Punch item"),1,0)</f>
        <v/>
      </c>
    </row>
    <row r="21" ht="24" customHeight="1">
      <c r="B21" s="125" t="n">
        <v>14</v>
      </c>
      <c r="C21" s="72" t="n"/>
      <c r="D21" s="108" t="n"/>
      <c r="E21" s="72" t="n"/>
      <c r="F21" s="112" t="n"/>
      <c r="G21" s="72" t="n"/>
      <c r="H21" s="74" t="n"/>
      <c r="I21" s="73" t="n"/>
      <c r="J21" s="112" t="n"/>
      <c r="K21" s="108" t="n"/>
      <c r="L21" s="72" t="n"/>
      <c r="M21" s="108" t="n"/>
      <c r="N21" s="72" t="n"/>
      <c r="O21" s="79">
        <f>IF(AND(F21&lt;&gt;"",L21&lt;&gt;"Resolved"),1,0)</f>
        <v/>
      </c>
      <c r="P21" s="79">
        <f>IF(F21="","",IF(O21=0,0,IF(H21="High",2,1)))</f>
        <v/>
      </c>
      <c r="Q21" s="111">
        <f>IF(O21=1,IF(K21&lt;&gt;"",K21,IF(H21="High",AsOf,"")),"")</f>
        <v/>
      </c>
      <c r="R21" s="79">
        <f>IF(Q21="","",IF(H21="High",1,IF(Q21="","",IF(Q21&lt;AsOf,1,IF(Q21&lt;=AsOf+AlertDays,2,IF(Q21&lt;=AsOf+2*AlertDays,3,""))))))</f>
        <v/>
      </c>
      <c r="S21" s="79">
        <f>IF(R21="","",IF(H21="High","High-severity issue: ",IF(C21="Punch item","Punch item: ","Issue action due: "))&amp;F21&amp;IF(J21="",""," → "&amp;J21))</f>
        <v/>
      </c>
      <c r="T21" s="79">
        <f>IF(O21=1,IF(I21="",0,I21),0)</f>
        <v/>
      </c>
      <c r="U21" s="79">
        <f>IF(AND(O21=1,H21="High"),1,0)</f>
        <v/>
      </c>
      <c r="V21" s="79">
        <f>IF(AND(O21=1,C21="Punch item"),1,0)</f>
        <v/>
      </c>
    </row>
    <row r="22" ht="24" customHeight="1">
      <c r="B22" s="125" t="n">
        <v>15</v>
      </c>
      <c r="C22" s="72" t="n"/>
      <c r="D22" s="108" t="n"/>
      <c r="E22" s="72" t="n"/>
      <c r="F22" s="112" t="n"/>
      <c r="G22" s="72" t="n"/>
      <c r="H22" s="74" t="n"/>
      <c r="I22" s="73" t="n"/>
      <c r="J22" s="112" t="n"/>
      <c r="K22" s="108" t="n"/>
      <c r="L22" s="72" t="n"/>
      <c r="M22" s="108" t="n"/>
      <c r="N22" s="72" t="n"/>
      <c r="O22" s="79">
        <f>IF(AND(F22&lt;&gt;"",L22&lt;&gt;"Resolved"),1,0)</f>
        <v/>
      </c>
      <c r="P22" s="79">
        <f>IF(F22="","",IF(O22=0,0,IF(H22="High",2,1)))</f>
        <v/>
      </c>
      <c r="Q22" s="111">
        <f>IF(O22=1,IF(K22&lt;&gt;"",K22,IF(H22="High",AsOf,"")),"")</f>
        <v/>
      </c>
      <c r="R22" s="79">
        <f>IF(Q22="","",IF(H22="High",1,IF(Q22="","",IF(Q22&lt;AsOf,1,IF(Q22&lt;=AsOf+AlertDays,2,IF(Q22&lt;=AsOf+2*AlertDays,3,""))))))</f>
        <v/>
      </c>
      <c r="S22" s="79">
        <f>IF(R22="","",IF(H22="High","High-severity issue: ",IF(C22="Punch item","Punch item: ","Issue action due: "))&amp;F22&amp;IF(J22="",""," → "&amp;J22))</f>
        <v/>
      </c>
      <c r="T22" s="79">
        <f>IF(O22=1,IF(I22="",0,I22),0)</f>
        <v/>
      </c>
      <c r="U22" s="79">
        <f>IF(AND(O22=1,H22="High"),1,0)</f>
        <v/>
      </c>
      <c r="V22" s="79">
        <f>IF(AND(O22=1,C22="Punch item"),1,0)</f>
        <v/>
      </c>
    </row>
    <row r="23" ht="24" customHeight="1">
      <c r="B23" s="125" t="n">
        <v>16</v>
      </c>
      <c r="C23" s="72" t="n"/>
      <c r="D23" s="108" t="n"/>
      <c r="E23" s="72" t="n"/>
      <c r="F23" s="112" t="n"/>
      <c r="G23" s="72" t="n"/>
      <c r="H23" s="74" t="n"/>
      <c r="I23" s="73" t="n"/>
      <c r="J23" s="112" t="n"/>
      <c r="K23" s="108" t="n"/>
      <c r="L23" s="72" t="n"/>
      <c r="M23" s="108" t="n"/>
      <c r="N23" s="72" t="n"/>
      <c r="O23" s="79">
        <f>IF(AND(F23&lt;&gt;"",L23&lt;&gt;"Resolved"),1,0)</f>
        <v/>
      </c>
      <c r="P23" s="79">
        <f>IF(F23="","",IF(O23=0,0,IF(H23="High",2,1)))</f>
        <v/>
      </c>
      <c r="Q23" s="111">
        <f>IF(O23=1,IF(K23&lt;&gt;"",K23,IF(H23="High",AsOf,"")),"")</f>
        <v/>
      </c>
      <c r="R23" s="79">
        <f>IF(Q23="","",IF(H23="High",1,IF(Q23="","",IF(Q23&lt;AsOf,1,IF(Q23&lt;=AsOf+AlertDays,2,IF(Q23&lt;=AsOf+2*AlertDays,3,""))))))</f>
        <v/>
      </c>
      <c r="S23" s="79">
        <f>IF(R23="","",IF(H23="High","High-severity issue: ",IF(C23="Punch item","Punch item: ","Issue action due: "))&amp;F23&amp;IF(J23="",""," → "&amp;J23))</f>
        <v/>
      </c>
      <c r="T23" s="79">
        <f>IF(O23=1,IF(I23="",0,I23),0)</f>
        <v/>
      </c>
      <c r="U23" s="79">
        <f>IF(AND(O23=1,H23="High"),1,0)</f>
        <v/>
      </c>
      <c r="V23" s="79">
        <f>IF(AND(O23=1,C23="Punch item"),1,0)</f>
        <v/>
      </c>
    </row>
    <row r="24" ht="24" customHeight="1">
      <c r="B24" s="125" t="n">
        <v>17</v>
      </c>
      <c r="C24" s="72" t="n"/>
      <c r="D24" s="108" t="n"/>
      <c r="E24" s="72" t="n"/>
      <c r="F24" s="112" t="n"/>
      <c r="G24" s="72" t="n"/>
      <c r="H24" s="74" t="n"/>
      <c r="I24" s="73" t="n"/>
      <c r="J24" s="112" t="n"/>
      <c r="K24" s="108" t="n"/>
      <c r="L24" s="72" t="n"/>
      <c r="M24" s="108" t="n"/>
      <c r="N24" s="72" t="n"/>
      <c r="O24" s="79">
        <f>IF(AND(F24&lt;&gt;"",L24&lt;&gt;"Resolved"),1,0)</f>
        <v/>
      </c>
      <c r="P24" s="79">
        <f>IF(F24="","",IF(O24=0,0,IF(H24="High",2,1)))</f>
        <v/>
      </c>
      <c r="Q24" s="111">
        <f>IF(O24=1,IF(K24&lt;&gt;"",K24,IF(H24="High",AsOf,"")),"")</f>
        <v/>
      </c>
      <c r="R24" s="79">
        <f>IF(Q24="","",IF(H24="High",1,IF(Q24="","",IF(Q24&lt;AsOf,1,IF(Q24&lt;=AsOf+AlertDays,2,IF(Q24&lt;=AsOf+2*AlertDays,3,""))))))</f>
        <v/>
      </c>
      <c r="S24" s="79">
        <f>IF(R24="","",IF(H24="High","High-severity issue: ",IF(C24="Punch item","Punch item: ","Issue action due: "))&amp;F24&amp;IF(J24="",""," → "&amp;J24))</f>
        <v/>
      </c>
      <c r="T24" s="79">
        <f>IF(O24=1,IF(I24="",0,I24),0)</f>
        <v/>
      </c>
      <c r="U24" s="79">
        <f>IF(AND(O24=1,H24="High"),1,0)</f>
        <v/>
      </c>
      <c r="V24" s="79">
        <f>IF(AND(O24=1,C24="Punch item"),1,0)</f>
        <v/>
      </c>
    </row>
    <row r="25" ht="24" customHeight="1">
      <c r="B25" s="125" t="n">
        <v>18</v>
      </c>
      <c r="C25" s="72" t="n"/>
      <c r="D25" s="108" t="n"/>
      <c r="E25" s="72" t="n"/>
      <c r="F25" s="112" t="n"/>
      <c r="G25" s="72" t="n"/>
      <c r="H25" s="74" t="n"/>
      <c r="I25" s="73" t="n"/>
      <c r="J25" s="112" t="n"/>
      <c r="K25" s="108" t="n"/>
      <c r="L25" s="72" t="n"/>
      <c r="M25" s="108" t="n"/>
      <c r="N25" s="72" t="n"/>
      <c r="O25" s="79">
        <f>IF(AND(F25&lt;&gt;"",L25&lt;&gt;"Resolved"),1,0)</f>
        <v/>
      </c>
      <c r="P25" s="79">
        <f>IF(F25="","",IF(O25=0,0,IF(H25="High",2,1)))</f>
        <v/>
      </c>
      <c r="Q25" s="111">
        <f>IF(O25=1,IF(K25&lt;&gt;"",K25,IF(H25="High",AsOf,"")),"")</f>
        <v/>
      </c>
      <c r="R25" s="79">
        <f>IF(Q25="","",IF(H25="High",1,IF(Q25="","",IF(Q25&lt;AsOf,1,IF(Q25&lt;=AsOf+AlertDays,2,IF(Q25&lt;=AsOf+2*AlertDays,3,""))))))</f>
        <v/>
      </c>
      <c r="S25" s="79">
        <f>IF(R25="","",IF(H25="High","High-severity issue: ",IF(C25="Punch item","Punch item: ","Issue action due: "))&amp;F25&amp;IF(J25="",""," → "&amp;J25))</f>
        <v/>
      </c>
      <c r="T25" s="79">
        <f>IF(O25=1,IF(I25="",0,I25),0)</f>
        <v/>
      </c>
      <c r="U25" s="79">
        <f>IF(AND(O25=1,H25="High"),1,0)</f>
        <v/>
      </c>
      <c r="V25" s="79">
        <f>IF(AND(O25=1,C25="Punch item"),1,0)</f>
        <v/>
      </c>
    </row>
    <row r="26" ht="24" customHeight="1">
      <c r="B26" s="125" t="n">
        <v>19</v>
      </c>
      <c r="C26" s="72" t="n"/>
      <c r="D26" s="108" t="n"/>
      <c r="E26" s="72" t="n"/>
      <c r="F26" s="112" t="n"/>
      <c r="G26" s="72" t="n"/>
      <c r="H26" s="74" t="n"/>
      <c r="I26" s="73" t="n"/>
      <c r="J26" s="112" t="n"/>
      <c r="K26" s="108" t="n"/>
      <c r="L26" s="72" t="n"/>
      <c r="M26" s="108" t="n"/>
      <c r="N26" s="72" t="n"/>
      <c r="O26" s="79">
        <f>IF(AND(F26&lt;&gt;"",L26&lt;&gt;"Resolved"),1,0)</f>
        <v/>
      </c>
      <c r="P26" s="79">
        <f>IF(F26="","",IF(O26=0,0,IF(H26="High",2,1)))</f>
        <v/>
      </c>
      <c r="Q26" s="111">
        <f>IF(O26=1,IF(K26&lt;&gt;"",K26,IF(H26="High",AsOf,"")),"")</f>
        <v/>
      </c>
      <c r="R26" s="79">
        <f>IF(Q26="","",IF(H26="High",1,IF(Q26="","",IF(Q26&lt;AsOf,1,IF(Q26&lt;=AsOf+AlertDays,2,IF(Q26&lt;=AsOf+2*AlertDays,3,""))))))</f>
        <v/>
      </c>
      <c r="S26" s="79">
        <f>IF(R26="","",IF(H26="High","High-severity issue: ",IF(C26="Punch item","Punch item: ","Issue action due: "))&amp;F26&amp;IF(J26="",""," → "&amp;J26))</f>
        <v/>
      </c>
      <c r="T26" s="79">
        <f>IF(O26=1,IF(I26="",0,I26),0)</f>
        <v/>
      </c>
      <c r="U26" s="79">
        <f>IF(AND(O26=1,H26="High"),1,0)</f>
        <v/>
      </c>
      <c r="V26" s="79">
        <f>IF(AND(O26=1,C26="Punch item"),1,0)</f>
        <v/>
      </c>
    </row>
    <row r="27" ht="24" customHeight="1">
      <c r="B27" s="125" t="n">
        <v>20</v>
      </c>
      <c r="C27" s="72" t="n"/>
      <c r="D27" s="108" t="n"/>
      <c r="E27" s="72" t="n"/>
      <c r="F27" s="112" t="n"/>
      <c r="G27" s="72" t="n"/>
      <c r="H27" s="74" t="n"/>
      <c r="I27" s="73" t="n"/>
      <c r="J27" s="112" t="n"/>
      <c r="K27" s="108" t="n"/>
      <c r="L27" s="72" t="n"/>
      <c r="M27" s="108" t="n"/>
      <c r="N27" s="72" t="n"/>
      <c r="O27" s="79">
        <f>IF(AND(F27&lt;&gt;"",L27&lt;&gt;"Resolved"),1,0)</f>
        <v/>
      </c>
      <c r="P27" s="79">
        <f>IF(F27="","",IF(O27=0,0,IF(H27="High",2,1)))</f>
        <v/>
      </c>
      <c r="Q27" s="111">
        <f>IF(O27=1,IF(K27&lt;&gt;"",K27,IF(H27="High",AsOf,"")),"")</f>
        <v/>
      </c>
      <c r="R27" s="79">
        <f>IF(Q27="","",IF(H27="High",1,IF(Q27="","",IF(Q27&lt;AsOf,1,IF(Q27&lt;=AsOf+AlertDays,2,IF(Q27&lt;=AsOf+2*AlertDays,3,""))))))</f>
        <v/>
      </c>
      <c r="S27" s="79">
        <f>IF(R27="","",IF(H27="High","High-severity issue: ",IF(C27="Punch item","Punch item: ","Issue action due: "))&amp;F27&amp;IF(J27="",""," → "&amp;J27))</f>
        <v/>
      </c>
      <c r="T27" s="79">
        <f>IF(O27=1,IF(I27="",0,I27),0)</f>
        <v/>
      </c>
      <c r="U27" s="79">
        <f>IF(AND(O27=1,H27="High"),1,0)</f>
        <v/>
      </c>
      <c r="V27" s="79">
        <f>IF(AND(O27=1,C27="Punch item"),1,0)</f>
        <v/>
      </c>
    </row>
    <row r="28" ht="24" customHeight="1">
      <c r="B28" s="125" t="n">
        <v>21</v>
      </c>
      <c r="C28" s="72" t="n"/>
      <c r="D28" s="108" t="n"/>
      <c r="E28" s="72" t="n"/>
      <c r="F28" s="112" t="n"/>
      <c r="G28" s="72" t="n"/>
      <c r="H28" s="74" t="n"/>
      <c r="I28" s="73" t="n"/>
      <c r="J28" s="112" t="n"/>
      <c r="K28" s="108" t="n"/>
      <c r="L28" s="72" t="n"/>
      <c r="M28" s="108" t="n"/>
      <c r="N28" s="72" t="n"/>
      <c r="O28" s="79">
        <f>IF(AND(F28&lt;&gt;"",L28&lt;&gt;"Resolved"),1,0)</f>
        <v/>
      </c>
      <c r="P28" s="79">
        <f>IF(F28="","",IF(O28=0,0,IF(H28="High",2,1)))</f>
        <v/>
      </c>
      <c r="Q28" s="111">
        <f>IF(O28=1,IF(K28&lt;&gt;"",K28,IF(H28="High",AsOf,"")),"")</f>
        <v/>
      </c>
      <c r="R28" s="79">
        <f>IF(Q28="","",IF(H28="High",1,IF(Q28="","",IF(Q28&lt;AsOf,1,IF(Q28&lt;=AsOf+AlertDays,2,IF(Q28&lt;=AsOf+2*AlertDays,3,""))))))</f>
        <v/>
      </c>
      <c r="S28" s="79">
        <f>IF(R28="","",IF(H28="High","High-severity issue: ",IF(C28="Punch item","Punch item: ","Issue action due: "))&amp;F28&amp;IF(J28="",""," → "&amp;J28))</f>
        <v/>
      </c>
      <c r="T28" s="79">
        <f>IF(O28=1,IF(I28="",0,I28),0)</f>
        <v/>
      </c>
      <c r="U28" s="79">
        <f>IF(AND(O28=1,H28="High"),1,0)</f>
        <v/>
      </c>
      <c r="V28" s="79">
        <f>IF(AND(O28=1,C28="Punch item"),1,0)</f>
        <v/>
      </c>
    </row>
    <row r="29" ht="24" customHeight="1">
      <c r="B29" s="125" t="n">
        <v>22</v>
      </c>
      <c r="C29" s="72" t="n"/>
      <c r="D29" s="108" t="n"/>
      <c r="E29" s="72" t="n"/>
      <c r="F29" s="112" t="n"/>
      <c r="G29" s="72" t="n"/>
      <c r="H29" s="74" t="n"/>
      <c r="I29" s="73" t="n"/>
      <c r="J29" s="112" t="n"/>
      <c r="K29" s="108" t="n"/>
      <c r="L29" s="72" t="n"/>
      <c r="M29" s="108" t="n"/>
      <c r="N29" s="72" t="n"/>
      <c r="O29" s="79">
        <f>IF(AND(F29&lt;&gt;"",L29&lt;&gt;"Resolved"),1,0)</f>
        <v/>
      </c>
      <c r="P29" s="79">
        <f>IF(F29="","",IF(O29=0,0,IF(H29="High",2,1)))</f>
        <v/>
      </c>
      <c r="Q29" s="111">
        <f>IF(O29=1,IF(K29&lt;&gt;"",K29,IF(H29="High",AsOf,"")),"")</f>
        <v/>
      </c>
      <c r="R29" s="79">
        <f>IF(Q29="","",IF(H29="High",1,IF(Q29="","",IF(Q29&lt;AsOf,1,IF(Q29&lt;=AsOf+AlertDays,2,IF(Q29&lt;=AsOf+2*AlertDays,3,""))))))</f>
        <v/>
      </c>
      <c r="S29" s="79">
        <f>IF(R29="","",IF(H29="High","High-severity issue: ",IF(C29="Punch item","Punch item: ","Issue action due: "))&amp;F29&amp;IF(J29="",""," → "&amp;J29))</f>
        <v/>
      </c>
      <c r="T29" s="79">
        <f>IF(O29=1,IF(I29="",0,I29),0)</f>
        <v/>
      </c>
      <c r="U29" s="79">
        <f>IF(AND(O29=1,H29="High"),1,0)</f>
        <v/>
      </c>
      <c r="V29" s="79">
        <f>IF(AND(O29=1,C29="Punch item"),1,0)</f>
        <v/>
      </c>
    </row>
    <row r="30" ht="24" customHeight="1">
      <c r="B30" s="125" t="n">
        <v>23</v>
      </c>
      <c r="C30" s="72" t="n"/>
      <c r="D30" s="108" t="n"/>
      <c r="E30" s="72" t="n"/>
      <c r="F30" s="112" t="n"/>
      <c r="G30" s="72" t="n"/>
      <c r="H30" s="74" t="n"/>
      <c r="I30" s="73" t="n"/>
      <c r="J30" s="112" t="n"/>
      <c r="K30" s="108" t="n"/>
      <c r="L30" s="72" t="n"/>
      <c r="M30" s="108" t="n"/>
      <c r="N30" s="72" t="n"/>
      <c r="O30" s="79">
        <f>IF(AND(F30&lt;&gt;"",L30&lt;&gt;"Resolved"),1,0)</f>
        <v/>
      </c>
      <c r="P30" s="79">
        <f>IF(F30="","",IF(O30=0,0,IF(H30="High",2,1)))</f>
        <v/>
      </c>
      <c r="Q30" s="111">
        <f>IF(O30=1,IF(K30&lt;&gt;"",K30,IF(H30="High",AsOf,"")),"")</f>
        <v/>
      </c>
      <c r="R30" s="79">
        <f>IF(Q30="","",IF(H30="High",1,IF(Q30="","",IF(Q30&lt;AsOf,1,IF(Q30&lt;=AsOf+AlertDays,2,IF(Q30&lt;=AsOf+2*AlertDays,3,""))))))</f>
        <v/>
      </c>
      <c r="S30" s="79">
        <f>IF(R30="","",IF(H30="High","High-severity issue: ",IF(C30="Punch item","Punch item: ","Issue action due: "))&amp;F30&amp;IF(J30="",""," → "&amp;J30))</f>
        <v/>
      </c>
      <c r="T30" s="79">
        <f>IF(O30=1,IF(I30="",0,I30),0)</f>
        <v/>
      </c>
      <c r="U30" s="79">
        <f>IF(AND(O30=1,H30="High"),1,0)</f>
        <v/>
      </c>
      <c r="V30" s="79">
        <f>IF(AND(O30=1,C30="Punch item"),1,0)</f>
        <v/>
      </c>
    </row>
    <row r="31" ht="24" customHeight="1">
      <c r="B31" s="125" t="n">
        <v>24</v>
      </c>
      <c r="C31" s="72" t="n"/>
      <c r="D31" s="108" t="n"/>
      <c r="E31" s="72" t="n"/>
      <c r="F31" s="112" t="n"/>
      <c r="G31" s="72" t="n"/>
      <c r="H31" s="74" t="n"/>
      <c r="I31" s="73" t="n"/>
      <c r="J31" s="112" t="n"/>
      <c r="K31" s="108" t="n"/>
      <c r="L31" s="72" t="n"/>
      <c r="M31" s="108" t="n"/>
      <c r="N31" s="72" t="n"/>
      <c r="O31" s="79">
        <f>IF(AND(F31&lt;&gt;"",L31&lt;&gt;"Resolved"),1,0)</f>
        <v/>
      </c>
      <c r="P31" s="79">
        <f>IF(F31="","",IF(O31=0,0,IF(H31="High",2,1)))</f>
        <v/>
      </c>
      <c r="Q31" s="111">
        <f>IF(O31=1,IF(K31&lt;&gt;"",K31,IF(H31="High",AsOf,"")),"")</f>
        <v/>
      </c>
      <c r="R31" s="79">
        <f>IF(Q31="","",IF(H31="High",1,IF(Q31="","",IF(Q31&lt;AsOf,1,IF(Q31&lt;=AsOf+AlertDays,2,IF(Q31&lt;=AsOf+2*AlertDays,3,""))))))</f>
        <v/>
      </c>
      <c r="S31" s="79">
        <f>IF(R31="","",IF(H31="High","High-severity issue: ",IF(C31="Punch item","Punch item: ","Issue action due: "))&amp;F31&amp;IF(J31="",""," → "&amp;J31))</f>
        <v/>
      </c>
      <c r="T31" s="79">
        <f>IF(O31=1,IF(I31="",0,I31),0)</f>
        <v/>
      </c>
      <c r="U31" s="79">
        <f>IF(AND(O31=1,H31="High"),1,0)</f>
        <v/>
      </c>
      <c r="V31" s="79">
        <f>IF(AND(O31=1,C31="Punch item"),1,0)</f>
        <v/>
      </c>
    </row>
    <row r="32" ht="24" customHeight="1">
      <c r="B32" s="125" t="n">
        <v>25</v>
      </c>
      <c r="C32" s="72" t="n"/>
      <c r="D32" s="108" t="n"/>
      <c r="E32" s="72" t="n"/>
      <c r="F32" s="112" t="n"/>
      <c r="G32" s="72" t="n"/>
      <c r="H32" s="74" t="n"/>
      <c r="I32" s="73" t="n"/>
      <c r="J32" s="112" t="n"/>
      <c r="K32" s="108" t="n"/>
      <c r="L32" s="72" t="n"/>
      <c r="M32" s="108" t="n"/>
      <c r="N32" s="72" t="n"/>
      <c r="O32" s="79">
        <f>IF(AND(F32&lt;&gt;"",L32&lt;&gt;"Resolved"),1,0)</f>
        <v/>
      </c>
      <c r="P32" s="79">
        <f>IF(F32="","",IF(O32=0,0,IF(H32="High",2,1)))</f>
        <v/>
      </c>
      <c r="Q32" s="111">
        <f>IF(O32=1,IF(K32&lt;&gt;"",K32,IF(H32="High",AsOf,"")),"")</f>
        <v/>
      </c>
      <c r="R32" s="79">
        <f>IF(Q32="","",IF(H32="High",1,IF(Q32="","",IF(Q32&lt;AsOf,1,IF(Q32&lt;=AsOf+AlertDays,2,IF(Q32&lt;=AsOf+2*AlertDays,3,""))))))</f>
        <v/>
      </c>
      <c r="S32" s="79">
        <f>IF(R32="","",IF(H32="High","High-severity issue: ",IF(C32="Punch item","Punch item: ","Issue action due: "))&amp;F32&amp;IF(J32="",""," → "&amp;J32))</f>
        <v/>
      </c>
      <c r="T32" s="79">
        <f>IF(O32=1,IF(I32="",0,I32),0)</f>
        <v/>
      </c>
      <c r="U32" s="79">
        <f>IF(AND(O32=1,H32="High"),1,0)</f>
        <v/>
      </c>
      <c r="V32" s="79">
        <f>IF(AND(O32=1,C32="Punch item"),1,0)</f>
        <v/>
      </c>
    </row>
    <row r="33" ht="24" customHeight="1">
      <c r="B33" s="125" t="n">
        <v>26</v>
      </c>
      <c r="C33" s="72" t="n"/>
      <c r="D33" s="108" t="n"/>
      <c r="E33" s="72" t="n"/>
      <c r="F33" s="112" t="n"/>
      <c r="G33" s="72" t="n"/>
      <c r="H33" s="74" t="n"/>
      <c r="I33" s="73" t="n"/>
      <c r="J33" s="112" t="n"/>
      <c r="K33" s="108" t="n"/>
      <c r="L33" s="72" t="n"/>
      <c r="M33" s="108" t="n"/>
      <c r="N33" s="72" t="n"/>
      <c r="O33" s="79">
        <f>IF(AND(F33&lt;&gt;"",L33&lt;&gt;"Resolved"),1,0)</f>
        <v/>
      </c>
      <c r="P33" s="79">
        <f>IF(F33="","",IF(O33=0,0,IF(H33="High",2,1)))</f>
        <v/>
      </c>
      <c r="Q33" s="111">
        <f>IF(O33=1,IF(K33&lt;&gt;"",K33,IF(H33="High",AsOf,"")),"")</f>
        <v/>
      </c>
      <c r="R33" s="79">
        <f>IF(Q33="","",IF(H33="High",1,IF(Q33="","",IF(Q33&lt;AsOf,1,IF(Q33&lt;=AsOf+AlertDays,2,IF(Q33&lt;=AsOf+2*AlertDays,3,""))))))</f>
        <v/>
      </c>
      <c r="S33" s="79">
        <f>IF(R33="","",IF(H33="High","High-severity issue: ",IF(C33="Punch item","Punch item: ","Issue action due: "))&amp;F33&amp;IF(J33="",""," → "&amp;J33))</f>
        <v/>
      </c>
      <c r="T33" s="79">
        <f>IF(O33=1,IF(I33="",0,I33),0)</f>
        <v/>
      </c>
      <c r="U33" s="79">
        <f>IF(AND(O33=1,H33="High"),1,0)</f>
        <v/>
      </c>
      <c r="V33" s="79">
        <f>IF(AND(O33=1,C33="Punch item"),1,0)</f>
        <v/>
      </c>
    </row>
    <row r="34" ht="24" customHeight="1">
      <c r="B34" s="125" t="n">
        <v>27</v>
      </c>
      <c r="C34" s="72" t="n"/>
      <c r="D34" s="108" t="n"/>
      <c r="E34" s="72" t="n"/>
      <c r="F34" s="112" t="n"/>
      <c r="G34" s="72" t="n"/>
      <c r="H34" s="74" t="n"/>
      <c r="I34" s="73" t="n"/>
      <c r="J34" s="112" t="n"/>
      <c r="K34" s="108" t="n"/>
      <c r="L34" s="72" t="n"/>
      <c r="M34" s="108" t="n"/>
      <c r="N34" s="72" t="n"/>
      <c r="O34" s="79">
        <f>IF(AND(F34&lt;&gt;"",L34&lt;&gt;"Resolved"),1,0)</f>
        <v/>
      </c>
      <c r="P34" s="79">
        <f>IF(F34="","",IF(O34=0,0,IF(H34="High",2,1)))</f>
        <v/>
      </c>
      <c r="Q34" s="111">
        <f>IF(O34=1,IF(K34&lt;&gt;"",K34,IF(H34="High",AsOf,"")),"")</f>
        <v/>
      </c>
      <c r="R34" s="79">
        <f>IF(Q34="","",IF(H34="High",1,IF(Q34="","",IF(Q34&lt;AsOf,1,IF(Q34&lt;=AsOf+AlertDays,2,IF(Q34&lt;=AsOf+2*AlertDays,3,""))))))</f>
        <v/>
      </c>
      <c r="S34" s="79">
        <f>IF(R34="","",IF(H34="High","High-severity issue: ",IF(C34="Punch item","Punch item: ","Issue action due: "))&amp;F34&amp;IF(J34="",""," → "&amp;J34))</f>
        <v/>
      </c>
      <c r="T34" s="79">
        <f>IF(O34=1,IF(I34="",0,I34),0)</f>
        <v/>
      </c>
      <c r="U34" s="79">
        <f>IF(AND(O34=1,H34="High"),1,0)</f>
        <v/>
      </c>
      <c r="V34" s="79">
        <f>IF(AND(O34=1,C34="Punch item"),1,0)</f>
        <v/>
      </c>
    </row>
    <row r="35" ht="24" customHeight="1">
      <c r="B35" s="125" t="n">
        <v>28</v>
      </c>
      <c r="C35" s="72" t="n"/>
      <c r="D35" s="108" t="n"/>
      <c r="E35" s="72" t="n"/>
      <c r="F35" s="112" t="n"/>
      <c r="G35" s="72" t="n"/>
      <c r="H35" s="74" t="n"/>
      <c r="I35" s="73" t="n"/>
      <c r="J35" s="112" t="n"/>
      <c r="K35" s="108" t="n"/>
      <c r="L35" s="72" t="n"/>
      <c r="M35" s="108" t="n"/>
      <c r="N35" s="72" t="n"/>
      <c r="O35" s="79">
        <f>IF(AND(F35&lt;&gt;"",L35&lt;&gt;"Resolved"),1,0)</f>
        <v/>
      </c>
      <c r="P35" s="79">
        <f>IF(F35="","",IF(O35=0,0,IF(H35="High",2,1)))</f>
        <v/>
      </c>
      <c r="Q35" s="111">
        <f>IF(O35=1,IF(K35&lt;&gt;"",K35,IF(H35="High",AsOf,"")),"")</f>
        <v/>
      </c>
      <c r="R35" s="79">
        <f>IF(Q35="","",IF(H35="High",1,IF(Q35="","",IF(Q35&lt;AsOf,1,IF(Q35&lt;=AsOf+AlertDays,2,IF(Q35&lt;=AsOf+2*AlertDays,3,""))))))</f>
        <v/>
      </c>
      <c r="S35" s="79">
        <f>IF(R35="","",IF(H35="High","High-severity issue: ",IF(C35="Punch item","Punch item: ","Issue action due: "))&amp;F35&amp;IF(J35="",""," → "&amp;J35))</f>
        <v/>
      </c>
      <c r="T35" s="79">
        <f>IF(O35=1,IF(I35="",0,I35),0)</f>
        <v/>
      </c>
      <c r="U35" s="79">
        <f>IF(AND(O35=1,H35="High"),1,0)</f>
        <v/>
      </c>
      <c r="V35" s="79">
        <f>IF(AND(O35=1,C35="Punch item"),1,0)</f>
        <v/>
      </c>
    </row>
    <row r="36" ht="24" customHeight="1">
      <c r="B36" s="125" t="n">
        <v>29</v>
      </c>
      <c r="C36" s="72" t="n"/>
      <c r="D36" s="108" t="n"/>
      <c r="E36" s="72" t="n"/>
      <c r="F36" s="112" t="n"/>
      <c r="G36" s="72" t="n"/>
      <c r="H36" s="74" t="n"/>
      <c r="I36" s="73" t="n"/>
      <c r="J36" s="112" t="n"/>
      <c r="K36" s="108" t="n"/>
      <c r="L36" s="72" t="n"/>
      <c r="M36" s="108" t="n"/>
      <c r="N36" s="72" t="n"/>
      <c r="O36" s="79">
        <f>IF(AND(F36&lt;&gt;"",L36&lt;&gt;"Resolved"),1,0)</f>
        <v/>
      </c>
      <c r="P36" s="79">
        <f>IF(F36="","",IF(O36=0,0,IF(H36="High",2,1)))</f>
        <v/>
      </c>
      <c r="Q36" s="111">
        <f>IF(O36=1,IF(K36&lt;&gt;"",K36,IF(H36="High",AsOf,"")),"")</f>
        <v/>
      </c>
      <c r="R36" s="79">
        <f>IF(Q36="","",IF(H36="High",1,IF(Q36="","",IF(Q36&lt;AsOf,1,IF(Q36&lt;=AsOf+AlertDays,2,IF(Q36&lt;=AsOf+2*AlertDays,3,""))))))</f>
        <v/>
      </c>
      <c r="S36" s="79">
        <f>IF(R36="","",IF(H36="High","High-severity issue: ",IF(C36="Punch item","Punch item: ","Issue action due: "))&amp;F36&amp;IF(J36="",""," → "&amp;J36))</f>
        <v/>
      </c>
      <c r="T36" s="79">
        <f>IF(O36=1,IF(I36="",0,I36),0)</f>
        <v/>
      </c>
      <c r="U36" s="79">
        <f>IF(AND(O36=1,H36="High"),1,0)</f>
        <v/>
      </c>
      <c r="V36" s="79">
        <f>IF(AND(O36=1,C36="Punch item"),1,0)</f>
        <v/>
      </c>
    </row>
    <row r="37" ht="24" customHeight="1">
      <c r="B37" s="125" t="n">
        <v>30</v>
      </c>
      <c r="C37" s="72" t="n"/>
      <c r="D37" s="108" t="n"/>
      <c r="E37" s="72" t="n"/>
      <c r="F37" s="112" t="n"/>
      <c r="G37" s="72" t="n"/>
      <c r="H37" s="74" t="n"/>
      <c r="I37" s="73" t="n"/>
      <c r="J37" s="112" t="n"/>
      <c r="K37" s="108" t="n"/>
      <c r="L37" s="72" t="n"/>
      <c r="M37" s="108" t="n"/>
      <c r="N37" s="72" t="n"/>
      <c r="O37" s="79">
        <f>IF(AND(F37&lt;&gt;"",L37&lt;&gt;"Resolved"),1,0)</f>
        <v/>
      </c>
      <c r="P37" s="79">
        <f>IF(F37="","",IF(O37=0,0,IF(H37="High",2,1)))</f>
        <v/>
      </c>
      <c r="Q37" s="111">
        <f>IF(O37=1,IF(K37&lt;&gt;"",K37,IF(H37="High",AsOf,"")),"")</f>
        <v/>
      </c>
      <c r="R37" s="79">
        <f>IF(Q37="","",IF(H37="High",1,IF(Q37="","",IF(Q37&lt;AsOf,1,IF(Q37&lt;=AsOf+AlertDays,2,IF(Q37&lt;=AsOf+2*AlertDays,3,""))))))</f>
        <v/>
      </c>
      <c r="S37" s="79">
        <f>IF(R37="","",IF(H37="High","High-severity issue: ",IF(C37="Punch item","Punch item: ","Issue action due: "))&amp;F37&amp;IF(J37="",""," → "&amp;J37))</f>
        <v/>
      </c>
      <c r="T37" s="79">
        <f>IF(O37=1,IF(I37="",0,I37),0)</f>
        <v/>
      </c>
      <c r="U37" s="79">
        <f>IF(AND(O37=1,H37="High"),1,0)</f>
        <v/>
      </c>
      <c r="V37" s="79">
        <f>IF(AND(O37=1,C37="Punch item"),1,0)</f>
        <v/>
      </c>
    </row>
    <row r="38" ht="24" customHeight="1">
      <c r="B38" s="125" t="n">
        <v>31</v>
      </c>
      <c r="C38" s="72" t="n"/>
      <c r="D38" s="108" t="n"/>
      <c r="E38" s="72" t="n"/>
      <c r="F38" s="112" t="n"/>
      <c r="G38" s="72" t="n"/>
      <c r="H38" s="74" t="n"/>
      <c r="I38" s="73" t="n"/>
      <c r="J38" s="112" t="n"/>
      <c r="K38" s="108" t="n"/>
      <c r="L38" s="72" t="n"/>
      <c r="M38" s="108" t="n"/>
      <c r="N38" s="72" t="n"/>
      <c r="O38" s="79">
        <f>IF(AND(F38&lt;&gt;"",L38&lt;&gt;"Resolved"),1,0)</f>
        <v/>
      </c>
      <c r="P38" s="79">
        <f>IF(F38="","",IF(O38=0,0,IF(H38="High",2,1)))</f>
        <v/>
      </c>
      <c r="Q38" s="111">
        <f>IF(O38=1,IF(K38&lt;&gt;"",K38,IF(H38="High",AsOf,"")),"")</f>
        <v/>
      </c>
      <c r="R38" s="79">
        <f>IF(Q38="","",IF(H38="High",1,IF(Q38="","",IF(Q38&lt;AsOf,1,IF(Q38&lt;=AsOf+AlertDays,2,IF(Q38&lt;=AsOf+2*AlertDays,3,""))))))</f>
        <v/>
      </c>
      <c r="S38" s="79">
        <f>IF(R38="","",IF(H38="High","High-severity issue: ",IF(C38="Punch item","Punch item: ","Issue action due: "))&amp;F38&amp;IF(J38="",""," → "&amp;J38))</f>
        <v/>
      </c>
      <c r="T38" s="79">
        <f>IF(O38=1,IF(I38="",0,I38),0)</f>
        <v/>
      </c>
      <c r="U38" s="79">
        <f>IF(AND(O38=1,H38="High"),1,0)</f>
        <v/>
      </c>
      <c r="V38" s="79">
        <f>IF(AND(O38=1,C38="Punch item"),1,0)</f>
        <v/>
      </c>
    </row>
    <row r="39" ht="24" customHeight="1">
      <c r="B39" s="125" t="n">
        <v>32</v>
      </c>
      <c r="C39" s="72" t="n"/>
      <c r="D39" s="108" t="n"/>
      <c r="E39" s="72" t="n"/>
      <c r="F39" s="112" t="n"/>
      <c r="G39" s="72" t="n"/>
      <c r="H39" s="74" t="n"/>
      <c r="I39" s="73" t="n"/>
      <c r="J39" s="112" t="n"/>
      <c r="K39" s="108" t="n"/>
      <c r="L39" s="72" t="n"/>
      <c r="M39" s="108" t="n"/>
      <c r="N39" s="72" t="n"/>
      <c r="O39" s="79">
        <f>IF(AND(F39&lt;&gt;"",L39&lt;&gt;"Resolved"),1,0)</f>
        <v/>
      </c>
      <c r="P39" s="79">
        <f>IF(F39="","",IF(O39=0,0,IF(H39="High",2,1)))</f>
        <v/>
      </c>
      <c r="Q39" s="111">
        <f>IF(O39=1,IF(K39&lt;&gt;"",K39,IF(H39="High",AsOf,"")),"")</f>
        <v/>
      </c>
      <c r="R39" s="79">
        <f>IF(Q39="","",IF(H39="High",1,IF(Q39="","",IF(Q39&lt;AsOf,1,IF(Q39&lt;=AsOf+AlertDays,2,IF(Q39&lt;=AsOf+2*AlertDays,3,""))))))</f>
        <v/>
      </c>
      <c r="S39" s="79">
        <f>IF(R39="","",IF(H39="High","High-severity issue: ",IF(C39="Punch item","Punch item: ","Issue action due: "))&amp;F39&amp;IF(J39="",""," → "&amp;J39))</f>
        <v/>
      </c>
      <c r="T39" s="79">
        <f>IF(O39=1,IF(I39="",0,I39),0)</f>
        <v/>
      </c>
      <c r="U39" s="79">
        <f>IF(AND(O39=1,H39="High"),1,0)</f>
        <v/>
      </c>
      <c r="V39" s="79">
        <f>IF(AND(O39=1,C39="Punch item"),1,0)</f>
        <v/>
      </c>
    </row>
    <row r="40" ht="24" customHeight="1">
      <c r="B40" s="125" t="n">
        <v>33</v>
      </c>
      <c r="C40" s="72" t="n"/>
      <c r="D40" s="108" t="n"/>
      <c r="E40" s="72" t="n"/>
      <c r="F40" s="112" t="n"/>
      <c r="G40" s="72" t="n"/>
      <c r="H40" s="74" t="n"/>
      <c r="I40" s="73" t="n"/>
      <c r="J40" s="112" t="n"/>
      <c r="K40" s="108" t="n"/>
      <c r="L40" s="72" t="n"/>
      <c r="M40" s="108" t="n"/>
      <c r="N40" s="72" t="n"/>
      <c r="O40" s="79">
        <f>IF(AND(F40&lt;&gt;"",L40&lt;&gt;"Resolved"),1,0)</f>
        <v/>
      </c>
      <c r="P40" s="79">
        <f>IF(F40="","",IF(O40=0,0,IF(H40="High",2,1)))</f>
        <v/>
      </c>
      <c r="Q40" s="111">
        <f>IF(O40=1,IF(K40&lt;&gt;"",K40,IF(H40="High",AsOf,"")),"")</f>
        <v/>
      </c>
      <c r="R40" s="79">
        <f>IF(Q40="","",IF(H40="High",1,IF(Q40="","",IF(Q40&lt;AsOf,1,IF(Q40&lt;=AsOf+AlertDays,2,IF(Q40&lt;=AsOf+2*AlertDays,3,""))))))</f>
        <v/>
      </c>
      <c r="S40" s="79">
        <f>IF(R40="","",IF(H40="High","High-severity issue: ",IF(C40="Punch item","Punch item: ","Issue action due: "))&amp;F40&amp;IF(J40="",""," → "&amp;J40))</f>
        <v/>
      </c>
      <c r="T40" s="79">
        <f>IF(O40=1,IF(I40="",0,I40),0)</f>
        <v/>
      </c>
      <c r="U40" s="79">
        <f>IF(AND(O40=1,H40="High"),1,0)</f>
        <v/>
      </c>
      <c r="V40" s="79">
        <f>IF(AND(O40=1,C40="Punch item"),1,0)</f>
        <v/>
      </c>
    </row>
    <row r="41" ht="24" customHeight="1">
      <c r="B41" s="125" t="n">
        <v>34</v>
      </c>
      <c r="C41" s="72" t="n"/>
      <c r="D41" s="108" t="n"/>
      <c r="E41" s="72" t="n"/>
      <c r="F41" s="112" t="n"/>
      <c r="G41" s="72" t="n"/>
      <c r="H41" s="74" t="n"/>
      <c r="I41" s="73" t="n"/>
      <c r="J41" s="112" t="n"/>
      <c r="K41" s="108" t="n"/>
      <c r="L41" s="72" t="n"/>
      <c r="M41" s="108" t="n"/>
      <c r="N41" s="72" t="n"/>
      <c r="O41" s="79">
        <f>IF(AND(F41&lt;&gt;"",L41&lt;&gt;"Resolved"),1,0)</f>
        <v/>
      </c>
      <c r="P41" s="79">
        <f>IF(F41="","",IF(O41=0,0,IF(H41="High",2,1)))</f>
        <v/>
      </c>
      <c r="Q41" s="111">
        <f>IF(O41=1,IF(K41&lt;&gt;"",K41,IF(H41="High",AsOf,"")),"")</f>
        <v/>
      </c>
      <c r="R41" s="79">
        <f>IF(Q41="","",IF(H41="High",1,IF(Q41="","",IF(Q41&lt;AsOf,1,IF(Q41&lt;=AsOf+AlertDays,2,IF(Q41&lt;=AsOf+2*AlertDays,3,""))))))</f>
        <v/>
      </c>
      <c r="S41" s="79">
        <f>IF(R41="","",IF(H41="High","High-severity issue: ",IF(C41="Punch item","Punch item: ","Issue action due: "))&amp;F41&amp;IF(J41="",""," → "&amp;J41))</f>
        <v/>
      </c>
      <c r="T41" s="79">
        <f>IF(O41=1,IF(I41="",0,I41),0)</f>
        <v/>
      </c>
      <c r="U41" s="79">
        <f>IF(AND(O41=1,H41="High"),1,0)</f>
        <v/>
      </c>
      <c r="V41" s="79">
        <f>IF(AND(O41=1,C41="Punch item"),1,0)</f>
        <v/>
      </c>
    </row>
    <row r="42" ht="24" customHeight="1">
      <c r="B42" s="125" t="n">
        <v>35</v>
      </c>
      <c r="C42" s="72" t="n"/>
      <c r="D42" s="108" t="n"/>
      <c r="E42" s="72" t="n"/>
      <c r="F42" s="112" t="n"/>
      <c r="G42" s="72" t="n"/>
      <c r="H42" s="74" t="n"/>
      <c r="I42" s="73" t="n"/>
      <c r="J42" s="112" t="n"/>
      <c r="K42" s="108" t="n"/>
      <c r="L42" s="72" t="n"/>
      <c r="M42" s="108" t="n"/>
      <c r="N42" s="72" t="n"/>
      <c r="O42" s="79">
        <f>IF(AND(F42&lt;&gt;"",L42&lt;&gt;"Resolved"),1,0)</f>
        <v/>
      </c>
      <c r="P42" s="79">
        <f>IF(F42="","",IF(O42=0,0,IF(H42="High",2,1)))</f>
        <v/>
      </c>
      <c r="Q42" s="111">
        <f>IF(O42=1,IF(K42&lt;&gt;"",K42,IF(H42="High",AsOf,"")),"")</f>
        <v/>
      </c>
      <c r="R42" s="79">
        <f>IF(Q42="","",IF(H42="High",1,IF(Q42="","",IF(Q42&lt;AsOf,1,IF(Q42&lt;=AsOf+AlertDays,2,IF(Q42&lt;=AsOf+2*AlertDays,3,""))))))</f>
        <v/>
      </c>
      <c r="S42" s="79">
        <f>IF(R42="","",IF(H42="High","High-severity issue: ",IF(C42="Punch item","Punch item: ","Issue action due: "))&amp;F42&amp;IF(J42="",""," → "&amp;J42))</f>
        <v/>
      </c>
      <c r="T42" s="79">
        <f>IF(O42=1,IF(I42="",0,I42),0)</f>
        <v/>
      </c>
      <c r="U42" s="79">
        <f>IF(AND(O42=1,H42="High"),1,0)</f>
        <v/>
      </c>
      <c r="V42" s="79">
        <f>IF(AND(O42=1,C42="Punch item"),1,0)</f>
        <v/>
      </c>
    </row>
    <row r="43" ht="24" customHeight="1">
      <c r="B43" s="125" t="n">
        <v>36</v>
      </c>
      <c r="C43" s="72" t="n"/>
      <c r="D43" s="108" t="n"/>
      <c r="E43" s="72" t="n"/>
      <c r="F43" s="112" t="n"/>
      <c r="G43" s="72" t="n"/>
      <c r="H43" s="74" t="n"/>
      <c r="I43" s="73" t="n"/>
      <c r="J43" s="112" t="n"/>
      <c r="K43" s="108" t="n"/>
      <c r="L43" s="72" t="n"/>
      <c r="M43" s="108" t="n"/>
      <c r="N43" s="72" t="n"/>
      <c r="O43" s="79">
        <f>IF(AND(F43&lt;&gt;"",L43&lt;&gt;"Resolved"),1,0)</f>
        <v/>
      </c>
      <c r="P43" s="79">
        <f>IF(F43="","",IF(O43=0,0,IF(H43="High",2,1)))</f>
        <v/>
      </c>
      <c r="Q43" s="111">
        <f>IF(O43=1,IF(K43&lt;&gt;"",K43,IF(H43="High",AsOf,"")),"")</f>
        <v/>
      </c>
      <c r="R43" s="79">
        <f>IF(Q43="","",IF(H43="High",1,IF(Q43="","",IF(Q43&lt;AsOf,1,IF(Q43&lt;=AsOf+AlertDays,2,IF(Q43&lt;=AsOf+2*AlertDays,3,""))))))</f>
        <v/>
      </c>
      <c r="S43" s="79">
        <f>IF(R43="","",IF(H43="High","High-severity issue: ",IF(C43="Punch item","Punch item: ","Issue action due: "))&amp;F43&amp;IF(J43="",""," → "&amp;J43))</f>
        <v/>
      </c>
      <c r="T43" s="79">
        <f>IF(O43=1,IF(I43="",0,I43),0)</f>
        <v/>
      </c>
      <c r="U43" s="79">
        <f>IF(AND(O43=1,H43="High"),1,0)</f>
        <v/>
      </c>
      <c r="V43" s="79">
        <f>IF(AND(O43=1,C43="Punch item"),1,0)</f>
        <v/>
      </c>
    </row>
    <row r="44" ht="24" customHeight="1">
      <c r="B44" s="125" t="n">
        <v>37</v>
      </c>
      <c r="C44" s="72" t="n"/>
      <c r="D44" s="108" t="n"/>
      <c r="E44" s="72" t="n"/>
      <c r="F44" s="112" t="n"/>
      <c r="G44" s="72" t="n"/>
      <c r="H44" s="74" t="n"/>
      <c r="I44" s="73" t="n"/>
      <c r="J44" s="112" t="n"/>
      <c r="K44" s="108" t="n"/>
      <c r="L44" s="72" t="n"/>
      <c r="M44" s="108" t="n"/>
      <c r="N44" s="72" t="n"/>
      <c r="O44" s="79">
        <f>IF(AND(F44&lt;&gt;"",L44&lt;&gt;"Resolved"),1,0)</f>
        <v/>
      </c>
      <c r="P44" s="79">
        <f>IF(F44="","",IF(O44=0,0,IF(H44="High",2,1)))</f>
        <v/>
      </c>
      <c r="Q44" s="111">
        <f>IF(O44=1,IF(K44&lt;&gt;"",K44,IF(H44="High",AsOf,"")),"")</f>
        <v/>
      </c>
      <c r="R44" s="79">
        <f>IF(Q44="","",IF(H44="High",1,IF(Q44="","",IF(Q44&lt;AsOf,1,IF(Q44&lt;=AsOf+AlertDays,2,IF(Q44&lt;=AsOf+2*AlertDays,3,""))))))</f>
        <v/>
      </c>
      <c r="S44" s="79">
        <f>IF(R44="","",IF(H44="High","High-severity issue: ",IF(C44="Punch item","Punch item: ","Issue action due: "))&amp;F44&amp;IF(J44="",""," → "&amp;J44))</f>
        <v/>
      </c>
      <c r="T44" s="79">
        <f>IF(O44=1,IF(I44="",0,I44),0)</f>
        <v/>
      </c>
      <c r="U44" s="79">
        <f>IF(AND(O44=1,H44="High"),1,0)</f>
        <v/>
      </c>
      <c r="V44" s="79">
        <f>IF(AND(O44=1,C44="Punch item"),1,0)</f>
        <v/>
      </c>
    </row>
    <row r="45" ht="24" customHeight="1">
      <c r="B45" s="125" t="n">
        <v>38</v>
      </c>
      <c r="C45" s="72" t="n"/>
      <c r="D45" s="108" t="n"/>
      <c r="E45" s="72" t="n"/>
      <c r="F45" s="112" t="n"/>
      <c r="G45" s="72" t="n"/>
      <c r="H45" s="74" t="n"/>
      <c r="I45" s="73" t="n"/>
      <c r="J45" s="112" t="n"/>
      <c r="K45" s="108" t="n"/>
      <c r="L45" s="72" t="n"/>
      <c r="M45" s="108" t="n"/>
      <c r="N45" s="72" t="n"/>
      <c r="O45" s="79">
        <f>IF(AND(F45&lt;&gt;"",L45&lt;&gt;"Resolved"),1,0)</f>
        <v/>
      </c>
      <c r="P45" s="79">
        <f>IF(F45="","",IF(O45=0,0,IF(H45="High",2,1)))</f>
        <v/>
      </c>
      <c r="Q45" s="111">
        <f>IF(O45=1,IF(K45&lt;&gt;"",K45,IF(H45="High",AsOf,"")),"")</f>
        <v/>
      </c>
      <c r="R45" s="79">
        <f>IF(Q45="","",IF(H45="High",1,IF(Q45="","",IF(Q45&lt;AsOf,1,IF(Q45&lt;=AsOf+AlertDays,2,IF(Q45&lt;=AsOf+2*AlertDays,3,""))))))</f>
        <v/>
      </c>
      <c r="S45" s="79">
        <f>IF(R45="","",IF(H45="High","High-severity issue: ",IF(C45="Punch item","Punch item: ","Issue action due: "))&amp;F45&amp;IF(J45="",""," → "&amp;J45))</f>
        <v/>
      </c>
      <c r="T45" s="79">
        <f>IF(O45=1,IF(I45="",0,I45),0)</f>
        <v/>
      </c>
      <c r="U45" s="79">
        <f>IF(AND(O45=1,H45="High"),1,0)</f>
        <v/>
      </c>
      <c r="V45" s="79">
        <f>IF(AND(O45=1,C45="Punch item"),1,0)</f>
        <v/>
      </c>
    </row>
    <row r="46" ht="24" customHeight="1">
      <c r="B46" s="125" t="n">
        <v>39</v>
      </c>
      <c r="C46" s="72" t="n"/>
      <c r="D46" s="108" t="n"/>
      <c r="E46" s="72" t="n"/>
      <c r="F46" s="112" t="n"/>
      <c r="G46" s="72" t="n"/>
      <c r="H46" s="74" t="n"/>
      <c r="I46" s="73" t="n"/>
      <c r="J46" s="112" t="n"/>
      <c r="K46" s="108" t="n"/>
      <c r="L46" s="72" t="n"/>
      <c r="M46" s="108" t="n"/>
      <c r="N46" s="72" t="n"/>
      <c r="O46" s="79">
        <f>IF(AND(F46&lt;&gt;"",L46&lt;&gt;"Resolved"),1,0)</f>
        <v/>
      </c>
      <c r="P46" s="79">
        <f>IF(F46="","",IF(O46=0,0,IF(H46="High",2,1)))</f>
        <v/>
      </c>
      <c r="Q46" s="111">
        <f>IF(O46=1,IF(K46&lt;&gt;"",K46,IF(H46="High",AsOf,"")),"")</f>
        <v/>
      </c>
      <c r="R46" s="79">
        <f>IF(Q46="","",IF(H46="High",1,IF(Q46="","",IF(Q46&lt;AsOf,1,IF(Q46&lt;=AsOf+AlertDays,2,IF(Q46&lt;=AsOf+2*AlertDays,3,""))))))</f>
        <v/>
      </c>
      <c r="S46" s="79">
        <f>IF(R46="","",IF(H46="High","High-severity issue: ",IF(C46="Punch item","Punch item: ","Issue action due: "))&amp;F46&amp;IF(J46="",""," → "&amp;J46))</f>
        <v/>
      </c>
      <c r="T46" s="79">
        <f>IF(O46=1,IF(I46="",0,I46),0)</f>
        <v/>
      </c>
      <c r="U46" s="79">
        <f>IF(AND(O46=1,H46="High"),1,0)</f>
        <v/>
      </c>
      <c r="V46" s="79">
        <f>IF(AND(O46=1,C46="Punch item"),1,0)</f>
        <v/>
      </c>
    </row>
    <row r="47" ht="24" customHeight="1">
      <c r="B47" s="125" t="n">
        <v>40</v>
      </c>
      <c r="C47" s="72" t="n"/>
      <c r="D47" s="108" t="n"/>
      <c r="E47" s="72" t="n"/>
      <c r="F47" s="112" t="n"/>
      <c r="G47" s="72" t="n"/>
      <c r="H47" s="74" t="n"/>
      <c r="I47" s="73" t="n"/>
      <c r="J47" s="112" t="n"/>
      <c r="K47" s="108" t="n"/>
      <c r="L47" s="72" t="n"/>
      <c r="M47" s="108" t="n"/>
      <c r="N47" s="72" t="n"/>
      <c r="O47" s="79">
        <f>IF(AND(F47&lt;&gt;"",L47&lt;&gt;"Resolved"),1,0)</f>
        <v/>
      </c>
      <c r="P47" s="79">
        <f>IF(F47="","",IF(O47=0,0,IF(H47="High",2,1)))</f>
        <v/>
      </c>
      <c r="Q47" s="111">
        <f>IF(O47=1,IF(K47&lt;&gt;"",K47,IF(H47="High",AsOf,"")),"")</f>
        <v/>
      </c>
      <c r="R47" s="79">
        <f>IF(Q47="","",IF(H47="High",1,IF(Q47="","",IF(Q47&lt;AsOf,1,IF(Q47&lt;=AsOf+AlertDays,2,IF(Q47&lt;=AsOf+2*AlertDays,3,""))))))</f>
        <v/>
      </c>
      <c r="S47" s="79">
        <f>IF(R47="","",IF(H47="High","High-severity issue: ",IF(C47="Punch item","Punch item: ","Issue action due: "))&amp;F47&amp;IF(J47="",""," → "&amp;J47))</f>
        <v/>
      </c>
      <c r="T47" s="79">
        <f>IF(O47=1,IF(I47="",0,I47),0)</f>
        <v/>
      </c>
      <c r="U47" s="79">
        <f>IF(AND(O47=1,H47="High"),1,0)</f>
        <v/>
      </c>
      <c r="V47" s="79">
        <f>IF(AND(O47=1,C47="Punch item"),1,0)</f>
        <v/>
      </c>
    </row>
    <row r="48" ht="24" customHeight="1">
      <c r="B48" s="125" t="n">
        <v>41</v>
      </c>
      <c r="C48" s="72" t="n"/>
      <c r="D48" s="108" t="n"/>
      <c r="E48" s="72" t="n"/>
      <c r="F48" s="112" t="n"/>
      <c r="G48" s="72" t="n"/>
      <c r="H48" s="74" t="n"/>
      <c r="I48" s="73" t="n"/>
      <c r="J48" s="112" t="n"/>
      <c r="K48" s="108" t="n"/>
      <c r="L48" s="72" t="n"/>
      <c r="M48" s="108" t="n"/>
      <c r="N48" s="72" t="n"/>
      <c r="O48" s="79">
        <f>IF(AND(F48&lt;&gt;"",L48&lt;&gt;"Resolved"),1,0)</f>
        <v/>
      </c>
      <c r="P48" s="79">
        <f>IF(F48="","",IF(O48=0,0,IF(H48="High",2,1)))</f>
        <v/>
      </c>
      <c r="Q48" s="111">
        <f>IF(O48=1,IF(K48&lt;&gt;"",K48,IF(H48="High",AsOf,"")),"")</f>
        <v/>
      </c>
      <c r="R48" s="79">
        <f>IF(Q48="","",IF(H48="High",1,IF(Q48="","",IF(Q48&lt;AsOf,1,IF(Q48&lt;=AsOf+AlertDays,2,IF(Q48&lt;=AsOf+2*AlertDays,3,""))))))</f>
        <v/>
      </c>
      <c r="S48" s="79">
        <f>IF(R48="","",IF(H48="High","High-severity issue: ",IF(C48="Punch item","Punch item: ","Issue action due: "))&amp;F48&amp;IF(J48="",""," → "&amp;J48))</f>
        <v/>
      </c>
      <c r="T48" s="79">
        <f>IF(O48=1,IF(I48="",0,I48),0)</f>
        <v/>
      </c>
      <c r="U48" s="79">
        <f>IF(AND(O48=1,H48="High"),1,0)</f>
        <v/>
      </c>
      <c r="V48" s="79">
        <f>IF(AND(O48=1,C48="Punch item"),1,0)</f>
        <v/>
      </c>
    </row>
    <row r="49" ht="24" customHeight="1">
      <c r="B49" s="125" t="n">
        <v>42</v>
      </c>
      <c r="C49" s="72" t="n"/>
      <c r="D49" s="108" t="n"/>
      <c r="E49" s="72" t="n"/>
      <c r="F49" s="112" t="n"/>
      <c r="G49" s="72" t="n"/>
      <c r="H49" s="74" t="n"/>
      <c r="I49" s="73" t="n"/>
      <c r="J49" s="112" t="n"/>
      <c r="K49" s="108" t="n"/>
      <c r="L49" s="72" t="n"/>
      <c r="M49" s="108" t="n"/>
      <c r="N49" s="72" t="n"/>
      <c r="O49" s="79">
        <f>IF(AND(F49&lt;&gt;"",L49&lt;&gt;"Resolved"),1,0)</f>
        <v/>
      </c>
      <c r="P49" s="79">
        <f>IF(F49="","",IF(O49=0,0,IF(H49="High",2,1)))</f>
        <v/>
      </c>
      <c r="Q49" s="111">
        <f>IF(O49=1,IF(K49&lt;&gt;"",K49,IF(H49="High",AsOf,"")),"")</f>
        <v/>
      </c>
      <c r="R49" s="79">
        <f>IF(Q49="","",IF(H49="High",1,IF(Q49="","",IF(Q49&lt;AsOf,1,IF(Q49&lt;=AsOf+AlertDays,2,IF(Q49&lt;=AsOf+2*AlertDays,3,""))))))</f>
        <v/>
      </c>
      <c r="S49" s="79">
        <f>IF(R49="","",IF(H49="High","High-severity issue: ",IF(C49="Punch item","Punch item: ","Issue action due: "))&amp;F49&amp;IF(J49="",""," → "&amp;J49))</f>
        <v/>
      </c>
      <c r="T49" s="79">
        <f>IF(O49=1,IF(I49="",0,I49),0)</f>
        <v/>
      </c>
      <c r="U49" s="79">
        <f>IF(AND(O49=1,H49="High"),1,0)</f>
        <v/>
      </c>
      <c r="V49" s="79">
        <f>IF(AND(O49=1,C49="Punch item"),1,0)</f>
        <v/>
      </c>
    </row>
    <row r="50" ht="24" customHeight="1">
      <c r="B50" s="125" t="n">
        <v>43</v>
      </c>
      <c r="C50" s="72" t="n"/>
      <c r="D50" s="108" t="n"/>
      <c r="E50" s="72" t="n"/>
      <c r="F50" s="112" t="n"/>
      <c r="G50" s="72" t="n"/>
      <c r="H50" s="74" t="n"/>
      <c r="I50" s="73" t="n"/>
      <c r="J50" s="112" t="n"/>
      <c r="K50" s="108" t="n"/>
      <c r="L50" s="72" t="n"/>
      <c r="M50" s="108" t="n"/>
      <c r="N50" s="72" t="n"/>
      <c r="O50" s="79">
        <f>IF(AND(F50&lt;&gt;"",L50&lt;&gt;"Resolved"),1,0)</f>
        <v/>
      </c>
      <c r="P50" s="79">
        <f>IF(F50="","",IF(O50=0,0,IF(H50="High",2,1)))</f>
        <v/>
      </c>
      <c r="Q50" s="111">
        <f>IF(O50=1,IF(K50&lt;&gt;"",K50,IF(H50="High",AsOf,"")),"")</f>
        <v/>
      </c>
      <c r="R50" s="79">
        <f>IF(Q50="","",IF(H50="High",1,IF(Q50="","",IF(Q50&lt;AsOf,1,IF(Q50&lt;=AsOf+AlertDays,2,IF(Q50&lt;=AsOf+2*AlertDays,3,""))))))</f>
        <v/>
      </c>
      <c r="S50" s="79">
        <f>IF(R50="","",IF(H50="High","High-severity issue: ",IF(C50="Punch item","Punch item: ","Issue action due: "))&amp;F50&amp;IF(J50="",""," → "&amp;J50))</f>
        <v/>
      </c>
      <c r="T50" s="79">
        <f>IF(O50=1,IF(I50="",0,I50),0)</f>
        <v/>
      </c>
      <c r="U50" s="79">
        <f>IF(AND(O50=1,H50="High"),1,0)</f>
        <v/>
      </c>
      <c r="V50" s="79">
        <f>IF(AND(O50=1,C50="Punch item"),1,0)</f>
        <v/>
      </c>
    </row>
    <row r="51" ht="24" customHeight="1">
      <c r="B51" s="125" t="n">
        <v>44</v>
      </c>
      <c r="C51" s="72" t="n"/>
      <c r="D51" s="108" t="n"/>
      <c r="E51" s="72" t="n"/>
      <c r="F51" s="112" t="n"/>
      <c r="G51" s="72" t="n"/>
      <c r="H51" s="74" t="n"/>
      <c r="I51" s="73" t="n"/>
      <c r="J51" s="112" t="n"/>
      <c r="K51" s="108" t="n"/>
      <c r="L51" s="72" t="n"/>
      <c r="M51" s="108" t="n"/>
      <c r="N51" s="72" t="n"/>
      <c r="O51" s="79">
        <f>IF(AND(F51&lt;&gt;"",L51&lt;&gt;"Resolved"),1,0)</f>
        <v/>
      </c>
      <c r="P51" s="79">
        <f>IF(F51="","",IF(O51=0,0,IF(H51="High",2,1)))</f>
        <v/>
      </c>
      <c r="Q51" s="111">
        <f>IF(O51=1,IF(K51&lt;&gt;"",K51,IF(H51="High",AsOf,"")),"")</f>
        <v/>
      </c>
      <c r="R51" s="79">
        <f>IF(Q51="","",IF(H51="High",1,IF(Q51="","",IF(Q51&lt;AsOf,1,IF(Q51&lt;=AsOf+AlertDays,2,IF(Q51&lt;=AsOf+2*AlertDays,3,""))))))</f>
        <v/>
      </c>
      <c r="S51" s="79">
        <f>IF(R51="","",IF(H51="High","High-severity issue: ",IF(C51="Punch item","Punch item: ","Issue action due: "))&amp;F51&amp;IF(J51="",""," → "&amp;J51))</f>
        <v/>
      </c>
      <c r="T51" s="79">
        <f>IF(O51=1,IF(I51="",0,I51),0)</f>
        <v/>
      </c>
      <c r="U51" s="79">
        <f>IF(AND(O51=1,H51="High"),1,0)</f>
        <v/>
      </c>
      <c r="V51" s="79">
        <f>IF(AND(O51=1,C51="Punch item"),1,0)</f>
        <v/>
      </c>
    </row>
    <row r="52" ht="24" customHeight="1">
      <c r="B52" s="125" t="n">
        <v>45</v>
      </c>
      <c r="C52" s="72" t="n"/>
      <c r="D52" s="108" t="n"/>
      <c r="E52" s="72" t="n"/>
      <c r="F52" s="112" t="n"/>
      <c r="G52" s="72" t="n"/>
      <c r="H52" s="74" t="n"/>
      <c r="I52" s="73" t="n"/>
      <c r="J52" s="112" t="n"/>
      <c r="K52" s="108" t="n"/>
      <c r="L52" s="72" t="n"/>
      <c r="M52" s="108" t="n"/>
      <c r="N52" s="72" t="n"/>
      <c r="O52" s="79">
        <f>IF(AND(F52&lt;&gt;"",L52&lt;&gt;"Resolved"),1,0)</f>
        <v/>
      </c>
      <c r="P52" s="79">
        <f>IF(F52="","",IF(O52=0,0,IF(H52="High",2,1)))</f>
        <v/>
      </c>
      <c r="Q52" s="111">
        <f>IF(O52=1,IF(K52&lt;&gt;"",K52,IF(H52="High",AsOf,"")),"")</f>
        <v/>
      </c>
      <c r="R52" s="79">
        <f>IF(Q52="","",IF(H52="High",1,IF(Q52="","",IF(Q52&lt;AsOf,1,IF(Q52&lt;=AsOf+AlertDays,2,IF(Q52&lt;=AsOf+2*AlertDays,3,""))))))</f>
        <v/>
      </c>
      <c r="S52" s="79">
        <f>IF(R52="","",IF(H52="High","High-severity issue: ",IF(C52="Punch item","Punch item: ","Issue action due: "))&amp;F52&amp;IF(J52="",""," → "&amp;J52))</f>
        <v/>
      </c>
      <c r="T52" s="79">
        <f>IF(O52=1,IF(I52="",0,I52),0)</f>
        <v/>
      </c>
      <c r="U52" s="79">
        <f>IF(AND(O52=1,H52="High"),1,0)</f>
        <v/>
      </c>
      <c r="V52" s="79">
        <f>IF(AND(O52=1,C52="Punch item"),1,0)</f>
        <v/>
      </c>
    </row>
    <row r="53" ht="24" customHeight="1">
      <c r="B53" s="125" t="n">
        <v>46</v>
      </c>
      <c r="C53" s="72" t="n"/>
      <c r="D53" s="108" t="n"/>
      <c r="E53" s="72" t="n"/>
      <c r="F53" s="112" t="n"/>
      <c r="G53" s="72" t="n"/>
      <c r="H53" s="74" t="n"/>
      <c r="I53" s="73" t="n"/>
      <c r="J53" s="112" t="n"/>
      <c r="K53" s="108" t="n"/>
      <c r="L53" s="72" t="n"/>
      <c r="M53" s="108" t="n"/>
      <c r="N53" s="72" t="n"/>
      <c r="O53" s="79">
        <f>IF(AND(F53&lt;&gt;"",L53&lt;&gt;"Resolved"),1,0)</f>
        <v/>
      </c>
      <c r="P53" s="79">
        <f>IF(F53="","",IF(O53=0,0,IF(H53="High",2,1)))</f>
        <v/>
      </c>
      <c r="Q53" s="111">
        <f>IF(O53=1,IF(K53&lt;&gt;"",K53,IF(H53="High",AsOf,"")),"")</f>
        <v/>
      </c>
      <c r="R53" s="79">
        <f>IF(Q53="","",IF(H53="High",1,IF(Q53="","",IF(Q53&lt;AsOf,1,IF(Q53&lt;=AsOf+AlertDays,2,IF(Q53&lt;=AsOf+2*AlertDays,3,""))))))</f>
        <v/>
      </c>
      <c r="S53" s="79">
        <f>IF(R53="","",IF(H53="High","High-severity issue: ",IF(C53="Punch item","Punch item: ","Issue action due: "))&amp;F53&amp;IF(J53="",""," → "&amp;J53))</f>
        <v/>
      </c>
      <c r="T53" s="79">
        <f>IF(O53=1,IF(I53="",0,I53),0)</f>
        <v/>
      </c>
      <c r="U53" s="79">
        <f>IF(AND(O53=1,H53="High"),1,0)</f>
        <v/>
      </c>
      <c r="V53" s="79">
        <f>IF(AND(O53=1,C53="Punch item"),1,0)</f>
        <v/>
      </c>
    </row>
    <row r="54" ht="24" customHeight="1">
      <c r="B54" s="125" t="n">
        <v>47</v>
      </c>
      <c r="C54" s="72" t="n"/>
      <c r="D54" s="108" t="n"/>
      <c r="E54" s="72" t="n"/>
      <c r="F54" s="112" t="n"/>
      <c r="G54" s="72" t="n"/>
      <c r="H54" s="74" t="n"/>
      <c r="I54" s="73" t="n"/>
      <c r="J54" s="112" t="n"/>
      <c r="K54" s="108" t="n"/>
      <c r="L54" s="72" t="n"/>
      <c r="M54" s="108" t="n"/>
      <c r="N54" s="72" t="n"/>
      <c r="O54" s="79">
        <f>IF(AND(F54&lt;&gt;"",L54&lt;&gt;"Resolved"),1,0)</f>
        <v/>
      </c>
      <c r="P54" s="79">
        <f>IF(F54="","",IF(O54=0,0,IF(H54="High",2,1)))</f>
        <v/>
      </c>
      <c r="Q54" s="111">
        <f>IF(O54=1,IF(K54&lt;&gt;"",K54,IF(H54="High",AsOf,"")),"")</f>
        <v/>
      </c>
      <c r="R54" s="79">
        <f>IF(Q54="","",IF(H54="High",1,IF(Q54="","",IF(Q54&lt;AsOf,1,IF(Q54&lt;=AsOf+AlertDays,2,IF(Q54&lt;=AsOf+2*AlertDays,3,""))))))</f>
        <v/>
      </c>
      <c r="S54" s="79">
        <f>IF(R54="","",IF(H54="High","High-severity issue: ",IF(C54="Punch item","Punch item: ","Issue action due: "))&amp;F54&amp;IF(J54="",""," → "&amp;J54))</f>
        <v/>
      </c>
      <c r="T54" s="79">
        <f>IF(O54=1,IF(I54="",0,I54),0)</f>
        <v/>
      </c>
      <c r="U54" s="79">
        <f>IF(AND(O54=1,H54="High"),1,0)</f>
        <v/>
      </c>
      <c r="V54" s="79">
        <f>IF(AND(O54=1,C54="Punch item"),1,0)</f>
        <v/>
      </c>
    </row>
    <row r="55" ht="24" customHeight="1">
      <c r="B55" s="125" t="n">
        <v>48</v>
      </c>
      <c r="C55" s="72" t="n"/>
      <c r="D55" s="108" t="n"/>
      <c r="E55" s="72" t="n"/>
      <c r="F55" s="112" t="n"/>
      <c r="G55" s="72" t="n"/>
      <c r="H55" s="74" t="n"/>
      <c r="I55" s="73" t="n"/>
      <c r="J55" s="112" t="n"/>
      <c r="K55" s="108" t="n"/>
      <c r="L55" s="72" t="n"/>
      <c r="M55" s="108" t="n"/>
      <c r="N55" s="72" t="n"/>
      <c r="O55" s="79">
        <f>IF(AND(F55&lt;&gt;"",L55&lt;&gt;"Resolved"),1,0)</f>
        <v/>
      </c>
      <c r="P55" s="79">
        <f>IF(F55="","",IF(O55=0,0,IF(H55="High",2,1)))</f>
        <v/>
      </c>
      <c r="Q55" s="111">
        <f>IF(O55=1,IF(K55&lt;&gt;"",K55,IF(H55="High",AsOf,"")),"")</f>
        <v/>
      </c>
      <c r="R55" s="79">
        <f>IF(Q55="","",IF(H55="High",1,IF(Q55="","",IF(Q55&lt;AsOf,1,IF(Q55&lt;=AsOf+AlertDays,2,IF(Q55&lt;=AsOf+2*AlertDays,3,""))))))</f>
        <v/>
      </c>
      <c r="S55" s="79">
        <f>IF(R55="","",IF(H55="High","High-severity issue: ",IF(C55="Punch item","Punch item: ","Issue action due: "))&amp;F55&amp;IF(J55="",""," → "&amp;J55))</f>
        <v/>
      </c>
      <c r="T55" s="79">
        <f>IF(O55=1,IF(I55="",0,I55),0)</f>
        <v/>
      </c>
      <c r="U55" s="79">
        <f>IF(AND(O55=1,H55="High"),1,0)</f>
        <v/>
      </c>
      <c r="V55" s="79">
        <f>IF(AND(O55=1,C55="Punch item"),1,0)</f>
        <v/>
      </c>
    </row>
    <row r="56" ht="24" customHeight="1">
      <c r="B56" s="125" t="n">
        <v>49</v>
      </c>
      <c r="C56" s="72" t="n"/>
      <c r="D56" s="108" t="n"/>
      <c r="E56" s="72" t="n"/>
      <c r="F56" s="112" t="n"/>
      <c r="G56" s="72" t="n"/>
      <c r="H56" s="74" t="n"/>
      <c r="I56" s="73" t="n"/>
      <c r="J56" s="112" t="n"/>
      <c r="K56" s="108" t="n"/>
      <c r="L56" s="72" t="n"/>
      <c r="M56" s="108" t="n"/>
      <c r="N56" s="72" t="n"/>
      <c r="O56" s="79">
        <f>IF(AND(F56&lt;&gt;"",L56&lt;&gt;"Resolved"),1,0)</f>
        <v/>
      </c>
      <c r="P56" s="79">
        <f>IF(F56="","",IF(O56=0,0,IF(H56="High",2,1)))</f>
        <v/>
      </c>
      <c r="Q56" s="111">
        <f>IF(O56=1,IF(K56&lt;&gt;"",K56,IF(H56="High",AsOf,"")),"")</f>
        <v/>
      </c>
      <c r="R56" s="79">
        <f>IF(Q56="","",IF(H56="High",1,IF(Q56="","",IF(Q56&lt;AsOf,1,IF(Q56&lt;=AsOf+AlertDays,2,IF(Q56&lt;=AsOf+2*AlertDays,3,""))))))</f>
        <v/>
      </c>
      <c r="S56" s="79">
        <f>IF(R56="","",IF(H56="High","High-severity issue: ",IF(C56="Punch item","Punch item: ","Issue action due: "))&amp;F56&amp;IF(J56="",""," → "&amp;J56))</f>
        <v/>
      </c>
      <c r="T56" s="79">
        <f>IF(O56=1,IF(I56="",0,I56),0)</f>
        <v/>
      </c>
      <c r="U56" s="79">
        <f>IF(AND(O56=1,H56="High"),1,0)</f>
        <v/>
      </c>
      <c r="V56" s="79">
        <f>IF(AND(O56=1,C56="Punch item"),1,0)</f>
        <v/>
      </c>
    </row>
    <row r="57" ht="24" customHeight="1">
      <c r="B57" s="125" t="n">
        <v>50</v>
      </c>
      <c r="C57" s="72" t="n"/>
      <c r="D57" s="108" t="n"/>
      <c r="E57" s="72" t="n"/>
      <c r="F57" s="112" t="n"/>
      <c r="G57" s="72" t="n"/>
      <c r="H57" s="74" t="n"/>
      <c r="I57" s="73" t="n"/>
      <c r="J57" s="112" t="n"/>
      <c r="K57" s="108" t="n"/>
      <c r="L57" s="72" t="n"/>
      <c r="M57" s="108" t="n"/>
      <c r="N57" s="72" t="n"/>
      <c r="O57" s="79">
        <f>IF(AND(F57&lt;&gt;"",L57&lt;&gt;"Resolved"),1,0)</f>
        <v/>
      </c>
      <c r="P57" s="79">
        <f>IF(F57="","",IF(O57=0,0,IF(H57="High",2,1)))</f>
        <v/>
      </c>
      <c r="Q57" s="111">
        <f>IF(O57=1,IF(K57&lt;&gt;"",K57,IF(H57="High",AsOf,"")),"")</f>
        <v/>
      </c>
      <c r="R57" s="79">
        <f>IF(Q57="","",IF(H57="High",1,IF(Q57="","",IF(Q57&lt;AsOf,1,IF(Q57&lt;=AsOf+AlertDays,2,IF(Q57&lt;=AsOf+2*AlertDays,3,""))))))</f>
        <v/>
      </c>
      <c r="S57" s="79">
        <f>IF(R57="","",IF(H57="High","High-severity issue: ",IF(C57="Punch item","Punch item: ","Issue action due: "))&amp;F57&amp;IF(J57="",""," → "&amp;J57))</f>
        <v/>
      </c>
      <c r="T57" s="79">
        <f>IF(O57=1,IF(I57="",0,I57),0)</f>
        <v/>
      </c>
      <c r="U57" s="79">
        <f>IF(AND(O57=1,H57="High"),1,0)</f>
        <v/>
      </c>
      <c r="V57" s="79">
        <f>IF(AND(O57=1,C57="Punch item"),1,0)</f>
        <v/>
      </c>
    </row>
    <row r="58" ht="24" customHeight="1">
      <c r="B58" s="125" t="n">
        <v>51</v>
      </c>
      <c r="C58" s="72" t="n"/>
      <c r="D58" s="108" t="n"/>
      <c r="E58" s="72" t="n"/>
      <c r="F58" s="112" t="n"/>
      <c r="G58" s="72" t="n"/>
      <c r="H58" s="74" t="n"/>
      <c r="I58" s="73" t="n"/>
      <c r="J58" s="112" t="n"/>
      <c r="K58" s="108" t="n"/>
      <c r="L58" s="72" t="n"/>
      <c r="M58" s="108" t="n"/>
      <c r="N58" s="72" t="n"/>
      <c r="O58" s="79">
        <f>IF(AND(F58&lt;&gt;"",L58&lt;&gt;"Resolved"),1,0)</f>
        <v/>
      </c>
      <c r="P58" s="79">
        <f>IF(F58="","",IF(O58=0,0,IF(H58="High",2,1)))</f>
        <v/>
      </c>
      <c r="Q58" s="111">
        <f>IF(O58=1,IF(K58&lt;&gt;"",K58,IF(H58="High",AsOf,"")),"")</f>
        <v/>
      </c>
      <c r="R58" s="79">
        <f>IF(Q58="","",IF(H58="High",1,IF(Q58="","",IF(Q58&lt;AsOf,1,IF(Q58&lt;=AsOf+AlertDays,2,IF(Q58&lt;=AsOf+2*AlertDays,3,""))))))</f>
        <v/>
      </c>
      <c r="S58" s="79">
        <f>IF(R58="","",IF(H58="High","High-severity issue: ",IF(C58="Punch item","Punch item: ","Issue action due: "))&amp;F58&amp;IF(J58="",""," → "&amp;J58))</f>
        <v/>
      </c>
      <c r="T58" s="79">
        <f>IF(O58=1,IF(I58="",0,I58),0)</f>
        <v/>
      </c>
      <c r="U58" s="79">
        <f>IF(AND(O58=1,H58="High"),1,0)</f>
        <v/>
      </c>
      <c r="V58" s="79">
        <f>IF(AND(O58=1,C58="Punch item"),1,0)</f>
        <v/>
      </c>
    </row>
    <row r="59" ht="24" customHeight="1">
      <c r="B59" s="125" t="n">
        <v>52</v>
      </c>
      <c r="C59" s="72" t="n"/>
      <c r="D59" s="108" t="n"/>
      <c r="E59" s="72" t="n"/>
      <c r="F59" s="112" t="n"/>
      <c r="G59" s="72" t="n"/>
      <c r="H59" s="74" t="n"/>
      <c r="I59" s="73" t="n"/>
      <c r="J59" s="112" t="n"/>
      <c r="K59" s="108" t="n"/>
      <c r="L59" s="72" t="n"/>
      <c r="M59" s="108" t="n"/>
      <c r="N59" s="72" t="n"/>
      <c r="O59" s="79">
        <f>IF(AND(F59&lt;&gt;"",L59&lt;&gt;"Resolved"),1,0)</f>
        <v/>
      </c>
      <c r="P59" s="79">
        <f>IF(F59="","",IF(O59=0,0,IF(H59="High",2,1)))</f>
        <v/>
      </c>
      <c r="Q59" s="111">
        <f>IF(O59=1,IF(K59&lt;&gt;"",K59,IF(H59="High",AsOf,"")),"")</f>
        <v/>
      </c>
      <c r="R59" s="79">
        <f>IF(Q59="","",IF(H59="High",1,IF(Q59="","",IF(Q59&lt;AsOf,1,IF(Q59&lt;=AsOf+AlertDays,2,IF(Q59&lt;=AsOf+2*AlertDays,3,""))))))</f>
        <v/>
      </c>
      <c r="S59" s="79">
        <f>IF(R59="","",IF(H59="High","High-severity issue: ",IF(C59="Punch item","Punch item: ","Issue action due: "))&amp;F59&amp;IF(J59="",""," → "&amp;J59))</f>
        <v/>
      </c>
      <c r="T59" s="79">
        <f>IF(O59=1,IF(I59="",0,I59),0)</f>
        <v/>
      </c>
      <c r="U59" s="79">
        <f>IF(AND(O59=1,H59="High"),1,0)</f>
        <v/>
      </c>
      <c r="V59" s="79">
        <f>IF(AND(O59=1,C59="Punch item"),1,0)</f>
        <v/>
      </c>
    </row>
    <row r="60" ht="24" customHeight="1">
      <c r="B60" s="125" t="n">
        <v>53</v>
      </c>
      <c r="C60" s="72" t="n"/>
      <c r="D60" s="108" t="n"/>
      <c r="E60" s="72" t="n"/>
      <c r="F60" s="112" t="n"/>
      <c r="G60" s="72" t="n"/>
      <c r="H60" s="74" t="n"/>
      <c r="I60" s="73" t="n"/>
      <c r="J60" s="112" t="n"/>
      <c r="K60" s="108" t="n"/>
      <c r="L60" s="72" t="n"/>
      <c r="M60" s="108" t="n"/>
      <c r="N60" s="72" t="n"/>
      <c r="O60" s="79">
        <f>IF(AND(F60&lt;&gt;"",L60&lt;&gt;"Resolved"),1,0)</f>
        <v/>
      </c>
      <c r="P60" s="79">
        <f>IF(F60="","",IF(O60=0,0,IF(H60="High",2,1)))</f>
        <v/>
      </c>
      <c r="Q60" s="111">
        <f>IF(O60=1,IF(K60&lt;&gt;"",K60,IF(H60="High",AsOf,"")),"")</f>
        <v/>
      </c>
      <c r="R60" s="79">
        <f>IF(Q60="","",IF(H60="High",1,IF(Q60="","",IF(Q60&lt;AsOf,1,IF(Q60&lt;=AsOf+AlertDays,2,IF(Q60&lt;=AsOf+2*AlertDays,3,""))))))</f>
        <v/>
      </c>
      <c r="S60" s="79">
        <f>IF(R60="","",IF(H60="High","High-severity issue: ",IF(C60="Punch item","Punch item: ","Issue action due: "))&amp;F60&amp;IF(J60="",""," → "&amp;J60))</f>
        <v/>
      </c>
      <c r="T60" s="79">
        <f>IF(O60=1,IF(I60="",0,I60),0)</f>
        <v/>
      </c>
      <c r="U60" s="79">
        <f>IF(AND(O60=1,H60="High"),1,0)</f>
        <v/>
      </c>
      <c r="V60" s="79">
        <f>IF(AND(O60=1,C60="Punch item"),1,0)</f>
        <v/>
      </c>
    </row>
    <row r="61" ht="24" customHeight="1">
      <c r="B61" s="125" t="n">
        <v>54</v>
      </c>
      <c r="C61" s="72" t="n"/>
      <c r="D61" s="108" t="n"/>
      <c r="E61" s="72" t="n"/>
      <c r="F61" s="112" t="n"/>
      <c r="G61" s="72" t="n"/>
      <c r="H61" s="74" t="n"/>
      <c r="I61" s="73" t="n"/>
      <c r="J61" s="112" t="n"/>
      <c r="K61" s="108" t="n"/>
      <c r="L61" s="72" t="n"/>
      <c r="M61" s="108" t="n"/>
      <c r="N61" s="72" t="n"/>
      <c r="O61" s="79">
        <f>IF(AND(F61&lt;&gt;"",L61&lt;&gt;"Resolved"),1,0)</f>
        <v/>
      </c>
      <c r="P61" s="79">
        <f>IF(F61="","",IF(O61=0,0,IF(H61="High",2,1)))</f>
        <v/>
      </c>
      <c r="Q61" s="111">
        <f>IF(O61=1,IF(K61&lt;&gt;"",K61,IF(H61="High",AsOf,"")),"")</f>
        <v/>
      </c>
      <c r="R61" s="79">
        <f>IF(Q61="","",IF(H61="High",1,IF(Q61="","",IF(Q61&lt;AsOf,1,IF(Q61&lt;=AsOf+AlertDays,2,IF(Q61&lt;=AsOf+2*AlertDays,3,""))))))</f>
        <v/>
      </c>
      <c r="S61" s="79">
        <f>IF(R61="","",IF(H61="High","High-severity issue: ",IF(C61="Punch item","Punch item: ","Issue action due: "))&amp;F61&amp;IF(J61="",""," → "&amp;J61))</f>
        <v/>
      </c>
      <c r="T61" s="79">
        <f>IF(O61=1,IF(I61="",0,I61),0)</f>
        <v/>
      </c>
      <c r="U61" s="79">
        <f>IF(AND(O61=1,H61="High"),1,0)</f>
        <v/>
      </c>
      <c r="V61" s="79">
        <f>IF(AND(O61=1,C61="Punch item"),1,0)</f>
        <v/>
      </c>
    </row>
    <row r="62" ht="24" customHeight="1">
      <c r="B62" s="125" t="n">
        <v>55</v>
      </c>
      <c r="C62" s="72" t="n"/>
      <c r="D62" s="108" t="n"/>
      <c r="E62" s="72" t="n"/>
      <c r="F62" s="112" t="n"/>
      <c r="G62" s="72" t="n"/>
      <c r="H62" s="74" t="n"/>
      <c r="I62" s="73" t="n"/>
      <c r="J62" s="112" t="n"/>
      <c r="K62" s="108" t="n"/>
      <c r="L62" s="72" t="n"/>
      <c r="M62" s="108" t="n"/>
      <c r="N62" s="72" t="n"/>
      <c r="O62" s="79">
        <f>IF(AND(F62&lt;&gt;"",L62&lt;&gt;"Resolved"),1,0)</f>
        <v/>
      </c>
      <c r="P62" s="79">
        <f>IF(F62="","",IF(O62=0,0,IF(H62="High",2,1)))</f>
        <v/>
      </c>
      <c r="Q62" s="111">
        <f>IF(O62=1,IF(K62&lt;&gt;"",K62,IF(H62="High",AsOf,"")),"")</f>
        <v/>
      </c>
      <c r="R62" s="79">
        <f>IF(Q62="","",IF(H62="High",1,IF(Q62="","",IF(Q62&lt;AsOf,1,IF(Q62&lt;=AsOf+AlertDays,2,IF(Q62&lt;=AsOf+2*AlertDays,3,""))))))</f>
        <v/>
      </c>
      <c r="S62" s="79">
        <f>IF(R62="","",IF(H62="High","High-severity issue: ",IF(C62="Punch item","Punch item: ","Issue action due: "))&amp;F62&amp;IF(J62="",""," → "&amp;J62))</f>
        <v/>
      </c>
      <c r="T62" s="79">
        <f>IF(O62=1,IF(I62="",0,I62),0)</f>
        <v/>
      </c>
      <c r="U62" s="79">
        <f>IF(AND(O62=1,H62="High"),1,0)</f>
        <v/>
      </c>
      <c r="V62" s="79">
        <f>IF(AND(O62=1,C62="Punch item"),1,0)</f>
        <v/>
      </c>
    </row>
    <row r="63" ht="24" customHeight="1">
      <c r="B63" s="125" t="n">
        <v>56</v>
      </c>
      <c r="C63" s="72" t="n"/>
      <c r="D63" s="108" t="n"/>
      <c r="E63" s="72" t="n"/>
      <c r="F63" s="112" t="n"/>
      <c r="G63" s="72" t="n"/>
      <c r="H63" s="74" t="n"/>
      <c r="I63" s="73" t="n"/>
      <c r="J63" s="112" t="n"/>
      <c r="K63" s="108" t="n"/>
      <c r="L63" s="72" t="n"/>
      <c r="M63" s="108" t="n"/>
      <c r="N63" s="72" t="n"/>
      <c r="O63" s="79">
        <f>IF(AND(F63&lt;&gt;"",L63&lt;&gt;"Resolved"),1,0)</f>
        <v/>
      </c>
      <c r="P63" s="79">
        <f>IF(F63="","",IF(O63=0,0,IF(H63="High",2,1)))</f>
        <v/>
      </c>
      <c r="Q63" s="111">
        <f>IF(O63=1,IF(K63&lt;&gt;"",K63,IF(H63="High",AsOf,"")),"")</f>
        <v/>
      </c>
      <c r="R63" s="79">
        <f>IF(Q63="","",IF(H63="High",1,IF(Q63="","",IF(Q63&lt;AsOf,1,IF(Q63&lt;=AsOf+AlertDays,2,IF(Q63&lt;=AsOf+2*AlertDays,3,""))))))</f>
        <v/>
      </c>
      <c r="S63" s="79">
        <f>IF(R63="","",IF(H63="High","High-severity issue: ",IF(C63="Punch item","Punch item: ","Issue action due: "))&amp;F63&amp;IF(J63="",""," → "&amp;J63))</f>
        <v/>
      </c>
      <c r="T63" s="79">
        <f>IF(O63=1,IF(I63="",0,I63),0)</f>
        <v/>
      </c>
      <c r="U63" s="79">
        <f>IF(AND(O63=1,H63="High"),1,0)</f>
        <v/>
      </c>
      <c r="V63" s="79">
        <f>IF(AND(O63=1,C63="Punch item"),1,0)</f>
        <v/>
      </c>
    </row>
    <row r="64" ht="24" customHeight="1">
      <c r="B64" s="125" t="n">
        <v>57</v>
      </c>
      <c r="C64" s="72" t="n"/>
      <c r="D64" s="108" t="n"/>
      <c r="E64" s="72" t="n"/>
      <c r="F64" s="112" t="n"/>
      <c r="G64" s="72" t="n"/>
      <c r="H64" s="74" t="n"/>
      <c r="I64" s="73" t="n"/>
      <c r="J64" s="112" t="n"/>
      <c r="K64" s="108" t="n"/>
      <c r="L64" s="72" t="n"/>
      <c r="M64" s="108" t="n"/>
      <c r="N64" s="72" t="n"/>
      <c r="O64" s="79">
        <f>IF(AND(F64&lt;&gt;"",L64&lt;&gt;"Resolved"),1,0)</f>
        <v/>
      </c>
      <c r="P64" s="79">
        <f>IF(F64="","",IF(O64=0,0,IF(H64="High",2,1)))</f>
        <v/>
      </c>
      <c r="Q64" s="111">
        <f>IF(O64=1,IF(K64&lt;&gt;"",K64,IF(H64="High",AsOf,"")),"")</f>
        <v/>
      </c>
      <c r="R64" s="79">
        <f>IF(Q64="","",IF(H64="High",1,IF(Q64="","",IF(Q64&lt;AsOf,1,IF(Q64&lt;=AsOf+AlertDays,2,IF(Q64&lt;=AsOf+2*AlertDays,3,""))))))</f>
        <v/>
      </c>
      <c r="S64" s="79">
        <f>IF(R64="","",IF(H64="High","High-severity issue: ",IF(C64="Punch item","Punch item: ","Issue action due: "))&amp;F64&amp;IF(J64="",""," → "&amp;J64))</f>
        <v/>
      </c>
      <c r="T64" s="79">
        <f>IF(O64=1,IF(I64="",0,I64),0)</f>
        <v/>
      </c>
      <c r="U64" s="79">
        <f>IF(AND(O64=1,H64="High"),1,0)</f>
        <v/>
      </c>
      <c r="V64" s="79">
        <f>IF(AND(O64=1,C64="Punch item"),1,0)</f>
        <v/>
      </c>
    </row>
    <row r="65" ht="24" customHeight="1">
      <c r="B65" s="125" t="n">
        <v>58</v>
      </c>
      <c r="C65" s="72" t="n"/>
      <c r="D65" s="108" t="n"/>
      <c r="E65" s="72" t="n"/>
      <c r="F65" s="112" t="n"/>
      <c r="G65" s="72" t="n"/>
      <c r="H65" s="74" t="n"/>
      <c r="I65" s="73" t="n"/>
      <c r="J65" s="112" t="n"/>
      <c r="K65" s="108" t="n"/>
      <c r="L65" s="72" t="n"/>
      <c r="M65" s="108" t="n"/>
      <c r="N65" s="72" t="n"/>
      <c r="O65" s="79">
        <f>IF(AND(F65&lt;&gt;"",L65&lt;&gt;"Resolved"),1,0)</f>
        <v/>
      </c>
      <c r="P65" s="79">
        <f>IF(F65="","",IF(O65=0,0,IF(H65="High",2,1)))</f>
        <v/>
      </c>
      <c r="Q65" s="111">
        <f>IF(O65=1,IF(K65&lt;&gt;"",K65,IF(H65="High",AsOf,"")),"")</f>
        <v/>
      </c>
      <c r="R65" s="79">
        <f>IF(Q65="","",IF(H65="High",1,IF(Q65="","",IF(Q65&lt;AsOf,1,IF(Q65&lt;=AsOf+AlertDays,2,IF(Q65&lt;=AsOf+2*AlertDays,3,""))))))</f>
        <v/>
      </c>
      <c r="S65" s="79">
        <f>IF(R65="","",IF(H65="High","High-severity issue: ",IF(C65="Punch item","Punch item: ","Issue action due: "))&amp;F65&amp;IF(J65="",""," → "&amp;J65))</f>
        <v/>
      </c>
      <c r="T65" s="79">
        <f>IF(O65=1,IF(I65="",0,I65),0)</f>
        <v/>
      </c>
      <c r="U65" s="79">
        <f>IF(AND(O65=1,H65="High"),1,0)</f>
        <v/>
      </c>
      <c r="V65" s="79">
        <f>IF(AND(O65=1,C65="Punch item"),1,0)</f>
        <v/>
      </c>
    </row>
    <row r="66" ht="24" customHeight="1">
      <c r="B66" s="125" t="n">
        <v>59</v>
      </c>
      <c r="C66" s="72" t="n"/>
      <c r="D66" s="108" t="n"/>
      <c r="E66" s="72" t="n"/>
      <c r="F66" s="112" t="n"/>
      <c r="G66" s="72" t="n"/>
      <c r="H66" s="74" t="n"/>
      <c r="I66" s="73" t="n"/>
      <c r="J66" s="112" t="n"/>
      <c r="K66" s="108" t="n"/>
      <c r="L66" s="72" t="n"/>
      <c r="M66" s="108" t="n"/>
      <c r="N66" s="72" t="n"/>
      <c r="O66" s="79">
        <f>IF(AND(F66&lt;&gt;"",L66&lt;&gt;"Resolved"),1,0)</f>
        <v/>
      </c>
      <c r="P66" s="79">
        <f>IF(F66="","",IF(O66=0,0,IF(H66="High",2,1)))</f>
        <v/>
      </c>
      <c r="Q66" s="111">
        <f>IF(O66=1,IF(K66&lt;&gt;"",K66,IF(H66="High",AsOf,"")),"")</f>
        <v/>
      </c>
      <c r="R66" s="79">
        <f>IF(Q66="","",IF(H66="High",1,IF(Q66="","",IF(Q66&lt;AsOf,1,IF(Q66&lt;=AsOf+AlertDays,2,IF(Q66&lt;=AsOf+2*AlertDays,3,""))))))</f>
        <v/>
      </c>
      <c r="S66" s="79">
        <f>IF(R66="","",IF(H66="High","High-severity issue: ",IF(C66="Punch item","Punch item: ","Issue action due: "))&amp;F66&amp;IF(J66="",""," → "&amp;J66))</f>
        <v/>
      </c>
      <c r="T66" s="79">
        <f>IF(O66=1,IF(I66="",0,I66),0)</f>
        <v/>
      </c>
      <c r="U66" s="79">
        <f>IF(AND(O66=1,H66="High"),1,0)</f>
        <v/>
      </c>
      <c r="V66" s="79">
        <f>IF(AND(O66=1,C66="Punch item"),1,0)</f>
        <v/>
      </c>
    </row>
    <row r="67" ht="24" customHeight="1">
      <c r="B67" s="125" t="n">
        <v>60</v>
      </c>
      <c r="C67" s="72" t="n"/>
      <c r="D67" s="108" t="n"/>
      <c r="E67" s="72" t="n"/>
      <c r="F67" s="112" t="n"/>
      <c r="G67" s="72" t="n"/>
      <c r="H67" s="74" t="n"/>
      <c r="I67" s="73" t="n"/>
      <c r="J67" s="112" t="n"/>
      <c r="K67" s="108" t="n"/>
      <c r="L67" s="72" t="n"/>
      <c r="M67" s="108" t="n"/>
      <c r="N67" s="72" t="n"/>
      <c r="O67" s="79">
        <f>IF(AND(F67&lt;&gt;"",L67&lt;&gt;"Resolved"),1,0)</f>
        <v/>
      </c>
      <c r="P67" s="79">
        <f>IF(F67="","",IF(O67=0,0,IF(H67="High",2,1)))</f>
        <v/>
      </c>
      <c r="Q67" s="111">
        <f>IF(O67=1,IF(K67&lt;&gt;"",K67,IF(H67="High",AsOf,"")),"")</f>
        <v/>
      </c>
      <c r="R67" s="79">
        <f>IF(Q67="","",IF(H67="High",1,IF(Q67="","",IF(Q67&lt;AsOf,1,IF(Q67&lt;=AsOf+AlertDays,2,IF(Q67&lt;=AsOf+2*AlertDays,3,""))))))</f>
        <v/>
      </c>
      <c r="S67" s="79">
        <f>IF(R67="","",IF(H67="High","High-severity issue: ",IF(C67="Punch item","Punch item: ","Issue action due: "))&amp;F67&amp;IF(J67="",""," → "&amp;J67))</f>
        <v/>
      </c>
      <c r="T67" s="79">
        <f>IF(O67=1,IF(I67="",0,I67),0)</f>
        <v/>
      </c>
      <c r="U67" s="79">
        <f>IF(AND(O67=1,H67="High"),1,0)</f>
        <v/>
      </c>
      <c r="V67" s="79">
        <f>IF(AND(O67=1,C67="Punch item"),1,0)</f>
        <v/>
      </c>
    </row>
    <row r="68" ht="24" customHeight="1">
      <c r="B68" s="125" t="n">
        <v>61</v>
      </c>
      <c r="C68" s="72" t="n"/>
      <c r="D68" s="108" t="n"/>
      <c r="E68" s="72" t="n"/>
      <c r="F68" s="112" t="n"/>
      <c r="G68" s="72" t="n"/>
      <c r="H68" s="74" t="n"/>
      <c r="I68" s="73" t="n"/>
      <c r="J68" s="112" t="n"/>
      <c r="K68" s="108" t="n"/>
      <c r="L68" s="72" t="n"/>
      <c r="M68" s="108" t="n"/>
      <c r="N68" s="72" t="n"/>
      <c r="O68" s="79">
        <f>IF(AND(F68&lt;&gt;"",L68&lt;&gt;"Resolved"),1,0)</f>
        <v/>
      </c>
      <c r="P68" s="79">
        <f>IF(F68="","",IF(O68=0,0,IF(H68="High",2,1)))</f>
        <v/>
      </c>
      <c r="Q68" s="111">
        <f>IF(O68=1,IF(K68&lt;&gt;"",K68,IF(H68="High",AsOf,"")),"")</f>
        <v/>
      </c>
      <c r="R68" s="79">
        <f>IF(Q68="","",IF(H68="High",1,IF(Q68="","",IF(Q68&lt;AsOf,1,IF(Q68&lt;=AsOf+AlertDays,2,IF(Q68&lt;=AsOf+2*AlertDays,3,""))))))</f>
        <v/>
      </c>
      <c r="S68" s="79">
        <f>IF(R68="","",IF(H68="High","High-severity issue: ",IF(C68="Punch item","Punch item: ","Issue action due: "))&amp;F68&amp;IF(J68="",""," → "&amp;J68))</f>
        <v/>
      </c>
      <c r="T68" s="79">
        <f>IF(O68=1,IF(I68="",0,I68),0)</f>
        <v/>
      </c>
      <c r="U68" s="79">
        <f>IF(AND(O68=1,H68="High"),1,0)</f>
        <v/>
      </c>
      <c r="V68" s="79">
        <f>IF(AND(O68=1,C68="Punch item"),1,0)</f>
        <v/>
      </c>
    </row>
    <row r="69" ht="24" customHeight="1">
      <c r="B69" s="125" t="n">
        <v>62</v>
      </c>
      <c r="C69" s="72" t="n"/>
      <c r="D69" s="108" t="n"/>
      <c r="E69" s="72" t="n"/>
      <c r="F69" s="112" t="n"/>
      <c r="G69" s="72" t="n"/>
      <c r="H69" s="74" t="n"/>
      <c r="I69" s="73" t="n"/>
      <c r="J69" s="112" t="n"/>
      <c r="K69" s="108" t="n"/>
      <c r="L69" s="72" t="n"/>
      <c r="M69" s="108" t="n"/>
      <c r="N69" s="72" t="n"/>
      <c r="O69" s="79">
        <f>IF(AND(F69&lt;&gt;"",L69&lt;&gt;"Resolved"),1,0)</f>
        <v/>
      </c>
      <c r="P69" s="79">
        <f>IF(F69="","",IF(O69=0,0,IF(H69="High",2,1)))</f>
        <v/>
      </c>
      <c r="Q69" s="111">
        <f>IF(O69=1,IF(K69&lt;&gt;"",K69,IF(H69="High",AsOf,"")),"")</f>
        <v/>
      </c>
      <c r="R69" s="79">
        <f>IF(Q69="","",IF(H69="High",1,IF(Q69="","",IF(Q69&lt;AsOf,1,IF(Q69&lt;=AsOf+AlertDays,2,IF(Q69&lt;=AsOf+2*AlertDays,3,""))))))</f>
        <v/>
      </c>
      <c r="S69" s="79">
        <f>IF(R69="","",IF(H69="High","High-severity issue: ",IF(C69="Punch item","Punch item: ","Issue action due: "))&amp;F69&amp;IF(J69="",""," → "&amp;J69))</f>
        <v/>
      </c>
      <c r="T69" s="79">
        <f>IF(O69=1,IF(I69="",0,I69),0)</f>
        <v/>
      </c>
      <c r="U69" s="79">
        <f>IF(AND(O69=1,H69="High"),1,0)</f>
        <v/>
      </c>
      <c r="V69" s="79">
        <f>IF(AND(O69=1,C69="Punch item"),1,0)</f>
        <v/>
      </c>
    </row>
    <row r="70" ht="24" customHeight="1">
      <c r="B70" s="125" t="n">
        <v>63</v>
      </c>
      <c r="C70" s="72" t="n"/>
      <c r="D70" s="108" t="n"/>
      <c r="E70" s="72" t="n"/>
      <c r="F70" s="112" t="n"/>
      <c r="G70" s="72" t="n"/>
      <c r="H70" s="74" t="n"/>
      <c r="I70" s="73" t="n"/>
      <c r="J70" s="112" t="n"/>
      <c r="K70" s="108" t="n"/>
      <c r="L70" s="72" t="n"/>
      <c r="M70" s="108" t="n"/>
      <c r="N70" s="72" t="n"/>
      <c r="O70" s="79">
        <f>IF(AND(F70&lt;&gt;"",L70&lt;&gt;"Resolved"),1,0)</f>
        <v/>
      </c>
      <c r="P70" s="79">
        <f>IF(F70="","",IF(O70=0,0,IF(H70="High",2,1)))</f>
        <v/>
      </c>
      <c r="Q70" s="111">
        <f>IF(O70=1,IF(K70&lt;&gt;"",K70,IF(H70="High",AsOf,"")),"")</f>
        <v/>
      </c>
      <c r="R70" s="79">
        <f>IF(Q70="","",IF(H70="High",1,IF(Q70="","",IF(Q70&lt;AsOf,1,IF(Q70&lt;=AsOf+AlertDays,2,IF(Q70&lt;=AsOf+2*AlertDays,3,""))))))</f>
        <v/>
      </c>
      <c r="S70" s="79">
        <f>IF(R70="","",IF(H70="High","High-severity issue: ",IF(C70="Punch item","Punch item: ","Issue action due: "))&amp;F70&amp;IF(J70="",""," → "&amp;J70))</f>
        <v/>
      </c>
      <c r="T70" s="79">
        <f>IF(O70=1,IF(I70="",0,I70),0)</f>
        <v/>
      </c>
      <c r="U70" s="79">
        <f>IF(AND(O70=1,H70="High"),1,0)</f>
        <v/>
      </c>
      <c r="V70" s="79">
        <f>IF(AND(O70=1,C70="Punch item"),1,0)</f>
        <v/>
      </c>
    </row>
    <row r="71" ht="24" customHeight="1">
      <c r="B71" s="125" t="n">
        <v>64</v>
      </c>
      <c r="C71" s="72" t="n"/>
      <c r="D71" s="108" t="n"/>
      <c r="E71" s="72" t="n"/>
      <c r="F71" s="112" t="n"/>
      <c r="G71" s="72" t="n"/>
      <c r="H71" s="74" t="n"/>
      <c r="I71" s="73" t="n"/>
      <c r="J71" s="112" t="n"/>
      <c r="K71" s="108" t="n"/>
      <c r="L71" s="72" t="n"/>
      <c r="M71" s="108" t="n"/>
      <c r="N71" s="72" t="n"/>
      <c r="O71" s="79">
        <f>IF(AND(F71&lt;&gt;"",L71&lt;&gt;"Resolved"),1,0)</f>
        <v/>
      </c>
      <c r="P71" s="79">
        <f>IF(F71="","",IF(O71=0,0,IF(H71="High",2,1)))</f>
        <v/>
      </c>
      <c r="Q71" s="111">
        <f>IF(O71=1,IF(K71&lt;&gt;"",K71,IF(H71="High",AsOf,"")),"")</f>
        <v/>
      </c>
      <c r="R71" s="79">
        <f>IF(Q71="","",IF(H71="High",1,IF(Q71="","",IF(Q71&lt;AsOf,1,IF(Q71&lt;=AsOf+AlertDays,2,IF(Q71&lt;=AsOf+2*AlertDays,3,""))))))</f>
        <v/>
      </c>
      <c r="S71" s="79">
        <f>IF(R71="","",IF(H71="High","High-severity issue: ",IF(C71="Punch item","Punch item: ","Issue action due: "))&amp;F71&amp;IF(J71="",""," → "&amp;J71))</f>
        <v/>
      </c>
      <c r="T71" s="79">
        <f>IF(O71=1,IF(I71="",0,I71),0)</f>
        <v/>
      </c>
      <c r="U71" s="79">
        <f>IF(AND(O71=1,H71="High"),1,0)</f>
        <v/>
      </c>
      <c r="V71" s="79">
        <f>IF(AND(O71=1,C71="Punch item"),1,0)</f>
        <v/>
      </c>
    </row>
    <row r="72" ht="24" customHeight="1">
      <c r="B72" s="125" t="n">
        <v>65</v>
      </c>
      <c r="C72" s="72" t="n"/>
      <c r="D72" s="108" t="n"/>
      <c r="E72" s="72" t="n"/>
      <c r="F72" s="112" t="n"/>
      <c r="G72" s="72" t="n"/>
      <c r="H72" s="74" t="n"/>
      <c r="I72" s="73" t="n"/>
      <c r="J72" s="112" t="n"/>
      <c r="K72" s="108" t="n"/>
      <c r="L72" s="72" t="n"/>
      <c r="M72" s="108" t="n"/>
      <c r="N72" s="72" t="n"/>
      <c r="O72" s="79">
        <f>IF(AND(F72&lt;&gt;"",L72&lt;&gt;"Resolved"),1,0)</f>
        <v/>
      </c>
      <c r="P72" s="79">
        <f>IF(F72="","",IF(O72=0,0,IF(H72="High",2,1)))</f>
        <v/>
      </c>
      <c r="Q72" s="111">
        <f>IF(O72=1,IF(K72&lt;&gt;"",K72,IF(H72="High",AsOf,"")),"")</f>
        <v/>
      </c>
      <c r="R72" s="79">
        <f>IF(Q72="","",IF(H72="High",1,IF(Q72="","",IF(Q72&lt;AsOf,1,IF(Q72&lt;=AsOf+AlertDays,2,IF(Q72&lt;=AsOf+2*AlertDays,3,""))))))</f>
        <v/>
      </c>
      <c r="S72" s="79">
        <f>IF(R72="","",IF(H72="High","High-severity issue: ",IF(C72="Punch item","Punch item: ","Issue action due: "))&amp;F72&amp;IF(J72="",""," → "&amp;J72))</f>
        <v/>
      </c>
      <c r="T72" s="79">
        <f>IF(O72=1,IF(I72="",0,I72),0)</f>
        <v/>
      </c>
      <c r="U72" s="79">
        <f>IF(AND(O72=1,H72="High"),1,0)</f>
        <v/>
      </c>
      <c r="V72" s="79">
        <f>IF(AND(O72=1,C72="Punch item"),1,0)</f>
        <v/>
      </c>
    </row>
    <row r="73" ht="24" customHeight="1">
      <c r="B73" s="125" t="n">
        <v>66</v>
      </c>
      <c r="C73" s="72" t="n"/>
      <c r="D73" s="108" t="n"/>
      <c r="E73" s="72" t="n"/>
      <c r="F73" s="112" t="n"/>
      <c r="G73" s="72" t="n"/>
      <c r="H73" s="74" t="n"/>
      <c r="I73" s="73" t="n"/>
      <c r="J73" s="112" t="n"/>
      <c r="K73" s="108" t="n"/>
      <c r="L73" s="72" t="n"/>
      <c r="M73" s="108" t="n"/>
      <c r="N73" s="72" t="n"/>
      <c r="O73" s="79">
        <f>IF(AND(F73&lt;&gt;"",L73&lt;&gt;"Resolved"),1,0)</f>
        <v/>
      </c>
      <c r="P73" s="79">
        <f>IF(F73="","",IF(O73=0,0,IF(H73="High",2,1)))</f>
        <v/>
      </c>
      <c r="Q73" s="111">
        <f>IF(O73=1,IF(K73&lt;&gt;"",K73,IF(H73="High",AsOf,"")),"")</f>
        <v/>
      </c>
      <c r="R73" s="79">
        <f>IF(Q73="","",IF(H73="High",1,IF(Q73="","",IF(Q73&lt;AsOf,1,IF(Q73&lt;=AsOf+AlertDays,2,IF(Q73&lt;=AsOf+2*AlertDays,3,""))))))</f>
        <v/>
      </c>
      <c r="S73" s="79">
        <f>IF(R73="","",IF(H73="High","High-severity issue: ",IF(C73="Punch item","Punch item: ","Issue action due: "))&amp;F73&amp;IF(J73="",""," → "&amp;J73))</f>
        <v/>
      </c>
      <c r="T73" s="79">
        <f>IF(O73=1,IF(I73="",0,I73),0)</f>
        <v/>
      </c>
      <c r="U73" s="79">
        <f>IF(AND(O73=1,H73="High"),1,0)</f>
        <v/>
      </c>
      <c r="V73" s="79">
        <f>IF(AND(O73=1,C73="Punch item"),1,0)</f>
        <v/>
      </c>
    </row>
    <row r="74" ht="24" customHeight="1">
      <c r="B74" s="125" t="n">
        <v>67</v>
      </c>
      <c r="C74" s="72" t="n"/>
      <c r="D74" s="108" t="n"/>
      <c r="E74" s="72" t="n"/>
      <c r="F74" s="112" t="n"/>
      <c r="G74" s="72" t="n"/>
      <c r="H74" s="74" t="n"/>
      <c r="I74" s="73" t="n"/>
      <c r="J74" s="112" t="n"/>
      <c r="K74" s="108" t="n"/>
      <c r="L74" s="72" t="n"/>
      <c r="M74" s="108" t="n"/>
      <c r="N74" s="72" t="n"/>
      <c r="O74" s="79">
        <f>IF(AND(F74&lt;&gt;"",L74&lt;&gt;"Resolved"),1,0)</f>
        <v/>
      </c>
      <c r="P74" s="79">
        <f>IF(F74="","",IF(O74=0,0,IF(H74="High",2,1)))</f>
        <v/>
      </c>
      <c r="Q74" s="111">
        <f>IF(O74=1,IF(K74&lt;&gt;"",K74,IF(H74="High",AsOf,"")),"")</f>
        <v/>
      </c>
      <c r="R74" s="79">
        <f>IF(Q74="","",IF(H74="High",1,IF(Q74="","",IF(Q74&lt;AsOf,1,IF(Q74&lt;=AsOf+AlertDays,2,IF(Q74&lt;=AsOf+2*AlertDays,3,""))))))</f>
        <v/>
      </c>
      <c r="S74" s="79">
        <f>IF(R74="","",IF(H74="High","High-severity issue: ",IF(C74="Punch item","Punch item: ","Issue action due: "))&amp;F74&amp;IF(J74="",""," → "&amp;J74))</f>
        <v/>
      </c>
      <c r="T74" s="79">
        <f>IF(O74=1,IF(I74="",0,I74),0)</f>
        <v/>
      </c>
      <c r="U74" s="79">
        <f>IF(AND(O74=1,H74="High"),1,0)</f>
        <v/>
      </c>
      <c r="V74" s="79">
        <f>IF(AND(O74=1,C74="Punch item"),1,0)</f>
        <v/>
      </c>
    </row>
    <row r="75" ht="24" customHeight="1">
      <c r="B75" s="125" t="n">
        <v>68</v>
      </c>
      <c r="C75" s="72" t="n"/>
      <c r="D75" s="108" t="n"/>
      <c r="E75" s="72" t="n"/>
      <c r="F75" s="112" t="n"/>
      <c r="G75" s="72" t="n"/>
      <c r="H75" s="74" t="n"/>
      <c r="I75" s="73" t="n"/>
      <c r="J75" s="112" t="n"/>
      <c r="K75" s="108" t="n"/>
      <c r="L75" s="72" t="n"/>
      <c r="M75" s="108" t="n"/>
      <c r="N75" s="72" t="n"/>
      <c r="O75" s="79">
        <f>IF(AND(F75&lt;&gt;"",L75&lt;&gt;"Resolved"),1,0)</f>
        <v/>
      </c>
      <c r="P75" s="79">
        <f>IF(F75="","",IF(O75=0,0,IF(H75="High",2,1)))</f>
        <v/>
      </c>
      <c r="Q75" s="111">
        <f>IF(O75=1,IF(K75&lt;&gt;"",K75,IF(H75="High",AsOf,"")),"")</f>
        <v/>
      </c>
      <c r="R75" s="79">
        <f>IF(Q75="","",IF(H75="High",1,IF(Q75="","",IF(Q75&lt;AsOf,1,IF(Q75&lt;=AsOf+AlertDays,2,IF(Q75&lt;=AsOf+2*AlertDays,3,""))))))</f>
        <v/>
      </c>
      <c r="S75" s="79">
        <f>IF(R75="","",IF(H75="High","High-severity issue: ",IF(C75="Punch item","Punch item: ","Issue action due: "))&amp;F75&amp;IF(J75="",""," → "&amp;J75))</f>
        <v/>
      </c>
      <c r="T75" s="79">
        <f>IF(O75=1,IF(I75="",0,I75),0)</f>
        <v/>
      </c>
      <c r="U75" s="79">
        <f>IF(AND(O75=1,H75="High"),1,0)</f>
        <v/>
      </c>
      <c r="V75" s="79">
        <f>IF(AND(O75=1,C75="Punch item"),1,0)</f>
        <v/>
      </c>
    </row>
    <row r="76" ht="24" customHeight="1">
      <c r="B76" s="125" t="n">
        <v>69</v>
      </c>
      <c r="C76" s="72" t="n"/>
      <c r="D76" s="108" t="n"/>
      <c r="E76" s="72" t="n"/>
      <c r="F76" s="112" t="n"/>
      <c r="G76" s="72" t="n"/>
      <c r="H76" s="74" t="n"/>
      <c r="I76" s="73" t="n"/>
      <c r="J76" s="112" t="n"/>
      <c r="K76" s="108" t="n"/>
      <c r="L76" s="72" t="n"/>
      <c r="M76" s="108" t="n"/>
      <c r="N76" s="72" t="n"/>
      <c r="O76" s="79">
        <f>IF(AND(F76&lt;&gt;"",L76&lt;&gt;"Resolved"),1,0)</f>
        <v/>
      </c>
      <c r="P76" s="79">
        <f>IF(F76="","",IF(O76=0,0,IF(H76="High",2,1)))</f>
        <v/>
      </c>
      <c r="Q76" s="111">
        <f>IF(O76=1,IF(K76&lt;&gt;"",K76,IF(H76="High",AsOf,"")),"")</f>
        <v/>
      </c>
      <c r="R76" s="79">
        <f>IF(Q76="","",IF(H76="High",1,IF(Q76="","",IF(Q76&lt;AsOf,1,IF(Q76&lt;=AsOf+AlertDays,2,IF(Q76&lt;=AsOf+2*AlertDays,3,""))))))</f>
        <v/>
      </c>
      <c r="S76" s="79">
        <f>IF(R76="","",IF(H76="High","High-severity issue: ",IF(C76="Punch item","Punch item: ","Issue action due: "))&amp;F76&amp;IF(J76="",""," → "&amp;J76))</f>
        <v/>
      </c>
      <c r="T76" s="79">
        <f>IF(O76=1,IF(I76="",0,I76),0)</f>
        <v/>
      </c>
      <c r="U76" s="79">
        <f>IF(AND(O76=1,H76="High"),1,0)</f>
        <v/>
      </c>
      <c r="V76" s="79">
        <f>IF(AND(O76=1,C76="Punch item"),1,0)</f>
        <v/>
      </c>
    </row>
    <row r="77" ht="24" customHeight="1">
      <c r="B77" s="125" t="n">
        <v>70</v>
      </c>
      <c r="C77" s="72" t="n"/>
      <c r="D77" s="108" t="n"/>
      <c r="E77" s="72" t="n"/>
      <c r="F77" s="112" t="n"/>
      <c r="G77" s="72" t="n"/>
      <c r="H77" s="74" t="n"/>
      <c r="I77" s="73" t="n"/>
      <c r="J77" s="112" t="n"/>
      <c r="K77" s="108" t="n"/>
      <c r="L77" s="72" t="n"/>
      <c r="M77" s="108" t="n"/>
      <c r="N77" s="72" t="n"/>
      <c r="O77" s="79">
        <f>IF(AND(F77&lt;&gt;"",L77&lt;&gt;"Resolved"),1,0)</f>
        <v/>
      </c>
      <c r="P77" s="79">
        <f>IF(F77="","",IF(O77=0,0,IF(H77="High",2,1)))</f>
        <v/>
      </c>
      <c r="Q77" s="111">
        <f>IF(O77=1,IF(K77&lt;&gt;"",K77,IF(H77="High",AsOf,"")),"")</f>
        <v/>
      </c>
      <c r="R77" s="79">
        <f>IF(Q77="","",IF(H77="High",1,IF(Q77="","",IF(Q77&lt;AsOf,1,IF(Q77&lt;=AsOf+AlertDays,2,IF(Q77&lt;=AsOf+2*AlertDays,3,""))))))</f>
        <v/>
      </c>
      <c r="S77" s="79">
        <f>IF(R77="","",IF(H77="High","High-severity issue: ",IF(C77="Punch item","Punch item: ","Issue action due: "))&amp;F77&amp;IF(J77="",""," → "&amp;J77))</f>
        <v/>
      </c>
      <c r="T77" s="79">
        <f>IF(O77=1,IF(I77="",0,I77),0)</f>
        <v/>
      </c>
      <c r="U77" s="79">
        <f>IF(AND(O77=1,H77="High"),1,0)</f>
        <v/>
      </c>
      <c r="V77" s="79">
        <f>IF(AND(O77=1,C77="Punch item"),1,0)</f>
        <v/>
      </c>
    </row>
    <row r="78" ht="24" customHeight="1">
      <c r="B78" s="125" t="n">
        <v>71</v>
      </c>
      <c r="C78" s="72" t="n"/>
      <c r="D78" s="108" t="n"/>
      <c r="E78" s="72" t="n"/>
      <c r="F78" s="112" t="n"/>
      <c r="G78" s="72" t="n"/>
      <c r="H78" s="74" t="n"/>
      <c r="I78" s="73" t="n"/>
      <c r="J78" s="112" t="n"/>
      <c r="K78" s="108" t="n"/>
      <c r="L78" s="72" t="n"/>
      <c r="M78" s="108" t="n"/>
      <c r="N78" s="72" t="n"/>
      <c r="O78" s="79">
        <f>IF(AND(F78&lt;&gt;"",L78&lt;&gt;"Resolved"),1,0)</f>
        <v/>
      </c>
      <c r="P78" s="79">
        <f>IF(F78="","",IF(O78=0,0,IF(H78="High",2,1)))</f>
        <v/>
      </c>
      <c r="Q78" s="111">
        <f>IF(O78=1,IF(K78&lt;&gt;"",K78,IF(H78="High",AsOf,"")),"")</f>
        <v/>
      </c>
      <c r="R78" s="79">
        <f>IF(Q78="","",IF(H78="High",1,IF(Q78="","",IF(Q78&lt;AsOf,1,IF(Q78&lt;=AsOf+AlertDays,2,IF(Q78&lt;=AsOf+2*AlertDays,3,""))))))</f>
        <v/>
      </c>
      <c r="S78" s="79">
        <f>IF(R78="","",IF(H78="High","High-severity issue: ",IF(C78="Punch item","Punch item: ","Issue action due: "))&amp;F78&amp;IF(J78="",""," → "&amp;J78))</f>
        <v/>
      </c>
      <c r="T78" s="79">
        <f>IF(O78=1,IF(I78="",0,I78),0)</f>
        <v/>
      </c>
      <c r="U78" s="79">
        <f>IF(AND(O78=1,H78="High"),1,0)</f>
        <v/>
      </c>
      <c r="V78" s="79">
        <f>IF(AND(O78=1,C78="Punch item"),1,0)</f>
        <v/>
      </c>
    </row>
    <row r="79" ht="24" customHeight="1">
      <c r="B79" s="125" t="n">
        <v>72</v>
      </c>
      <c r="C79" s="72" t="n"/>
      <c r="D79" s="108" t="n"/>
      <c r="E79" s="72" t="n"/>
      <c r="F79" s="112" t="n"/>
      <c r="G79" s="72" t="n"/>
      <c r="H79" s="74" t="n"/>
      <c r="I79" s="73" t="n"/>
      <c r="J79" s="112" t="n"/>
      <c r="K79" s="108" t="n"/>
      <c r="L79" s="72" t="n"/>
      <c r="M79" s="108" t="n"/>
      <c r="N79" s="72" t="n"/>
      <c r="O79" s="79">
        <f>IF(AND(F79&lt;&gt;"",L79&lt;&gt;"Resolved"),1,0)</f>
        <v/>
      </c>
      <c r="P79" s="79">
        <f>IF(F79="","",IF(O79=0,0,IF(H79="High",2,1)))</f>
        <v/>
      </c>
      <c r="Q79" s="111">
        <f>IF(O79=1,IF(K79&lt;&gt;"",K79,IF(H79="High",AsOf,"")),"")</f>
        <v/>
      </c>
      <c r="R79" s="79">
        <f>IF(Q79="","",IF(H79="High",1,IF(Q79="","",IF(Q79&lt;AsOf,1,IF(Q79&lt;=AsOf+AlertDays,2,IF(Q79&lt;=AsOf+2*AlertDays,3,""))))))</f>
        <v/>
      </c>
      <c r="S79" s="79">
        <f>IF(R79="","",IF(H79="High","High-severity issue: ",IF(C79="Punch item","Punch item: ","Issue action due: "))&amp;F79&amp;IF(J79="",""," → "&amp;J79))</f>
        <v/>
      </c>
      <c r="T79" s="79">
        <f>IF(O79=1,IF(I79="",0,I79),0)</f>
        <v/>
      </c>
      <c r="U79" s="79">
        <f>IF(AND(O79=1,H79="High"),1,0)</f>
        <v/>
      </c>
      <c r="V79" s="79">
        <f>IF(AND(O79=1,C79="Punch item"),1,0)</f>
        <v/>
      </c>
    </row>
    <row r="80" ht="24" customHeight="1">
      <c r="B80" s="125" t="n">
        <v>73</v>
      </c>
      <c r="C80" s="72" t="n"/>
      <c r="D80" s="108" t="n"/>
      <c r="E80" s="72" t="n"/>
      <c r="F80" s="112" t="n"/>
      <c r="G80" s="72" t="n"/>
      <c r="H80" s="74" t="n"/>
      <c r="I80" s="73" t="n"/>
      <c r="J80" s="112" t="n"/>
      <c r="K80" s="108" t="n"/>
      <c r="L80" s="72" t="n"/>
      <c r="M80" s="108" t="n"/>
      <c r="N80" s="72" t="n"/>
      <c r="O80" s="79">
        <f>IF(AND(F80&lt;&gt;"",L80&lt;&gt;"Resolved"),1,0)</f>
        <v/>
      </c>
      <c r="P80" s="79">
        <f>IF(F80="","",IF(O80=0,0,IF(H80="High",2,1)))</f>
        <v/>
      </c>
      <c r="Q80" s="111">
        <f>IF(O80=1,IF(K80&lt;&gt;"",K80,IF(H80="High",AsOf,"")),"")</f>
        <v/>
      </c>
      <c r="R80" s="79">
        <f>IF(Q80="","",IF(H80="High",1,IF(Q80="","",IF(Q80&lt;AsOf,1,IF(Q80&lt;=AsOf+AlertDays,2,IF(Q80&lt;=AsOf+2*AlertDays,3,""))))))</f>
        <v/>
      </c>
      <c r="S80" s="79">
        <f>IF(R80="","",IF(H80="High","High-severity issue: ",IF(C80="Punch item","Punch item: ","Issue action due: "))&amp;F80&amp;IF(J80="",""," → "&amp;J80))</f>
        <v/>
      </c>
      <c r="T80" s="79">
        <f>IF(O80=1,IF(I80="",0,I80),0)</f>
        <v/>
      </c>
      <c r="U80" s="79">
        <f>IF(AND(O80=1,H80="High"),1,0)</f>
        <v/>
      </c>
      <c r="V80" s="79">
        <f>IF(AND(O80=1,C80="Punch item"),1,0)</f>
        <v/>
      </c>
    </row>
    <row r="81" ht="24" customHeight="1">
      <c r="B81" s="125" t="n">
        <v>74</v>
      </c>
      <c r="C81" s="72" t="n"/>
      <c r="D81" s="108" t="n"/>
      <c r="E81" s="72" t="n"/>
      <c r="F81" s="112" t="n"/>
      <c r="G81" s="72" t="n"/>
      <c r="H81" s="74" t="n"/>
      <c r="I81" s="73" t="n"/>
      <c r="J81" s="112" t="n"/>
      <c r="K81" s="108" t="n"/>
      <c r="L81" s="72" t="n"/>
      <c r="M81" s="108" t="n"/>
      <c r="N81" s="72" t="n"/>
      <c r="O81" s="79">
        <f>IF(AND(F81&lt;&gt;"",L81&lt;&gt;"Resolved"),1,0)</f>
        <v/>
      </c>
      <c r="P81" s="79">
        <f>IF(F81="","",IF(O81=0,0,IF(H81="High",2,1)))</f>
        <v/>
      </c>
      <c r="Q81" s="111">
        <f>IF(O81=1,IF(K81&lt;&gt;"",K81,IF(H81="High",AsOf,"")),"")</f>
        <v/>
      </c>
      <c r="R81" s="79">
        <f>IF(Q81="","",IF(H81="High",1,IF(Q81="","",IF(Q81&lt;AsOf,1,IF(Q81&lt;=AsOf+AlertDays,2,IF(Q81&lt;=AsOf+2*AlertDays,3,""))))))</f>
        <v/>
      </c>
      <c r="S81" s="79">
        <f>IF(R81="","",IF(H81="High","High-severity issue: ",IF(C81="Punch item","Punch item: ","Issue action due: "))&amp;F81&amp;IF(J81="",""," → "&amp;J81))</f>
        <v/>
      </c>
      <c r="T81" s="79">
        <f>IF(O81=1,IF(I81="",0,I81),0)</f>
        <v/>
      </c>
      <c r="U81" s="79">
        <f>IF(AND(O81=1,H81="High"),1,0)</f>
        <v/>
      </c>
      <c r="V81" s="79">
        <f>IF(AND(O81=1,C81="Punch item"),1,0)</f>
        <v/>
      </c>
    </row>
    <row r="82" ht="24" customHeight="1">
      <c r="B82" s="125" t="n">
        <v>75</v>
      </c>
      <c r="C82" s="72" t="n"/>
      <c r="D82" s="108" t="n"/>
      <c r="E82" s="72" t="n"/>
      <c r="F82" s="112" t="n"/>
      <c r="G82" s="72" t="n"/>
      <c r="H82" s="74" t="n"/>
      <c r="I82" s="73" t="n"/>
      <c r="J82" s="112" t="n"/>
      <c r="K82" s="108" t="n"/>
      <c r="L82" s="72" t="n"/>
      <c r="M82" s="108" t="n"/>
      <c r="N82" s="72" t="n"/>
      <c r="O82" s="79">
        <f>IF(AND(F82&lt;&gt;"",L82&lt;&gt;"Resolved"),1,0)</f>
        <v/>
      </c>
      <c r="P82" s="79">
        <f>IF(F82="","",IF(O82=0,0,IF(H82="High",2,1)))</f>
        <v/>
      </c>
      <c r="Q82" s="111">
        <f>IF(O82=1,IF(K82&lt;&gt;"",K82,IF(H82="High",AsOf,"")),"")</f>
        <v/>
      </c>
      <c r="R82" s="79">
        <f>IF(Q82="","",IF(H82="High",1,IF(Q82="","",IF(Q82&lt;AsOf,1,IF(Q82&lt;=AsOf+AlertDays,2,IF(Q82&lt;=AsOf+2*AlertDays,3,""))))))</f>
        <v/>
      </c>
      <c r="S82" s="79">
        <f>IF(R82="","",IF(H82="High","High-severity issue: ",IF(C82="Punch item","Punch item: ","Issue action due: "))&amp;F82&amp;IF(J82="",""," → "&amp;J82))</f>
        <v/>
      </c>
      <c r="T82" s="79">
        <f>IF(O82=1,IF(I82="",0,I82),0)</f>
        <v/>
      </c>
      <c r="U82" s="79">
        <f>IF(AND(O82=1,H82="High"),1,0)</f>
        <v/>
      </c>
      <c r="V82" s="79">
        <f>IF(AND(O82=1,C82="Punch item"),1,0)</f>
        <v/>
      </c>
    </row>
    <row r="83" ht="24" customHeight="1">
      <c r="B83" s="125" t="n">
        <v>76</v>
      </c>
      <c r="C83" s="72" t="n"/>
      <c r="D83" s="108" t="n"/>
      <c r="E83" s="72" t="n"/>
      <c r="F83" s="112" t="n"/>
      <c r="G83" s="72" t="n"/>
      <c r="H83" s="74" t="n"/>
      <c r="I83" s="73" t="n"/>
      <c r="J83" s="112" t="n"/>
      <c r="K83" s="108" t="n"/>
      <c r="L83" s="72" t="n"/>
      <c r="M83" s="108" t="n"/>
      <c r="N83" s="72" t="n"/>
      <c r="O83" s="79">
        <f>IF(AND(F83&lt;&gt;"",L83&lt;&gt;"Resolved"),1,0)</f>
        <v/>
      </c>
      <c r="P83" s="79">
        <f>IF(F83="","",IF(O83=0,0,IF(H83="High",2,1)))</f>
        <v/>
      </c>
      <c r="Q83" s="111">
        <f>IF(O83=1,IF(K83&lt;&gt;"",K83,IF(H83="High",AsOf,"")),"")</f>
        <v/>
      </c>
      <c r="R83" s="79">
        <f>IF(Q83="","",IF(H83="High",1,IF(Q83="","",IF(Q83&lt;AsOf,1,IF(Q83&lt;=AsOf+AlertDays,2,IF(Q83&lt;=AsOf+2*AlertDays,3,""))))))</f>
        <v/>
      </c>
      <c r="S83" s="79">
        <f>IF(R83="","",IF(H83="High","High-severity issue: ",IF(C83="Punch item","Punch item: ","Issue action due: "))&amp;F83&amp;IF(J83="",""," → "&amp;J83))</f>
        <v/>
      </c>
      <c r="T83" s="79">
        <f>IF(O83=1,IF(I83="",0,I83),0)</f>
        <v/>
      </c>
      <c r="U83" s="79">
        <f>IF(AND(O83=1,H83="High"),1,0)</f>
        <v/>
      </c>
      <c r="V83" s="79">
        <f>IF(AND(O83=1,C83="Punch item"),1,0)</f>
        <v/>
      </c>
    </row>
    <row r="84" ht="24" customHeight="1">
      <c r="B84" s="125" t="n">
        <v>77</v>
      </c>
      <c r="C84" s="72" t="n"/>
      <c r="D84" s="108" t="n"/>
      <c r="E84" s="72" t="n"/>
      <c r="F84" s="112" t="n"/>
      <c r="G84" s="72" t="n"/>
      <c r="H84" s="74" t="n"/>
      <c r="I84" s="73" t="n"/>
      <c r="J84" s="112" t="n"/>
      <c r="K84" s="108" t="n"/>
      <c r="L84" s="72" t="n"/>
      <c r="M84" s="108" t="n"/>
      <c r="N84" s="72" t="n"/>
      <c r="O84" s="79">
        <f>IF(AND(F84&lt;&gt;"",L84&lt;&gt;"Resolved"),1,0)</f>
        <v/>
      </c>
      <c r="P84" s="79">
        <f>IF(F84="","",IF(O84=0,0,IF(H84="High",2,1)))</f>
        <v/>
      </c>
      <c r="Q84" s="111">
        <f>IF(O84=1,IF(K84&lt;&gt;"",K84,IF(H84="High",AsOf,"")),"")</f>
        <v/>
      </c>
      <c r="R84" s="79">
        <f>IF(Q84="","",IF(H84="High",1,IF(Q84="","",IF(Q84&lt;AsOf,1,IF(Q84&lt;=AsOf+AlertDays,2,IF(Q84&lt;=AsOf+2*AlertDays,3,""))))))</f>
        <v/>
      </c>
      <c r="S84" s="79">
        <f>IF(R84="","",IF(H84="High","High-severity issue: ",IF(C84="Punch item","Punch item: ","Issue action due: "))&amp;F84&amp;IF(J84="",""," → "&amp;J84))</f>
        <v/>
      </c>
      <c r="T84" s="79">
        <f>IF(O84=1,IF(I84="",0,I84),0)</f>
        <v/>
      </c>
      <c r="U84" s="79">
        <f>IF(AND(O84=1,H84="High"),1,0)</f>
        <v/>
      </c>
      <c r="V84" s="79">
        <f>IF(AND(O84=1,C84="Punch item"),1,0)</f>
        <v/>
      </c>
    </row>
    <row r="85" ht="24" customHeight="1">
      <c r="B85" s="125" t="n">
        <v>78</v>
      </c>
      <c r="C85" s="72" t="n"/>
      <c r="D85" s="108" t="n"/>
      <c r="E85" s="72" t="n"/>
      <c r="F85" s="112" t="n"/>
      <c r="G85" s="72" t="n"/>
      <c r="H85" s="74" t="n"/>
      <c r="I85" s="73" t="n"/>
      <c r="J85" s="112" t="n"/>
      <c r="K85" s="108" t="n"/>
      <c r="L85" s="72" t="n"/>
      <c r="M85" s="108" t="n"/>
      <c r="N85" s="72" t="n"/>
      <c r="O85" s="79">
        <f>IF(AND(F85&lt;&gt;"",L85&lt;&gt;"Resolved"),1,0)</f>
        <v/>
      </c>
      <c r="P85" s="79">
        <f>IF(F85="","",IF(O85=0,0,IF(H85="High",2,1)))</f>
        <v/>
      </c>
      <c r="Q85" s="111">
        <f>IF(O85=1,IF(K85&lt;&gt;"",K85,IF(H85="High",AsOf,"")),"")</f>
        <v/>
      </c>
      <c r="R85" s="79">
        <f>IF(Q85="","",IF(H85="High",1,IF(Q85="","",IF(Q85&lt;AsOf,1,IF(Q85&lt;=AsOf+AlertDays,2,IF(Q85&lt;=AsOf+2*AlertDays,3,""))))))</f>
        <v/>
      </c>
      <c r="S85" s="79">
        <f>IF(R85="","",IF(H85="High","High-severity issue: ",IF(C85="Punch item","Punch item: ","Issue action due: "))&amp;F85&amp;IF(J85="",""," → "&amp;J85))</f>
        <v/>
      </c>
      <c r="T85" s="79">
        <f>IF(O85=1,IF(I85="",0,I85),0)</f>
        <v/>
      </c>
      <c r="U85" s="79">
        <f>IF(AND(O85=1,H85="High"),1,0)</f>
        <v/>
      </c>
      <c r="V85" s="79">
        <f>IF(AND(O85=1,C85="Punch item"),1,0)</f>
        <v/>
      </c>
    </row>
    <row r="86" ht="24" customHeight="1">
      <c r="B86" s="125" t="n">
        <v>79</v>
      </c>
      <c r="C86" s="72" t="n"/>
      <c r="D86" s="108" t="n"/>
      <c r="E86" s="72" t="n"/>
      <c r="F86" s="112" t="n"/>
      <c r="G86" s="72" t="n"/>
      <c r="H86" s="74" t="n"/>
      <c r="I86" s="73" t="n"/>
      <c r="J86" s="112" t="n"/>
      <c r="K86" s="108" t="n"/>
      <c r="L86" s="72" t="n"/>
      <c r="M86" s="108" t="n"/>
      <c r="N86" s="72" t="n"/>
      <c r="O86" s="79">
        <f>IF(AND(F86&lt;&gt;"",L86&lt;&gt;"Resolved"),1,0)</f>
        <v/>
      </c>
      <c r="P86" s="79">
        <f>IF(F86="","",IF(O86=0,0,IF(H86="High",2,1)))</f>
        <v/>
      </c>
      <c r="Q86" s="111">
        <f>IF(O86=1,IF(K86&lt;&gt;"",K86,IF(H86="High",AsOf,"")),"")</f>
        <v/>
      </c>
      <c r="R86" s="79">
        <f>IF(Q86="","",IF(H86="High",1,IF(Q86="","",IF(Q86&lt;AsOf,1,IF(Q86&lt;=AsOf+AlertDays,2,IF(Q86&lt;=AsOf+2*AlertDays,3,""))))))</f>
        <v/>
      </c>
      <c r="S86" s="79">
        <f>IF(R86="","",IF(H86="High","High-severity issue: ",IF(C86="Punch item","Punch item: ","Issue action due: "))&amp;F86&amp;IF(J86="",""," → "&amp;J86))</f>
        <v/>
      </c>
      <c r="T86" s="79">
        <f>IF(O86=1,IF(I86="",0,I86),0)</f>
        <v/>
      </c>
      <c r="U86" s="79">
        <f>IF(AND(O86=1,H86="High"),1,0)</f>
        <v/>
      </c>
      <c r="V86" s="79">
        <f>IF(AND(O86=1,C86="Punch item"),1,0)</f>
        <v/>
      </c>
    </row>
    <row r="87" ht="24" customHeight="1">
      <c r="B87" s="125" t="n">
        <v>80</v>
      </c>
      <c r="C87" s="72" t="n"/>
      <c r="D87" s="108" t="n"/>
      <c r="E87" s="72" t="n"/>
      <c r="F87" s="112" t="n"/>
      <c r="G87" s="72" t="n"/>
      <c r="H87" s="74" t="n"/>
      <c r="I87" s="73" t="n"/>
      <c r="J87" s="112" t="n"/>
      <c r="K87" s="108" t="n"/>
      <c r="L87" s="72" t="n"/>
      <c r="M87" s="108" t="n"/>
      <c r="N87" s="72" t="n"/>
      <c r="O87" s="79">
        <f>IF(AND(F87&lt;&gt;"",L87&lt;&gt;"Resolved"),1,0)</f>
        <v/>
      </c>
      <c r="P87" s="79">
        <f>IF(F87="","",IF(O87=0,0,IF(H87="High",2,1)))</f>
        <v/>
      </c>
      <c r="Q87" s="111">
        <f>IF(O87=1,IF(K87&lt;&gt;"",K87,IF(H87="High",AsOf,"")),"")</f>
        <v/>
      </c>
      <c r="R87" s="79">
        <f>IF(Q87="","",IF(H87="High",1,IF(Q87="","",IF(Q87&lt;AsOf,1,IF(Q87&lt;=AsOf+AlertDays,2,IF(Q87&lt;=AsOf+2*AlertDays,3,""))))))</f>
        <v/>
      </c>
      <c r="S87" s="79">
        <f>IF(R87="","",IF(H87="High","High-severity issue: ",IF(C87="Punch item","Punch item: ","Issue action due: "))&amp;F87&amp;IF(J87="",""," → "&amp;J87))</f>
        <v/>
      </c>
      <c r="T87" s="79">
        <f>IF(O87=1,IF(I87="",0,I87),0)</f>
        <v/>
      </c>
      <c r="U87" s="79">
        <f>IF(AND(O87=1,H87="High"),1,0)</f>
        <v/>
      </c>
      <c r="V87" s="79">
        <f>IF(AND(O87=1,C87="Punch item"),1,0)</f>
        <v/>
      </c>
    </row>
    <row r="88" ht="24" customHeight="1">
      <c r="B88" s="125" t="n">
        <v>81</v>
      </c>
      <c r="C88" s="72" t="n"/>
      <c r="D88" s="108" t="n"/>
      <c r="E88" s="72" t="n"/>
      <c r="F88" s="112" t="n"/>
      <c r="G88" s="72" t="n"/>
      <c r="H88" s="74" t="n"/>
      <c r="I88" s="73" t="n"/>
      <c r="J88" s="112" t="n"/>
      <c r="K88" s="108" t="n"/>
      <c r="L88" s="72" t="n"/>
      <c r="M88" s="108" t="n"/>
      <c r="N88" s="72" t="n"/>
      <c r="O88" s="79">
        <f>IF(AND(F88&lt;&gt;"",L88&lt;&gt;"Resolved"),1,0)</f>
        <v/>
      </c>
      <c r="P88" s="79">
        <f>IF(F88="","",IF(O88=0,0,IF(H88="High",2,1)))</f>
        <v/>
      </c>
      <c r="Q88" s="111">
        <f>IF(O88=1,IF(K88&lt;&gt;"",K88,IF(H88="High",AsOf,"")),"")</f>
        <v/>
      </c>
      <c r="R88" s="79">
        <f>IF(Q88="","",IF(H88="High",1,IF(Q88="","",IF(Q88&lt;AsOf,1,IF(Q88&lt;=AsOf+AlertDays,2,IF(Q88&lt;=AsOf+2*AlertDays,3,""))))))</f>
        <v/>
      </c>
      <c r="S88" s="79">
        <f>IF(R88="","",IF(H88="High","High-severity issue: ",IF(C88="Punch item","Punch item: ","Issue action due: "))&amp;F88&amp;IF(J88="",""," → "&amp;J88))</f>
        <v/>
      </c>
      <c r="T88" s="79">
        <f>IF(O88=1,IF(I88="",0,I88),0)</f>
        <v/>
      </c>
      <c r="U88" s="79">
        <f>IF(AND(O88=1,H88="High"),1,0)</f>
        <v/>
      </c>
      <c r="V88" s="79">
        <f>IF(AND(O88=1,C88="Punch item"),1,0)</f>
        <v/>
      </c>
    </row>
    <row r="89" ht="24" customHeight="1">
      <c r="B89" s="125" t="n">
        <v>82</v>
      </c>
      <c r="C89" s="72" t="n"/>
      <c r="D89" s="108" t="n"/>
      <c r="E89" s="72" t="n"/>
      <c r="F89" s="112" t="n"/>
      <c r="G89" s="72" t="n"/>
      <c r="H89" s="74" t="n"/>
      <c r="I89" s="73" t="n"/>
      <c r="J89" s="112" t="n"/>
      <c r="K89" s="108" t="n"/>
      <c r="L89" s="72" t="n"/>
      <c r="M89" s="108" t="n"/>
      <c r="N89" s="72" t="n"/>
      <c r="O89" s="79">
        <f>IF(AND(F89&lt;&gt;"",L89&lt;&gt;"Resolved"),1,0)</f>
        <v/>
      </c>
      <c r="P89" s="79">
        <f>IF(F89="","",IF(O89=0,0,IF(H89="High",2,1)))</f>
        <v/>
      </c>
      <c r="Q89" s="111">
        <f>IF(O89=1,IF(K89&lt;&gt;"",K89,IF(H89="High",AsOf,"")),"")</f>
        <v/>
      </c>
      <c r="R89" s="79">
        <f>IF(Q89="","",IF(H89="High",1,IF(Q89="","",IF(Q89&lt;AsOf,1,IF(Q89&lt;=AsOf+AlertDays,2,IF(Q89&lt;=AsOf+2*AlertDays,3,""))))))</f>
        <v/>
      </c>
      <c r="S89" s="79">
        <f>IF(R89="","",IF(H89="High","High-severity issue: ",IF(C89="Punch item","Punch item: ","Issue action due: "))&amp;F89&amp;IF(J89="",""," → "&amp;J89))</f>
        <v/>
      </c>
      <c r="T89" s="79">
        <f>IF(O89=1,IF(I89="",0,I89),0)</f>
        <v/>
      </c>
      <c r="U89" s="79">
        <f>IF(AND(O89=1,H89="High"),1,0)</f>
        <v/>
      </c>
      <c r="V89" s="79">
        <f>IF(AND(O89=1,C89="Punch item"),1,0)</f>
        <v/>
      </c>
    </row>
    <row r="90" ht="24" customHeight="1">
      <c r="B90" s="125" t="n">
        <v>83</v>
      </c>
      <c r="C90" s="72" t="n"/>
      <c r="D90" s="108" t="n"/>
      <c r="E90" s="72" t="n"/>
      <c r="F90" s="112" t="n"/>
      <c r="G90" s="72" t="n"/>
      <c r="H90" s="74" t="n"/>
      <c r="I90" s="73" t="n"/>
      <c r="J90" s="112" t="n"/>
      <c r="K90" s="108" t="n"/>
      <c r="L90" s="72" t="n"/>
      <c r="M90" s="108" t="n"/>
      <c r="N90" s="72" t="n"/>
      <c r="O90" s="79">
        <f>IF(AND(F90&lt;&gt;"",L90&lt;&gt;"Resolved"),1,0)</f>
        <v/>
      </c>
      <c r="P90" s="79">
        <f>IF(F90="","",IF(O90=0,0,IF(H90="High",2,1)))</f>
        <v/>
      </c>
      <c r="Q90" s="111">
        <f>IF(O90=1,IF(K90&lt;&gt;"",K90,IF(H90="High",AsOf,"")),"")</f>
        <v/>
      </c>
      <c r="R90" s="79">
        <f>IF(Q90="","",IF(H90="High",1,IF(Q90="","",IF(Q90&lt;AsOf,1,IF(Q90&lt;=AsOf+AlertDays,2,IF(Q90&lt;=AsOf+2*AlertDays,3,""))))))</f>
        <v/>
      </c>
      <c r="S90" s="79">
        <f>IF(R90="","",IF(H90="High","High-severity issue: ",IF(C90="Punch item","Punch item: ","Issue action due: "))&amp;F90&amp;IF(J90="",""," → "&amp;J90))</f>
        <v/>
      </c>
      <c r="T90" s="79">
        <f>IF(O90=1,IF(I90="",0,I90),0)</f>
        <v/>
      </c>
      <c r="U90" s="79">
        <f>IF(AND(O90=1,H90="High"),1,0)</f>
        <v/>
      </c>
      <c r="V90" s="79">
        <f>IF(AND(O90=1,C90="Punch item"),1,0)</f>
        <v/>
      </c>
    </row>
    <row r="91" ht="24" customHeight="1">
      <c r="B91" s="125" t="n">
        <v>84</v>
      </c>
      <c r="C91" s="72" t="n"/>
      <c r="D91" s="108" t="n"/>
      <c r="E91" s="72" t="n"/>
      <c r="F91" s="112" t="n"/>
      <c r="G91" s="72" t="n"/>
      <c r="H91" s="74" t="n"/>
      <c r="I91" s="73" t="n"/>
      <c r="J91" s="112" t="n"/>
      <c r="K91" s="108" t="n"/>
      <c r="L91" s="72" t="n"/>
      <c r="M91" s="108" t="n"/>
      <c r="N91" s="72" t="n"/>
      <c r="O91" s="79">
        <f>IF(AND(F91&lt;&gt;"",L91&lt;&gt;"Resolved"),1,0)</f>
        <v/>
      </c>
      <c r="P91" s="79">
        <f>IF(F91="","",IF(O91=0,0,IF(H91="High",2,1)))</f>
        <v/>
      </c>
      <c r="Q91" s="111">
        <f>IF(O91=1,IF(K91&lt;&gt;"",K91,IF(H91="High",AsOf,"")),"")</f>
        <v/>
      </c>
      <c r="R91" s="79">
        <f>IF(Q91="","",IF(H91="High",1,IF(Q91="","",IF(Q91&lt;AsOf,1,IF(Q91&lt;=AsOf+AlertDays,2,IF(Q91&lt;=AsOf+2*AlertDays,3,""))))))</f>
        <v/>
      </c>
      <c r="S91" s="79">
        <f>IF(R91="","",IF(H91="High","High-severity issue: ",IF(C91="Punch item","Punch item: ","Issue action due: "))&amp;F91&amp;IF(J91="",""," → "&amp;J91))</f>
        <v/>
      </c>
      <c r="T91" s="79">
        <f>IF(O91=1,IF(I91="",0,I91),0)</f>
        <v/>
      </c>
      <c r="U91" s="79">
        <f>IF(AND(O91=1,H91="High"),1,0)</f>
        <v/>
      </c>
      <c r="V91" s="79">
        <f>IF(AND(O91=1,C91="Punch item"),1,0)</f>
        <v/>
      </c>
    </row>
    <row r="92" ht="24" customHeight="1">
      <c r="B92" s="125" t="n">
        <v>85</v>
      </c>
      <c r="C92" s="72" t="n"/>
      <c r="D92" s="108" t="n"/>
      <c r="E92" s="72" t="n"/>
      <c r="F92" s="112" t="n"/>
      <c r="G92" s="72" t="n"/>
      <c r="H92" s="74" t="n"/>
      <c r="I92" s="73" t="n"/>
      <c r="J92" s="112" t="n"/>
      <c r="K92" s="108" t="n"/>
      <c r="L92" s="72" t="n"/>
      <c r="M92" s="108" t="n"/>
      <c r="N92" s="72" t="n"/>
      <c r="O92" s="79">
        <f>IF(AND(F92&lt;&gt;"",L92&lt;&gt;"Resolved"),1,0)</f>
        <v/>
      </c>
      <c r="P92" s="79">
        <f>IF(F92="","",IF(O92=0,0,IF(H92="High",2,1)))</f>
        <v/>
      </c>
      <c r="Q92" s="111">
        <f>IF(O92=1,IF(K92&lt;&gt;"",K92,IF(H92="High",AsOf,"")),"")</f>
        <v/>
      </c>
      <c r="R92" s="79">
        <f>IF(Q92="","",IF(H92="High",1,IF(Q92="","",IF(Q92&lt;AsOf,1,IF(Q92&lt;=AsOf+AlertDays,2,IF(Q92&lt;=AsOf+2*AlertDays,3,""))))))</f>
        <v/>
      </c>
      <c r="S92" s="79">
        <f>IF(R92="","",IF(H92="High","High-severity issue: ",IF(C92="Punch item","Punch item: ","Issue action due: "))&amp;F92&amp;IF(J92="",""," → "&amp;J92))</f>
        <v/>
      </c>
      <c r="T92" s="79">
        <f>IF(O92=1,IF(I92="",0,I92),0)</f>
        <v/>
      </c>
      <c r="U92" s="79">
        <f>IF(AND(O92=1,H92="High"),1,0)</f>
        <v/>
      </c>
      <c r="V92" s="79">
        <f>IF(AND(O92=1,C92="Punch item"),1,0)</f>
        <v/>
      </c>
    </row>
    <row r="93" ht="24" customHeight="1">
      <c r="B93" s="125" t="n">
        <v>86</v>
      </c>
      <c r="C93" s="72" t="n"/>
      <c r="D93" s="108" t="n"/>
      <c r="E93" s="72" t="n"/>
      <c r="F93" s="112" t="n"/>
      <c r="G93" s="72" t="n"/>
      <c r="H93" s="74" t="n"/>
      <c r="I93" s="73" t="n"/>
      <c r="J93" s="112" t="n"/>
      <c r="K93" s="108" t="n"/>
      <c r="L93" s="72" t="n"/>
      <c r="M93" s="108" t="n"/>
      <c r="N93" s="72" t="n"/>
      <c r="O93" s="79">
        <f>IF(AND(F93&lt;&gt;"",L93&lt;&gt;"Resolved"),1,0)</f>
        <v/>
      </c>
      <c r="P93" s="79">
        <f>IF(F93="","",IF(O93=0,0,IF(H93="High",2,1)))</f>
        <v/>
      </c>
      <c r="Q93" s="111">
        <f>IF(O93=1,IF(K93&lt;&gt;"",K93,IF(H93="High",AsOf,"")),"")</f>
        <v/>
      </c>
      <c r="R93" s="79">
        <f>IF(Q93="","",IF(H93="High",1,IF(Q93="","",IF(Q93&lt;AsOf,1,IF(Q93&lt;=AsOf+AlertDays,2,IF(Q93&lt;=AsOf+2*AlertDays,3,""))))))</f>
        <v/>
      </c>
      <c r="S93" s="79">
        <f>IF(R93="","",IF(H93="High","High-severity issue: ",IF(C93="Punch item","Punch item: ","Issue action due: "))&amp;F93&amp;IF(J93="",""," → "&amp;J93))</f>
        <v/>
      </c>
      <c r="T93" s="79">
        <f>IF(O93=1,IF(I93="",0,I93),0)</f>
        <v/>
      </c>
      <c r="U93" s="79">
        <f>IF(AND(O93=1,H93="High"),1,0)</f>
        <v/>
      </c>
      <c r="V93" s="79">
        <f>IF(AND(O93=1,C93="Punch item"),1,0)</f>
        <v/>
      </c>
    </row>
    <row r="94" ht="24" customHeight="1">
      <c r="B94" s="125" t="n">
        <v>87</v>
      </c>
      <c r="C94" s="72" t="n"/>
      <c r="D94" s="108" t="n"/>
      <c r="E94" s="72" t="n"/>
      <c r="F94" s="112" t="n"/>
      <c r="G94" s="72" t="n"/>
      <c r="H94" s="74" t="n"/>
      <c r="I94" s="73" t="n"/>
      <c r="J94" s="112" t="n"/>
      <c r="K94" s="108" t="n"/>
      <c r="L94" s="72" t="n"/>
      <c r="M94" s="108" t="n"/>
      <c r="N94" s="72" t="n"/>
      <c r="O94" s="79">
        <f>IF(AND(F94&lt;&gt;"",L94&lt;&gt;"Resolved"),1,0)</f>
        <v/>
      </c>
      <c r="P94" s="79">
        <f>IF(F94="","",IF(O94=0,0,IF(H94="High",2,1)))</f>
        <v/>
      </c>
      <c r="Q94" s="111">
        <f>IF(O94=1,IF(K94&lt;&gt;"",K94,IF(H94="High",AsOf,"")),"")</f>
        <v/>
      </c>
      <c r="R94" s="79">
        <f>IF(Q94="","",IF(H94="High",1,IF(Q94="","",IF(Q94&lt;AsOf,1,IF(Q94&lt;=AsOf+AlertDays,2,IF(Q94&lt;=AsOf+2*AlertDays,3,""))))))</f>
        <v/>
      </c>
      <c r="S94" s="79">
        <f>IF(R94="","",IF(H94="High","High-severity issue: ",IF(C94="Punch item","Punch item: ","Issue action due: "))&amp;F94&amp;IF(J94="",""," → "&amp;J94))</f>
        <v/>
      </c>
      <c r="T94" s="79">
        <f>IF(O94=1,IF(I94="",0,I94),0)</f>
        <v/>
      </c>
      <c r="U94" s="79">
        <f>IF(AND(O94=1,H94="High"),1,0)</f>
        <v/>
      </c>
      <c r="V94" s="79">
        <f>IF(AND(O94=1,C94="Punch item"),1,0)</f>
        <v/>
      </c>
    </row>
    <row r="95" ht="24" customHeight="1">
      <c r="B95" s="125" t="n">
        <v>88</v>
      </c>
      <c r="C95" s="72" t="n"/>
      <c r="D95" s="108" t="n"/>
      <c r="E95" s="72" t="n"/>
      <c r="F95" s="112" t="n"/>
      <c r="G95" s="72" t="n"/>
      <c r="H95" s="74" t="n"/>
      <c r="I95" s="73" t="n"/>
      <c r="J95" s="112" t="n"/>
      <c r="K95" s="108" t="n"/>
      <c r="L95" s="72" t="n"/>
      <c r="M95" s="108" t="n"/>
      <c r="N95" s="72" t="n"/>
      <c r="O95" s="79">
        <f>IF(AND(F95&lt;&gt;"",L95&lt;&gt;"Resolved"),1,0)</f>
        <v/>
      </c>
      <c r="P95" s="79">
        <f>IF(F95="","",IF(O95=0,0,IF(H95="High",2,1)))</f>
        <v/>
      </c>
      <c r="Q95" s="111">
        <f>IF(O95=1,IF(K95&lt;&gt;"",K95,IF(H95="High",AsOf,"")),"")</f>
        <v/>
      </c>
      <c r="R95" s="79">
        <f>IF(Q95="","",IF(H95="High",1,IF(Q95="","",IF(Q95&lt;AsOf,1,IF(Q95&lt;=AsOf+AlertDays,2,IF(Q95&lt;=AsOf+2*AlertDays,3,""))))))</f>
        <v/>
      </c>
      <c r="S95" s="79">
        <f>IF(R95="","",IF(H95="High","High-severity issue: ",IF(C95="Punch item","Punch item: ","Issue action due: "))&amp;F95&amp;IF(J95="",""," → "&amp;J95))</f>
        <v/>
      </c>
      <c r="T95" s="79">
        <f>IF(O95=1,IF(I95="",0,I95),0)</f>
        <v/>
      </c>
      <c r="U95" s="79">
        <f>IF(AND(O95=1,H95="High"),1,0)</f>
        <v/>
      </c>
      <c r="V95" s="79">
        <f>IF(AND(O95=1,C95="Punch item"),1,0)</f>
        <v/>
      </c>
    </row>
    <row r="96" ht="24" customHeight="1">
      <c r="B96" s="125" t="n">
        <v>89</v>
      </c>
      <c r="C96" s="72" t="n"/>
      <c r="D96" s="108" t="n"/>
      <c r="E96" s="72" t="n"/>
      <c r="F96" s="112" t="n"/>
      <c r="G96" s="72" t="n"/>
      <c r="H96" s="74" t="n"/>
      <c r="I96" s="73" t="n"/>
      <c r="J96" s="112" t="n"/>
      <c r="K96" s="108" t="n"/>
      <c r="L96" s="72" t="n"/>
      <c r="M96" s="108" t="n"/>
      <c r="N96" s="72" t="n"/>
      <c r="O96" s="79">
        <f>IF(AND(F96&lt;&gt;"",L96&lt;&gt;"Resolved"),1,0)</f>
        <v/>
      </c>
      <c r="P96" s="79">
        <f>IF(F96="","",IF(O96=0,0,IF(H96="High",2,1)))</f>
        <v/>
      </c>
      <c r="Q96" s="111">
        <f>IF(O96=1,IF(K96&lt;&gt;"",K96,IF(H96="High",AsOf,"")),"")</f>
        <v/>
      </c>
      <c r="R96" s="79">
        <f>IF(Q96="","",IF(H96="High",1,IF(Q96="","",IF(Q96&lt;AsOf,1,IF(Q96&lt;=AsOf+AlertDays,2,IF(Q96&lt;=AsOf+2*AlertDays,3,""))))))</f>
        <v/>
      </c>
      <c r="S96" s="79">
        <f>IF(R96="","",IF(H96="High","High-severity issue: ",IF(C96="Punch item","Punch item: ","Issue action due: "))&amp;F96&amp;IF(J96="",""," → "&amp;J96))</f>
        <v/>
      </c>
      <c r="T96" s="79">
        <f>IF(O96=1,IF(I96="",0,I96),0)</f>
        <v/>
      </c>
      <c r="U96" s="79">
        <f>IF(AND(O96=1,H96="High"),1,0)</f>
        <v/>
      </c>
      <c r="V96" s="79">
        <f>IF(AND(O96=1,C96="Punch item"),1,0)</f>
        <v/>
      </c>
    </row>
    <row r="97" ht="24" customHeight="1">
      <c r="B97" s="125" t="n">
        <v>90</v>
      </c>
      <c r="C97" s="72" t="n"/>
      <c r="D97" s="108" t="n"/>
      <c r="E97" s="72" t="n"/>
      <c r="F97" s="112" t="n"/>
      <c r="G97" s="72" t="n"/>
      <c r="H97" s="74" t="n"/>
      <c r="I97" s="73" t="n"/>
      <c r="J97" s="112" t="n"/>
      <c r="K97" s="108" t="n"/>
      <c r="L97" s="72" t="n"/>
      <c r="M97" s="108" t="n"/>
      <c r="N97" s="72" t="n"/>
      <c r="O97" s="79">
        <f>IF(AND(F97&lt;&gt;"",L97&lt;&gt;"Resolved"),1,0)</f>
        <v/>
      </c>
      <c r="P97" s="79">
        <f>IF(F97="","",IF(O97=0,0,IF(H97="High",2,1)))</f>
        <v/>
      </c>
      <c r="Q97" s="111">
        <f>IF(O97=1,IF(K97&lt;&gt;"",K97,IF(H97="High",AsOf,"")),"")</f>
        <v/>
      </c>
      <c r="R97" s="79">
        <f>IF(Q97="","",IF(H97="High",1,IF(Q97="","",IF(Q97&lt;AsOf,1,IF(Q97&lt;=AsOf+AlertDays,2,IF(Q97&lt;=AsOf+2*AlertDays,3,""))))))</f>
        <v/>
      </c>
      <c r="S97" s="79">
        <f>IF(R97="","",IF(H97="High","High-severity issue: ",IF(C97="Punch item","Punch item: ","Issue action due: "))&amp;F97&amp;IF(J97="",""," → "&amp;J97))</f>
        <v/>
      </c>
      <c r="T97" s="79">
        <f>IF(O97=1,IF(I97="",0,I97),0)</f>
        <v/>
      </c>
      <c r="U97" s="79">
        <f>IF(AND(O97=1,H97="High"),1,0)</f>
        <v/>
      </c>
      <c r="V97" s="79">
        <f>IF(AND(O97=1,C97="Punch item"),1,0)</f>
        <v/>
      </c>
    </row>
    <row r="98" ht="24" customHeight="1">
      <c r="B98" s="125" t="n">
        <v>91</v>
      </c>
      <c r="C98" s="72" t="n"/>
      <c r="D98" s="108" t="n"/>
      <c r="E98" s="72" t="n"/>
      <c r="F98" s="112" t="n"/>
      <c r="G98" s="72" t="n"/>
      <c r="H98" s="74" t="n"/>
      <c r="I98" s="73" t="n"/>
      <c r="J98" s="112" t="n"/>
      <c r="K98" s="108" t="n"/>
      <c r="L98" s="72" t="n"/>
      <c r="M98" s="108" t="n"/>
      <c r="N98" s="72" t="n"/>
      <c r="O98" s="79">
        <f>IF(AND(F98&lt;&gt;"",L98&lt;&gt;"Resolved"),1,0)</f>
        <v/>
      </c>
      <c r="P98" s="79">
        <f>IF(F98="","",IF(O98=0,0,IF(H98="High",2,1)))</f>
        <v/>
      </c>
      <c r="Q98" s="111">
        <f>IF(O98=1,IF(K98&lt;&gt;"",K98,IF(H98="High",AsOf,"")),"")</f>
        <v/>
      </c>
      <c r="R98" s="79">
        <f>IF(Q98="","",IF(H98="High",1,IF(Q98="","",IF(Q98&lt;AsOf,1,IF(Q98&lt;=AsOf+AlertDays,2,IF(Q98&lt;=AsOf+2*AlertDays,3,""))))))</f>
        <v/>
      </c>
      <c r="S98" s="79">
        <f>IF(R98="","",IF(H98="High","High-severity issue: ",IF(C98="Punch item","Punch item: ","Issue action due: "))&amp;F98&amp;IF(J98="",""," → "&amp;J98))</f>
        <v/>
      </c>
      <c r="T98" s="79">
        <f>IF(O98=1,IF(I98="",0,I98),0)</f>
        <v/>
      </c>
      <c r="U98" s="79">
        <f>IF(AND(O98=1,H98="High"),1,0)</f>
        <v/>
      </c>
      <c r="V98" s="79">
        <f>IF(AND(O98=1,C98="Punch item"),1,0)</f>
        <v/>
      </c>
    </row>
    <row r="99" ht="24" customHeight="1">
      <c r="B99" s="125" t="n">
        <v>92</v>
      </c>
      <c r="C99" s="72" t="n"/>
      <c r="D99" s="108" t="n"/>
      <c r="E99" s="72" t="n"/>
      <c r="F99" s="112" t="n"/>
      <c r="G99" s="72" t="n"/>
      <c r="H99" s="74" t="n"/>
      <c r="I99" s="73" t="n"/>
      <c r="J99" s="112" t="n"/>
      <c r="K99" s="108" t="n"/>
      <c r="L99" s="72" t="n"/>
      <c r="M99" s="108" t="n"/>
      <c r="N99" s="72" t="n"/>
      <c r="O99" s="79">
        <f>IF(AND(F99&lt;&gt;"",L99&lt;&gt;"Resolved"),1,0)</f>
        <v/>
      </c>
      <c r="P99" s="79">
        <f>IF(F99="","",IF(O99=0,0,IF(H99="High",2,1)))</f>
        <v/>
      </c>
      <c r="Q99" s="111">
        <f>IF(O99=1,IF(K99&lt;&gt;"",K99,IF(H99="High",AsOf,"")),"")</f>
        <v/>
      </c>
      <c r="R99" s="79">
        <f>IF(Q99="","",IF(H99="High",1,IF(Q99="","",IF(Q99&lt;AsOf,1,IF(Q99&lt;=AsOf+AlertDays,2,IF(Q99&lt;=AsOf+2*AlertDays,3,""))))))</f>
        <v/>
      </c>
      <c r="S99" s="79">
        <f>IF(R99="","",IF(H99="High","High-severity issue: ",IF(C99="Punch item","Punch item: ","Issue action due: "))&amp;F99&amp;IF(J99="",""," → "&amp;J99))</f>
        <v/>
      </c>
      <c r="T99" s="79">
        <f>IF(O99=1,IF(I99="",0,I99),0)</f>
        <v/>
      </c>
      <c r="U99" s="79">
        <f>IF(AND(O99=1,H99="High"),1,0)</f>
        <v/>
      </c>
      <c r="V99" s="79">
        <f>IF(AND(O99=1,C99="Punch item"),1,0)</f>
        <v/>
      </c>
    </row>
    <row r="100" ht="24" customHeight="1">
      <c r="B100" s="125" t="n">
        <v>93</v>
      </c>
      <c r="C100" s="72" t="n"/>
      <c r="D100" s="108" t="n"/>
      <c r="E100" s="72" t="n"/>
      <c r="F100" s="112" t="n"/>
      <c r="G100" s="72" t="n"/>
      <c r="H100" s="74" t="n"/>
      <c r="I100" s="73" t="n"/>
      <c r="J100" s="112" t="n"/>
      <c r="K100" s="108" t="n"/>
      <c r="L100" s="72" t="n"/>
      <c r="M100" s="108" t="n"/>
      <c r="N100" s="72" t="n"/>
      <c r="O100" s="79">
        <f>IF(AND(F100&lt;&gt;"",L100&lt;&gt;"Resolved"),1,0)</f>
        <v/>
      </c>
      <c r="P100" s="79">
        <f>IF(F100="","",IF(O100=0,0,IF(H100="High",2,1)))</f>
        <v/>
      </c>
      <c r="Q100" s="111">
        <f>IF(O100=1,IF(K100&lt;&gt;"",K100,IF(H100="High",AsOf,"")),"")</f>
        <v/>
      </c>
      <c r="R100" s="79">
        <f>IF(Q100="","",IF(H100="High",1,IF(Q100="","",IF(Q100&lt;AsOf,1,IF(Q100&lt;=AsOf+AlertDays,2,IF(Q100&lt;=AsOf+2*AlertDays,3,""))))))</f>
        <v/>
      </c>
      <c r="S100" s="79">
        <f>IF(R100="","",IF(H100="High","High-severity issue: ",IF(C100="Punch item","Punch item: ","Issue action due: "))&amp;F100&amp;IF(J100="",""," → "&amp;J100))</f>
        <v/>
      </c>
      <c r="T100" s="79">
        <f>IF(O100=1,IF(I100="",0,I100),0)</f>
        <v/>
      </c>
      <c r="U100" s="79">
        <f>IF(AND(O100=1,H100="High"),1,0)</f>
        <v/>
      </c>
      <c r="V100" s="79">
        <f>IF(AND(O100=1,C100="Punch item"),1,0)</f>
        <v/>
      </c>
    </row>
    <row r="101" ht="24" customHeight="1">
      <c r="B101" s="125" t="n">
        <v>94</v>
      </c>
      <c r="C101" s="72" t="n"/>
      <c r="D101" s="108" t="n"/>
      <c r="E101" s="72" t="n"/>
      <c r="F101" s="112" t="n"/>
      <c r="G101" s="72" t="n"/>
      <c r="H101" s="74" t="n"/>
      <c r="I101" s="73" t="n"/>
      <c r="J101" s="112" t="n"/>
      <c r="K101" s="108" t="n"/>
      <c r="L101" s="72" t="n"/>
      <c r="M101" s="108" t="n"/>
      <c r="N101" s="72" t="n"/>
      <c r="O101" s="79">
        <f>IF(AND(F101&lt;&gt;"",L101&lt;&gt;"Resolved"),1,0)</f>
        <v/>
      </c>
      <c r="P101" s="79">
        <f>IF(F101="","",IF(O101=0,0,IF(H101="High",2,1)))</f>
        <v/>
      </c>
      <c r="Q101" s="111">
        <f>IF(O101=1,IF(K101&lt;&gt;"",K101,IF(H101="High",AsOf,"")),"")</f>
        <v/>
      </c>
      <c r="R101" s="79">
        <f>IF(Q101="","",IF(H101="High",1,IF(Q101="","",IF(Q101&lt;AsOf,1,IF(Q101&lt;=AsOf+AlertDays,2,IF(Q101&lt;=AsOf+2*AlertDays,3,""))))))</f>
        <v/>
      </c>
      <c r="S101" s="79">
        <f>IF(R101="","",IF(H101="High","High-severity issue: ",IF(C101="Punch item","Punch item: ","Issue action due: "))&amp;F101&amp;IF(J101="",""," → "&amp;J101))</f>
        <v/>
      </c>
      <c r="T101" s="79">
        <f>IF(O101=1,IF(I101="",0,I101),0)</f>
        <v/>
      </c>
      <c r="U101" s="79">
        <f>IF(AND(O101=1,H101="High"),1,0)</f>
        <v/>
      </c>
      <c r="V101" s="79">
        <f>IF(AND(O101=1,C101="Punch item"),1,0)</f>
        <v/>
      </c>
    </row>
    <row r="102" ht="24" customHeight="1">
      <c r="B102" s="125" t="n">
        <v>95</v>
      </c>
      <c r="C102" s="72" t="n"/>
      <c r="D102" s="108" t="n"/>
      <c r="E102" s="72" t="n"/>
      <c r="F102" s="112" t="n"/>
      <c r="G102" s="72" t="n"/>
      <c r="H102" s="74" t="n"/>
      <c r="I102" s="73" t="n"/>
      <c r="J102" s="112" t="n"/>
      <c r="K102" s="108" t="n"/>
      <c r="L102" s="72" t="n"/>
      <c r="M102" s="108" t="n"/>
      <c r="N102" s="72" t="n"/>
      <c r="O102" s="79">
        <f>IF(AND(F102&lt;&gt;"",L102&lt;&gt;"Resolved"),1,0)</f>
        <v/>
      </c>
      <c r="P102" s="79">
        <f>IF(F102="","",IF(O102=0,0,IF(H102="High",2,1)))</f>
        <v/>
      </c>
      <c r="Q102" s="111">
        <f>IF(O102=1,IF(K102&lt;&gt;"",K102,IF(H102="High",AsOf,"")),"")</f>
        <v/>
      </c>
      <c r="R102" s="79">
        <f>IF(Q102="","",IF(H102="High",1,IF(Q102="","",IF(Q102&lt;AsOf,1,IF(Q102&lt;=AsOf+AlertDays,2,IF(Q102&lt;=AsOf+2*AlertDays,3,""))))))</f>
        <v/>
      </c>
      <c r="S102" s="79">
        <f>IF(R102="","",IF(H102="High","High-severity issue: ",IF(C102="Punch item","Punch item: ","Issue action due: "))&amp;F102&amp;IF(J102="",""," → "&amp;J102))</f>
        <v/>
      </c>
      <c r="T102" s="79">
        <f>IF(O102=1,IF(I102="",0,I102),0)</f>
        <v/>
      </c>
      <c r="U102" s="79">
        <f>IF(AND(O102=1,H102="High"),1,0)</f>
        <v/>
      </c>
      <c r="V102" s="79">
        <f>IF(AND(O102=1,C102="Punch item"),1,0)</f>
        <v/>
      </c>
    </row>
    <row r="103" ht="24" customHeight="1">
      <c r="B103" s="125" t="n">
        <v>96</v>
      </c>
      <c r="C103" s="72" t="n"/>
      <c r="D103" s="108" t="n"/>
      <c r="E103" s="72" t="n"/>
      <c r="F103" s="112" t="n"/>
      <c r="G103" s="72" t="n"/>
      <c r="H103" s="74" t="n"/>
      <c r="I103" s="73" t="n"/>
      <c r="J103" s="112" t="n"/>
      <c r="K103" s="108" t="n"/>
      <c r="L103" s="72" t="n"/>
      <c r="M103" s="108" t="n"/>
      <c r="N103" s="72" t="n"/>
      <c r="O103" s="79">
        <f>IF(AND(F103&lt;&gt;"",L103&lt;&gt;"Resolved"),1,0)</f>
        <v/>
      </c>
      <c r="P103" s="79">
        <f>IF(F103="","",IF(O103=0,0,IF(H103="High",2,1)))</f>
        <v/>
      </c>
      <c r="Q103" s="111">
        <f>IF(O103=1,IF(K103&lt;&gt;"",K103,IF(H103="High",AsOf,"")),"")</f>
        <v/>
      </c>
      <c r="R103" s="79">
        <f>IF(Q103="","",IF(H103="High",1,IF(Q103="","",IF(Q103&lt;AsOf,1,IF(Q103&lt;=AsOf+AlertDays,2,IF(Q103&lt;=AsOf+2*AlertDays,3,""))))))</f>
        <v/>
      </c>
      <c r="S103" s="79">
        <f>IF(R103="","",IF(H103="High","High-severity issue: ",IF(C103="Punch item","Punch item: ","Issue action due: "))&amp;F103&amp;IF(J103="",""," → "&amp;J103))</f>
        <v/>
      </c>
      <c r="T103" s="79">
        <f>IF(O103=1,IF(I103="",0,I103),0)</f>
        <v/>
      </c>
      <c r="U103" s="79">
        <f>IF(AND(O103=1,H103="High"),1,0)</f>
        <v/>
      </c>
      <c r="V103" s="79">
        <f>IF(AND(O103=1,C103="Punch item"),1,0)</f>
        <v/>
      </c>
    </row>
    <row r="104" ht="24" customHeight="1">
      <c r="B104" s="125" t="n">
        <v>97</v>
      </c>
      <c r="C104" s="72" t="n"/>
      <c r="D104" s="108" t="n"/>
      <c r="E104" s="72" t="n"/>
      <c r="F104" s="112" t="n"/>
      <c r="G104" s="72" t="n"/>
      <c r="H104" s="74" t="n"/>
      <c r="I104" s="73" t="n"/>
      <c r="J104" s="112" t="n"/>
      <c r="K104" s="108" t="n"/>
      <c r="L104" s="72" t="n"/>
      <c r="M104" s="108" t="n"/>
      <c r="N104" s="72" t="n"/>
      <c r="O104" s="79">
        <f>IF(AND(F104&lt;&gt;"",L104&lt;&gt;"Resolved"),1,0)</f>
        <v/>
      </c>
      <c r="P104" s="79">
        <f>IF(F104="","",IF(O104=0,0,IF(H104="High",2,1)))</f>
        <v/>
      </c>
      <c r="Q104" s="111">
        <f>IF(O104=1,IF(K104&lt;&gt;"",K104,IF(H104="High",AsOf,"")),"")</f>
        <v/>
      </c>
      <c r="R104" s="79">
        <f>IF(Q104="","",IF(H104="High",1,IF(Q104="","",IF(Q104&lt;AsOf,1,IF(Q104&lt;=AsOf+AlertDays,2,IF(Q104&lt;=AsOf+2*AlertDays,3,""))))))</f>
        <v/>
      </c>
      <c r="S104" s="79">
        <f>IF(R104="","",IF(H104="High","High-severity issue: ",IF(C104="Punch item","Punch item: ","Issue action due: "))&amp;F104&amp;IF(J104="",""," → "&amp;J104))</f>
        <v/>
      </c>
      <c r="T104" s="79">
        <f>IF(O104=1,IF(I104="",0,I104),0)</f>
        <v/>
      </c>
      <c r="U104" s="79">
        <f>IF(AND(O104=1,H104="High"),1,0)</f>
        <v/>
      </c>
      <c r="V104" s="79">
        <f>IF(AND(O104=1,C104="Punch item"),1,0)</f>
        <v/>
      </c>
    </row>
    <row r="105" ht="24" customHeight="1">
      <c r="B105" s="125" t="n">
        <v>98</v>
      </c>
      <c r="C105" s="72" t="n"/>
      <c r="D105" s="108" t="n"/>
      <c r="E105" s="72" t="n"/>
      <c r="F105" s="112" t="n"/>
      <c r="G105" s="72" t="n"/>
      <c r="H105" s="74" t="n"/>
      <c r="I105" s="73" t="n"/>
      <c r="J105" s="112" t="n"/>
      <c r="K105" s="108" t="n"/>
      <c r="L105" s="72" t="n"/>
      <c r="M105" s="108" t="n"/>
      <c r="N105" s="72" t="n"/>
      <c r="O105" s="79">
        <f>IF(AND(F105&lt;&gt;"",L105&lt;&gt;"Resolved"),1,0)</f>
        <v/>
      </c>
      <c r="P105" s="79">
        <f>IF(F105="","",IF(O105=0,0,IF(H105="High",2,1)))</f>
        <v/>
      </c>
      <c r="Q105" s="111">
        <f>IF(O105=1,IF(K105&lt;&gt;"",K105,IF(H105="High",AsOf,"")),"")</f>
        <v/>
      </c>
      <c r="R105" s="79">
        <f>IF(Q105="","",IF(H105="High",1,IF(Q105="","",IF(Q105&lt;AsOf,1,IF(Q105&lt;=AsOf+AlertDays,2,IF(Q105&lt;=AsOf+2*AlertDays,3,""))))))</f>
        <v/>
      </c>
      <c r="S105" s="79">
        <f>IF(R105="","",IF(H105="High","High-severity issue: ",IF(C105="Punch item","Punch item: ","Issue action due: "))&amp;F105&amp;IF(J105="",""," → "&amp;J105))</f>
        <v/>
      </c>
      <c r="T105" s="79">
        <f>IF(O105=1,IF(I105="",0,I105),0)</f>
        <v/>
      </c>
      <c r="U105" s="79">
        <f>IF(AND(O105=1,H105="High"),1,0)</f>
        <v/>
      </c>
      <c r="V105" s="79">
        <f>IF(AND(O105=1,C105="Punch item"),1,0)</f>
        <v/>
      </c>
    </row>
    <row r="106" ht="24" customHeight="1">
      <c r="B106" s="125" t="n">
        <v>99</v>
      </c>
      <c r="C106" s="72" t="n"/>
      <c r="D106" s="108" t="n"/>
      <c r="E106" s="72" t="n"/>
      <c r="F106" s="112" t="n"/>
      <c r="G106" s="72" t="n"/>
      <c r="H106" s="74" t="n"/>
      <c r="I106" s="73" t="n"/>
      <c r="J106" s="112" t="n"/>
      <c r="K106" s="108" t="n"/>
      <c r="L106" s="72" t="n"/>
      <c r="M106" s="108" t="n"/>
      <c r="N106" s="72" t="n"/>
      <c r="O106" s="79">
        <f>IF(AND(F106&lt;&gt;"",L106&lt;&gt;"Resolved"),1,0)</f>
        <v/>
      </c>
      <c r="P106" s="79">
        <f>IF(F106="","",IF(O106=0,0,IF(H106="High",2,1)))</f>
        <v/>
      </c>
      <c r="Q106" s="111">
        <f>IF(O106=1,IF(K106&lt;&gt;"",K106,IF(H106="High",AsOf,"")),"")</f>
        <v/>
      </c>
      <c r="R106" s="79">
        <f>IF(Q106="","",IF(H106="High",1,IF(Q106="","",IF(Q106&lt;AsOf,1,IF(Q106&lt;=AsOf+AlertDays,2,IF(Q106&lt;=AsOf+2*AlertDays,3,""))))))</f>
        <v/>
      </c>
      <c r="S106" s="79">
        <f>IF(R106="","",IF(H106="High","High-severity issue: ",IF(C106="Punch item","Punch item: ","Issue action due: "))&amp;F106&amp;IF(J106="",""," → "&amp;J106))</f>
        <v/>
      </c>
      <c r="T106" s="79">
        <f>IF(O106=1,IF(I106="",0,I106),0)</f>
        <v/>
      </c>
      <c r="U106" s="79">
        <f>IF(AND(O106=1,H106="High"),1,0)</f>
        <v/>
      </c>
      <c r="V106" s="79">
        <f>IF(AND(O106=1,C106="Punch item"),1,0)</f>
        <v/>
      </c>
    </row>
    <row r="107" ht="24" customHeight="1">
      <c r="B107" s="125" t="n">
        <v>100</v>
      </c>
      <c r="C107" s="72" t="n"/>
      <c r="D107" s="108" t="n"/>
      <c r="E107" s="72" t="n"/>
      <c r="F107" s="112" t="n"/>
      <c r="G107" s="72" t="n"/>
      <c r="H107" s="74" t="n"/>
      <c r="I107" s="73" t="n"/>
      <c r="J107" s="112" t="n"/>
      <c r="K107" s="108" t="n"/>
      <c r="L107" s="72" t="n"/>
      <c r="M107" s="108" t="n"/>
      <c r="N107" s="72" t="n"/>
      <c r="O107" s="79">
        <f>IF(AND(F107&lt;&gt;"",L107&lt;&gt;"Resolved"),1,0)</f>
        <v/>
      </c>
      <c r="P107" s="79">
        <f>IF(F107="","",IF(O107=0,0,IF(H107="High",2,1)))</f>
        <v/>
      </c>
      <c r="Q107" s="111">
        <f>IF(O107=1,IF(K107&lt;&gt;"",K107,IF(H107="High",AsOf,"")),"")</f>
        <v/>
      </c>
      <c r="R107" s="79">
        <f>IF(Q107="","",IF(H107="High",1,IF(Q107="","",IF(Q107&lt;AsOf,1,IF(Q107&lt;=AsOf+AlertDays,2,IF(Q107&lt;=AsOf+2*AlertDays,3,""))))))</f>
        <v/>
      </c>
      <c r="S107" s="79">
        <f>IF(R107="","",IF(H107="High","High-severity issue: ",IF(C107="Punch item","Punch item: ","Issue action due: "))&amp;F107&amp;IF(J107="",""," → "&amp;J107))</f>
        <v/>
      </c>
      <c r="T107" s="79">
        <f>IF(O107=1,IF(I107="",0,I107),0)</f>
        <v/>
      </c>
      <c r="U107" s="79">
        <f>IF(AND(O107=1,H107="High"),1,0)</f>
        <v/>
      </c>
      <c r="V107" s="79">
        <f>IF(AND(O107=1,C107="Punch item"),1,0)</f>
        <v/>
      </c>
    </row>
    <row r="108" ht="24" customHeight="1">
      <c r="B108" s="125" t="n">
        <v>101</v>
      </c>
      <c r="C108" s="72" t="n"/>
      <c r="D108" s="108" t="n"/>
      <c r="E108" s="72" t="n"/>
      <c r="F108" s="112" t="n"/>
      <c r="G108" s="72" t="n"/>
      <c r="H108" s="74" t="n"/>
      <c r="I108" s="73" t="n"/>
      <c r="J108" s="112" t="n"/>
      <c r="K108" s="108" t="n"/>
      <c r="L108" s="72" t="n"/>
      <c r="M108" s="108" t="n"/>
      <c r="N108" s="72" t="n"/>
      <c r="O108" s="79">
        <f>IF(AND(F108&lt;&gt;"",L108&lt;&gt;"Resolved"),1,0)</f>
        <v/>
      </c>
      <c r="P108" s="79">
        <f>IF(F108="","",IF(O108=0,0,IF(H108="High",2,1)))</f>
        <v/>
      </c>
      <c r="Q108" s="111">
        <f>IF(O108=1,IF(K108&lt;&gt;"",K108,IF(H108="High",AsOf,"")),"")</f>
        <v/>
      </c>
      <c r="R108" s="79">
        <f>IF(Q108="","",IF(H108="High",1,IF(Q108="","",IF(Q108&lt;AsOf,1,IF(Q108&lt;=AsOf+AlertDays,2,IF(Q108&lt;=AsOf+2*AlertDays,3,""))))))</f>
        <v/>
      </c>
      <c r="S108" s="79">
        <f>IF(R108="","",IF(H108="High","High-severity issue: ",IF(C108="Punch item","Punch item: ","Issue action due: "))&amp;F108&amp;IF(J108="",""," → "&amp;J108))</f>
        <v/>
      </c>
      <c r="T108" s="79">
        <f>IF(O108=1,IF(I108="",0,I108),0)</f>
        <v/>
      </c>
      <c r="U108" s="79">
        <f>IF(AND(O108=1,H108="High"),1,0)</f>
        <v/>
      </c>
      <c r="V108" s="79">
        <f>IF(AND(O108=1,C108="Punch item"),1,0)</f>
        <v/>
      </c>
    </row>
    <row r="109" ht="24" customHeight="1">
      <c r="B109" s="125" t="n">
        <v>102</v>
      </c>
      <c r="C109" s="72" t="n"/>
      <c r="D109" s="108" t="n"/>
      <c r="E109" s="72" t="n"/>
      <c r="F109" s="112" t="n"/>
      <c r="G109" s="72" t="n"/>
      <c r="H109" s="74" t="n"/>
      <c r="I109" s="73" t="n"/>
      <c r="J109" s="112" t="n"/>
      <c r="K109" s="108" t="n"/>
      <c r="L109" s="72" t="n"/>
      <c r="M109" s="108" t="n"/>
      <c r="N109" s="72" t="n"/>
      <c r="O109" s="79">
        <f>IF(AND(F109&lt;&gt;"",L109&lt;&gt;"Resolved"),1,0)</f>
        <v/>
      </c>
      <c r="P109" s="79">
        <f>IF(F109="","",IF(O109=0,0,IF(H109="High",2,1)))</f>
        <v/>
      </c>
      <c r="Q109" s="111">
        <f>IF(O109=1,IF(K109&lt;&gt;"",K109,IF(H109="High",AsOf,"")),"")</f>
        <v/>
      </c>
      <c r="R109" s="79">
        <f>IF(Q109="","",IF(H109="High",1,IF(Q109="","",IF(Q109&lt;AsOf,1,IF(Q109&lt;=AsOf+AlertDays,2,IF(Q109&lt;=AsOf+2*AlertDays,3,""))))))</f>
        <v/>
      </c>
      <c r="S109" s="79">
        <f>IF(R109="","",IF(H109="High","High-severity issue: ",IF(C109="Punch item","Punch item: ","Issue action due: "))&amp;F109&amp;IF(J109="",""," → "&amp;J109))</f>
        <v/>
      </c>
      <c r="T109" s="79">
        <f>IF(O109=1,IF(I109="",0,I109),0)</f>
        <v/>
      </c>
      <c r="U109" s="79">
        <f>IF(AND(O109=1,H109="High"),1,0)</f>
        <v/>
      </c>
      <c r="V109" s="79">
        <f>IF(AND(O109=1,C109="Punch item"),1,0)</f>
        <v/>
      </c>
    </row>
    <row r="110" ht="24" customHeight="1">
      <c r="B110" s="125" t="n">
        <v>103</v>
      </c>
      <c r="C110" s="72" t="n"/>
      <c r="D110" s="108" t="n"/>
      <c r="E110" s="72" t="n"/>
      <c r="F110" s="112" t="n"/>
      <c r="G110" s="72" t="n"/>
      <c r="H110" s="74" t="n"/>
      <c r="I110" s="73" t="n"/>
      <c r="J110" s="112" t="n"/>
      <c r="K110" s="108" t="n"/>
      <c r="L110" s="72" t="n"/>
      <c r="M110" s="108" t="n"/>
      <c r="N110" s="72" t="n"/>
      <c r="O110" s="79">
        <f>IF(AND(F110&lt;&gt;"",L110&lt;&gt;"Resolved"),1,0)</f>
        <v/>
      </c>
      <c r="P110" s="79">
        <f>IF(F110="","",IF(O110=0,0,IF(H110="High",2,1)))</f>
        <v/>
      </c>
      <c r="Q110" s="111">
        <f>IF(O110=1,IF(K110&lt;&gt;"",K110,IF(H110="High",AsOf,"")),"")</f>
        <v/>
      </c>
      <c r="R110" s="79">
        <f>IF(Q110="","",IF(H110="High",1,IF(Q110="","",IF(Q110&lt;AsOf,1,IF(Q110&lt;=AsOf+AlertDays,2,IF(Q110&lt;=AsOf+2*AlertDays,3,""))))))</f>
        <v/>
      </c>
      <c r="S110" s="79">
        <f>IF(R110="","",IF(H110="High","High-severity issue: ",IF(C110="Punch item","Punch item: ","Issue action due: "))&amp;F110&amp;IF(J110="",""," → "&amp;J110))</f>
        <v/>
      </c>
      <c r="T110" s="79">
        <f>IF(O110=1,IF(I110="",0,I110),0)</f>
        <v/>
      </c>
      <c r="U110" s="79">
        <f>IF(AND(O110=1,H110="High"),1,0)</f>
        <v/>
      </c>
      <c r="V110" s="79">
        <f>IF(AND(O110=1,C110="Punch item"),1,0)</f>
        <v/>
      </c>
    </row>
    <row r="111" ht="24" customHeight="1">
      <c r="B111" s="125" t="n">
        <v>104</v>
      </c>
      <c r="C111" s="72" t="n"/>
      <c r="D111" s="108" t="n"/>
      <c r="E111" s="72" t="n"/>
      <c r="F111" s="112" t="n"/>
      <c r="G111" s="72" t="n"/>
      <c r="H111" s="74" t="n"/>
      <c r="I111" s="73" t="n"/>
      <c r="J111" s="112" t="n"/>
      <c r="K111" s="108" t="n"/>
      <c r="L111" s="72" t="n"/>
      <c r="M111" s="108" t="n"/>
      <c r="N111" s="72" t="n"/>
      <c r="O111" s="79">
        <f>IF(AND(F111&lt;&gt;"",L111&lt;&gt;"Resolved"),1,0)</f>
        <v/>
      </c>
      <c r="P111" s="79">
        <f>IF(F111="","",IF(O111=0,0,IF(H111="High",2,1)))</f>
        <v/>
      </c>
      <c r="Q111" s="111">
        <f>IF(O111=1,IF(K111&lt;&gt;"",K111,IF(H111="High",AsOf,"")),"")</f>
        <v/>
      </c>
      <c r="R111" s="79">
        <f>IF(Q111="","",IF(H111="High",1,IF(Q111="","",IF(Q111&lt;AsOf,1,IF(Q111&lt;=AsOf+AlertDays,2,IF(Q111&lt;=AsOf+2*AlertDays,3,""))))))</f>
        <v/>
      </c>
      <c r="S111" s="79">
        <f>IF(R111="","",IF(H111="High","High-severity issue: ",IF(C111="Punch item","Punch item: ","Issue action due: "))&amp;F111&amp;IF(J111="",""," → "&amp;J111))</f>
        <v/>
      </c>
      <c r="T111" s="79">
        <f>IF(O111=1,IF(I111="",0,I111),0)</f>
        <v/>
      </c>
      <c r="U111" s="79">
        <f>IF(AND(O111=1,H111="High"),1,0)</f>
        <v/>
      </c>
      <c r="V111" s="79">
        <f>IF(AND(O111=1,C111="Punch item"),1,0)</f>
        <v/>
      </c>
    </row>
    <row r="112" ht="24" customHeight="1">
      <c r="B112" s="125" t="n">
        <v>105</v>
      </c>
      <c r="C112" s="72" t="n"/>
      <c r="D112" s="108" t="n"/>
      <c r="E112" s="72" t="n"/>
      <c r="F112" s="112" t="n"/>
      <c r="G112" s="72" t="n"/>
      <c r="H112" s="74" t="n"/>
      <c r="I112" s="73" t="n"/>
      <c r="J112" s="112" t="n"/>
      <c r="K112" s="108" t="n"/>
      <c r="L112" s="72" t="n"/>
      <c r="M112" s="108" t="n"/>
      <c r="N112" s="72" t="n"/>
      <c r="O112" s="79">
        <f>IF(AND(F112&lt;&gt;"",L112&lt;&gt;"Resolved"),1,0)</f>
        <v/>
      </c>
      <c r="P112" s="79">
        <f>IF(F112="","",IF(O112=0,0,IF(H112="High",2,1)))</f>
        <v/>
      </c>
      <c r="Q112" s="111">
        <f>IF(O112=1,IF(K112&lt;&gt;"",K112,IF(H112="High",AsOf,"")),"")</f>
        <v/>
      </c>
      <c r="R112" s="79">
        <f>IF(Q112="","",IF(H112="High",1,IF(Q112="","",IF(Q112&lt;AsOf,1,IF(Q112&lt;=AsOf+AlertDays,2,IF(Q112&lt;=AsOf+2*AlertDays,3,""))))))</f>
        <v/>
      </c>
      <c r="S112" s="79">
        <f>IF(R112="","",IF(H112="High","High-severity issue: ",IF(C112="Punch item","Punch item: ","Issue action due: "))&amp;F112&amp;IF(J112="",""," → "&amp;J112))</f>
        <v/>
      </c>
      <c r="T112" s="79">
        <f>IF(O112=1,IF(I112="",0,I112),0)</f>
        <v/>
      </c>
      <c r="U112" s="79">
        <f>IF(AND(O112=1,H112="High"),1,0)</f>
        <v/>
      </c>
      <c r="V112" s="79">
        <f>IF(AND(O112=1,C112="Punch item"),1,0)</f>
        <v/>
      </c>
    </row>
    <row r="113" ht="24" customHeight="1">
      <c r="B113" s="125" t="n">
        <v>106</v>
      </c>
      <c r="C113" s="72" t="n"/>
      <c r="D113" s="108" t="n"/>
      <c r="E113" s="72" t="n"/>
      <c r="F113" s="112" t="n"/>
      <c r="G113" s="72" t="n"/>
      <c r="H113" s="74" t="n"/>
      <c r="I113" s="73" t="n"/>
      <c r="J113" s="112" t="n"/>
      <c r="K113" s="108" t="n"/>
      <c r="L113" s="72" t="n"/>
      <c r="M113" s="108" t="n"/>
      <c r="N113" s="72" t="n"/>
      <c r="O113" s="79">
        <f>IF(AND(F113&lt;&gt;"",L113&lt;&gt;"Resolved"),1,0)</f>
        <v/>
      </c>
      <c r="P113" s="79">
        <f>IF(F113="","",IF(O113=0,0,IF(H113="High",2,1)))</f>
        <v/>
      </c>
      <c r="Q113" s="111">
        <f>IF(O113=1,IF(K113&lt;&gt;"",K113,IF(H113="High",AsOf,"")),"")</f>
        <v/>
      </c>
      <c r="R113" s="79">
        <f>IF(Q113="","",IF(H113="High",1,IF(Q113="","",IF(Q113&lt;AsOf,1,IF(Q113&lt;=AsOf+AlertDays,2,IF(Q113&lt;=AsOf+2*AlertDays,3,""))))))</f>
        <v/>
      </c>
      <c r="S113" s="79">
        <f>IF(R113="","",IF(H113="High","High-severity issue: ",IF(C113="Punch item","Punch item: ","Issue action due: "))&amp;F113&amp;IF(J113="",""," → "&amp;J113))</f>
        <v/>
      </c>
      <c r="T113" s="79">
        <f>IF(O113=1,IF(I113="",0,I113),0)</f>
        <v/>
      </c>
      <c r="U113" s="79">
        <f>IF(AND(O113=1,H113="High"),1,0)</f>
        <v/>
      </c>
      <c r="V113" s="79">
        <f>IF(AND(O113=1,C113="Punch item"),1,0)</f>
        <v/>
      </c>
    </row>
    <row r="114" ht="24" customHeight="1">
      <c r="B114" s="125" t="n">
        <v>107</v>
      </c>
      <c r="C114" s="72" t="n"/>
      <c r="D114" s="108" t="n"/>
      <c r="E114" s="72" t="n"/>
      <c r="F114" s="112" t="n"/>
      <c r="G114" s="72" t="n"/>
      <c r="H114" s="74" t="n"/>
      <c r="I114" s="73" t="n"/>
      <c r="J114" s="112" t="n"/>
      <c r="K114" s="108" t="n"/>
      <c r="L114" s="72" t="n"/>
      <c r="M114" s="108" t="n"/>
      <c r="N114" s="72" t="n"/>
      <c r="O114" s="79">
        <f>IF(AND(F114&lt;&gt;"",L114&lt;&gt;"Resolved"),1,0)</f>
        <v/>
      </c>
      <c r="P114" s="79">
        <f>IF(F114="","",IF(O114=0,0,IF(H114="High",2,1)))</f>
        <v/>
      </c>
      <c r="Q114" s="111">
        <f>IF(O114=1,IF(K114&lt;&gt;"",K114,IF(H114="High",AsOf,"")),"")</f>
        <v/>
      </c>
      <c r="R114" s="79">
        <f>IF(Q114="","",IF(H114="High",1,IF(Q114="","",IF(Q114&lt;AsOf,1,IF(Q114&lt;=AsOf+AlertDays,2,IF(Q114&lt;=AsOf+2*AlertDays,3,""))))))</f>
        <v/>
      </c>
      <c r="S114" s="79">
        <f>IF(R114="","",IF(H114="High","High-severity issue: ",IF(C114="Punch item","Punch item: ","Issue action due: "))&amp;F114&amp;IF(J114="",""," → "&amp;J114))</f>
        <v/>
      </c>
      <c r="T114" s="79">
        <f>IF(O114=1,IF(I114="",0,I114),0)</f>
        <v/>
      </c>
      <c r="U114" s="79">
        <f>IF(AND(O114=1,H114="High"),1,0)</f>
        <v/>
      </c>
      <c r="V114" s="79">
        <f>IF(AND(O114=1,C114="Punch item"),1,0)</f>
        <v/>
      </c>
    </row>
    <row r="115" ht="24" customHeight="1">
      <c r="B115" s="125" t="n">
        <v>108</v>
      </c>
      <c r="C115" s="72" t="n"/>
      <c r="D115" s="108" t="n"/>
      <c r="E115" s="72" t="n"/>
      <c r="F115" s="112" t="n"/>
      <c r="G115" s="72" t="n"/>
      <c r="H115" s="74" t="n"/>
      <c r="I115" s="73" t="n"/>
      <c r="J115" s="112" t="n"/>
      <c r="K115" s="108" t="n"/>
      <c r="L115" s="72" t="n"/>
      <c r="M115" s="108" t="n"/>
      <c r="N115" s="72" t="n"/>
      <c r="O115" s="79">
        <f>IF(AND(F115&lt;&gt;"",L115&lt;&gt;"Resolved"),1,0)</f>
        <v/>
      </c>
      <c r="P115" s="79">
        <f>IF(F115="","",IF(O115=0,0,IF(H115="High",2,1)))</f>
        <v/>
      </c>
      <c r="Q115" s="111">
        <f>IF(O115=1,IF(K115&lt;&gt;"",K115,IF(H115="High",AsOf,"")),"")</f>
        <v/>
      </c>
      <c r="R115" s="79">
        <f>IF(Q115="","",IF(H115="High",1,IF(Q115="","",IF(Q115&lt;AsOf,1,IF(Q115&lt;=AsOf+AlertDays,2,IF(Q115&lt;=AsOf+2*AlertDays,3,""))))))</f>
        <v/>
      </c>
      <c r="S115" s="79">
        <f>IF(R115="","",IF(H115="High","High-severity issue: ",IF(C115="Punch item","Punch item: ","Issue action due: "))&amp;F115&amp;IF(J115="",""," → "&amp;J115))</f>
        <v/>
      </c>
      <c r="T115" s="79">
        <f>IF(O115=1,IF(I115="",0,I115),0)</f>
        <v/>
      </c>
      <c r="U115" s="79">
        <f>IF(AND(O115=1,H115="High"),1,0)</f>
        <v/>
      </c>
      <c r="V115" s="79">
        <f>IF(AND(O115=1,C115="Punch item"),1,0)</f>
        <v/>
      </c>
    </row>
    <row r="116" ht="24" customHeight="1">
      <c r="B116" s="125" t="n">
        <v>109</v>
      </c>
      <c r="C116" s="72" t="n"/>
      <c r="D116" s="108" t="n"/>
      <c r="E116" s="72" t="n"/>
      <c r="F116" s="112" t="n"/>
      <c r="G116" s="72" t="n"/>
      <c r="H116" s="74" t="n"/>
      <c r="I116" s="73" t="n"/>
      <c r="J116" s="112" t="n"/>
      <c r="K116" s="108" t="n"/>
      <c r="L116" s="72" t="n"/>
      <c r="M116" s="108" t="n"/>
      <c r="N116" s="72" t="n"/>
      <c r="O116" s="79">
        <f>IF(AND(F116&lt;&gt;"",L116&lt;&gt;"Resolved"),1,0)</f>
        <v/>
      </c>
      <c r="P116" s="79">
        <f>IF(F116="","",IF(O116=0,0,IF(H116="High",2,1)))</f>
        <v/>
      </c>
      <c r="Q116" s="111">
        <f>IF(O116=1,IF(K116&lt;&gt;"",K116,IF(H116="High",AsOf,"")),"")</f>
        <v/>
      </c>
      <c r="R116" s="79">
        <f>IF(Q116="","",IF(H116="High",1,IF(Q116="","",IF(Q116&lt;AsOf,1,IF(Q116&lt;=AsOf+AlertDays,2,IF(Q116&lt;=AsOf+2*AlertDays,3,""))))))</f>
        <v/>
      </c>
      <c r="S116" s="79">
        <f>IF(R116="","",IF(H116="High","High-severity issue: ",IF(C116="Punch item","Punch item: ","Issue action due: "))&amp;F116&amp;IF(J116="",""," → "&amp;J116))</f>
        <v/>
      </c>
      <c r="T116" s="79">
        <f>IF(O116=1,IF(I116="",0,I116),0)</f>
        <v/>
      </c>
      <c r="U116" s="79">
        <f>IF(AND(O116=1,H116="High"),1,0)</f>
        <v/>
      </c>
      <c r="V116" s="79">
        <f>IF(AND(O116=1,C116="Punch item"),1,0)</f>
        <v/>
      </c>
    </row>
    <row r="117" ht="24" customHeight="1">
      <c r="B117" s="125" t="n">
        <v>110</v>
      </c>
      <c r="C117" s="72" t="n"/>
      <c r="D117" s="108" t="n"/>
      <c r="E117" s="72" t="n"/>
      <c r="F117" s="112" t="n"/>
      <c r="G117" s="72" t="n"/>
      <c r="H117" s="74" t="n"/>
      <c r="I117" s="73" t="n"/>
      <c r="J117" s="112" t="n"/>
      <c r="K117" s="108" t="n"/>
      <c r="L117" s="72" t="n"/>
      <c r="M117" s="108" t="n"/>
      <c r="N117" s="72" t="n"/>
      <c r="O117" s="79">
        <f>IF(AND(F117&lt;&gt;"",L117&lt;&gt;"Resolved"),1,0)</f>
        <v/>
      </c>
      <c r="P117" s="79">
        <f>IF(F117="","",IF(O117=0,0,IF(H117="High",2,1)))</f>
        <v/>
      </c>
      <c r="Q117" s="111">
        <f>IF(O117=1,IF(K117&lt;&gt;"",K117,IF(H117="High",AsOf,"")),"")</f>
        <v/>
      </c>
      <c r="R117" s="79">
        <f>IF(Q117="","",IF(H117="High",1,IF(Q117="","",IF(Q117&lt;AsOf,1,IF(Q117&lt;=AsOf+AlertDays,2,IF(Q117&lt;=AsOf+2*AlertDays,3,""))))))</f>
        <v/>
      </c>
      <c r="S117" s="79">
        <f>IF(R117="","",IF(H117="High","High-severity issue: ",IF(C117="Punch item","Punch item: ","Issue action due: "))&amp;F117&amp;IF(J117="",""," → "&amp;J117))</f>
        <v/>
      </c>
      <c r="T117" s="79">
        <f>IF(O117=1,IF(I117="",0,I117),0)</f>
        <v/>
      </c>
      <c r="U117" s="79">
        <f>IF(AND(O117=1,H117="High"),1,0)</f>
        <v/>
      </c>
      <c r="V117" s="79">
        <f>IF(AND(O117=1,C117="Punch item"),1,0)</f>
        <v/>
      </c>
    </row>
    <row r="118" ht="24" customHeight="1">
      <c r="B118" s="125" t="n">
        <v>111</v>
      </c>
      <c r="C118" s="72" t="n"/>
      <c r="D118" s="108" t="n"/>
      <c r="E118" s="72" t="n"/>
      <c r="F118" s="112" t="n"/>
      <c r="G118" s="72" t="n"/>
      <c r="H118" s="74" t="n"/>
      <c r="I118" s="73" t="n"/>
      <c r="J118" s="112" t="n"/>
      <c r="K118" s="108" t="n"/>
      <c r="L118" s="72" t="n"/>
      <c r="M118" s="108" t="n"/>
      <c r="N118" s="72" t="n"/>
      <c r="O118" s="79">
        <f>IF(AND(F118&lt;&gt;"",L118&lt;&gt;"Resolved"),1,0)</f>
        <v/>
      </c>
      <c r="P118" s="79">
        <f>IF(F118="","",IF(O118=0,0,IF(H118="High",2,1)))</f>
        <v/>
      </c>
      <c r="Q118" s="111">
        <f>IF(O118=1,IF(K118&lt;&gt;"",K118,IF(H118="High",AsOf,"")),"")</f>
        <v/>
      </c>
      <c r="R118" s="79">
        <f>IF(Q118="","",IF(H118="High",1,IF(Q118="","",IF(Q118&lt;AsOf,1,IF(Q118&lt;=AsOf+AlertDays,2,IF(Q118&lt;=AsOf+2*AlertDays,3,""))))))</f>
        <v/>
      </c>
      <c r="S118" s="79">
        <f>IF(R118="","",IF(H118="High","High-severity issue: ",IF(C118="Punch item","Punch item: ","Issue action due: "))&amp;F118&amp;IF(J118="",""," → "&amp;J118))</f>
        <v/>
      </c>
      <c r="T118" s="79">
        <f>IF(O118=1,IF(I118="",0,I118),0)</f>
        <v/>
      </c>
      <c r="U118" s="79">
        <f>IF(AND(O118=1,H118="High"),1,0)</f>
        <v/>
      </c>
      <c r="V118" s="79">
        <f>IF(AND(O118=1,C118="Punch item"),1,0)</f>
        <v/>
      </c>
    </row>
    <row r="119" ht="24" customHeight="1">
      <c r="B119" s="125" t="n">
        <v>112</v>
      </c>
      <c r="C119" s="72" t="n"/>
      <c r="D119" s="108" t="n"/>
      <c r="E119" s="72" t="n"/>
      <c r="F119" s="112" t="n"/>
      <c r="G119" s="72" t="n"/>
      <c r="H119" s="74" t="n"/>
      <c r="I119" s="73" t="n"/>
      <c r="J119" s="112" t="n"/>
      <c r="K119" s="108" t="n"/>
      <c r="L119" s="72" t="n"/>
      <c r="M119" s="108" t="n"/>
      <c r="N119" s="72" t="n"/>
      <c r="O119" s="79">
        <f>IF(AND(F119&lt;&gt;"",L119&lt;&gt;"Resolved"),1,0)</f>
        <v/>
      </c>
      <c r="P119" s="79">
        <f>IF(F119="","",IF(O119=0,0,IF(H119="High",2,1)))</f>
        <v/>
      </c>
      <c r="Q119" s="111">
        <f>IF(O119=1,IF(K119&lt;&gt;"",K119,IF(H119="High",AsOf,"")),"")</f>
        <v/>
      </c>
      <c r="R119" s="79">
        <f>IF(Q119="","",IF(H119="High",1,IF(Q119="","",IF(Q119&lt;AsOf,1,IF(Q119&lt;=AsOf+AlertDays,2,IF(Q119&lt;=AsOf+2*AlertDays,3,""))))))</f>
        <v/>
      </c>
      <c r="S119" s="79">
        <f>IF(R119="","",IF(H119="High","High-severity issue: ",IF(C119="Punch item","Punch item: ","Issue action due: "))&amp;F119&amp;IF(J119="",""," → "&amp;J119))</f>
        <v/>
      </c>
      <c r="T119" s="79">
        <f>IF(O119=1,IF(I119="",0,I119),0)</f>
        <v/>
      </c>
      <c r="U119" s="79">
        <f>IF(AND(O119=1,H119="High"),1,0)</f>
        <v/>
      </c>
      <c r="V119" s="79">
        <f>IF(AND(O119=1,C119="Punch item"),1,0)</f>
        <v/>
      </c>
    </row>
    <row r="120" ht="24" customHeight="1">
      <c r="B120" s="125" t="n">
        <v>113</v>
      </c>
      <c r="C120" s="72" t="n"/>
      <c r="D120" s="108" t="n"/>
      <c r="E120" s="72" t="n"/>
      <c r="F120" s="112" t="n"/>
      <c r="G120" s="72" t="n"/>
      <c r="H120" s="74" t="n"/>
      <c r="I120" s="73" t="n"/>
      <c r="J120" s="112" t="n"/>
      <c r="K120" s="108" t="n"/>
      <c r="L120" s="72" t="n"/>
      <c r="M120" s="108" t="n"/>
      <c r="N120" s="72" t="n"/>
      <c r="O120" s="79">
        <f>IF(AND(F120&lt;&gt;"",L120&lt;&gt;"Resolved"),1,0)</f>
        <v/>
      </c>
      <c r="P120" s="79">
        <f>IF(F120="","",IF(O120=0,0,IF(H120="High",2,1)))</f>
        <v/>
      </c>
      <c r="Q120" s="111">
        <f>IF(O120=1,IF(K120&lt;&gt;"",K120,IF(H120="High",AsOf,"")),"")</f>
        <v/>
      </c>
      <c r="R120" s="79">
        <f>IF(Q120="","",IF(H120="High",1,IF(Q120="","",IF(Q120&lt;AsOf,1,IF(Q120&lt;=AsOf+AlertDays,2,IF(Q120&lt;=AsOf+2*AlertDays,3,""))))))</f>
        <v/>
      </c>
      <c r="S120" s="79">
        <f>IF(R120="","",IF(H120="High","High-severity issue: ",IF(C120="Punch item","Punch item: ","Issue action due: "))&amp;F120&amp;IF(J120="",""," → "&amp;J120))</f>
        <v/>
      </c>
      <c r="T120" s="79">
        <f>IF(O120=1,IF(I120="",0,I120),0)</f>
        <v/>
      </c>
      <c r="U120" s="79">
        <f>IF(AND(O120=1,H120="High"),1,0)</f>
        <v/>
      </c>
      <c r="V120" s="79">
        <f>IF(AND(O120=1,C120="Punch item"),1,0)</f>
        <v/>
      </c>
    </row>
    <row r="121" ht="24" customHeight="1">
      <c r="B121" s="125" t="n">
        <v>114</v>
      </c>
      <c r="C121" s="72" t="n"/>
      <c r="D121" s="108" t="n"/>
      <c r="E121" s="72" t="n"/>
      <c r="F121" s="112" t="n"/>
      <c r="G121" s="72" t="n"/>
      <c r="H121" s="74" t="n"/>
      <c r="I121" s="73" t="n"/>
      <c r="J121" s="112" t="n"/>
      <c r="K121" s="108" t="n"/>
      <c r="L121" s="72" t="n"/>
      <c r="M121" s="108" t="n"/>
      <c r="N121" s="72" t="n"/>
      <c r="O121" s="79">
        <f>IF(AND(F121&lt;&gt;"",L121&lt;&gt;"Resolved"),1,0)</f>
        <v/>
      </c>
      <c r="P121" s="79">
        <f>IF(F121="","",IF(O121=0,0,IF(H121="High",2,1)))</f>
        <v/>
      </c>
      <c r="Q121" s="111">
        <f>IF(O121=1,IF(K121&lt;&gt;"",K121,IF(H121="High",AsOf,"")),"")</f>
        <v/>
      </c>
      <c r="R121" s="79">
        <f>IF(Q121="","",IF(H121="High",1,IF(Q121="","",IF(Q121&lt;AsOf,1,IF(Q121&lt;=AsOf+AlertDays,2,IF(Q121&lt;=AsOf+2*AlertDays,3,""))))))</f>
        <v/>
      </c>
      <c r="S121" s="79">
        <f>IF(R121="","",IF(H121="High","High-severity issue: ",IF(C121="Punch item","Punch item: ","Issue action due: "))&amp;F121&amp;IF(J121="",""," → "&amp;J121))</f>
        <v/>
      </c>
      <c r="T121" s="79">
        <f>IF(O121=1,IF(I121="",0,I121),0)</f>
        <v/>
      </c>
      <c r="U121" s="79">
        <f>IF(AND(O121=1,H121="High"),1,0)</f>
        <v/>
      </c>
      <c r="V121" s="79">
        <f>IF(AND(O121=1,C121="Punch item"),1,0)</f>
        <v/>
      </c>
    </row>
    <row r="122" ht="24" customHeight="1">
      <c r="B122" s="125" t="n">
        <v>115</v>
      </c>
      <c r="C122" s="72" t="n"/>
      <c r="D122" s="108" t="n"/>
      <c r="E122" s="72" t="n"/>
      <c r="F122" s="112" t="n"/>
      <c r="G122" s="72" t="n"/>
      <c r="H122" s="74" t="n"/>
      <c r="I122" s="73" t="n"/>
      <c r="J122" s="112" t="n"/>
      <c r="K122" s="108" t="n"/>
      <c r="L122" s="72" t="n"/>
      <c r="M122" s="108" t="n"/>
      <c r="N122" s="72" t="n"/>
      <c r="O122" s="79">
        <f>IF(AND(F122&lt;&gt;"",L122&lt;&gt;"Resolved"),1,0)</f>
        <v/>
      </c>
      <c r="P122" s="79">
        <f>IF(F122="","",IF(O122=0,0,IF(H122="High",2,1)))</f>
        <v/>
      </c>
      <c r="Q122" s="111">
        <f>IF(O122=1,IF(K122&lt;&gt;"",K122,IF(H122="High",AsOf,"")),"")</f>
        <v/>
      </c>
      <c r="R122" s="79">
        <f>IF(Q122="","",IF(H122="High",1,IF(Q122="","",IF(Q122&lt;AsOf,1,IF(Q122&lt;=AsOf+AlertDays,2,IF(Q122&lt;=AsOf+2*AlertDays,3,""))))))</f>
        <v/>
      </c>
      <c r="S122" s="79">
        <f>IF(R122="","",IF(H122="High","High-severity issue: ",IF(C122="Punch item","Punch item: ","Issue action due: "))&amp;F122&amp;IF(J122="",""," → "&amp;J122))</f>
        <v/>
      </c>
      <c r="T122" s="79">
        <f>IF(O122=1,IF(I122="",0,I122),0)</f>
        <v/>
      </c>
      <c r="U122" s="79">
        <f>IF(AND(O122=1,H122="High"),1,0)</f>
        <v/>
      </c>
      <c r="V122" s="79">
        <f>IF(AND(O122=1,C122="Punch item"),1,0)</f>
        <v/>
      </c>
    </row>
    <row r="123" ht="24" customHeight="1">
      <c r="B123" s="125" t="n">
        <v>116</v>
      </c>
      <c r="C123" s="72" t="n"/>
      <c r="D123" s="108" t="n"/>
      <c r="E123" s="72" t="n"/>
      <c r="F123" s="112" t="n"/>
      <c r="G123" s="72" t="n"/>
      <c r="H123" s="74" t="n"/>
      <c r="I123" s="73" t="n"/>
      <c r="J123" s="112" t="n"/>
      <c r="K123" s="108" t="n"/>
      <c r="L123" s="72" t="n"/>
      <c r="M123" s="108" t="n"/>
      <c r="N123" s="72" t="n"/>
      <c r="O123" s="79">
        <f>IF(AND(F123&lt;&gt;"",L123&lt;&gt;"Resolved"),1,0)</f>
        <v/>
      </c>
      <c r="P123" s="79">
        <f>IF(F123="","",IF(O123=0,0,IF(H123="High",2,1)))</f>
        <v/>
      </c>
      <c r="Q123" s="111">
        <f>IF(O123=1,IF(K123&lt;&gt;"",K123,IF(H123="High",AsOf,"")),"")</f>
        <v/>
      </c>
      <c r="R123" s="79">
        <f>IF(Q123="","",IF(H123="High",1,IF(Q123="","",IF(Q123&lt;AsOf,1,IF(Q123&lt;=AsOf+AlertDays,2,IF(Q123&lt;=AsOf+2*AlertDays,3,""))))))</f>
        <v/>
      </c>
      <c r="S123" s="79">
        <f>IF(R123="","",IF(H123="High","High-severity issue: ",IF(C123="Punch item","Punch item: ","Issue action due: "))&amp;F123&amp;IF(J123="",""," → "&amp;J123))</f>
        <v/>
      </c>
      <c r="T123" s="79">
        <f>IF(O123=1,IF(I123="",0,I123),0)</f>
        <v/>
      </c>
      <c r="U123" s="79">
        <f>IF(AND(O123=1,H123="High"),1,0)</f>
        <v/>
      </c>
      <c r="V123" s="79">
        <f>IF(AND(O123=1,C123="Punch item"),1,0)</f>
        <v/>
      </c>
    </row>
    <row r="124" ht="24" customHeight="1">
      <c r="B124" s="125" t="n">
        <v>117</v>
      </c>
      <c r="C124" s="72" t="n"/>
      <c r="D124" s="108" t="n"/>
      <c r="E124" s="72" t="n"/>
      <c r="F124" s="112" t="n"/>
      <c r="G124" s="72" t="n"/>
      <c r="H124" s="74" t="n"/>
      <c r="I124" s="73" t="n"/>
      <c r="J124" s="112" t="n"/>
      <c r="K124" s="108" t="n"/>
      <c r="L124" s="72" t="n"/>
      <c r="M124" s="108" t="n"/>
      <c r="N124" s="72" t="n"/>
      <c r="O124" s="79">
        <f>IF(AND(F124&lt;&gt;"",L124&lt;&gt;"Resolved"),1,0)</f>
        <v/>
      </c>
      <c r="P124" s="79">
        <f>IF(F124="","",IF(O124=0,0,IF(H124="High",2,1)))</f>
        <v/>
      </c>
      <c r="Q124" s="111">
        <f>IF(O124=1,IF(K124&lt;&gt;"",K124,IF(H124="High",AsOf,"")),"")</f>
        <v/>
      </c>
      <c r="R124" s="79">
        <f>IF(Q124="","",IF(H124="High",1,IF(Q124="","",IF(Q124&lt;AsOf,1,IF(Q124&lt;=AsOf+AlertDays,2,IF(Q124&lt;=AsOf+2*AlertDays,3,""))))))</f>
        <v/>
      </c>
      <c r="S124" s="79">
        <f>IF(R124="","",IF(H124="High","High-severity issue: ",IF(C124="Punch item","Punch item: ","Issue action due: "))&amp;F124&amp;IF(J124="",""," → "&amp;J124))</f>
        <v/>
      </c>
      <c r="T124" s="79">
        <f>IF(O124=1,IF(I124="",0,I124),0)</f>
        <v/>
      </c>
      <c r="U124" s="79">
        <f>IF(AND(O124=1,H124="High"),1,0)</f>
        <v/>
      </c>
      <c r="V124" s="79">
        <f>IF(AND(O124=1,C124="Punch item"),1,0)</f>
        <v/>
      </c>
    </row>
    <row r="125" ht="24" customHeight="1">
      <c r="B125" s="125" t="n">
        <v>118</v>
      </c>
      <c r="C125" s="72" t="n"/>
      <c r="D125" s="108" t="n"/>
      <c r="E125" s="72" t="n"/>
      <c r="F125" s="112" t="n"/>
      <c r="G125" s="72" t="n"/>
      <c r="H125" s="74" t="n"/>
      <c r="I125" s="73" t="n"/>
      <c r="J125" s="112" t="n"/>
      <c r="K125" s="108" t="n"/>
      <c r="L125" s="72" t="n"/>
      <c r="M125" s="108" t="n"/>
      <c r="N125" s="72" t="n"/>
      <c r="O125" s="79">
        <f>IF(AND(F125&lt;&gt;"",L125&lt;&gt;"Resolved"),1,0)</f>
        <v/>
      </c>
      <c r="P125" s="79">
        <f>IF(F125="","",IF(O125=0,0,IF(H125="High",2,1)))</f>
        <v/>
      </c>
      <c r="Q125" s="111">
        <f>IF(O125=1,IF(K125&lt;&gt;"",K125,IF(H125="High",AsOf,"")),"")</f>
        <v/>
      </c>
      <c r="R125" s="79">
        <f>IF(Q125="","",IF(H125="High",1,IF(Q125="","",IF(Q125&lt;AsOf,1,IF(Q125&lt;=AsOf+AlertDays,2,IF(Q125&lt;=AsOf+2*AlertDays,3,""))))))</f>
        <v/>
      </c>
      <c r="S125" s="79">
        <f>IF(R125="","",IF(H125="High","High-severity issue: ",IF(C125="Punch item","Punch item: ","Issue action due: "))&amp;F125&amp;IF(J125="",""," → "&amp;J125))</f>
        <v/>
      </c>
      <c r="T125" s="79">
        <f>IF(O125=1,IF(I125="",0,I125),0)</f>
        <v/>
      </c>
      <c r="U125" s="79">
        <f>IF(AND(O125=1,H125="High"),1,0)</f>
        <v/>
      </c>
      <c r="V125" s="79">
        <f>IF(AND(O125=1,C125="Punch item"),1,0)</f>
        <v/>
      </c>
    </row>
    <row r="126" ht="24" customHeight="1">
      <c r="B126" s="125" t="n">
        <v>119</v>
      </c>
      <c r="C126" s="72" t="n"/>
      <c r="D126" s="108" t="n"/>
      <c r="E126" s="72" t="n"/>
      <c r="F126" s="112" t="n"/>
      <c r="G126" s="72" t="n"/>
      <c r="H126" s="74" t="n"/>
      <c r="I126" s="73" t="n"/>
      <c r="J126" s="112" t="n"/>
      <c r="K126" s="108" t="n"/>
      <c r="L126" s="72" t="n"/>
      <c r="M126" s="108" t="n"/>
      <c r="N126" s="72" t="n"/>
      <c r="O126" s="79">
        <f>IF(AND(F126&lt;&gt;"",L126&lt;&gt;"Resolved"),1,0)</f>
        <v/>
      </c>
      <c r="P126" s="79">
        <f>IF(F126="","",IF(O126=0,0,IF(H126="High",2,1)))</f>
        <v/>
      </c>
      <c r="Q126" s="111">
        <f>IF(O126=1,IF(K126&lt;&gt;"",K126,IF(H126="High",AsOf,"")),"")</f>
        <v/>
      </c>
      <c r="R126" s="79">
        <f>IF(Q126="","",IF(H126="High",1,IF(Q126="","",IF(Q126&lt;AsOf,1,IF(Q126&lt;=AsOf+AlertDays,2,IF(Q126&lt;=AsOf+2*AlertDays,3,""))))))</f>
        <v/>
      </c>
      <c r="S126" s="79">
        <f>IF(R126="","",IF(H126="High","High-severity issue: ",IF(C126="Punch item","Punch item: ","Issue action due: "))&amp;F126&amp;IF(J126="",""," → "&amp;J126))</f>
        <v/>
      </c>
      <c r="T126" s="79">
        <f>IF(O126=1,IF(I126="",0,I126),0)</f>
        <v/>
      </c>
      <c r="U126" s="79">
        <f>IF(AND(O126=1,H126="High"),1,0)</f>
        <v/>
      </c>
      <c r="V126" s="79">
        <f>IF(AND(O126=1,C126="Punch item"),1,0)</f>
        <v/>
      </c>
    </row>
    <row r="127" ht="24" customHeight="1">
      <c r="B127" s="125" t="n">
        <v>120</v>
      </c>
      <c r="C127" s="72" t="n"/>
      <c r="D127" s="108" t="n"/>
      <c r="E127" s="72" t="n"/>
      <c r="F127" s="112" t="n"/>
      <c r="G127" s="72" t="n"/>
      <c r="H127" s="74" t="n"/>
      <c r="I127" s="73" t="n"/>
      <c r="J127" s="112" t="n"/>
      <c r="K127" s="108" t="n"/>
      <c r="L127" s="72" t="n"/>
      <c r="M127" s="108" t="n"/>
      <c r="N127" s="72" t="n"/>
      <c r="O127" s="79">
        <f>IF(AND(F127&lt;&gt;"",L127&lt;&gt;"Resolved"),1,0)</f>
        <v/>
      </c>
      <c r="P127" s="79">
        <f>IF(F127="","",IF(O127=0,0,IF(H127="High",2,1)))</f>
        <v/>
      </c>
      <c r="Q127" s="111">
        <f>IF(O127=1,IF(K127&lt;&gt;"",K127,IF(H127="High",AsOf,"")),"")</f>
        <v/>
      </c>
      <c r="R127" s="79">
        <f>IF(Q127="","",IF(H127="High",1,IF(Q127="","",IF(Q127&lt;AsOf,1,IF(Q127&lt;=AsOf+AlertDays,2,IF(Q127&lt;=AsOf+2*AlertDays,3,""))))))</f>
        <v/>
      </c>
      <c r="S127" s="79">
        <f>IF(R127="","",IF(H127="High","High-severity issue: ",IF(C127="Punch item","Punch item: ","Issue action due: "))&amp;F127&amp;IF(J127="",""," → "&amp;J127))</f>
        <v/>
      </c>
      <c r="T127" s="79">
        <f>IF(O127=1,IF(I127="",0,I127),0)</f>
        <v/>
      </c>
      <c r="U127" s="79">
        <f>IF(AND(O127=1,H127="High"),1,0)</f>
        <v/>
      </c>
      <c r="V127" s="79">
        <f>IF(AND(O127=1,C127="Punch item"),1,0)</f>
        <v/>
      </c>
    </row>
    <row r="128" ht="24" customHeight="1">
      <c r="B128" s="125" t="n">
        <v>121</v>
      </c>
      <c r="C128" s="72" t="n"/>
      <c r="D128" s="108" t="n"/>
      <c r="E128" s="72" t="n"/>
      <c r="F128" s="112" t="n"/>
      <c r="G128" s="72" t="n"/>
      <c r="H128" s="74" t="n"/>
      <c r="I128" s="73" t="n"/>
      <c r="J128" s="112" t="n"/>
      <c r="K128" s="108" t="n"/>
      <c r="L128" s="72" t="n"/>
      <c r="M128" s="108" t="n"/>
      <c r="N128" s="72" t="n"/>
      <c r="O128" s="79">
        <f>IF(AND(F128&lt;&gt;"",L128&lt;&gt;"Resolved"),1,0)</f>
        <v/>
      </c>
      <c r="P128" s="79">
        <f>IF(F128="","",IF(O128=0,0,IF(H128="High",2,1)))</f>
        <v/>
      </c>
      <c r="Q128" s="111">
        <f>IF(O128=1,IF(K128&lt;&gt;"",K128,IF(H128="High",AsOf,"")),"")</f>
        <v/>
      </c>
      <c r="R128" s="79">
        <f>IF(Q128="","",IF(H128="High",1,IF(Q128="","",IF(Q128&lt;AsOf,1,IF(Q128&lt;=AsOf+AlertDays,2,IF(Q128&lt;=AsOf+2*AlertDays,3,""))))))</f>
        <v/>
      </c>
      <c r="S128" s="79">
        <f>IF(R128="","",IF(H128="High","High-severity issue: ",IF(C128="Punch item","Punch item: ","Issue action due: "))&amp;F128&amp;IF(J128="",""," → "&amp;J128))</f>
        <v/>
      </c>
      <c r="T128" s="79">
        <f>IF(O128=1,IF(I128="",0,I128),0)</f>
        <v/>
      </c>
      <c r="U128" s="79">
        <f>IF(AND(O128=1,H128="High"),1,0)</f>
        <v/>
      </c>
      <c r="V128" s="79">
        <f>IF(AND(O128=1,C128="Punch item"),1,0)</f>
        <v/>
      </c>
    </row>
    <row r="129" ht="24" customHeight="1">
      <c r="B129" s="125" t="n">
        <v>122</v>
      </c>
      <c r="C129" s="72" t="n"/>
      <c r="D129" s="108" t="n"/>
      <c r="E129" s="72" t="n"/>
      <c r="F129" s="112" t="n"/>
      <c r="G129" s="72" t="n"/>
      <c r="H129" s="74" t="n"/>
      <c r="I129" s="73" t="n"/>
      <c r="J129" s="112" t="n"/>
      <c r="K129" s="108" t="n"/>
      <c r="L129" s="72" t="n"/>
      <c r="M129" s="108" t="n"/>
      <c r="N129" s="72" t="n"/>
      <c r="O129" s="79">
        <f>IF(AND(F129&lt;&gt;"",L129&lt;&gt;"Resolved"),1,0)</f>
        <v/>
      </c>
      <c r="P129" s="79">
        <f>IF(F129="","",IF(O129=0,0,IF(H129="High",2,1)))</f>
        <v/>
      </c>
      <c r="Q129" s="111">
        <f>IF(O129=1,IF(K129&lt;&gt;"",K129,IF(H129="High",AsOf,"")),"")</f>
        <v/>
      </c>
      <c r="R129" s="79">
        <f>IF(Q129="","",IF(H129="High",1,IF(Q129="","",IF(Q129&lt;AsOf,1,IF(Q129&lt;=AsOf+AlertDays,2,IF(Q129&lt;=AsOf+2*AlertDays,3,""))))))</f>
        <v/>
      </c>
      <c r="S129" s="79">
        <f>IF(R129="","",IF(H129="High","High-severity issue: ",IF(C129="Punch item","Punch item: ","Issue action due: "))&amp;F129&amp;IF(J129="",""," → "&amp;J129))</f>
        <v/>
      </c>
      <c r="T129" s="79">
        <f>IF(O129=1,IF(I129="",0,I129),0)</f>
        <v/>
      </c>
      <c r="U129" s="79">
        <f>IF(AND(O129=1,H129="High"),1,0)</f>
        <v/>
      </c>
      <c r="V129" s="79">
        <f>IF(AND(O129=1,C129="Punch item"),1,0)</f>
        <v/>
      </c>
    </row>
    <row r="130" ht="24" customHeight="1">
      <c r="B130" s="125" t="n">
        <v>123</v>
      </c>
      <c r="C130" s="72" t="n"/>
      <c r="D130" s="108" t="n"/>
      <c r="E130" s="72" t="n"/>
      <c r="F130" s="112" t="n"/>
      <c r="G130" s="72" t="n"/>
      <c r="H130" s="74" t="n"/>
      <c r="I130" s="73" t="n"/>
      <c r="J130" s="112" t="n"/>
      <c r="K130" s="108" t="n"/>
      <c r="L130" s="72" t="n"/>
      <c r="M130" s="108" t="n"/>
      <c r="N130" s="72" t="n"/>
      <c r="O130" s="79">
        <f>IF(AND(F130&lt;&gt;"",L130&lt;&gt;"Resolved"),1,0)</f>
        <v/>
      </c>
      <c r="P130" s="79">
        <f>IF(F130="","",IF(O130=0,0,IF(H130="High",2,1)))</f>
        <v/>
      </c>
      <c r="Q130" s="111">
        <f>IF(O130=1,IF(K130&lt;&gt;"",K130,IF(H130="High",AsOf,"")),"")</f>
        <v/>
      </c>
      <c r="R130" s="79">
        <f>IF(Q130="","",IF(H130="High",1,IF(Q130="","",IF(Q130&lt;AsOf,1,IF(Q130&lt;=AsOf+AlertDays,2,IF(Q130&lt;=AsOf+2*AlertDays,3,""))))))</f>
        <v/>
      </c>
      <c r="S130" s="79">
        <f>IF(R130="","",IF(H130="High","High-severity issue: ",IF(C130="Punch item","Punch item: ","Issue action due: "))&amp;F130&amp;IF(J130="",""," → "&amp;J130))</f>
        <v/>
      </c>
      <c r="T130" s="79">
        <f>IF(O130=1,IF(I130="",0,I130),0)</f>
        <v/>
      </c>
      <c r="U130" s="79">
        <f>IF(AND(O130=1,H130="High"),1,0)</f>
        <v/>
      </c>
      <c r="V130" s="79">
        <f>IF(AND(O130=1,C130="Punch item"),1,0)</f>
        <v/>
      </c>
    </row>
    <row r="131" ht="24" customHeight="1">
      <c r="B131" s="125" t="n">
        <v>124</v>
      </c>
      <c r="C131" s="72" t="n"/>
      <c r="D131" s="108" t="n"/>
      <c r="E131" s="72" t="n"/>
      <c r="F131" s="112" t="n"/>
      <c r="G131" s="72" t="n"/>
      <c r="H131" s="74" t="n"/>
      <c r="I131" s="73" t="n"/>
      <c r="J131" s="112" t="n"/>
      <c r="K131" s="108" t="n"/>
      <c r="L131" s="72" t="n"/>
      <c r="M131" s="108" t="n"/>
      <c r="N131" s="72" t="n"/>
      <c r="O131" s="79">
        <f>IF(AND(F131&lt;&gt;"",L131&lt;&gt;"Resolved"),1,0)</f>
        <v/>
      </c>
      <c r="P131" s="79">
        <f>IF(F131="","",IF(O131=0,0,IF(H131="High",2,1)))</f>
        <v/>
      </c>
      <c r="Q131" s="111">
        <f>IF(O131=1,IF(K131&lt;&gt;"",K131,IF(H131="High",AsOf,"")),"")</f>
        <v/>
      </c>
      <c r="R131" s="79">
        <f>IF(Q131="","",IF(H131="High",1,IF(Q131="","",IF(Q131&lt;AsOf,1,IF(Q131&lt;=AsOf+AlertDays,2,IF(Q131&lt;=AsOf+2*AlertDays,3,""))))))</f>
        <v/>
      </c>
      <c r="S131" s="79">
        <f>IF(R131="","",IF(H131="High","High-severity issue: ",IF(C131="Punch item","Punch item: ","Issue action due: "))&amp;F131&amp;IF(J131="",""," → "&amp;J131))</f>
        <v/>
      </c>
      <c r="T131" s="79">
        <f>IF(O131=1,IF(I131="",0,I131),0)</f>
        <v/>
      </c>
      <c r="U131" s="79">
        <f>IF(AND(O131=1,H131="High"),1,0)</f>
        <v/>
      </c>
      <c r="V131" s="79">
        <f>IF(AND(O131=1,C131="Punch item"),1,0)</f>
        <v/>
      </c>
    </row>
    <row r="132" ht="24" customHeight="1">
      <c r="B132" s="125" t="n">
        <v>125</v>
      </c>
      <c r="C132" s="72" t="n"/>
      <c r="D132" s="108" t="n"/>
      <c r="E132" s="72" t="n"/>
      <c r="F132" s="112" t="n"/>
      <c r="G132" s="72" t="n"/>
      <c r="H132" s="74" t="n"/>
      <c r="I132" s="73" t="n"/>
      <c r="J132" s="112" t="n"/>
      <c r="K132" s="108" t="n"/>
      <c r="L132" s="72" t="n"/>
      <c r="M132" s="108" t="n"/>
      <c r="N132" s="72" t="n"/>
      <c r="O132" s="79">
        <f>IF(AND(F132&lt;&gt;"",L132&lt;&gt;"Resolved"),1,0)</f>
        <v/>
      </c>
      <c r="P132" s="79">
        <f>IF(F132="","",IF(O132=0,0,IF(H132="High",2,1)))</f>
        <v/>
      </c>
      <c r="Q132" s="111">
        <f>IF(O132=1,IF(K132&lt;&gt;"",K132,IF(H132="High",AsOf,"")),"")</f>
        <v/>
      </c>
      <c r="R132" s="79">
        <f>IF(Q132="","",IF(H132="High",1,IF(Q132="","",IF(Q132&lt;AsOf,1,IF(Q132&lt;=AsOf+AlertDays,2,IF(Q132&lt;=AsOf+2*AlertDays,3,""))))))</f>
        <v/>
      </c>
      <c r="S132" s="79">
        <f>IF(R132="","",IF(H132="High","High-severity issue: ",IF(C132="Punch item","Punch item: ","Issue action due: "))&amp;F132&amp;IF(J132="",""," → "&amp;J132))</f>
        <v/>
      </c>
      <c r="T132" s="79">
        <f>IF(O132=1,IF(I132="",0,I132),0)</f>
        <v/>
      </c>
      <c r="U132" s="79">
        <f>IF(AND(O132=1,H132="High"),1,0)</f>
        <v/>
      </c>
      <c r="V132" s="79">
        <f>IF(AND(O132=1,C132="Punch item"),1,0)</f>
        <v/>
      </c>
    </row>
    <row r="133" ht="24" customHeight="1">
      <c r="B133" s="125" t="n">
        <v>126</v>
      </c>
      <c r="C133" s="72" t="n"/>
      <c r="D133" s="108" t="n"/>
      <c r="E133" s="72" t="n"/>
      <c r="F133" s="112" t="n"/>
      <c r="G133" s="72" t="n"/>
      <c r="H133" s="74" t="n"/>
      <c r="I133" s="73" t="n"/>
      <c r="J133" s="112" t="n"/>
      <c r="K133" s="108" t="n"/>
      <c r="L133" s="72" t="n"/>
      <c r="M133" s="108" t="n"/>
      <c r="N133" s="72" t="n"/>
      <c r="O133" s="79">
        <f>IF(AND(F133&lt;&gt;"",L133&lt;&gt;"Resolved"),1,0)</f>
        <v/>
      </c>
      <c r="P133" s="79">
        <f>IF(F133="","",IF(O133=0,0,IF(H133="High",2,1)))</f>
        <v/>
      </c>
      <c r="Q133" s="111">
        <f>IF(O133=1,IF(K133&lt;&gt;"",K133,IF(H133="High",AsOf,"")),"")</f>
        <v/>
      </c>
      <c r="R133" s="79">
        <f>IF(Q133="","",IF(H133="High",1,IF(Q133="","",IF(Q133&lt;AsOf,1,IF(Q133&lt;=AsOf+AlertDays,2,IF(Q133&lt;=AsOf+2*AlertDays,3,""))))))</f>
        <v/>
      </c>
      <c r="S133" s="79">
        <f>IF(R133="","",IF(H133="High","High-severity issue: ",IF(C133="Punch item","Punch item: ","Issue action due: "))&amp;F133&amp;IF(J133="",""," → "&amp;J133))</f>
        <v/>
      </c>
      <c r="T133" s="79">
        <f>IF(O133=1,IF(I133="",0,I133),0)</f>
        <v/>
      </c>
      <c r="U133" s="79">
        <f>IF(AND(O133=1,H133="High"),1,0)</f>
        <v/>
      </c>
      <c r="V133" s="79">
        <f>IF(AND(O133=1,C133="Punch item"),1,0)</f>
        <v/>
      </c>
    </row>
    <row r="134" ht="24" customHeight="1">
      <c r="B134" s="125" t="n">
        <v>127</v>
      </c>
      <c r="C134" s="72" t="n"/>
      <c r="D134" s="108" t="n"/>
      <c r="E134" s="72" t="n"/>
      <c r="F134" s="112" t="n"/>
      <c r="G134" s="72" t="n"/>
      <c r="H134" s="74" t="n"/>
      <c r="I134" s="73" t="n"/>
      <c r="J134" s="112" t="n"/>
      <c r="K134" s="108" t="n"/>
      <c r="L134" s="72" t="n"/>
      <c r="M134" s="108" t="n"/>
      <c r="N134" s="72" t="n"/>
      <c r="O134" s="79">
        <f>IF(AND(F134&lt;&gt;"",L134&lt;&gt;"Resolved"),1,0)</f>
        <v/>
      </c>
      <c r="P134" s="79">
        <f>IF(F134="","",IF(O134=0,0,IF(H134="High",2,1)))</f>
        <v/>
      </c>
      <c r="Q134" s="111">
        <f>IF(O134=1,IF(K134&lt;&gt;"",K134,IF(H134="High",AsOf,"")),"")</f>
        <v/>
      </c>
      <c r="R134" s="79">
        <f>IF(Q134="","",IF(H134="High",1,IF(Q134="","",IF(Q134&lt;AsOf,1,IF(Q134&lt;=AsOf+AlertDays,2,IF(Q134&lt;=AsOf+2*AlertDays,3,""))))))</f>
        <v/>
      </c>
      <c r="S134" s="79">
        <f>IF(R134="","",IF(H134="High","High-severity issue: ",IF(C134="Punch item","Punch item: ","Issue action due: "))&amp;F134&amp;IF(J134="",""," → "&amp;J134))</f>
        <v/>
      </c>
      <c r="T134" s="79">
        <f>IF(O134=1,IF(I134="",0,I134),0)</f>
        <v/>
      </c>
      <c r="U134" s="79">
        <f>IF(AND(O134=1,H134="High"),1,0)</f>
        <v/>
      </c>
      <c r="V134" s="79">
        <f>IF(AND(O134=1,C134="Punch item"),1,0)</f>
        <v/>
      </c>
    </row>
    <row r="135" ht="24" customHeight="1">
      <c r="B135" s="125" t="n">
        <v>128</v>
      </c>
      <c r="C135" s="72" t="n"/>
      <c r="D135" s="108" t="n"/>
      <c r="E135" s="72" t="n"/>
      <c r="F135" s="112" t="n"/>
      <c r="G135" s="72" t="n"/>
      <c r="H135" s="74" t="n"/>
      <c r="I135" s="73" t="n"/>
      <c r="J135" s="112" t="n"/>
      <c r="K135" s="108" t="n"/>
      <c r="L135" s="72" t="n"/>
      <c r="M135" s="108" t="n"/>
      <c r="N135" s="72" t="n"/>
      <c r="O135" s="79">
        <f>IF(AND(F135&lt;&gt;"",L135&lt;&gt;"Resolved"),1,0)</f>
        <v/>
      </c>
      <c r="P135" s="79">
        <f>IF(F135="","",IF(O135=0,0,IF(H135="High",2,1)))</f>
        <v/>
      </c>
      <c r="Q135" s="111">
        <f>IF(O135=1,IF(K135&lt;&gt;"",K135,IF(H135="High",AsOf,"")),"")</f>
        <v/>
      </c>
      <c r="R135" s="79">
        <f>IF(Q135="","",IF(H135="High",1,IF(Q135="","",IF(Q135&lt;AsOf,1,IF(Q135&lt;=AsOf+AlertDays,2,IF(Q135&lt;=AsOf+2*AlertDays,3,""))))))</f>
        <v/>
      </c>
      <c r="S135" s="79">
        <f>IF(R135="","",IF(H135="High","High-severity issue: ",IF(C135="Punch item","Punch item: ","Issue action due: "))&amp;F135&amp;IF(J135="",""," → "&amp;J135))</f>
        <v/>
      </c>
      <c r="T135" s="79">
        <f>IF(O135=1,IF(I135="",0,I135),0)</f>
        <v/>
      </c>
      <c r="U135" s="79">
        <f>IF(AND(O135=1,H135="High"),1,0)</f>
        <v/>
      </c>
      <c r="V135" s="79">
        <f>IF(AND(O135=1,C135="Punch item"),1,0)</f>
        <v/>
      </c>
    </row>
    <row r="136" ht="24" customHeight="1">
      <c r="B136" s="125" t="n">
        <v>129</v>
      </c>
      <c r="C136" s="72" t="n"/>
      <c r="D136" s="108" t="n"/>
      <c r="E136" s="72" t="n"/>
      <c r="F136" s="112" t="n"/>
      <c r="G136" s="72" t="n"/>
      <c r="H136" s="74" t="n"/>
      <c r="I136" s="73" t="n"/>
      <c r="J136" s="112" t="n"/>
      <c r="K136" s="108" t="n"/>
      <c r="L136" s="72" t="n"/>
      <c r="M136" s="108" t="n"/>
      <c r="N136" s="72" t="n"/>
      <c r="O136" s="79">
        <f>IF(AND(F136&lt;&gt;"",L136&lt;&gt;"Resolved"),1,0)</f>
        <v/>
      </c>
      <c r="P136" s="79">
        <f>IF(F136="","",IF(O136=0,0,IF(H136="High",2,1)))</f>
        <v/>
      </c>
      <c r="Q136" s="111">
        <f>IF(O136=1,IF(K136&lt;&gt;"",K136,IF(H136="High",AsOf,"")),"")</f>
        <v/>
      </c>
      <c r="R136" s="79">
        <f>IF(Q136="","",IF(H136="High",1,IF(Q136="","",IF(Q136&lt;AsOf,1,IF(Q136&lt;=AsOf+AlertDays,2,IF(Q136&lt;=AsOf+2*AlertDays,3,""))))))</f>
        <v/>
      </c>
      <c r="S136" s="79">
        <f>IF(R136="","",IF(H136="High","High-severity issue: ",IF(C136="Punch item","Punch item: ","Issue action due: "))&amp;F136&amp;IF(J136="",""," → "&amp;J136))</f>
        <v/>
      </c>
      <c r="T136" s="79">
        <f>IF(O136=1,IF(I136="",0,I136),0)</f>
        <v/>
      </c>
      <c r="U136" s="79">
        <f>IF(AND(O136=1,H136="High"),1,0)</f>
        <v/>
      </c>
      <c r="V136" s="79">
        <f>IF(AND(O136=1,C136="Punch item"),1,0)</f>
        <v/>
      </c>
    </row>
    <row r="137" ht="24" customHeight="1">
      <c r="B137" s="125" t="n">
        <v>130</v>
      </c>
      <c r="C137" s="72" t="n"/>
      <c r="D137" s="108" t="n"/>
      <c r="E137" s="72" t="n"/>
      <c r="F137" s="112" t="n"/>
      <c r="G137" s="72" t="n"/>
      <c r="H137" s="74" t="n"/>
      <c r="I137" s="73" t="n"/>
      <c r="J137" s="112" t="n"/>
      <c r="K137" s="108" t="n"/>
      <c r="L137" s="72" t="n"/>
      <c r="M137" s="108" t="n"/>
      <c r="N137" s="72" t="n"/>
      <c r="O137" s="79">
        <f>IF(AND(F137&lt;&gt;"",L137&lt;&gt;"Resolved"),1,0)</f>
        <v/>
      </c>
      <c r="P137" s="79">
        <f>IF(F137="","",IF(O137=0,0,IF(H137="High",2,1)))</f>
        <v/>
      </c>
      <c r="Q137" s="111">
        <f>IF(O137=1,IF(K137&lt;&gt;"",K137,IF(H137="High",AsOf,"")),"")</f>
        <v/>
      </c>
      <c r="R137" s="79">
        <f>IF(Q137="","",IF(H137="High",1,IF(Q137="","",IF(Q137&lt;AsOf,1,IF(Q137&lt;=AsOf+AlertDays,2,IF(Q137&lt;=AsOf+2*AlertDays,3,""))))))</f>
        <v/>
      </c>
      <c r="S137" s="79">
        <f>IF(R137="","",IF(H137="High","High-severity issue: ",IF(C137="Punch item","Punch item: ","Issue action due: "))&amp;F137&amp;IF(J137="",""," → "&amp;J137))</f>
        <v/>
      </c>
      <c r="T137" s="79">
        <f>IF(O137=1,IF(I137="",0,I137),0)</f>
        <v/>
      </c>
      <c r="U137" s="79">
        <f>IF(AND(O137=1,H137="High"),1,0)</f>
        <v/>
      </c>
      <c r="V137" s="79">
        <f>IF(AND(O137=1,C137="Punch item"),1,0)</f>
        <v/>
      </c>
    </row>
    <row r="138" ht="24" customHeight="1">
      <c r="B138" s="125" t="n">
        <v>131</v>
      </c>
      <c r="C138" s="72" t="n"/>
      <c r="D138" s="108" t="n"/>
      <c r="E138" s="72" t="n"/>
      <c r="F138" s="112" t="n"/>
      <c r="G138" s="72" t="n"/>
      <c r="H138" s="74" t="n"/>
      <c r="I138" s="73" t="n"/>
      <c r="J138" s="112" t="n"/>
      <c r="K138" s="108" t="n"/>
      <c r="L138" s="72" t="n"/>
      <c r="M138" s="108" t="n"/>
      <c r="N138" s="72" t="n"/>
      <c r="O138" s="79">
        <f>IF(AND(F138&lt;&gt;"",L138&lt;&gt;"Resolved"),1,0)</f>
        <v/>
      </c>
      <c r="P138" s="79">
        <f>IF(F138="","",IF(O138=0,0,IF(H138="High",2,1)))</f>
        <v/>
      </c>
      <c r="Q138" s="111">
        <f>IF(O138=1,IF(K138&lt;&gt;"",K138,IF(H138="High",AsOf,"")),"")</f>
        <v/>
      </c>
      <c r="R138" s="79">
        <f>IF(Q138="","",IF(H138="High",1,IF(Q138="","",IF(Q138&lt;AsOf,1,IF(Q138&lt;=AsOf+AlertDays,2,IF(Q138&lt;=AsOf+2*AlertDays,3,""))))))</f>
        <v/>
      </c>
      <c r="S138" s="79">
        <f>IF(R138="","",IF(H138="High","High-severity issue: ",IF(C138="Punch item","Punch item: ","Issue action due: "))&amp;F138&amp;IF(J138="",""," → "&amp;J138))</f>
        <v/>
      </c>
      <c r="T138" s="79">
        <f>IF(O138=1,IF(I138="",0,I138),0)</f>
        <v/>
      </c>
      <c r="U138" s="79">
        <f>IF(AND(O138=1,H138="High"),1,0)</f>
        <v/>
      </c>
      <c r="V138" s="79">
        <f>IF(AND(O138=1,C138="Punch item"),1,0)</f>
        <v/>
      </c>
    </row>
    <row r="139" ht="24" customHeight="1">
      <c r="B139" s="125" t="n">
        <v>132</v>
      </c>
      <c r="C139" s="72" t="n"/>
      <c r="D139" s="108" t="n"/>
      <c r="E139" s="72" t="n"/>
      <c r="F139" s="112" t="n"/>
      <c r="G139" s="72" t="n"/>
      <c r="H139" s="74" t="n"/>
      <c r="I139" s="73" t="n"/>
      <c r="J139" s="112" t="n"/>
      <c r="K139" s="108" t="n"/>
      <c r="L139" s="72" t="n"/>
      <c r="M139" s="108" t="n"/>
      <c r="N139" s="72" t="n"/>
      <c r="O139" s="79">
        <f>IF(AND(F139&lt;&gt;"",L139&lt;&gt;"Resolved"),1,0)</f>
        <v/>
      </c>
      <c r="P139" s="79">
        <f>IF(F139="","",IF(O139=0,0,IF(H139="High",2,1)))</f>
        <v/>
      </c>
      <c r="Q139" s="111">
        <f>IF(O139=1,IF(K139&lt;&gt;"",K139,IF(H139="High",AsOf,"")),"")</f>
        <v/>
      </c>
      <c r="R139" s="79">
        <f>IF(Q139="","",IF(H139="High",1,IF(Q139="","",IF(Q139&lt;AsOf,1,IF(Q139&lt;=AsOf+AlertDays,2,IF(Q139&lt;=AsOf+2*AlertDays,3,""))))))</f>
        <v/>
      </c>
      <c r="S139" s="79">
        <f>IF(R139="","",IF(H139="High","High-severity issue: ",IF(C139="Punch item","Punch item: ","Issue action due: "))&amp;F139&amp;IF(J139="",""," → "&amp;J139))</f>
        <v/>
      </c>
      <c r="T139" s="79">
        <f>IF(O139=1,IF(I139="",0,I139),0)</f>
        <v/>
      </c>
      <c r="U139" s="79">
        <f>IF(AND(O139=1,H139="High"),1,0)</f>
        <v/>
      </c>
      <c r="V139" s="79">
        <f>IF(AND(O139=1,C139="Punch item"),1,0)</f>
        <v/>
      </c>
    </row>
    <row r="140" ht="24" customHeight="1">
      <c r="B140" s="125" t="n">
        <v>133</v>
      </c>
      <c r="C140" s="72" t="n"/>
      <c r="D140" s="108" t="n"/>
      <c r="E140" s="72" t="n"/>
      <c r="F140" s="112" t="n"/>
      <c r="G140" s="72" t="n"/>
      <c r="H140" s="74" t="n"/>
      <c r="I140" s="73" t="n"/>
      <c r="J140" s="112" t="n"/>
      <c r="K140" s="108" t="n"/>
      <c r="L140" s="72" t="n"/>
      <c r="M140" s="108" t="n"/>
      <c r="N140" s="72" t="n"/>
      <c r="O140" s="79">
        <f>IF(AND(F140&lt;&gt;"",L140&lt;&gt;"Resolved"),1,0)</f>
        <v/>
      </c>
      <c r="P140" s="79">
        <f>IF(F140="","",IF(O140=0,0,IF(H140="High",2,1)))</f>
        <v/>
      </c>
      <c r="Q140" s="111">
        <f>IF(O140=1,IF(K140&lt;&gt;"",K140,IF(H140="High",AsOf,"")),"")</f>
        <v/>
      </c>
      <c r="R140" s="79">
        <f>IF(Q140="","",IF(H140="High",1,IF(Q140="","",IF(Q140&lt;AsOf,1,IF(Q140&lt;=AsOf+AlertDays,2,IF(Q140&lt;=AsOf+2*AlertDays,3,""))))))</f>
        <v/>
      </c>
      <c r="S140" s="79">
        <f>IF(R140="","",IF(H140="High","High-severity issue: ",IF(C140="Punch item","Punch item: ","Issue action due: "))&amp;F140&amp;IF(J140="",""," → "&amp;J140))</f>
        <v/>
      </c>
      <c r="T140" s="79">
        <f>IF(O140=1,IF(I140="",0,I140),0)</f>
        <v/>
      </c>
      <c r="U140" s="79">
        <f>IF(AND(O140=1,H140="High"),1,0)</f>
        <v/>
      </c>
      <c r="V140" s="79">
        <f>IF(AND(O140=1,C140="Punch item"),1,0)</f>
        <v/>
      </c>
    </row>
    <row r="141" ht="24" customHeight="1">
      <c r="B141" s="125" t="n">
        <v>134</v>
      </c>
      <c r="C141" s="72" t="n"/>
      <c r="D141" s="108" t="n"/>
      <c r="E141" s="72" t="n"/>
      <c r="F141" s="112" t="n"/>
      <c r="G141" s="72" t="n"/>
      <c r="H141" s="74" t="n"/>
      <c r="I141" s="73" t="n"/>
      <c r="J141" s="112" t="n"/>
      <c r="K141" s="108" t="n"/>
      <c r="L141" s="72" t="n"/>
      <c r="M141" s="108" t="n"/>
      <c r="N141" s="72" t="n"/>
      <c r="O141" s="79">
        <f>IF(AND(F141&lt;&gt;"",L141&lt;&gt;"Resolved"),1,0)</f>
        <v/>
      </c>
      <c r="P141" s="79">
        <f>IF(F141="","",IF(O141=0,0,IF(H141="High",2,1)))</f>
        <v/>
      </c>
      <c r="Q141" s="111">
        <f>IF(O141=1,IF(K141&lt;&gt;"",K141,IF(H141="High",AsOf,"")),"")</f>
        <v/>
      </c>
      <c r="R141" s="79">
        <f>IF(Q141="","",IF(H141="High",1,IF(Q141="","",IF(Q141&lt;AsOf,1,IF(Q141&lt;=AsOf+AlertDays,2,IF(Q141&lt;=AsOf+2*AlertDays,3,""))))))</f>
        <v/>
      </c>
      <c r="S141" s="79">
        <f>IF(R141="","",IF(H141="High","High-severity issue: ",IF(C141="Punch item","Punch item: ","Issue action due: "))&amp;F141&amp;IF(J141="",""," → "&amp;J141))</f>
        <v/>
      </c>
      <c r="T141" s="79">
        <f>IF(O141=1,IF(I141="",0,I141),0)</f>
        <v/>
      </c>
      <c r="U141" s="79">
        <f>IF(AND(O141=1,H141="High"),1,0)</f>
        <v/>
      </c>
      <c r="V141" s="79">
        <f>IF(AND(O141=1,C141="Punch item"),1,0)</f>
        <v/>
      </c>
    </row>
    <row r="142" ht="24" customHeight="1">
      <c r="B142" s="125" t="n">
        <v>135</v>
      </c>
      <c r="C142" s="72" t="n"/>
      <c r="D142" s="108" t="n"/>
      <c r="E142" s="72" t="n"/>
      <c r="F142" s="112" t="n"/>
      <c r="G142" s="72" t="n"/>
      <c r="H142" s="74" t="n"/>
      <c r="I142" s="73" t="n"/>
      <c r="J142" s="112" t="n"/>
      <c r="K142" s="108" t="n"/>
      <c r="L142" s="72" t="n"/>
      <c r="M142" s="108" t="n"/>
      <c r="N142" s="72" t="n"/>
      <c r="O142" s="79">
        <f>IF(AND(F142&lt;&gt;"",L142&lt;&gt;"Resolved"),1,0)</f>
        <v/>
      </c>
      <c r="P142" s="79">
        <f>IF(F142="","",IF(O142=0,0,IF(H142="High",2,1)))</f>
        <v/>
      </c>
      <c r="Q142" s="111">
        <f>IF(O142=1,IF(K142&lt;&gt;"",K142,IF(H142="High",AsOf,"")),"")</f>
        <v/>
      </c>
      <c r="R142" s="79">
        <f>IF(Q142="","",IF(H142="High",1,IF(Q142="","",IF(Q142&lt;AsOf,1,IF(Q142&lt;=AsOf+AlertDays,2,IF(Q142&lt;=AsOf+2*AlertDays,3,""))))))</f>
        <v/>
      </c>
      <c r="S142" s="79">
        <f>IF(R142="","",IF(H142="High","High-severity issue: ",IF(C142="Punch item","Punch item: ","Issue action due: "))&amp;F142&amp;IF(J142="",""," → "&amp;J142))</f>
        <v/>
      </c>
      <c r="T142" s="79">
        <f>IF(O142=1,IF(I142="",0,I142),0)</f>
        <v/>
      </c>
      <c r="U142" s="79">
        <f>IF(AND(O142=1,H142="High"),1,0)</f>
        <v/>
      </c>
      <c r="V142" s="79">
        <f>IF(AND(O142=1,C142="Punch item"),1,0)</f>
        <v/>
      </c>
    </row>
    <row r="143" ht="24" customHeight="1">
      <c r="B143" s="125" t="n">
        <v>136</v>
      </c>
      <c r="C143" s="72" t="n"/>
      <c r="D143" s="108" t="n"/>
      <c r="E143" s="72" t="n"/>
      <c r="F143" s="112" t="n"/>
      <c r="G143" s="72" t="n"/>
      <c r="H143" s="74" t="n"/>
      <c r="I143" s="73" t="n"/>
      <c r="J143" s="112" t="n"/>
      <c r="K143" s="108" t="n"/>
      <c r="L143" s="72" t="n"/>
      <c r="M143" s="108" t="n"/>
      <c r="N143" s="72" t="n"/>
      <c r="O143" s="79">
        <f>IF(AND(F143&lt;&gt;"",L143&lt;&gt;"Resolved"),1,0)</f>
        <v/>
      </c>
      <c r="P143" s="79">
        <f>IF(F143="","",IF(O143=0,0,IF(H143="High",2,1)))</f>
        <v/>
      </c>
      <c r="Q143" s="111">
        <f>IF(O143=1,IF(K143&lt;&gt;"",K143,IF(H143="High",AsOf,"")),"")</f>
        <v/>
      </c>
      <c r="R143" s="79">
        <f>IF(Q143="","",IF(H143="High",1,IF(Q143="","",IF(Q143&lt;AsOf,1,IF(Q143&lt;=AsOf+AlertDays,2,IF(Q143&lt;=AsOf+2*AlertDays,3,""))))))</f>
        <v/>
      </c>
      <c r="S143" s="79">
        <f>IF(R143="","",IF(H143="High","High-severity issue: ",IF(C143="Punch item","Punch item: ","Issue action due: "))&amp;F143&amp;IF(J143="",""," → "&amp;J143))</f>
        <v/>
      </c>
      <c r="T143" s="79">
        <f>IF(O143=1,IF(I143="",0,I143),0)</f>
        <v/>
      </c>
      <c r="U143" s="79">
        <f>IF(AND(O143=1,H143="High"),1,0)</f>
        <v/>
      </c>
      <c r="V143" s="79">
        <f>IF(AND(O143=1,C143="Punch item"),1,0)</f>
        <v/>
      </c>
    </row>
    <row r="144" ht="24" customHeight="1">
      <c r="B144" s="125" t="n">
        <v>137</v>
      </c>
      <c r="C144" s="72" t="n"/>
      <c r="D144" s="108" t="n"/>
      <c r="E144" s="72" t="n"/>
      <c r="F144" s="112" t="n"/>
      <c r="G144" s="72" t="n"/>
      <c r="H144" s="74" t="n"/>
      <c r="I144" s="73" t="n"/>
      <c r="J144" s="112" t="n"/>
      <c r="K144" s="108" t="n"/>
      <c r="L144" s="72" t="n"/>
      <c r="M144" s="108" t="n"/>
      <c r="N144" s="72" t="n"/>
      <c r="O144" s="79">
        <f>IF(AND(F144&lt;&gt;"",L144&lt;&gt;"Resolved"),1,0)</f>
        <v/>
      </c>
      <c r="P144" s="79">
        <f>IF(F144="","",IF(O144=0,0,IF(H144="High",2,1)))</f>
        <v/>
      </c>
      <c r="Q144" s="111">
        <f>IF(O144=1,IF(K144&lt;&gt;"",K144,IF(H144="High",AsOf,"")),"")</f>
        <v/>
      </c>
      <c r="R144" s="79">
        <f>IF(Q144="","",IF(H144="High",1,IF(Q144="","",IF(Q144&lt;AsOf,1,IF(Q144&lt;=AsOf+AlertDays,2,IF(Q144&lt;=AsOf+2*AlertDays,3,""))))))</f>
        <v/>
      </c>
      <c r="S144" s="79">
        <f>IF(R144="","",IF(H144="High","High-severity issue: ",IF(C144="Punch item","Punch item: ","Issue action due: "))&amp;F144&amp;IF(J144="",""," → "&amp;J144))</f>
        <v/>
      </c>
      <c r="T144" s="79">
        <f>IF(O144=1,IF(I144="",0,I144),0)</f>
        <v/>
      </c>
      <c r="U144" s="79">
        <f>IF(AND(O144=1,H144="High"),1,0)</f>
        <v/>
      </c>
      <c r="V144" s="79">
        <f>IF(AND(O144=1,C144="Punch item"),1,0)</f>
        <v/>
      </c>
    </row>
    <row r="145" ht="24" customHeight="1">
      <c r="B145" s="125" t="n">
        <v>138</v>
      </c>
      <c r="C145" s="72" t="n"/>
      <c r="D145" s="108" t="n"/>
      <c r="E145" s="72" t="n"/>
      <c r="F145" s="112" t="n"/>
      <c r="G145" s="72" t="n"/>
      <c r="H145" s="74" t="n"/>
      <c r="I145" s="73" t="n"/>
      <c r="J145" s="112" t="n"/>
      <c r="K145" s="108" t="n"/>
      <c r="L145" s="72" t="n"/>
      <c r="M145" s="108" t="n"/>
      <c r="N145" s="72" t="n"/>
      <c r="O145" s="79">
        <f>IF(AND(F145&lt;&gt;"",L145&lt;&gt;"Resolved"),1,0)</f>
        <v/>
      </c>
      <c r="P145" s="79">
        <f>IF(F145="","",IF(O145=0,0,IF(H145="High",2,1)))</f>
        <v/>
      </c>
      <c r="Q145" s="111">
        <f>IF(O145=1,IF(K145&lt;&gt;"",K145,IF(H145="High",AsOf,"")),"")</f>
        <v/>
      </c>
      <c r="R145" s="79">
        <f>IF(Q145="","",IF(H145="High",1,IF(Q145="","",IF(Q145&lt;AsOf,1,IF(Q145&lt;=AsOf+AlertDays,2,IF(Q145&lt;=AsOf+2*AlertDays,3,""))))))</f>
        <v/>
      </c>
      <c r="S145" s="79">
        <f>IF(R145="","",IF(H145="High","High-severity issue: ",IF(C145="Punch item","Punch item: ","Issue action due: "))&amp;F145&amp;IF(J145="",""," → "&amp;J145))</f>
        <v/>
      </c>
      <c r="T145" s="79">
        <f>IF(O145=1,IF(I145="",0,I145),0)</f>
        <v/>
      </c>
      <c r="U145" s="79">
        <f>IF(AND(O145=1,H145="High"),1,0)</f>
        <v/>
      </c>
      <c r="V145" s="79">
        <f>IF(AND(O145=1,C145="Punch item"),1,0)</f>
        <v/>
      </c>
    </row>
    <row r="146" ht="24" customHeight="1">
      <c r="B146" s="125" t="n">
        <v>139</v>
      </c>
      <c r="C146" s="72" t="n"/>
      <c r="D146" s="108" t="n"/>
      <c r="E146" s="72" t="n"/>
      <c r="F146" s="112" t="n"/>
      <c r="G146" s="72" t="n"/>
      <c r="H146" s="74" t="n"/>
      <c r="I146" s="73" t="n"/>
      <c r="J146" s="112" t="n"/>
      <c r="K146" s="108" t="n"/>
      <c r="L146" s="72" t="n"/>
      <c r="M146" s="108" t="n"/>
      <c r="N146" s="72" t="n"/>
      <c r="O146" s="79">
        <f>IF(AND(F146&lt;&gt;"",L146&lt;&gt;"Resolved"),1,0)</f>
        <v/>
      </c>
      <c r="P146" s="79">
        <f>IF(F146="","",IF(O146=0,0,IF(H146="High",2,1)))</f>
        <v/>
      </c>
      <c r="Q146" s="111">
        <f>IF(O146=1,IF(K146&lt;&gt;"",K146,IF(H146="High",AsOf,"")),"")</f>
        <v/>
      </c>
      <c r="R146" s="79">
        <f>IF(Q146="","",IF(H146="High",1,IF(Q146="","",IF(Q146&lt;AsOf,1,IF(Q146&lt;=AsOf+AlertDays,2,IF(Q146&lt;=AsOf+2*AlertDays,3,""))))))</f>
        <v/>
      </c>
      <c r="S146" s="79">
        <f>IF(R146="","",IF(H146="High","High-severity issue: ",IF(C146="Punch item","Punch item: ","Issue action due: "))&amp;F146&amp;IF(J146="",""," → "&amp;J146))</f>
        <v/>
      </c>
      <c r="T146" s="79">
        <f>IF(O146=1,IF(I146="",0,I146),0)</f>
        <v/>
      </c>
      <c r="U146" s="79">
        <f>IF(AND(O146=1,H146="High"),1,0)</f>
        <v/>
      </c>
      <c r="V146" s="79">
        <f>IF(AND(O146=1,C146="Punch item"),1,0)</f>
        <v/>
      </c>
    </row>
    <row r="147" ht="24" customHeight="1">
      <c r="B147" s="125" t="n">
        <v>140</v>
      </c>
      <c r="C147" s="72" t="n"/>
      <c r="D147" s="108" t="n"/>
      <c r="E147" s="72" t="n"/>
      <c r="F147" s="112" t="n"/>
      <c r="G147" s="72" t="n"/>
      <c r="H147" s="74" t="n"/>
      <c r="I147" s="73" t="n"/>
      <c r="J147" s="112" t="n"/>
      <c r="K147" s="108" t="n"/>
      <c r="L147" s="72" t="n"/>
      <c r="M147" s="108" t="n"/>
      <c r="N147" s="72" t="n"/>
      <c r="O147" s="79">
        <f>IF(AND(F147&lt;&gt;"",L147&lt;&gt;"Resolved"),1,0)</f>
        <v/>
      </c>
      <c r="P147" s="79">
        <f>IF(F147="","",IF(O147=0,0,IF(H147="High",2,1)))</f>
        <v/>
      </c>
      <c r="Q147" s="111">
        <f>IF(O147=1,IF(K147&lt;&gt;"",K147,IF(H147="High",AsOf,"")),"")</f>
        <v/>
      </c>
      <c r="R147" s="79">
        <f>IF(Q147="","",IF(H147="High",1,IF(Q147="","",IF(Q147&lt;AsOf,1,IF(Q147&lt;=AsOf+AlertDays,2,IF(Q147&lt;=AsOf+2*AlertDays,3,""))))))</f>
        <v/>
      </c>
      <c r="S147" s="79">
        <f>IF(R147="","",IF(H147="High","High-severity issue: ",IF(C147="Punch item","Punch item: ","Issue action due: "))&amp;F147&amp;IF(J147="",""," → "&amp;J147))</f>
        <v/>
      </c>
      <c r="T147" s="79">
        <f>IF(O147=1,IF(I147="",0,I147),0)</f>
        <v/>
      </c>
      <c r="U147" s="79">
        <f>IF(AND(O147=1,H147="High"),1,0)</f>
        <v/>
      </c>
      <c r="V147" s="79">
        <f>IF(AND(O147=1,C147="Punch item"),1,0)</f>
        <v/>
      </c>
    </row>
    <row r="148" ht="24" customHeight="1">
      <c r="B148" s="125" t="n">
        <v>141</v>
      </c>
      <c r="C148" s="72" t="n"/>
      <c r="D148" s="108" t="n"/>
      <c r="E148" s="72" t="n"/>
      <c r="F148" s="112" t="n"/>
      <c r="G148" s="72" t="n"/>
      <c r="H148" s="74" t="n"/>
      <c r="I148" s="73" t="n"/>
      <c r="J148" s="112" t="n"/>
      <c r="K148" s="108" t="n"/>
      <c r="L148" s="72" t="n"/>
      <c r="M148" s="108" t="n"/>
      <c r="N148" s="72" t="n"/>
      <c r="O148" s="79">
        <f>IF(AND(F148&lt;&gt;"",L148&lt;&gt;"Resolved"),1,0)</f>
        <v/>
      </c>
      <c r="P148" s="79">
        <f>IF(F148="","",IF(O148=0,0,IF(H148="High",2,1)))</f>
        <v/>
      </c>
      <c r="Q148" s="111">
        <f>IF(O148=1,IF(K148&lt;&gt;"",K148,IF(H148="High",AsOf,"")),"")</f>
        <v/>
      </c>
      <c r="R148" s="79">
        <f>IF(Q148="","",IF(H148="High",1,IF(Q148="","",IF(Q148&lt;AsOf,1,IF(Q148&lt;=AsOf+AlertDays,2,IF(Q148&lt;=AsOf+2*AlertDays,3,""))))))</f>
        <v/>
      </c>
      <c r="S148" s="79">
        <f>IF(R148="","",IF(H148="High","High-severity issue: ",IF(C148="Punch item","Punch item: ","Issue action due: "))&amp;F148&amp;IF(J148="",""," → "&amp;J148))</f>
        <v/>
      </c>
      <c r="T148" s="79">
        <f>IF(O148=1,IF(I148="",0,I148),0)</f>
        <v/>
      </c>
      <c r="U148" s="79">
        <f>IF(AND(O148=1,H148="High"),1,0)</f>
        <v/>
      </c>
      <c r="V148" s="79">
        <f>IF(AND(O148=1,C148="Punch item"),1,0)</f>
        <v/>
      </c>
    </row>
    <row r="149" ht="24" customHeight="1">
      <c r="B149" s="125" t="n">
        <v>142</v>
      </c>
      <c r="C149" s="72" t="n"/>
      <c r="D149" s="108" t="n"/>
      <c r="E149" s="72" t="n"/>
      <c r="F149" s="112" t="n"/>
      <c r="G149" s="72" t="n"/>
      <c r="H149" s="74" t="n"/>
      <c r="I149" s="73" t="n"/>
      <c r="J149" s="112" t="n"/>
      <c r="K149" s="108" t="n"/>
      <c r="L149" s="72" t="n"/>
      <c r="M149" s="108" t="n"/>
      <c r="N149" s="72" t="n"/>
      <c r="O149" s="79">
        <f>IF(AND(F149&lt;&gt;"",L149&lt;&gt;"Resolved"),1,0)</f>
        <v/>
      </c>
      <c r="P149" s="79">
        <f>IF(F149="","",IF(O149=0,0,IF(H149="High",2,1)))</f>
        <v/>
      </c>
      <c r="Q149" s="111">
        <f>IF(O149=1,IF(K149&lt;&gt;"",K149,IF(H149="High",AsOf,"")),"")</f>
        <v/>
      </c>
      <c r="R149" s="79">
        <f>IF(Q149="","",IF(H149="High",1,IF(Q149="","",IF(Q149&lt;AsOf,1,IF(Q149&lt;=AsOf+AlertDays,2,IF(Q149&lt;=AsOf+2*AlertDays,3,""))))))</f>
        <v/>
      </c>
      <c r="S149" s="79">
        <f>IF(R149="","",IF(H149="High","High-severity issue: ",IF(C149="Punch item","Punch item: ","Issue action due: "))&amp;F149&amp;IF(J149="",""," → "&amp;J149))</f>
        <v/>
      </c>
      <c r="T149" s="79">
        <f>IF(O149=1,IF(I149="",0,I149),0)</f>
        <v/>
      </c>
      <c r="U149" s="79">
        <f>IF(AND(O149=1,H149="High"),1,0)</f>
        <v/>
      </c>
      <c r="V149" s="79">
        <f>IF(AND(O149=1,C149="Punch item"),1,0)</f>
        <v/>
      </c>
    </row>
    <row r="150" ht="24" customHeight="1">
      <c r="B150" s="125" t="n">
        <v>143</v>
      </c>
      <c r="C150" s="72" t="n"/>
      <c r="D150" s="108" t="n"/>
      <c r="E150" s="72" t="n"/>
      <c r="F150" s="112" t="n"/>
      <c r="G150" s="72" t="n"/>
      <c r="H150" s="74" t="n"/>
      <c r="I150" s="73" t="n"/>
      <c r="J150" s="112" t="n"/>
      <c r="K150" s="108" t="n"/>
      <c r="L150" s="72" t="n"/>
      <c r="M150" s="108" t="n"/>
      <c r="N150" s="72" t="n"/>
      <c r="O150" s="79">
        <f>IF(AND(F150&lt;&gt;"",L150&lt;&gt;"Resolved"),1,0)</f>
        <v/>
      </c>
      <c r="P150" s="79">
        <f>IF(F150="","",IF(O150=0,0,IF(H150="High",2,1)))</f>
        <v/>
      </c>
      <c r="Q150" s="111">
        <f>IF(O150=1,IF(K150&lt;&gt;"",K150,IF(H150="High",AsOf,"")),"")</f>
        <v/>
      </c>
      <c r="R150" s="79">
        <f>IF(Q150="","",IF(H150="High",1,IF(Q150="","",IF(Q150&lt;AsOf,1,IF(Q150&lt;=AsOf+AlertDays,2,IF(Q150&lt;=AsOf+2*AlertDays,3,""))))))</f>
        <v/>
      </c>
      <c r="S150" s="79">
        <f>IF(R150="","",IF(H150="High","High-severity issue: ",IF(C150="Punch item","Punch item: ","Issue action due: "))&amp;F150&amp;IF(J150="",""," → "&amp;J150))</f>
        <v/>
      </c>
      <c r="T150" s="79">
        <f>IF(O150=1,IF(I150="",0,I150),0)</f>
        <v/>
      </c>
      <c r="U150" s="79">
        <f>IF(AND(O150=1,H150="High"),1,0)</f>
        <v/>
      </c>
      <c r="V150" s="79">
        <f>IF(AND(O150=1,C150="Punch item"),1,0)</f>
        <v/>
      </c>
    </row>
    <row r="151" ht="24" customHeight="1">
      <c r="B151" s="125" t="n">
        <v>144</v>
      </c>
      <c r="C151" s="72" t="n"/>
      <c r="D151" s="108" t="n"/>
      <c r="E151" s="72" t="n"/>
      <c r="F151" s="112" t="n"/>
      <c r="G151" s="72" t="n"/>
      <c r="H151" s="74" t="n"/>
      <c r="I151" s="73" t="n"/>
      <c r="J151" s="112" t="n"/>
      <c r="K151" s="108" t="n"/>
      <c r="L151" s="72" t="n"/>
      <c r="M151" s="108" t="n"/>
      <c r="N151" s="72" t="n"/>
      <c r="O151" s="79">
        <f>IF(AND(F151&lt;&gt;"",L151&lt;&gt;"Resolved"),1,0)</f>
        <v/>
      </c>
      <c r="P151" s="79">
        <f>IF(F151="","",IF(O151=0,0,IF(H151="High",2,1)))</f>
        <v/>
      </c>
      <c r="Q151" s="111">
        <f>IF(O151=1,IF(K151&lt;&gt;"",K151,IF(H151="High",AsOf,"")),"")</f>
        <v/>
      </c>
      <c r="R151" s="79">
        <f>IF(Q151="","",IF(H151="High",1,IF(Q151="","",IF(Q151&lt;AsOf,1,IF(Q151&lt;=AsOf+AlertDays,2,IF(Q151&lt;=AsOf+2*AlertDays,3,""))))))</f>
        <v/>
      </c>
      <c r="S151" s="79">
        <f>IF(R151="","",IF(H151="High","High-severity issue: ",IF(C151="Punch item","Punch item: ","Issue action due: "))&amp;F151&amp;IF(J151="",""," → "&amp;J151))</f>
        <v/>
      </c>
      <c r="T151" s="79">
        <f>IF(O151=1,IF(I151="",0,I151),0)</f>
        <v/>
      </c>
      <c r="U151" s="79">
        <f>IF(AND(O151=1,H151="High"),1,0)</f>
        <v/>
      </c>
      <c r="V151" s="79">
        <f>IF(AND(O151=1,C151="Punch item"),1,0)</f>
        <v/>
      </c>
    </row>
    <row r="152" ht="24" customHeight="1">
      <c r="B152" s="125" t="n">
        <v>145</v>
      </c>
      <c r="C152" s="72" t="n"/>
      <c r="D152" s="108" t="n"/>
      <c r="E152" s="72" t="n"/>
      <c r="F152" s="112" t="n"/>
      <c r="G152" s="72" t="n"/>
      <c r="H152" s="74" t="n"/>
      <c r="I152" s="73" t="n"/>
      <c r="J152" s="112" t="n"/>
      <c r="K152" s="108" t="n"/>
      <c r="L152" s="72" t="n"/>
      <c r="M152" s="108" t="n"/>
      <c r="N152" s="72" t="n"/>
      <c r="O152" s="79">
        <f>IF(AND(F152&lt;&gt;"",L152&lt;&gt;"Resolved"),1,0)</f>
        <v/>
      </c>
      <c r="P152" s="79">
        <f>IF(F152="","",IF(O152=0,0,IF(H152="High",2,1)))</f>
        <v/>
      </c>
      <c r="Q152" s="111">
        <f>IF(O152=1,IF(K152&lt;&gt;"",K152,IF(H152="High",AsOf,"")),"")</f>
        <v/>
      </c>
      <c r="R152" s="79">
        <f>IF(Q152="","",IF(H152="High",1,IF(Q152="","",IF(Q152&lt;AsOf,1,IF(Q152&lt;=AsOf+AlertDays,2,IF(Q152&lt;=AsOf+2*AlertDays,3,""))))))</f>
        <v/>
      </c>
      <c r="S152" s="79">
        <f>IF(R152="","",IF(H152="High","High-severity issue: ",IF(C152="Punch item","Punch item: ","Issue action due: "))&amp;F152&amp;IF(J152="",""," → "&amp;J152))</f>
        <v/>
      </c>
      <c r="T152" s="79">
        <f>IF(O152=1,IF(I152="",0,I152),0)</f>
        <v/>
      </c>
      <c r="U152" s="79">
        <f>IF(AND(O152=1,H152="High"),1,0)</f>
        <v/>
      </c>
      <c r="V152" s="79">
        <f>IF(AND(O152=1,C152="Punch item"),1,0)</f>
        <v/>
      </c>
    </row>
    <row r="153" ht="24" customHeight="1">
      <c r="B153" s="125" t="n">
        <v>146</v>
      </c>
      <c r="C153" s="72" t="n"/>
      <c r="D153" s="108" t="n"/>
      <c r="E153" s="72" t="n"/>
      <c r="F153" s="112" t="n"/>
      <c r="G153" s="72" t="n"/>
      <c r="H153" s="74" t="n"/>
      <c r="I153" s="73" t="n"/>
      <c r="J153" s="112" t="n"/>
      <c r="K153" s="108" t="n"/>
      <c r="L153" s="72" t="n"/>
      <c r="M153" s="108" t="n"/>
      <c r="N153" s="72" t="n"/>
      <c r="O153" s="79">
        <f>IF(AND(F153&lt;&gt;"",L153&lt;&gt;"Resolved"),1,0)</f>
        <v/>
      </c>
      <c r="P153" s="79">
        <f>IF(F153="","",IF(O153=0,0,IF(H153="High",2,1)))</f>
        <v/>
      </c>
      <c r="Q153" s="111">
        <f>IF(O153=1,IF(K153&lt;&gt;"",K153,IF(H153="High",AsOf,"")),"")</f>
        <v/>
      </c>
      <c r="R153" s="79">
        <f>IF(Q153="","",IF(H153="High",1,IF(Q153="","",IF(Q153&lt;AsOf,1,IF(Q153&lt;=AsOf+AlertDays,2,IF(Q153&lt;=AsOf+2*AlertDays,3,""))))))</f>
        <v/>
      </c>
      <c r="S153" s="79">
        <f>IF(R153="","",IF(H153="High","High-severity issue: ",IF(C153="Punch item","Punch item: ","Issue action due: "))&amp;F153&amp;IF(J153="",""," → "&amp;J153))</f>
        <v/>
      </c>
      <c r="T153" s="79">
        <f>IF(O153=1,IF(I153="",0,I153),0)</f>
        <v/>
      </c>
      <c r="U153" s="79">
        <f>IF(AND(O153=1,H153="High"),1,0)</f>
        <v/>
      </c>
      <c r="V153" s="79">
        <f>IF(AND(O153=1,C153="Punch item"),1,0)</f>
        <v/>
      </c>
    </row>
    <row r="154" ht="24" customHeight="1">
      <c r="B154" s="125" t="n">
        <v>147</v>
      </c>
      <c r="C154" s="72" t="n"/>
      <c r="D154" s="108" t="n"/>
      <c r="E154" s="72" t="n"/>
      <c r="F154" s="112" t="n"/>
      <c r="G154" s="72" t="n"/>
      <c r="H154" s="74" t="n"/>
      <c r="I154" s="73" t="n"/>
      <c r="J154" s="112" t="n"/>
      <c r="K154" s="108" t="n"/>
      <c r="L154" s="72" t="n"/>
      <c r="M154" s="108" t="n"/>
      <c r="N154" s="72" t="n"/>
      <c r="O154" s="79">
        <f>IF(AND(F154&lt;&gt;"",L154&lt;&gt;"Resolved"),1,0)</f>
        <v/>
      </c>
      <c r="P154" s="79">
        <f>IF(F154="","",IF(O154=0,0,IF(H154="High",2,1)))</f>
        <v/>
      </c>
      <c r="Q154" s="111">
        <f>IF(O154=1,IF(K154&lt;&gt;"",K154,IF(H154="High",AsOf,"")),"")</f>
        <v/>
      </c>
      <c r="R154" s="79">
        <f>IF(Q154="","",IF(H154="High",1,IF(Q154="","",IF(Q154&lt;AsOf,1,IF(Q154&lt;=AsOf+AlertDays,2,IF(Q154&lt;=AsOf+2*AlertDays,3,""))))))</f>
        <v/>
      </c>
      <c r="S154" s="79">
        <f>IF(R154="","",IF(H154="High","High-severity issue: ",IF(C154="Punch item","Punch item: ","Issue action due: "))&amp;F154&amp;IF(J154="",""," → "&amp;J154))</f>
        <v/>
      </c>
      <c r="T154" s="79">
        <f>IF(O154=1,IF(I154="",0,I154),0)</f>
        <v/>
      </c>
      <c r="U154" s="79">
        <f>IF(AND(O154=1,H154="High"),1,0)</f>
        <v/>
      </c>
      <c r="V154" s="79">
        <f>IF(AND(O154=1,C154="Punch item"),1,0)</f>
        <v/>
      </c>
    </row>
    <row r="155" ht="24" customHeight="1">
      <c r="B155" s="125" t="n">
        <v>148</v>
      </c>
      <c r="C155" s="72" t="n"/>
      <c r="D155" s="108" t="n"/>
      <c r="E155" s="72" t="n"/>
      <c r="F155" s="112" t="n"/>
      <c r="G155" s="72" t="n"/>
      <c r="H155" s="74" t="n"/>
      <c r="I155" s="73" t="n"/>
      <c r="J155" s="112" t="n"/>
      <c r="K155" s="108" t="n"/>
      <c r="L155" s="72" t="n"/>
      <c r="M155" s="108" t="n"/>
      <c r="N155" s="72" t="n"/>
      <c r="O155" s="79">
        <f>IF(AND(F155&lt;&gt;"",L155&lt;&gt;"Resolved"),1,0)</f>
        <v/>
      </c>
      <c r="P155" s="79">
        <f>IF(F155="","",IF(O155=0,0,IF(H155="High",2,1)))</f>
        <v/>
      </c>
      <c r="Q155" s="111">
        <f>IF(O155=1,IF(K155&lt;&gt;"",K155,IF(H155="High",AsOf,"")),"")</f>
        <v/>
      </c>
      <c r="R155" s="79">
        <f>IF(Q155="","",IF(H155="High",1,IF(Q155="","",IF(Q155&lt;AsOf,1,IF(Q155&lt;=AsOf+AlertDays,2,IF(Q155&lt;=AsOf+2*AlertDays,3,""))))))</f>
        <v/>
      </c>
      <c r="S155" s="79">
        <f>IF(R155="","",IF(H155="High","High-severity issue: ",IF(C155="Punch item","Punch item: ","Issue action due: "))&amp;F155&amp;IF(J155="",""," → "&amp;J155))</f>
        <v/>
      </c>
      <c r="T155" s="79">
        <f>IF(O155=1,IF(I155="",0,I155),0)</f>
        <v/>
      </c>
      <c r="U155" s="79">
        <f>IF(AND(O155=1,H155="High"),1,0)</f>
        <v/>
      </c>
      <c r="V155" s="79">
        <f>IF(AND(O155=1,C155="Punch item"),1,0)</f>
        <v/>
      </c>
    </row>
    <row r="156" ht="24" customHeight="1">
      <c r="B156" s="125" t="n">
        <v>149</v>
      </c>
      <c r="C156" s="72" t="n"/>
      <c r="D156" s="108" t="n"/>
      <c r="E156" s="72" t="n"/>
      <c r="F156" s="112" t="n"/>
      <c r="G156" s="72" t="n"/>
      <c r="H156" s="74" t="n"/>
      <c r="I156" s="73" t="n"/>
      <c r="J156" s="112" t="n"/>
      <c r="K156" s="108" t="n"/>
      <c r="L156" s="72" t="n"/>
      <c r="M156" s="108" t="n"/>
      <c r="N156" s="72" t="n"/>
      <c r="O156" s="79">
        <f>IF(AND(F156&lt;&gt;"",L156&lt;&gt;"Resolved"),1,0)</f>
        <v/>
      </c>
      <c r="P156" s="79">
        <f>IF(F156="","",IF(O156=0,0,IF(H156="High",2,1)))</f>
        <v/>
      </c>
      <c r="Q156" s="111">
        <f>IF(O156=1,IF(K156&lt;&gt;"",K156,IF(H156="High",AsOf,"")),"")</f>
        <v/>
      </c>
      <c r="R156" s="79">
        <f>IF(Q156="","",IF(H156="High",1,IF(Q156="","",IF(Q156&lt;AsOf,1,IF(Q156&lt;=AsOf+AlertDays,2,IF(Q156&lt;=AsOf+2*AlertDays,3,""))))))</f>
        <v/>
      </c>
      <c r="S156" s="79">
        <f>IF(R156="","",IF(H156="High","High-severity issue: ",IF(C156="Punch item","Punch item: ","Issue action due: "))&amp;F156&amp;IF(J156="",""," → "&amp;J156))</f>
        <v/>
      </c>
      <c r="T156" s="79">
        <f>IF(O156=1,IF(I156="",0,I156),0)</f>
        <v/>
      </c>
      <c r="U156" s="79">
        <f>IF(AND(O156=1,H156="High"),1,0)</f>
        <v/>
      </c>
      <c r="V156" s="79">
        <f>IF(AND(O156=1,C156="Punch item"),1,0)</f>
        <v/>
      </c>
    </row>
    <row r="157" ht="24" customHeight="1">
      <c r="B157" s="125" t="n">
        <v>150</v>
      </c>
      <c r="C157" s="72" t="n"/>
      <c r="D157" s="108" t="n"/>
      <c r="E157" s="72" t="n"/>
      <c r="F157" s="112" t="n"/>
      <c r="G157" s="72" t="n"/>
      <c r="H157" s="74" t="n"/>
      <c r="I157" s="73" t="n"/>
      <c r="J157" s="112" t="n"/>
      <c r="K157" s="108" t="n"/>
      <c r="L157" s="72" t="n"/>
      <c r="M157" s="108" t="n"/>
      <c r="N157" s="72" t="n"/>
      <c r="O157" s="79">
        <f>IF(AND(F157&lt;&gt;"",L157&lt;&gt;"Resolved"),1,0)</f>
        <v/>
      </c>
      <c r="P157" s="79">
        <f>IF(F157="","",IF(O157=0,0,IF(H157="High",2,1)))</f>
        <v/>
      </c>
      <c r="Q157" s="111">
        <f>IF(O157=1,IF(K157&lt;&gt;"",K157,IF(H157="High",AsOf,"")),"")</f>
        <v/>
      </c>
      <c r="R157" s="79">
        <f>IF(Q157="","",IF(H157="High",1,IF(Q157="","",IF(Q157&lt;AsOf,1,IF(Q157&lt;=AsOf+AlertDays,2,IF(Q157&lt;=AsOf+2*AlertDays,3,""))))))</f>
        <v/>
      </c>
      <c r="S157" s="79">
        <f>IF(R157="","",IF(H157="High","High-severity issue: ",IF(C157="Punch item","Punch item: ","Issue action due: "))&amp;F157&amp;IF(J157="",""," → "&amp;J157))</f>
        <v/>
      </c>
      <c r="T157" s="79">
        <f>IF(O157=1,IF(I157="",0,I157),0)</f>
        <v/>
      </c>
      <c r="U157" s="79">
        <f>IF(AND(O157=1,H157="High"),1,0)</f>
        <v/>
      </c>
      <c r="V157" s="79">
        <f>IF(AND(O157=1,C157="Punch item"),1,0)</f>
        <v/>
      </c>
    </row>
    <row r="158" ht="24" customHeight="1">
      <c r="B158" s="125" t="n">
        <v>151</v>
      </c>
      <c r="C158" s="72" t="n"/>
      <c r="D158" s="108" t="n"/>
      <c r="E158" s="72" t="n"/>
      <c r="F158" s="112" t="n"/>
      <c r="G158" s="72" t="n"/>
      <c r="H158" s="74" t="n"/>
      <c r="I158" s="73" t="n"/>
      <c r="J158" s="112" t="n"/>
      <c r="K158" s="108" t="n"/>
      <c r="L158" s="72" t="n"/>
      <c r="M158" s="108" t="n"/>
      <c r="N158" s="72" t="n"/>
      <c r="O158" s="79">
        <f>IF(AND(F158&lt;&gt;"",L158&lt;&gt;"Resolved"),1,0)</f>
        <v/>
      </c>
      <c r="P158" s="79">
        <f>IF(F158="","",IF(O158=0,0,IF(H158="High",2,1)))</f>
        <v/>
      </c>
      <c r="Q158" s="111">
        <f>IF(O158=1,IF(K158&lt;&gt;"",K158,IF(H158="High",AsOf,"")),"")</f>
        <v/>
      </c>
      <c r="R158" s="79">
        <f>IF(Q158="","",IF(H158="High",1,IF(Q158="","",IF(Q158&lt;AsOf,1,IF(Q158&lt;=AsOf+AlertDays,2,IF(Q158&lt;=AsOf+2*AlertDays,3,""))))))</f>
        <v/>
      </c>
      <c r="S158" s="79">
        <f>IF(R158="","",IF(H158="High","High-severity issue: ",IF(C158="Punch item","Punch item: ","Issue action due: "))&amp;F158&amp;IF(J158="",""," → "&amp;J158))</f>
        <v/>
      </c>
      <c r="T158" s="79">
        <f>IF(O158=1,IF(I158="",0,I158),0)</f>
        <v/>
      </c>
      <c r="U158" s="79">
        <f>IF(AND(O158=1,H158="High"),1,0)</f>
        <v/>
      </c>
      <c r="V158" s="79">
        <f>IF(AND(O158=1,C158="Punch item"),1,0)</f>
        <v/>
      </c>
    </row>
    <row r="159" ht="24" customHeight="1">
      <c r="B159" s="125" t="n">
        <v>152</v>
      </c>
      <c r="C159" s="72" t="n"/>
      <c r="D159" s="108" t="n"/>
      <c r="E159" s="72" t="n"/>
      <c r="F159" s="112" t="n"/>
      <c r="G159" s="72" t="n"/>
      <c r="H159" s="74" t="n"/>
      <c r="I159" s="73" t="n"/>
      <c r="J159" s="112" t="n"/>
      <c r="K159" s="108" t="n"/>
      <c r="L159" s="72" t="n"/>
      <c r="M159" s="108" t="n"/>
      <c r="N159" s="72" t="n"/>
      <c r="O159" s="79">
        <f>IF(AND(F159&lt;&gt;"",L159&lt;&gt;"Resolved"),1,0)</f>
        <v/>
      </c>
      <c r="P159" s="79">
        <f>IF(F159="","",IF(O159=0,0,IF(H159="High",2,1)))</f>
        <v/>
      </c>
      <c r="Q159" s="111">
        <f>IF(O159=1,IF(K159&lt;&gt;"",K159,IF(H159="High",AsOf,"")),"")</f>
        <v/>
      </c>
      <c r="R159" s="79">
        <f>IF(Q159="","",IF(H159="High",1,IF(Q159="","",IF(Q159&lt;AsOf,1,IF(Q159&lt;=AsOf+AlertDays,2,IF(Q159&lt;=AsOf+2*AlertDays,3,""))))))</f>
        <v/>
      </c>
      <c r="S159" s="79">
        <f>IF(R159="","",IF(H159="High","High-severity issue: ",IF(C159="Punch item","Punch item: ","Issue action due: "))&amp;F159&amp;IF(J159="",""," → "&amp;J159))</f>
        <v/>
      </c>
      <c r="T159" s="79">
        <f>IF(O159=1,IF(I159="",0,I159),0)</f>
        <v/>
      </c>
      <c r="U159" s="79">
        <f>IF(AND(O159=1,H159="High"),1,0)</f>
        <v/>
      </c>
      <c r="V159" s="79">
        <f>IF(AND(O159=1,C159="Punch item"),1,0)</f>
        <v/>
      </c>
    </row>
    <row r="160" ht="24" customHeight="1">
      <c r="B160" s="125" t="n">
        <v>153</v>
      </c>
      <c r="C160" s="72" t="n"/>
      <c r="D160" s="108" t="n"/>
      <c r="E160" s="72" t="n"/>
      <c r="F160" s="112" t="n"/>
      <c r="G160" s="72" t="n"/>
      <c r="H160" s="74" t="n"/>
      <c r="I160" s="73" t="n"/>
      <c r="J160" s="112" t="n"/>
      <c r="K160" s="108" t="n"/>
      <c r="L160" s="72" t="n"/>
      <c r="M160" s="108" t="n"/>
      <c r="N160" s="72" t="n"/>
      <c r="O160" s="79">
        <f>IF(AND(F160&lt;&gt;"",L160&lt;&gt;"Resolved"),1,0)</f>
        <v/>
      </c>
      <c r="P160" s="79">
        <f>IF(F160="","",IF(O160=0,0,IF(H160="High",2,1)))</f>
        <v/>
      </c>
      <c r="Q160" s="111">
        <f>IF(O160=1,IF(K160&lt;&gt;"",K160,IF(H160="High",AsOf,"")),"")</f>
        <v/>
      </c>
      <c r="R160" s="79">
        <f>IF(Q160="","",IF(H160="High",1,IF(Q160="","",IF(Q160&lt;AsOf,1,IF(Q160&lt;=AsOf+AlertDays,2,IF(Q160&lt;=AsOf+2*AlertDays,3,""))))))</f>
        <v/>
      </c>
      <c r="S160" s="79">
        <f>IF(R160="","",IF(H160="High","High-severity issue: ",IF(C160="Punch item","Punch item: ","Issue action due: "))&amp;F160&amp;IF(J160="",""," → "&amp;J160))</f>
        <v/>
      </c>
      <c r="T160" s="79">
        <f>IF(O160=1,IF(I160="",0,I160),0)</f>
        <v/>
      </c>
      <c r="U160" s="79">
        <f>IF(AND(O160=1,H160="High"),1,0)</f>
        <v/>
      </c>
      <c r="V160" s="79">
        <f>IF(AND(O160=1,C160="Punch item"),1,0)</f>
        <v/>
      </c>
    </row>
    <row r="161" ht="24" customHeight="1">
      <c r="B161" s="125" t="n">
        <v>154</v>
      </c>
      <c r="C161" s="72" t="n"/>
      <c r="D161" s="108" t="n"/>
      <c r="E161" s="72" t="n"/>
      <c r="F161" s="112" t="n"/>
      <c r="G161" s="72" t="n"/>
      <c r="H161" s="74" t="n"/>
      <c r="I161" s="73" t="n"/>
      <c r="J161" s="112" t="n"/>
      <c r="K161" s="108" t="n"/>
      <c r="L161" s="72" t="n"/>
      <c r="M161" s="108" t="n"/>
      <c r="N161" s="72" t="n"/>
      <c r="O161" s="79">
        <f>IF(AND(F161&lt;&gt;"",L161&lt;&gt;"Resolved"),1,0)</f>
        <v/>
      </c>
      <c r="P161" s="79">
        <f>IF(F161="","",IF(O161=0,0,IF(H161="High",2,1)))</f>
        <v/>
      </c>
      <c r="Q161" s="111">
        <f>IF(O161=1,IF(K161&lt;&gt;"",K161,IF(H161="High",AsOf,"")),"")</f>
        <v/>
      </c>
      <c r="R161" s="79">
        <f>IF(Q161="","",IF(H161="High",1,IF(Q161="","",IF(Q161&lt;AsOf,1,IF(Q161&lt;=AsOf+AlertDays,2,IF(Q161&lt;=AsOf+2*AlertDays,3,""))))))</f>
        <v/>
      </c>
      <c r="S161" s="79">
        <f>IF(R161="","",IF(H161="High","High-severity issue: ",IF(C161="Punch item","Punch item: ","Issue action due: "))&amp;F161&amp;IF(J161="",""," → "&amp;J161))</f>
        <v/>
      </c>
      <c r="T161" s="79">
        <f>IF(O161=1,IF(I161="",0,I161),0)</f>
        <v/>
      </c>
      <c r="U161" s="79">
        <f>IF(AND(O161=1,H161="High"),1,0)</f>
        <v/>
      </c>
      <c r="V161" s="79">
        <f>IF(AND(O161=1,C161="Punch item"),1,0)</f>
        <v/>
      </c>
    </row>
    <row r="162" ht="24" customHeight="1">
      <c r="B162" s="125" t="n">
        <v>155</v>
      </c>
      <c r="C162" s="72" t="n"/>
      <c r="D162" s="108" t="n"/>
      <c r="E162" s="72" t="n"/>
      <c r="F162" s="112" t="n"/>
      <c r="G162" s="72" t="n"/>
      <c r="H162" s="74" t="n"/>
      <c r="I162" s="73" t="n"/>
      <c r="J162" s="112" t="n"/>
      <c r="K162" s="108" t="n"/>
      <c r="L162" s="72" t="n"/>
      <c r="M162" s="108" t="n"/>
      <c r="N162" s="72" t="n"/>
      <c r="O162" s="79">
        <f>IF(AND(F162&lt;&gt;"",L162&lt;&gt;"Resolved"),1,0)</f>
        <v/>
      </c>
      <c r="P162" s="79">
        <f>IF(F162="","",IF(O162=0,0,IF(H162="High",2,1)))</f>
        <v/>
      </c>
      <c r="Q162" s="111">
        <f>IF(O162=1,IF(K162&lt;&gt;"",K162,IF(H162="High",AsOf,"")),"")</f>
        <v/>
      </c>
      <c r="R162" s="79">
        <f>IF(Q162="","",IF(H162="High",1,IF(Q162="","",IF(Q162&lt;AsOf,1,IF(Q162&lt;=AsOf+AlertDays,2,IF(Q162&lt;=AsOf+2*AlertDays,3,""))))))</f>
        <v/>
      </c>
      <c r="S162" s="79">
        <f>IF(R162="","",IF(H162="High","High-severity issue: ",IF(C162="Punch item","Punch item: ","Issue action due: "))&amp;F162&amp;IF(J162="",""," → "&amp;J162))</f>
        <v/>
      </c>
      <c r="T162" s="79">
        <f>IF(O162=1,IF(I162="",0,I162),0)</f>
        <v/>
      </c>
      <c r="U162" s="79">
        <f>IF(AND(O162=1,H162="High"),1,0)</f>
        <v/>
      </c>
      <c r="V162" s="79">
        <f>IF(AND(O162=1,C162="Punch item"),1,0)</f>
        <v/>
      </c>
    </row>
    <row r="163" ht="24" customHeight="1">
      <c r="B163" s="125" t="n">
        <v>156</v>
      </c>
      <c r="C163" s="72" t="n"/>
      <c r="D163" s="108" t="n"/>
      <c r="E163" s="72" t="n"/>
      <c r="F163" s="112" t="n"/>
      <c r="G163" s="72" t="n"/>
      <c r="H163" s="74" t="n"/>
      <c r="I163" s="73" t="n"/>
      <c r="J163" s="112" t="n"/>
      <c r="K163" s="108" t="n"/>
      <c r="L163" s="72" t="n"/>
      <c r="M163" s="108" t="n"/>
      <c r="N163" s="72" t="n"/>
      <c r="O163" s="79">
        <f>IF(AND(F163&lt;&gt;"",L163&lt;&gt;"Resolved"),1,0)</f>
        <v/>
      </c>
      <c r="P163" s="79">
        <f>IF(F163="","",IF(O163=0,0,IF(H163="High",2,1)))</f>
        <v/>
      </c>
      <c r="Q163" s="111">
        <f>IF(O163=1,IF(K163&lt;&gt;"",K163,IF(H163="High",AsOf,"")),"")</f>
        <v/>
      </c>
      <c r="R163" s="79">
        <f>IF(Q163="","",IF(H163="High",1,IF(Q163="","",IF(Q163&lt;AsOf,1,IF(Q163&lt;=AsOf+AlertDays,2,IF(Q163&lt;=AsOf+2*AlertDays,3,""))))))</f>
        <v/>
      </c>
      <c r="S163" s="79">
        <f>IF(R163="","",IF(H163="High","High-severity issue: ",IF(C163="Punch item","Punch item: ","Issue action due: "))&amp;F163&amp;IF(J163="",""," → "&amp;J163))</f>
        <v/>
      </c>
      <c r="T163" s="79">
        <f>IF(O163=1,IF(I163="",0,I163),0)</f>
        <v/>
      </c>
      <c r="U163" s="79">
        <f>IF(AND(O163=1,H163="High"),1,0)</f>
        <v/>
      </c>
      <c r="V163" s="79">
        <f>IF(AND(O163=1,C163="Punch item"),1,0)</f>
        <v/>
      </c>
    </row>
    <row r="164" ht="24" customHeight="1">
      <c r="B164" s="125" t="n">
        <v>157</v>
      </c>
      <c r="C164" s="72" t="n"/>
      <c r="D164" s="108" t="n"/>
      <c r="E164" s="72" t="n"/>
      <c r="F164" s="112" t="n"/>
      <c r="G164" s="72" t="n"/>
      <c r="H164" s="74" t="n"/>
      <c r="I164" s="73" t="n"/>
      <c r="J164" s="112" t="n"/>
      <c r="K164" s="108" t="n"/>
      <c r="L164" s="72" t="n"/>
      <c r="M164" s="108" t="n"/>
      <c r="N164" s="72" t="n"/>
      <c r="O164" s="79">
        <f>IF(AND(F164&lt;&gt;"",L164&lt;&gt;"Resolved"),1,0)</f>
        <v/>
      </c>
      <c r="P164" s="79">
        <f>IF(F164="","",IF(O164=0,0,IF(H164="High",2,1)))</f>
        <v/>
      </c>
      <c r="Q164" s="111">
        <f>IF(O164=1,IF(K164&lt;&gt;"",K164,IF(H164="High",AsOf,"")),"")</f>
        <v/>
      </c>
      <c r="R164" s="79">
        <f>IF(Q164="","",IF(H164="High",1,IF(Q164="","",IF(Q164&lt;AsOf,1,IF(Q164&lt;=AsOf+AlertDays,2,IF(Q164&lt;=AsOf+2*AlertDays,3,""))))))</f>
        <v/>
      </c>
      <c r="S164" s="79">
        <f>IF(R164="","",IF(H164="High","High-severity issue: ",IF(C164="Punch item","Punch item: ","Issue action due: "))&amp;F164&amp;IF(J164="",""," → "&amp;J164))</f>
        <v/>
      </c>
      <c r="T164" s="79">
        <f>IF(O164=1,IF(I164="",0,I164),0)</f>
        <v/>
      </c>
      <c r="U164" s="79">
        <f>IF(AND(O164=1,H164="High"),1,0)</f>
        <v/>
      </c>
      <c r="V164" s="79">
        <f>IF(AND(O164=1,C164="Punch item"),1,0)</f>
        <v/>
      </c>
    </row>
    <row r="165" ht="24" customHeight="1">
      <c r="B165" s="125" t="n">
        <v>158</v>
      </c>
      <c r="C165" s="72" t="n"/>
      <c r="D165" s="108" t="n"/>
      <c r="E165" s="72" t="n"/>
      <c r="F165" s="112" t="n"/>
      <c r="G165" s="72" t="n"/>
      <c r="H165" s="74" t="n"/>
      <c r="I165" s="73" t="n"/>
      <c r="J165" s="112" t="n"/>
      <c r="K165" s="108" t="n"/>
      <c r="L165" s="72" t="n"/>
      <c r="M165" s="108" t="n"/>
      <c r="N165" s="72" t="n"/>
      <c r="O165" s="79">
        <f>IF(AND(F165&lt;&gt;"",L165&lt;&gt;"Resolved"),1,0)</f>
        <v/>
      </c>
      <c r="P165" s="79">
        <f>IF(F165="","",IF(O165=0,0,IF(H165="High",2,1)))</f>
        <v/>
      </c>
      <c r="Q165" s="111">
        <f>IF(O165=1,IF(K165&lt;&gt;"",K165,IF(H165="High",AsOf,"")),"")</f>
        <v/>
      </c>
      <c r="R165" s="79">
        <f>IF(Q165="","",IF(H165="High",1,IF(Q165="","",IF(Q165&lt;AsOf,1,IF(Q165&lt;=AsOf+AlertDays,2,IF(Q165&lt;=AsOf+2*AlertDays,3,""))))))</f>
        <v/>
      </c>
      <c r="S165" s="79">
        <f>IF(R165="","",IF(H165="High","High-severity issue: ",IF(C165="Punch item","Punch item: ","Issue action due: "))&amp;F165&amp;IF(J165="",""," → "&amp;J165))</f>
        <v/>
      </c>
      <c r="T165" s="79">
        <f>IF(O165=1,IF(I165="",0,I165),0)</f>
        <v/>
      </c>
      <c r="U165" s="79">
        <f>IF(AND(O165=1,H165="High"),1,0)</f>
        <v/>
      </c>
      <c r="V165" s="79">
        <f>IF(AND(O165=1,C165="Punch item"),1,0)</f>
        <v/>
      </c>
    </row>
    <row r="166" ht="24" customHeight="1">
      <c r="B166" s="125" t="n">
        <v>159</v>
      </c>
      <c r="C166" s="72" t="n"/>
      <c r="D166" s="108" t="n"/>
      <c r="E166" s="72" t="n"/>
      <c r="F166" s="112" t="n"/>
      <c r="G166" s="72" t="n"/>
      <c r="H166" s="74" t="n"/>
      <c r="I166" s="73" t="n"/>
      <c r="J166" s="112" t="n"/>
      <c r="K166" s="108" t="n"/>
      <c r="L166" s="72" t="n"/>
      <c r="M166" s="108" t="n"/>
      <c r="N166" s="72" t="n"/>
      <c r="O166" s="79">
        <f>IF(AND(F166&lt;&gt;"",L166&lt;&gt;"Resolved"),1,0)</f>
        <v/>
      </c>
      <c r="P166" s="79">
        <f>IF(F166="","",IF(O166=0,0,IF(H166="High",2,1)))</f>
        <v/>
      </c>
      <c r="Q166" s="111">
        <f>IF(O166=1,IF(K166&lt;&gt;"",K166,IF(H166="High",AsOf,"")),"")</f>
        <v/>
      </c>
      <c r="R166" s="79">
        <f>IF(Q166="","",IF(H166="High",1,IF(Q166="","",IF(Q166&lt;AsOf,1,IF(Q166&lt;=AsOf+AlertDays,2,IF(Q166&lt;=AsOf+2*AlertDays,3,""))))))</f>
        <v/>
      </c>
      <c r="S166" s="79">
        <f>IF(R166="","",IF(H166="High","High-severity issue: ",IF(C166="Punch item","Punch item: ","Issue action due: "))&amp;F166&amp;IF(J166="",""," → "&amp;J166))</f>
        <v/>
      </c>
      <c r="T166" s="79">
        <f>IF(O166=1,IF(I166="",0,I166),0)</f>
        <v/>
      </c>
      <c r="U166" s="79">
        <f>IF(AND(O166=1,H166="High"),1,0)</f>
        <v/>
      </c>
      <c r="V166" s="79">
        <f>IF(AND(O166=1,C166="Punch item"),1,0)</f>
        <v/>
      </c>
    </row>
    <row r="167" ht="24" customHeight="1">
      <c r="B167" s="125" t="n">
        <v>160</v>
      </c>
      <c r="C167" s="72" t="n"/>
      <c r="D167" s="108" t="n"/>
      <c r="E167" s="72" t="n"/>
      <c r="F167" s="112" t="n"/>
      <c r="G167" s="72" t="n"/>
      <c r="H167" s="74" t="n"/>
      <c r="I167" s="73" t="n"/>
      <c r="J167" s="112" t="n"/>
      <c r="K167" s="108" t="n"/>
      <c r="L167" s="72" t="n"/>
      <c r="M167" s="108" t="n"/>
      <c r="N167" s="72" t="n"/>
      <c r="O167" s="79">
        <f>IF(AND(F167&lt;&gt;"",L167&lt;&gt;"Resolved"),1,0)</f>
        <v/>
      </c>
      <c r="P167" s="79">
        <f>IF(F167="","",IF(O167=0,0,IF(H167="High",2,1)))</f>
        <v/>
      </c>
      <c r="Q167" s="111">
        <f>IF(O167=1,IF(K167&lt;&gt;"",K167,IF(H167="High",AsOf,"")),"")</f>
        <v/>
      </c>
      <c r="R167" s="79">
        <f>IF(Q167="","",IF(H167="High",1,IF(Q167="","",IF(Q167&lt;AsOf,1,IF(Q167&lt;=AsOf+AlertDays,2,IF(Q167&lt;=AsOf+2*AlertDays,3,""))))))</f>
        <v/>
      </c>
      <c r="S167" s="79">
        <f>IF(R167="","",IF(H167="High","High-severity issue: ",IF(C167="Punch item","Punch item: ","Issue action due: "))&amp;F167&amp;IF(J167="",""," → "&amp;J167))</f>
        <v/>
      </c>
      <c r="T167" s="79">
        <f>IF(O167=1,IF(I167="",0,I167),0)</f>
        <v/>
      </c>
      <c r="U167" s="79">
        <f>IF(AND(O167=1,H167="High"),1,0)</f>
        <v/>
      </c>
      <c r="V167" s="79">
        <f>IF(AND(O167=1,C167="Punch item"),1,0)</f>
        <v/>
      </c>
    </row>
    <row r="168" ht="24" customHeight="1">
      <c r="B168" s="125" t="n">
        <v>161</v>
      </c>
      <c r="C168" s="72" t="n"/>
      <c r="D168" s="108" t="n"/>
      <c r="E168" s="72" t="n"/>
      <c r="F168" s="112" t="n"/>
      <c r="G168" s="72" t="n"/>
      <c r="H168" s="74" t="n"/>
      <c r="I168" s="73" t="n"/>
      <c r="J168" s="112" t="n"/>
      <c r="K168" s="108" t="n"/>
      <c r="L168" s="72" t="n"/>
      <c r="M168" s="108" t="n"/>
      <c r="N168" s="72" t="n"/>
      <c r="O168" s="79">
        <f>IF(AND(F168&lt;&gt;"",L168&lt;&gt;"Resolved"),1,0)</f>
        <v/>
      </c>
      <c r="P168" s="79">
        <f>IF(F168="","",IF(O168=0,0,IF(H168="High",2,1)))</f>
        <v/>
      </c>
      <c r="Q168" s="111">
        <f>IF(O168=1,IF(K168&lt;&gt;"",K168,IF(H168="High",AsOf,"")),"")</f>
        <v/>
      </c>
      <c r="R168" s="79">
        <f>IF(Q168="","",IF(H168="High",1,IF(Q168="","",IF(Q168&lt;AsOf,1,IF(Q168&lt;=AsOf+AlertDays,2,IF(Q168&lt;=AsOf+2*AlertDays,3,""))))))</f>
        <v/>
      </c>
      <c r="S168" s="79">
        <f>IF(R168="","",IF(H168="High","High-severity issue: ",IF(C168="Punch item","Punch item: ","Issue action due: "))&amp;F168&amp;IF(J168="",""," → "&amp;J168))</f>
        <v/>
      </c>
      <c r="T168" s="79">
        <f>IF(O168=1,IF(I168="",0,I168),0)</f>
        <v/>
      </c>
      <c r="U168" s="79">
        <f>IF(AND(O168=1,H168="High"),1,0)</f>
        <v/>
      </c>
      <c r="V168" s="79">
        <f>IF(AND(O168=1,C168="Punch item"),1,0)</f>
        <v/>
      </c>
    </row>
    <row r="169" ht="24" customHeight="1">
      <c r="B169" s="125" t="n">
        <v>162</v>
      </c>
      <c r="C169" s="72" t="n"/>
      <c r="D169" s="108" t="n"/>
      <c r="E169" s="72" t="n"/>
      <c r="F169" s="112" t="n"/>
      <c r="G169" s="72" t="n"/>
      <c r="H169" s="74" t="n"/>
      <c r="I169" s="73" t="n"/>
      <c r="J169" s="112" t="n"/>
      <c r="K169" s="108" t="n"/>
      <c r="L169" s="72" t="n"/>
      <c r="M169" s="108" t="n"/>
      <c r="N169" s="72" t="n"/>
      <c r="O169" s="79">
        <f>IF(AND(F169&lt;&gt;"",L169&lt;&gt;"Resolved"),1,0)</f>
        <v/>
      </c>
      <c r="P169" s="79">
        <f>IF(F169="","",IF(O169=0,0,IF(H169="High",2,1)))</f>
        <v/>
      </c>
      <c r="Q169" s="111">
        <f>IF(O169=1,IF(K169&lt;&gt;"",K169,IF(H169="High",AsOf,"")),"")</f>
        <v/>
      </c>
      <c r="R169" s="79">
        <f>IF(Q169="","",IF(H169="High",1,IF(Q169="","",IF(Q169&lt;AsOf,1,IF(Q169&lt;=AsOf+AlertDays,2,IF(Q169&lt;=AsOf+2*AlertDays,3,""))))))</f>
        <v/>
      </c>
      <c r="S169" s="79">
        <f>IF(R169="","",IF(H169="High","High-severity issue: ",IF(C169="Punch item","Punch item: ","Issue action due: "))&amp;F169&amp;IF(J169="",""," → "&amp;J169))</f>
        <v/>
      </c>
      <c r="T169" s="79">
        <f>IF(O169=1,IF(I169="",0,I169),0)</f>
        <v/>
      </c>
      <c r="U169" s="79">
        <f>IF(AND(O169=1,H169="High"),1,0)</f>
        <v/>
      </c>
      <c r="V169" s="79">
        <f>IF(AND(O169=1,C169="Punch item"),1,0)</f>
        <v/>
      </c>
    </row>
    <row r="170" ht="24" customHeight="1">
      <c r="B170" s="125" t="n">
        <v>163</v>
      </c>
      <c r="C170" s="72" t="n"/>
      <c r="D170" s="108" t="n"/>
      <c r="E170" s="72" t="n"/>
      <c r="F170" s="112" t="n"/>
      <c r="G170" s="72" t="n"/>
      <c r="H170" s="74" t="n"/>
      <c r="I170" s="73" t="n"/>
      <c r="J170" s="112" t="n"/>
      <c r="K170" s="108" t="n"/>
      <c r="L170" s="72" t="n"/>
      <c r="M170" s="108" t="n"/>
      <c r="N170" s="72" t="n"/>
      <c r="O170" s="79">
        <f>IF(AND(F170&lt;&gt;"",L170&lt;&gt;"Resolved"),1,0)</f>
        <v/>
      </c>
      <c r="P170" s="79">
        <f>IF(F170="","",IF(O170=0,0,IF(H170="High",2,1)))</f>
        <v/>
      </c>
      <c r="Q170" s="111">
        <f>IF(O170=1,IF(K170&lt;&gt;"",K170,IF(H170="High",AsOf,"")),"")</f>
        <v/>
      </c>
      <c r="R170" s="79">
        <f>IF(Q170="","",IF(H170="High",1,IF(Q170="","",IF(Q170&lt;AsOf,1,IF(Q170&lt;=AsOf+AlertDays,2,IF(Q170&lt;=AsOf+2*AlertDays,3,""))))))</f>
        <v/>
      </c>
      <c r="S170" s="79">
        <f>IF(R170="","",IF(H170="High","High-severity issue: ",IF(C170="Punch item","Punch item: ","Issue action due: "))&amp;F170&amp;IF(J170="",""," → "&amp;J170))</f>
        <v/>
      </c>
      <c r="T170" s="79">
        <f>IF(O170=1,IF(I170="",0,I170),0)</f>
        <v/>
      </c>
      <c r="U170" s="79">
        <f>IF(AND(O170=1,H170="High"),1,0)</f>
        <v/>
      </c>
      <c r="V170" s="79">
        <f>IF(AND(O170=1,C170="Punch item"),1,0)</f>
        <v/>
      </c>
    </row>
    <row r="171" ht="24" customHeight="1">
      <c r="B171" s="125" t="n">
        <v>164</v>
      </c>
      <c r="C171" s="72" t="n"/>
      <c r="D171" s="108" t="n"/>
      <c r="E171" s="72" t="n"/>
      <c r="F171" s="112" t="n"/>
      <c r="G171" s="72" t="n"/>
      <c r="H171" s="74" t="n"/>
      <c r="I171" s="73" t="n"/>
      <c r="J171" s="112" t="n"/>
      <c r="K171" s="108" t="n"/>
      <c r="L171" s="72" t="n"/>
      <c r="M171" s="108" t="n"/>
      <c r="N171" s="72" t="n"/>
      <c r="O171" s="79">
        <f>IF(AND(F171&lt;&gt;"",L171&lt;&gt;"Resolved"),1,0)</f>
        <v/>
      </c>
      <c r="P171" s="79">
        <f>IF(F171="","",IF(O171=0,0,IF(H171="High",2,1)))</f>
        <v/>
      </c>
      <c r="Q171" s="111">
        <f>IF(O171=1,IF(K171&lt;&gt;"",K171,IF(H171="High",AsOf,"")),"")</f>
        <v/>
      </c>
      <c r="R171" s="79">
        <f>IF(Q171="","",IF(H171="High",1,IF(Q171="","",IF(Q171&lt;AsOf,1,IF(Q171&lt;=AsOf+AlertDays,2,IF(Q171&lt;=AsOf+2*AlertDays,3,""))))))</f>
        <v/>
      </c>
      <c r="S171" s="79">
        <f>IF(R171="","",IF(H171="High","High-severity issue: ",IF(C171="Punch item","Punch item: ","Issue action due: "))&amp;F171&amp;IF(J171="",""," → "&amp;J171))</f>
        <v/>
      </c>
      <c r="T171" s="79">
        <f>IF(O171=1,IF(I171="",0,I171),0)</f>
        <v/>
      </c>
      <c r="U171" s="79">
        <f>IF(AND(O171=1,H171="High"),1,0)</f>
        <v/>
      </c>
      <c r="V171" s="79">
        <f>IF(AND(O171=1,C171="Punch item"),1,0)</f>
        <v/>
      </c>
    </row>
    <row r="172" ht="24" customHeight="1">
      <c r="B172" s="125" t="n">
        <v>165</v>
      </c>
      <c r="C172" s="72" t="n"/>
      <c r="D172" s="108" t="n"/>
      <c r="E172" s="72" t="n"/>
      <c r="F172" s="112" t="n"/>
      <c r="G172" s="72" t="n"/>
      <c r="H172" s="74" t="n"/>
      <c r="I172" s="73" t="n"/>
      <c r="J172" s="112" t="n"/>
      <c r="K172" s="108" t="n"/>
      <c r="L172" s="72" t="n"/>
      <c r="M172" s="108" t="n"/>
      <c r="N172" s="72" t="n"/>
      <c r="O172" s="79">
        <f>IF(AND(F172&lt;&gt;"",L172&lt;&gt;"Resolved"),1,0)</f>
        <v/>
      </c>
      <c r="P172" s="79">
        <f>IF(F172="","",IF(O172=0,0,IF(H172="High",2,1)))</f>
        <v/>
      </c>
      <c r="Q172" s="111">
        <f>IF(O172=1,IF(K172&lt;&gt;"",K172,IF(H172="High",AsOf,"")),"")</f>
        <v/>
      </c>
      <c r="R172" s="79">
        <f>IF(Q172="","",IF(H172="High",1,IF(Q172="","",IF(Q172&lt;AsOf,1,IF(Q172&lt;=AsOf+AlertDays,2,IF(Q172&lt;=AsOf+2*AlertDays,3,""))))))</f>
        <v/>
      </c>
      <c r="S172" s="79">
        <f>IF(R172="","",IF(H172="High","High-severity issue: ",IF(C172="Punch item","Punch item: ","Issue action due: "))&amp;F172&amp;IF(J172="",""," → "&amp;J172))</f>
        <v/>
      </c>
      <c r="T172" s="79">
        <f>IF(O172=1,IF(I172="",0,I172),0)</f>
        <v/>
      </c>
      <c r="U172" s="79">
        <f>IF(AND(O172=1,H172="High"),1,0)</f>
        <v/>
      </c>
      <c r="V172" s="79">
        <f>IF(AND(O172=1,C172="Punch item"),1,0)</f>
        <v/>
      </c>
    </row>
    <row r="173" ht="24" customHeight="1">
      <c r="B173" s="125" t="n">
        <v>166</v>
      </c>
      <c r="C173" s="72" t="n"/>
      <c r="D173" s="108" t="n"/>
      <c r="E173" s="72" t="n"/>
      <c r="F173" s="112" t="n"/>
      <c r="G173" s="72" t="n"/>
      <c r="H173" s="74" t="n"/>
      <c r="I173" s="73" t="n"/>
      <c r="J173" s="112" t="n"/>
      <c r="K173" s="108" t="n"/>
      <c r="L173" s="72" t="n"/>
      <c r="M173" s="108" t="n"/>
      <c r="N173" s="72" t="n"/>
      <c r="O173" s="79">
        <f>IF(AND(F173&lt;&gt;"",L173&lt;&gt;"Resolved"),1,0)</f>
        <v/>
      </c>
      <c r="P173" s="79">
        <f>IF(F173="","",IF(O173=0,0,IF(H173="High",2,1)))</f>
        <v/>
      </c>
      <c r="Q173" s="111">
        <f>IF(O173=1,IF(K173&lt;&gt;"",K173,IF(H173="High",AsOf,"")),"")</f>
        <v/>
      </c>
      <c r="R173" s="79">
        <f>IF(Q173="","",IF(H173="High",1,IF(Q173="","",IF(Q173&lt;AsOf,1,IF(Q173&lt;=AsOf+AlertDays,2,IF(Q173&lt;=AsOf+2*AlertDays,3,""))))))</f>
        <v/>
      </c>
      <c r="S173" s="79">
        <f>IF(R173="","",IF(H173="High","High-severity issue: ",IF(C173="Punch item","Punch item: ","Issue action due: "))&amp;F173&amp;IF(J173="",""," → "&amp;J173))</f>
        <v/>
      </c>
      <c r="T173" s="79">
        <f>IF(O173=1,IF(I173="",0,I173),0)</f>
        <v/>
      </c>
      <c r="U173" s="79">
        <f>IF(AND(O173=1,H173="High"),1,0)</f>
        <v/>
      </c>
      <c r="V173" s="79">
        <f>IF(AND(O173=1,C173="Punch item"),1,0)</f>
        <v/>
      </c>
    </row>
    <row r="174" ht="24" customHeight="1">
      <c r="B174" s="125" t="n">
        <v>167</v>
      </c>
      <c r="C174" s="72" t="n"/>
      <c r="D174" s="108" t="n"/>
      <c r="E174" s="72" t="n"/>
      <c r="F174" s="112" t="n"/>
      <c r="G174" s="72" t="n"/>
      <c r="H174" s="74" t="n"/>
      <c r="I174" s="73" t="n"/>
      <c r="J174" s="112" t="n"/>
      <c r="K174" s="108" t="n"/>
      <c r="L174" s="72" t="n"/>
      <c r="M174" s="108" t="n"/>
      <c r="N174" s="72" t="n"/>
      <c r="O174" s="79">
        <f>IF(AND(F174&lt;&gt;"",L174&lt;&gt;"Resolved"),1,0)</f>
        <v/>
      </c>
      <c r="P174" s="79">
        <f>IF(F174="","",IF(O174=0,0,IF(H174="High",2,1)))</f>
        <v/>
      </c>
      <c r="Q174" s="111">
        <f>IF(O174=1,IF(K174&lt;&gt;"",K174,IF(H174="High",AsOf,"")),"")</f>
        <v/>
      </c>
      <c r="R174" s="79">
        <f>IF(Q174="","",IF(H174="High",1,IF(Q174="","",IF(Q174&lt;AsOf,1,IF(Q174&lt;=AsOf+AlertDays,2,IF(Q174&lt;=AsOf+2*AlertDays,3,""))))))</f>
        <v/>
      </c>
      <c r="S174" s="79">
        <f>IF(R174="","",IF(H174="High","High-severity issue: ",IF(C174="Punch item","Punch item: ","Issue action due: "))&amp;F174&amp;IF(J174="",""," → "&amp;J174))</f>
        <v/>
      </c>
      <c r="T174" s="79">
        <f>IF(O174=1,IF(I174="",0,I174),0)</f>
        <v/>
      </c>
      <c r="U174" s="79">
        <f>IF(AND(O174=1,H174="High"),1,0)</f>
        <v/>
      </c>
      <c r="V174" s="79">
        <f>IF(AND(O174=1,C174="Punch item"),1,0)</f>
        <v/>
      </c>
    </row>
    <row r="175" ht="24" customHeight="1">
      <c r="B175" s="125" t="n">
        <v>168</v>
      </c>
      <c r="C175" s="72" t="n"/>
      <c r="D175" s="108" t="n"/>
      <c r="E175" s="72" t="n"/>
      <c r="F175" s="112" t="n"/>
      <c r="G175" s="72" t="n"/>
      <c r="H175" s="74" t="n"/>
      <c r="I175" s="73" t="n"/>
      <c r="J175" s="112" t="n"/>
      <c r="K175" s="108" t="n"/>
      <c r="L175" s="72" t="n"/>
      <c r="M175" s="108" t="n"/>
      <c r="N175" s="72" t="n"/>
      <c r="O175" s="79">
        <f>IF(AND(F175&lt;&gt;"",L175&lt;&gt;"Resolved"),1,0)</f>
        <v/>
      </c>
      <c r="P175" s="79">
        <f>IF(F175="","",IF(O175=0,0,IF(H175="High",2,1)))</f>
        <v/>
      </c>
      <c r="Q175" s="111">
        <f>IF(O175=1,IF(K175&lt;&gt;"",K175,IF(H175="High",AsOf,"")),"")</f>
        <v/>
      </c>
      <c r="R175" s="79">
        <f>IF(Q175="","",IF(H175="High",1,IF(Q175="","",IF(Q175&lt;AsOf,1,IF(Q175&lt;=AsOf+AlertDays,2,IF(Q175&lt;=AsOf+2*AlertDays,3,""))))))</f>
        <v/>
      </c>
      <c r="S175" s="79">
        <f>IF(R175="","",IF(H175="High","High-severity issue: ",IF(C175="Punch item","Punch item: ","Issue action due: "))&amp;F175&amp;IF(J175="",""," → "&amp;J175))</f>
        <v/>
      </c>
      <c r="T175" s="79">
        <f>IF(O175=1,IF(I175="",0,I175),0)</f>
        <v/>
      </c>
      <c r="U175" s="79">
        <f>IF(AND(O175=1,H175="High"),1,0)</f>
        <v/>
      </c>
      <c r="V175" s="79">
        <f>IF(AND(O175=1,C175="Punch item"),1,0)</f>
        <v/>
      </c>
    </row>
    <row r="176" ht="24" customHeight="1">
      <c r="B176" s="125" t="n">
        <v>169</v>
      </c>
      <c r="C176" s="72" t="n"/>
      <c r="D176" s="108" t="n"/>
      <c r="E176" s="72" t="n"/>
      <c r="F176" s="112" t="n"/>
      <c r="G176" s="72" t="n"/>
      <c r="H176" s="74" t="n"/>
      <c r="I176" s="73" t="n"/>
      <c r="J176" s="112" t="n"/>
      <c r="K176" s="108" t="n"/>
      <c r="L176" s="72" t="n"/>
      <c r="M176" s="108" t="n"/>
      <c r="N176" s="72" t="n"/>
      <c r="O176" s="79">
        <f>IF(AND(F176&lt;&gt;"",L176&lt;&gt;"Resolved"),1,0)</f>
        <v/>
      </c>
      <c r="P176" s="79">
        <f>IF(F176="","",IF(O176=0,0,IF(H176="High",2,1)))</f>
        <v/>
      </c>
      <c r="Q176" s="111">
        <f>IF(O176=1,IF(K176&lt;&gt;"",K176,IF(H176="High",AsOf,"")),"")</f>
        <v/>
      </c>
      <c r="R176" s="79">
        <f>IF(Q176="","",IF(H176="High",1,IF(Q176="","",IF(Q176&lt;AsOf,1,IF(Q176&lt;=AsOf+AlertDays,2,IF(Q176&lt;=AsOf+2*AlertDays,3,""))))))</f>
        <v/>
      </c>
      <c r="S176" s="79">
        <f>IF(R176="","",IF(H176="High","High-severity issue: ",IF(C176="Punch item","Punch item: ","Issue action due: "))&amp;F176&amp;IF(J176="",""," → "&amp;J176))</f>
        <v/>
      </c>
      <c r="T176" s="79">
        <f>IF(O176=1,IF(I176="",0,I176),0)</f>
        <v/>
      </c>
      <c r="U176" s="79">
        <f>IF(AND(O176=1,H176="High"),1,0)</f>
        <v/>
      </c>
      <c r="V176" s="79">
        <f>IF(AND(O176=1,C176="Punch item"),1,0)</f>
        <v/>
      </c>
    </row>
    <row r="177" ht="24" customHeight="1">
      <c r="B177" s="125" t="n">
        <v>170</v>
      </c>
      <c r="C177" s="72" t="n"/>
      <c r="D177" s="108" t="n"/>
      <c r="E177" s="72" t="n"/>
      <c r="F177" s="112" t="n"/>
      <c r="G177" s="72" t="n"/>
      <c r="H177" s="74" t="n"/>
      <c r="I177" s="73" t="n"/>
      <c r="J177" s="112" t="n"/>
      <c r="K177" s="108" t="n"/>
      <c r="L177" s="72" t="n"/>
      <c r="M177" s="108" t="n"/>
      <c r="N177" s="72" t="n"/>
      <c r="O177" s="79">
        <f>IF(AND(F177&lt;&gt;"",L177&lt;&gt;"Resolved"),1,0)</f>
        <v/>
      </c>
      <c r="P177" s="79">
        <f>IF(F177="","",IF(O177=0,0,IF(H177="High",2,1)))</f>
        <v/>
      </c>
      <c r="Q177" s="111">
        <f>IF(O177=1,IF(K177&lt;&gt;"",K177,IF(H177="High",AsOf,"")),"")</f>
        <v/>
      </c>
      <c r="R177" s="79">
        <f>IF(Q177="","",IF(H177="High",1,IF(Q177="","",IF(Q177&lt;AsOf,1,IF(Q177&lt;=AsOf+AlertDays,2,IF(Q177&lt;=AsOf+2*AlertDays,3,""))))))</f>
        <v/>
      </c>
      <c r="S177" s="79">
        <f>IF(R177="","",IF(H177="High","High-severity issue: ",IF(C177="Punch item","Punch item: ","Issue action due: "))&amp;F177&amp;IF(J177="",""," → "&amp;J177))</f>
        <v/>
      </c>
      <c r="T177" s="79">
        <f>IF(O177=1,IF(I177="",0,I177),0)</f>
        <v/>
      </c>
      <c r="U177" s="79">
        <f>IF(AND(O177=1,H177="High"),1,0)</f>
        <v/>
      </c>
      <c r="V177" s="79">
        <f>IF(AND(O177=1,C177="Punch item"),1,0)</f>
        <v/>
      </c>
    </row>
    <row r="178" ht="24" customHeight="1">
      <c r="B178" s="125" t="n">
        <v>171</v>
      </c>
      <c r="C178" s="72" t="n"/>
      <c r="D178" s="108" t="n"/>
      <c r="E178" s="72" t="n"/>
      <c r="F178" s="112" t="n"/>
      <c r="G178" s="72" t="n"/>
      <c r="H178" s="74" t="n"/>
      <c r="I178" s="73" t="n"/>
      <c r="J178" s="112" t="n"/>
      <c r="K178" s="108" t="n"/>
      <c r="L178" s="72" t="n"/>
      <c r="M178" s="108" t="n"/>
      <c r="N178" s="72" t="n"/>
      <c r="O178" s="79">
        <f>IF(AND(F178&lt;&gt;"",L178&lt;&gt;"Resolved"),1,0)</f>
        <v/>
      </c>
      <c r="P178" s="79">
        <f>IF(F178="","",IF(O178=0,0,IF(H178="High",2,1)))</f>
        <v/>
      </c>
      <c r="Q178" s="111">
        <f>IF(O178=1,IF(K178&lt;&gt;"",K178,IF(H178="High",AsOf,"")),"")</f>
        <v/>
      </c>
      <c r="R178" s="79">
        <f>IF(Q178="","",IF(H178="High",1,IF(Q178="","",IF(Q178&lt;AsOf,1,IF(Q178&lt;=AsOf+AlertDays,2,IF(Q178&lt;=AsOf+2*AlertDays,3,""))))))</f>
        <v/>
      </c>
      <c r="S178" s="79">
        <f>IF(R178="","",IF(H178="High","High-severity issue: ",IF(C178="Punch item","Punch item: ","Issue action due: "))&amp;F178&amp;IF(J178="",""," → "&amp;J178))</f>
        <v/>
      </c>
      <c r="T178" s="79">
        <f>IF(O178=1,IF(I178="",0,I178),0)</f>
        <v/>
      </c>
      <c r="U178" s="79">
        <f>IF(AND(O178=1,H178="High"),1,0)</f>
        <v/>
      </c>
      <c r="V178" s="79">
        <f>IF(AND(O178=1,C178="Punch item"),1,0)</f>
        <v/>
      </c>
    </row>
    <row r="179" ht="24" customHeight="1">
      <c r="B179" s="125" t="n">
        <v>172</v>
      </c>
      <c r="C179" s="72" t="n"/>
      <c r="D179" s="108" t="n"/>
      <c r="E179" s="72" t="n"/>
      <c r="F179" s="112" t="n"/>
      <c r="G179" s="72" t="n"/>
      <c r="H179" s="74" t="n"/>
      <c r="I179" s="73" t="n"/>
      <c r="J179" s="112" t="n"/>
      <c r="K179" s="108" t="n"/>
      <c r="L179" s="72" t="n"/>
      <c r="M179" s="108" t="n"/>
      <c r="N179" s="72" t="n"/>
      <c r="O179" s="79">
        <f>IF(AND(F179&lt;&gt;"",L179&lt;&gt;"Resolved"),1,0)</f>
        <v/>
      </c>
      <c r="P179" s="79">
        <f>IF(F179="","",IF(O179=0,0,IF(H179="High",2,1)))</f>
        <v/>
      </c>
      <c r="Q179" s="111">
        <f>IF(O179=1,IF(K179&lt;&gt;"",K179,IF(H179="High",AsOf,"")),"")</f>
        <v/>
      </c>
      <c r="R179" s="79">
        <f>IF(Q179="","",IF(H179="High",1,IF(Q179="","",IF(Q179&lt;AsOf,1,IF(Q179&lt;=AsOf+AlertDays,2,IF(Q179&lt;=AsOf+2*AlertDays,3,""))))))</f>
        <v/>
      </c>
      <c r="S179" s="79">
        <f>IF(R179="","",IF(H179="High","High-severity issue: ",IF(C179="Punch item","Punch item: ","Issue action due: "))&amp;F179&amp;IF(J179="",""," → "&amp;J179))</f>
        <v/>
      </c>
      <c r="T179" s="79">
        <f>IF(O179=1,IF(I179="",0,I179),0)</f>
        <v/>
      </c>
      <c r="U179" s="79">
        <f>IF(AND(O179=1,H179="High"),1,0)</f>
        <v/>
      </c>
      <c r="V179" s="79">
        <f>IF(AND(O179=1,C179="Punch item"),1,0)</f>
        <v/>
      </c>
    </row>
    <row r="180" ht="24" customHeight="1">
      <c r="B180" s="125" t="n">
        <v>173</v>
      </c>
      <c r="C180" s="72" t="n"/>
      <c r="D180" s="108" t="n"/>
      <c r="E180" s="72" t="n"/>
      <c r="F180" s="112" t="n"/>
      <c r="G180" s="72" t="n"/>
      <c r="H180" s="74" t="n"/>
      <c r="I180" s="73" t="n"/>
      <c r="J180" s="112" t="n"/>
      <c r="K180" s="108" t="n"/>
      <c r="L180" s="72" t="n"/>
      <c r="M180" s="108" t="n"/>
      <c r="N180" s="72" t="n"/>
      <c r="O180" s="79">
        <f>IF(AND(F180&lt;&gt;"",L180&lt;&gt;"Resolved"),1,0)</f>
        <v/>
      </c>
      <c r="P180" s="79">
        <f>IF(F180="","",IF(O180=0,0,IF(H180="High",2,1)))</f>
        <v/>
      </c>
      <c r="Q180" s="111">
        <f>IF(O180=1,IF(K180&lt;&gt;"",K180,IF(H180="High",AsOf,"")),"")</f>
        <v/>
      </c>
      <c r="R180" s="79">
        <f>IF(Q180="","",IF(H180="High",1,IF(Q180="","",IF(Q180&lt;AsOf,1,IF(Q180&lt;=AsOf+AlertDays,2,IF(Q180&lt;=AsOf+2*AlertDays,3,""))))))</f>
        <v/>
      </c>
      <c r="S180" s="79">
        <f>IF(R180="","",IF(H180="High","High-severity issue: ",IF(C180="Punch item","Punch item: ","Issue action due: "))&amp;F180&amp;IF(J180="",""," → "&amp;J180))</f>
        <v/>
      </c>
      <c r="T180" s="79">
        <f>IF(O180=1,IF(I180="",0,I180),0)</f>
        <v/>
      </c>
      <c r="U180" s="79">
        <f>IF(AND(O180=1,H180="High"),1,0)</f>
        <v/>
      </c>
      <c r="V180" s="79">
        <f>IF(AND(O180=1,C180="Punch item"),1,0)</f>
        <v/>
      </c>
    </row>
    <row r="181" ht="24" customHeight="1">
      <c r="B181" s="125" t="n">
        <v>174</v>
      </c>
      <c r="C181" s="72" t="n"/>
      <c r="D181" s="108" t="n"/>
      <c r="E181" s="72" t="n"/>
      <c r="F181" s="112" t="n"/>
      <c r="G181" s="72" t="n"/>
      <c r="H181" s="74" t="n"/>
      <c r="I181" s="73" t="n"/>
      <c r="J181" s="112" t="n"/>
      <c r="K181" s="108" t="n"/>
      <c r="L181" s="72" t="n"/>
      <c r="M181" s="108" t="n"/>
      <c r="N181" s="72" t="n"/>
      <c r="O181" s="79">
        <f>IF(AND(F181&lt;&gt;"",L181&lt;&gt;"Resolved"),1,0)</f>
        <v/>
      </c>
      <c r="P181" s="79">
        <f>IF(F181="","",IF(O181=0,0,IF(H181="High",2,1)))</f>
        <v/>
      </c>
      <c r="Q181" s="111">
        <f>IF(O181=1,IF(K181&lt;&gt;"",K181,IF(H181="High",AsOf,"")),"")</f>
        <v/>
      </c>
      <c r="R181" s="79">
        <f>IF(Q181="","",IF(H181="High",1,IF(Q181="","",IF(Q181&lt;AsOf,1,IF(Q181&lt;=AsOf+AlertDays,2,IF(Q181&lt;=AsOf+2*AlertDays,3,""))))))</f>
        <v/>
      </c>
      <c r="S181" s="79">
        <f>IF(R181="","",IF(H181="High","High-severity issue: ",IF(C181="Punch item","Punch item: ","Issue action due: "))&amp;F181&amp;IF(J181="",""," → "&amp;J181))</f>
        <v/>
      </c>
      <c r="T181" s="79">
        <f>IF(O181=1,IF(I181="",0,I181),0)</f>
        <v/>
      </c>
      <c r="U181" s="79">
        <f>IF(AND(O181=1,H181="High"),1,0)</f>
        <v/>
      </c>
      <c r="V181" s="79">
        <f>IF(AND(O181=1,C181="Punch item"),1,0)</f>
        <v/>
      </c>
    </row>
    <row r="182" ht="24" customHeight="1">
      <c r="B182" s="125" t="n">
        <v>175</v>
      </c>
      <c r="C182" s="72" t="n"/>
      <c r="D182" s="108" t="n"/>
      <c r="E182" s="72" t="n"/>
      <c r="F182" s="112" t="n"/>
      <c r="G182" s="72" t="n"/>
      <c r="H182" s="74" t="n"/>
      <c r="I182" s="73" t="n"/>
      <c r="J182" s="112" t="n"/>
      <c r="K182" s="108" t="n"/>
      <c r="L182" s="72" t="n"/>
      <c r="M182" s="108" t="n"/>
      <c r="N182" s="72" t="n"/>
      <c r="O182" s="79">
        <f>IF(AND(F182&lt;&gt;"",L182&lt;&gt;"Resolved"),1,0)</f>
        <v/>
      </c>
      <c r="P182" s="79">
        <f>IF(F182="","",IF(O182=0,0,IF(H182="High",2,1)))</f>
        <v/>
      </c>
      <c r="Q182" s="111">
        <f>IF(O182=1,IF(K182&lt;&gt;"",K182,IF(H182="High",AsOf,"")),"")</f>
        <v/>
      </c>
      <c r="R182" s="79">
        <f>IF(Q182="","",IF(H182="High",1,IF(Q182="","",IF(Q182&lt;AsOf,1,IF(Q182&lt;=AsOf+AlertDays,2,IF(Q182&lt;=AsOf+2*AlertDays,3,""))))))</f>
        <v/>
      </c>
      <c r="S182" s="79">
        <f>IF(R182="","",IF(H182="High","High-severity issue: ",IF(C182="Punch item","Punch item: ","Issue action due: "))&amp;F182&amp;IF(J182="",""," → "&amp;J182))</f>
        <v/>
      </c>
      <c r="T182" s="79">
        <f>IF(O182=1,IF(I182="",0,I182),0)</f>
        <v/>
      </c>
      <c r="U182" s="79">
        <f>IF(AND(O182=1,H182="High"),1,0)</f>
        <v/>
      </c>
      <c r="V182" s="79">
        <f>IF(AND(O182=1,C182="Punch item"),1,0)</f>
        <v/>
      </c>
    </row>
    <row r="183" ht="24" customHeight="1">
      <c r="B183" s="125" t="n">
        <v>176</v>
      </c>
      <c r="C183" s="72" t="n"/>
      <c r="D183" s="108" t="n"/>
      <c r="E183" s="72" t="n"/>
      <c r="F183" s="112" t="n"/>
      <c r="G183" s="72" t="n"/>
      <c r="H183" s="74" t="n"/>
      <c r="I183" s="73" t="n"/>
      <c r="J183" s="112" t="n"/>
      <c r="K183" s="108" t="n"/>
      <c r="L183" s="72" t="n"/>
      <c r="M183" s="108" t="n"/>
      <c r="N183" s="72" t="n"/>
      <c r="O183" s="79">
        <f>IF(AND(F183&lt;&gt;"",L183&lt;&gt;"Resolved"),1,0)</f>
        <v/>
      </c>
      <c r="P183" s="79">
        <f>IF(F183="","",IF(O183=0,0,IF(H183="High",2,1)))</f>
        <v/>
      </c>
      <c r="Q183" s="111">
        <f>IF(O183=1,IF(K183&lt;&gt;"",K183,IF(H183="High",AsOf,"")),"")</f>
        <v/>
      </c>
      <c r="R183" s="79">
        <f>IF(Q183="","",IF(H183="High",1,IF(Q183="","",IF(Q183&lt;AsOf,1,IF(Q183&lt;=AsOf+AlertDays,2,IF(Q183&lt;=AsOf+2*AlertDays,3,""))))))</f>
        <v/>
      </c>
      <c r="S183" s="79">
        <f>IF(R183="","",IF(H183="High","High-severity issue: ",IF(C183="Punch item","Punch item: ","Issue action due: "))&amp;F183&amp;IF(J183="",""," → "&amp;J183))</f>
        <v/>
      </c>
      <c r="T183" s="79">
        <f>IF(O183=1,IF(I183="",0,I183),0)</f>
        <v/>
      </c>
      <c r="U183" s="79">
        <f>IF(AND(O183=1,H183="High"),1,0)</f>
        <v/>
      </c>
      <c r="V183" s="79">
        <f>IF(AND(O183=1,C183="Punch item"),1,0)</f>
        <v/>
      </c>
    </row>
    <row r="184" ht="24" customHeight="1">
      <c r="B184" s="125" t="n">
        <v>177</v>
      </c>
      <c r="C184" s="72" t="n"/>
      <c r="D184" s="108" t="n"/>
      <c r="E184" s="72" t="n"/>
      <c r="F184" s="112" t="n"/>
      <c r="G184" s="72" t="n"/>
      <c r="H184" s="74" t="n"/>
      <c r="I184" s="73" t="n"/>
      <c r="J184" s="112" t="n"/>
      <c r="K184" s="108" t="n"/>
      <c r="L184" s="72" t="n"/>
      <c r="M184" s="108" t="n"/>
      <c r="N184" s="72" t="n"/>
      <c r="O184" s="79">
        <f>IF(AND(F184&lt;&gt;"",L184&lt;&gt;"Resolved"),1,0)</f>
        <v/>
      </c>
      <c r="P184" s="79">
        <f>IF(F184="","",IF(O184=0,0,IF(H184="High",2,1)))</f>
        <v/>
      </c>
      <c r="Q184" s="111">
        <f>IF(O184=1,IF(K184&lt;&gt;"",K184,IF(H184="High",AsOf,"")),"")</f>
        <v/>
      </c>
      <c r="R184" s="79">
        <f>IF(Q184="","",IF(H184="High",1,IF(Q184="","",IF(Q184&lt;AsOf,1,IF(Q184&lt;=AsOf+AlertDays,2,IF(Q184&lt;=AsOf+2*AlertDays,3,""))))))</f>
        <v/>
      </c>
      <c r="S184" s="79">
        <f>IF(R184="","",IF(H184="High","High-severity issue: ",IF(C184="Punch item","Punch item: ","Issue action due: "))&amp;F184&amp;IF(J184="",""," → "&amp;J184))</f>
        <v/>
      </c>
      <c r="T184" s="79">
        <f>IF(O184=1,IF(I184="",0,I184),0)</f>
        <v/>
      </c>
      <c r="U184" s="79">
        <f>IF(AND(O184=1,H184="High"),1,0)</f>
        <v/>
      </c>
      <c r="V184" s="79">
        <f>IF(AND(O184=1,C184="Punch item"),1,0)</f>
        <v/>
      </c>
    </row>
    <row r="185" ht="24" customHeight="1">
      <c r="B185" s="125" t="n">
        <v>178</v>
      </c>
      <c r="C185" s="72" t="n"/>
      <c r="D185" s="108" t="n"/>
      <c r="E185" s="72" t="n"/>
      <c r="F185" s="112" t="n"/>
      <c r="G185" s="72" t="n"/>
      <c r="H185" s="74" t="n"/>
      <c r="I185" s="73" t="n"/>
      <c r="J185" s="112" t="n"/>
      <c r="K185" s="108" t="n"/>
      <c r="L185" s="72" t="n"/>
      <c r="M185" s="108" t="n"/>
      <c r="N185" s="72" t="n"/>
      <c r="O185" s="79">
        <f>IF(AND(F185&lt;&gt;"",L185&lt;&gt;"Resolved"),1,0)</f>
        <v/>
      </c>
      <c r="P185" s="79">
        <f>IF(F185="","",IF(O185=0,0,IF(H185="High",2,1)))</f>
        <v/>
      </c>
      <c r="Q185" s="111">
        <f>IF(O185=1,IF(K185&lt;&gt;"",K185,IF(H185="High",AsOf,"")),"")</f>
        <v/>
      </c>
      <c r="R185" s="79">
        <f>IF(Q185="","",IF(H185="High",1,IF(Q185="","",IF(Q185&lt;AsOf,1,IF(Q185&lt;=AsOf+AlertDays,2,IF(Q185&lt;=AsOf+2*AlertDays,3,""))))))</f>
        <v/>
      </c>
      <c r="S185" s="79">
        <f>IF(R185="","",IF(H185="High","High-severity issue: ",IF(C185="Punch item","Punch item: ","Issue action due: "))&amp;F185&amp;IF(J185="",""," → "&amp;J185))</f>
        <v/>
      </c>
      <c r="T185" s="79">
        <f>IF(O185=1,IF(I185="",0,I185),0)</f>
        <v/>
      </c>
      <c r="U185" s="79">
        <f>IF(AND(O185=1,H185="High"),1,0)</f>
        <v/>
      </c>
      <c r="V185" s="79">
        <f>IF(AND(O185=1,C185="Punch item"),1,0)</f>
        <v/>
      </c>
    </row>
    <row r="186" ht="24" customHeight="1">
      <c r="B186" s="125" t="n">
        <v>179</v>
      </c>
      <c r="C186" s="72" t="n"/>
      <c r="D186" s="108" t="n"/>
      <c r="E186" s="72" t="n"/>
      <c r="F186" s="112" t="n"/>
      <c r="G186" s="72" t="n"/>
      <c r="H186" s="74" t="n"/>
      <c r="I186" s="73" t="n"/>
      <c r="J186" s="112" t="n"/>
      <c r="K186" s="108" t="n"/>
      <c r="L186" s="72" t="n"/>
      <c r="M186" s="108" t="n"/>
      <c r="N186" s="72" t="n"/>
      <c r="O186" s="79">
        <f>IF(AND(F186&lt;&gt;"",L186&lt;&gt;"Resolved"),1,0)</f>
        <v/>
      </c>
      <c r="P186" s="79">
        <f>IF(F186="","",IF(O186=0,0,IF(H186="High",2,1)))</f>
        <v/>
      </c>
      <c r="Q186" s="111">
        <f>IF(O186=1,IF(K186&lt;&gt;"",K186,IF(H186="High",AsOf,"")),"")</f>
        <v/>
      </c>
      <c r="R186" s="79">
        <f>IF(Q186="","",IF(H186="High",1,IF(Q186="","",IF(Q186&lt;AsOf,1,IF(Q186&lt;=AsOf+AlertDays,2,IF(Q186&lt;=AsOf+2*AlertDays,3,""))))))</f>
        <v/>
      </c>
      <c r="S186" s="79">
        <f>IF(R186="","",IF(H186="High","High-severity issue: ",IF(C186="Punch item","Punch item: ","Issue action due: "))&amp;F186&amp;IF(J186="",""," → "&amp;J186))</f>
        <v/>
      </c>
      <c r="T186" s="79">
        <f>IF(O186=1,IF(I186="",0,I186),0)</f>
        <v/>
      </c>
      <c r="U186" s="79">
        <f>IF(AND(O186=1,H186="High"),1,0)</f>
        <v/>
      </c>
      <c r="V186" s="79">
        <f>IF(AND(O186=1,C186="Punch item"),1,0)</f>
        <v/>
      </c>
    </row>
    <row r="187" ht="24" customHeight="1">
      <c r="B187" s="125" t="n">
        <v>180</v>
      </c>
      <c r="C187" s="72" t="n"/>
      <c r="D187" s="108" t="n"/>
      <c r="E187" s="72" t="n"/>
      <c r="F187" s="112" t="n"/>
      <c r="G187" s="72" t="n"/>
      <c r="H187" s="74" t="n"/>
      <c r="I187" s="73" t="n"/>
      <c r="J187" s="112" t="n"/>
      <c r="K187" s="108" t="n"/>
      <c r="L187" s="72" t="n"/>
      <c r="M187" s="108" t="n"/>
      <c r="N187" s="72" t="n"/>
      <c r="O187" s="79">
        <f>IF(AND(F187&lt;&gt;"",L187&lt;&gt;"Resolved"),1,0)</f>
        <v/>
      </c>
      <c r="P187" s="79">
        <f>IF(F187="","",IF(O187=0,0,IF(H187="High",2,1)))</f>
        <v/>
      </c>
      <c r="Q187" s="111">
        <f>IF(O187=1,IF(K187&lt;&gt;"",K187,IF(H187="High",AsOf,"")),"")</f>
        <v/>
      </c>
      <c r="R187" s="79">
        <f>IF(Q187="","",IF(H187="High",1,IF(Q187="","",IF(Q187&lt;AsOf,1,IF(Q187&lt;=AsOf+AlertDays,2,IF(Q187&lt;=AsOf+2*AlertDays,3,""))))))</f>
        <v/>
      </c>
      <c r="S187" s="79">
        <f>IF(R187="","",IF(H187="High","High-severity issue: ",IF(C187="Punch item","Punch item: ","Issue action due: "))&amp;F187&amp;IF(J187="",""," → "&amp;J187))</f>
        <v/>
      </c>
      <c r="T187" s="79">
        <f>IF(O187=1,IF(I187="",0,I187),0)</f>
        <v/>
      </c>
      <c r="U187" s="79">
        <f>IF(AND(O187=1,H187="High"),1,0)</f>
        <v/>
      </c>
      <c r="V187" s="79">
        <f>IF(AND(O187=1,C187="Punch item"),1,0)</f>
        <v/>
      </c>
    </row>
    <row r="188" ht="24" customHeight="1">
      <c r="B188" s="125" t="n">
        <v>181</v>
      </c>
      <c r="C188" s="72" t="n"/>
      <c r="D188" s="108" t="n"/>
      <c r="E188" s="72" t="n"/>
      <c r="F188" s="112" t="n"/>
      <c r="G188" s="72" t="n"/>
      <c r="H188" s="74" t="n"/>
      <c r="I188" s="73" t="n"/>
      <c r="J188" s="112" t="n"/>
      <c r="K188" s="108" t="n"/>
      <c r="L188" s="72" t="n"/>
      <c r="M188" s="108" t="n"/>
      <c r="N188" s="72" t="n"/>
      <c r="O188" s="79">
        <f>IF(AND(F188&lt;&gt;"",L188&lt;&gt;"Resolved"),1,0)</f>
        <v/>
      </c>
      <c r="P188" s="79">
        <f>IF(F188="","",IF(O188=0,0,IF(H188="High",2,1)))</f>
        <v/>
      </c>
      <c r="Q188" s="111">
        <f>IF(O188=1,IF(K188&lt;&gt;"",K188,IF(H188="High",AsOf,"")),"")</f>
        <v/>
      </c>
      <c r="R188" s="79">
        <f>IF(Q188="","",IF(H188="High",1,IF(Q188="","",IF(Q188&lt;AsOf,1,IF(Q188&lt;=AsOf+AlertDays,2,IF(Q188&lt;=AsOf+2*AlertDays,3,""))))))</f>
        <v/>
      </c>
      <c r="S188" s="79">
        <f>IF(R188="","",IF(H188="High","High-severity issue: ",IF(C188="Punch item","Punch item: ","Issue action due: "))&amp;F188&amp;IF(J188="",""," → "&amp;J188))</f>
        <v/>
      </c>
      <c r="T188" s="79">
        <f>IF(O188=1,IF(I188="",0,I188),0)</f>
        <v/>
      </c>
      <c r="U188" s="79">
        <f>IF(AND(O188=1,H188="High"),1,0)</f>
        <v/>
      </c>
      <c r="V188" s="79">
        <f>IF(AND(O188=1,C188="Punch item"),1,0)</f>
        <v/>
      </c>
    </row>
    <row r="189" ht="24" customHeight="1">
      <c r="B189" s="125" t="n">
        <v>182</v>
      </c>
      <c r="C189" s="72" t="n"/>
      <c r="D189" s="108" t="n"/>
      <c r="E189" s="72" t="n"/>
      <c r="F189" s="112" t="n"/>
      <c r="G189" s="72" t="n"/>
      <c r="H189" s="74" t="n"/>
      <c r="I189" s="73" t="n"/>
      <c r="J189" s="112" t="n"/>
      <c r="K189" s="108" t="n"/>
      <c r="L189" s="72" t="n"/>
      <c r="M189" s="108" t="n"/>
      <c r="N189" s="72" t="n"/>
      <c r="O189" s="79">
        <f>IF(AND(F189&lt;&gt;"",L189&lt;&gt;"Resolved"),1,0)</f>
        <v/>
      </c>
      <c r="P189" s="79">
        <f>IF(F189="","",IF(O189=0,0,IF(H189="High",2,1)))</f>
        <v/>
      </c>
      <c r="Q189" s="111">
        <f>IF(O189=1,IF(K189&lt;&gt;"",K189,IF(H189="High",AsOf,"")),"")</f>
        <v/>
      </c>
      <c r="R189" s="79">
        <f>IF(Q189="","",IF(H189="High",1,IF(Q189="","",IF(Q189&lt;AsOf,1,IF(Q189&lt;=AsOf+AlertDays,2,IF(Q189&lt;=AsOf+2*AlertDays,3,""))))))</f>
        <v/>
      </c>
      <c r="S189" s="79">
        <f>IF(R189="","",IF(H189="High","High-severity issue: ",IF(C189="Punch item","Punch item: ","Issue action due: "))&amp;F189&amp;IF(J189="",""," → "&amp;J189))</f>
        <v/>
      </c>
      <c r="T189" s="79">
        <f>IF(O189=1,IF(I189="",0,I189),0)</f>
        <v/>
      </c>
      <c r="U189" s="79">
        <f>IF(AND(O189=1,H189="High"),1,0)</f>
        <v/>
      </c>
      <c r="V189" s="79">
        <f>IF(AND(O189=1,C189="Punch item"),1,0)</f>
        <v/>
      </c>
    </row>
    <row r="190" ht="24" customHeight="1">
      <c r="B190" s="125" t="n">
        <v>183</v>
      </c>
      <c r="C190" s="72" t="n"/>
      <c r="D190" s="108" t="n"/>
      <c r="E190" s="72" t="n"/>
      <c r="F190" s="112" t="n"/>
      <c r="G190" s="72" t="n"/>
      <c r="H190" s="74" t="n"/>
      <c r="I190" s="73" t="n"/>
      <c r="J190" s="112" t="n"/>
      <c r="K190" s="108" t="n"/>
      <c r="L190" s="72" t="n"/>
      <c r="M190" s="108" t="n"/>
      <c r="N190" s="72" t="n"/>
      <c r="O190" s="79">
        <f>IF(AND(F190&lt;&gt;"",L190&lt;&gt;"Resolved"),1,0)</f>
        <v/>
      </c>
      <c r="P190" s="79">
        <f>IF(F190="","",IF(O190=0,0,IF(H190="High",2,1)))</f>
        <v/>
      </c>
      <c r="Q190" s="111">
        <f>IF(O190=1,IF(K190&lt;&gt;"",K190,IF(H190="High",AsOf,"")),"")</f>
        <v/>
      </c>
      <c r="R190" s="79">
        <f>IF(Q190="","",IF(H190="High",1,IF(Q190="","",IF(Q190&lt;AsOf,1,IF(Q190&lt;=AsOf+AlertDays,2,IF(Q190&lt;=AsOf+2*AlertDays,3,""))))))</f>
        <v/>
      </c>
      <c r="S190" s="79">
        <f>IF(R190="","",IF(H190="High","High-severity issue: ",IF(C190="Punch item","Punch item: ","Issue action due: "))&amp;F190&amp;IF(J190="",""," → "&amp;J190))</f>
        <v/>
      </c>
      <c r="T190" s="79">
        <f>IF(O190=1,IF(I190="",0,I190),0)</f>
        <v/>
      </c>
      <c r="U190" s="79">
        <f>IF(AND(O190=1,H190="High"),1,0)</f>
        <v/>
      </c>
      <c r="V190" s="79">
        <f>IF(AND(O190=1,C190="Punch item"),1,0)</f>
        <v/>
      </c>
    </row>
    <row r="191" ht="24" customHeight="1">
      <c r="B191" s="125" t="n">
        <v>184</v>
      </c>
      <c r="C191" s="72" t="n"/>
      <c r="D191" s="108" t="n"/>
      <c r="E191" s="72" t="n"/>
      <c r="F191" s="112" t="n"/>
      <c r="G191" s="72" t="n"/>
      <c r="H191" s="74" t="n"/>
      <c r="I191" s="73" t="n"/>
      <c r="J191" s="112" t="n"/>
      <c r="K191" s="108" t="n"/>
      <c r="L191" s="72" t="n"/>
      <c r="M191" s="108" t="n"/>
      <c r="N191" s="72" t="n"/>
      <c r="O191" s="79">
        <f>IF(AND(F191&lt;&gt;"",L191&lt;&gt;"Resolved"),1,0)</f>
        <v/>
      </c>
      <c r="P191" s="79">
        <f>IF(F191="","",IF(O191=0,0,IF(H191="High",2,1)))</f>
        <v/>
      </c>
      <c r="Q191" s="111">
        <f>IF(O191=1,IF(K191&lt;&gt;"",K191,IF(H191="High",AsOf,"")),"")</f>
        <v/>
      </c>
      <c r="R191" s="79">
        <f>IF(Q191="","",IF(H191="High",1,IF(Q191="","",IF(Q191&lt;AsOf,1,IF(Q191&lt;=AsOf+AlertDays,2,IF(Q191&lt;=AsOf+2*AlertDays,3,""))))))</f>
        <v/>
      </c>
      <c r="S191" s="79">
        <f>IF(R191="","",IF(H191="High","High-severity issue: ",IF(C191="Punch item","Punch item: ","Issue action due: "))&amp;F191&amp;IF(J191="",""," → "&amp;J191))</f>
        <v/>
      </c>
      <c r="T191" s="79">
        <f>IF(O191=1,IF(I191="",0,I191),0)</f>
        <v/>
      </c>
      <c r="U191" s="79">
        <f>IF(AND(O191=1,H191="High"),1,0)</f>
        <v/>
      </c>
      <c r="V191" s="79">
        <f>IF(AND(O191=1,C191="Punch item"),1,0)</f>
        <v/>
      </c>
    </row>
    <row r="192" ht="24" customHeight="1">
      <c r="B192" s="125" t="n">
        <v>185</v>
      </c>
      <c r="C192" s="72" t="n"/>
      <c r="D192" s="108" t="n"/>
      <c r="E192" s="72" t="n"/>
      <c r="F192" s="112" t="n"/>
      <c r="G192" s="72" t="n"/>
      <c r="H192" s="74" t="n"/>
      <c r="I192" s="73" t="n"/>
      <c r="J192" s="112" t="n"/>
      <c r="K192" s="108" t="n"/>
      <c r="L192" s="72" t="n"/>
      <c r="M192" s="108" t="n"/>
      <c r="N192" s="72" t="n"/>
      <c r="O192" s="79">
        <f>IF(AND(F192&lt;&gt;"",L192&lt;&gt;"Resolved"),1,0)</f>
        <v/>
      </c>
      <c r="P192" s="79">
        <f>IF(F192="","",IF(O192=0,0,IF(H192="High",2,1)))</f>
        <v/>
      </c>
      <c r="Q192" s="111">
        <f>IF(O192=1,IF(K192&lt;&gt;"",K192,IF(H192="High",AsOf,"")),"")</f>
        <v/>
      </c>
      <c r="R192" s="79">
        <f>IF(Q192="","",IF(H192="High",1,IF(Q192="","",IF(Q192&lt;AsOf,1,IF(Q192&lt;=AsOf+AlertDays,2,IF(Q192&lt;=AsOf+2*AlertDays,3,""))))))</f>
        <v/>
      </c>
      <c r="S192" s="79">
        <f>IF(R192="","",IF(H192="High","High-severity issue: ",IF(C192="Punch item","Punch item: ","Issue action due: "))&amp;F192&amp;IF(J192="",""," → "&amp;J192))</f>
        <v/>
      </c>
      <c r="T192" s="79">
        <f>IF(O192=1,IF(I192="",0,I192),0)</f>
        <v/>
      </c>
      <c r="U192" s="79">
        <f>IF(AND(O192=1,H192="High"),1,0)</f>
        <v/>
      </c>
      <c r="V192" s="79">
        <f>IF(AND(O192=1,C192="Punch item"),1,0)</f>
        <v/>
      </c>
    </row>
    <row r="193" ht="24" customHeight="1">
      <c r="B193" s="125" t="n">
        <v>186</v>
      </c>
      <c r="C193" s="72" t="n"/>
      <c r="D193" s="108" t="n"/>
      <c r="E193" s="72" t="n"/>
      <c r="F193" s="112" t="n"/>
      <c r="G193" s="72" t="n"/>
      <c r="H193" s="74" t="n"/>
      <c r="I193" s="73" t="n"/>
      <c r="J193" s="112" t="n"/>
      <c r="K193" s="108" t="n"/>
      <c r="L193" s="72" t="n"/>
      <c r="M193" s="108" t="n"/>
      <c r="N193" s="72" t="n"/>
      <c r="O193" s="79">
        <f>IF(AND(F193&lt;&gt;"",L193&lt;&gt;"Resolved"),1,0)</f>
        <v/>
      </c>
      <c r="P193" s="79">
        <f>IF(F193="","",IF(O193=0,0,IF(H193="High",2,1)))</f>
        <v/>
      </c>
      <c r="Q193" s="111">
        <f>IF(O193=1,IF(K193&lt;&gt;"",K193,IF(H193="High",AsOf,"")),"")</f>
        <v/>
      </c>
      <c r="R193" s="79">
        <f>IF(Q193="","",IF(H193="High",1,IF(Q193="","",IF(Q193&lt;AsOf,1,IF(Q193&lt;=AsOf+AlertDays,2,IF(Q193&lt;=AsOf+2*AlertDays,3,""))))))</f>
        <v/>
      </c>
      <c r="S193" s="79">
        <f>IF(R193="","",IF(H193="High","High-severity issue: ",IF(C193="Punch item","Punch item: ","Issue action due: "))&amp;F193&amp;IF(J193="",""," → "&amp;J193))</f>
        <v/>
      </c>
      <c r="T193" s="79">
        <f>IF(O193=1,IF(I193="",0,I193),0)</f>
        <v/>
      </c>
      <c r="U193" s="79">
        <f>IF(AND(O193=1,H193="High"),1,0)</f>
        <v/>
      </c>
      <c r="V193" s="79">
        <f>IF(AND(O193=1,C193="Punch item"),1,0)</f>
        <v/>
      </c>
    </row>
    <row r="194" ht="24" customHeight="1">
      <c r="B194" s="125" t="n">
        <v>187</v>
      </c>
      <c r="C194" s="72" t="n"/>
      <c r="D194" s="108" t="n"/>
      <c r="E194" s="72" t="n"/>
      <c r="F194" s="112" t="n"/>
      <c r="G194" s="72" t="n"/>
      <c r="H194" s="74" t="n"/>
      <c r="I194" s="73" t="n"/>
      <c r="J194" s="112" t="n"/>
      <c r="K194" s="108" t="n"/>
      <c r="L194" s="72" t="n"/>
      <c r="M194" s="108" t="n"/>
      <c r="N194" s="72" t="n"/>
      <c r="O194" s="79">
        <f>IF(AND(F194&lt;&gt;"",L194&lt;&gt;"Resolved"),1,0)</f>
        <v/>
      </c>
      <c r="P194" s="79">
        <f>IF(F194="","",IF(O194=0,0,IF(H194="High",2,1)))</f>
        <v/>
      </c>
      <c r="Q194" s="111">
        <f>IF(O194=1,IF(K194&lt;&gt;"",K194,IF(H194="High",AsOf,"")),"")</f>
        <v/>
      </c>
      <c r="R194" s="79">
        <f>IF(Q194="","",IF(H194="High",1,IF(Q194="","",IF(Q194&lt;AsOf,1,IF(Q194&lt;=AsOf+AlertDays,2,IF(Q194&lt;=AsOf+2*AlertDays,3,""))))))</f>
        <v/>
      </c>
      <c r="S194" s="79">
        <f>IF(R194="","",IF(H194="High","High-severity issue: ",IF(C194="Punch item","Punch item: ","Issue action due: "))&amp;F194&amp;IF(J194="",""," → "&amp;J194))</f>
        <v/>
      </c>
      <c r="T194" s="79">
        <f>IF(O194=1,IF(I194="",0,I194),0)</f>
        <v/>
      </c>
      <c r="U194" s="79">
        <f>IF(AND(O194=1,H194="High"),1,0)</f>
        <v/>
      </c>
      <c r="V194" s="79">
        <f>IF(AND(O194=1,C194="Punch item"),1,0)</f>
        <v/>
      </c>
    </row>
    <row r="195" ht="24" customHeight="1">
      <c r="B195" s="125" t="n">
        <v>188</v>
      </c>
      <c r="C195" s="72" t="n"/>
      <c r="D195" s="108" t="n"/>
      <c r="E195" s="72" t="n"/>
      <c r="F195" s="112" t="n"/>
      <c r="G195" s="72" t="n"/>
      <c r="H195" s="74" t="n"/>
      <c r="I195" s="73" t="n"/>
      <c r="J195" s="112" t="n"/>
      <c r="K195" s="108" t="n"/>
      <c r="L195" s="72" t="n"/>
      <c r="M195" s="108" t="n"/>
      <c r="N195" s="72" t="n"/>
      <c r="O195" s="79">
        <f>IF(AND(F195&lt;&gt;"",L195&lt;&gt;"Resolved"),1,0)</f>
        <v/>
      </c>
      <c r="P195" s="79">
        <f>IF(F195="","",IF(O195=0,0,IF(H195="High",2,1)))</f>
        <v/>
      </c>
      <c r="Q195" s="111">
        <f>IF(O195=1,IF(K195&lt;&gt;"",K195,IF(H195="High",AsOf,"")),"")</f>
        <v/>
      </c>
      <c r="R195" s="79">
        <f>IF(Q195="","",IF(H195="High",1,IF(Q195="","",IF(Q195&lt;AsOf,1,IF(Q195&lt;=AsOf+AlertDays,2,IF(Q195&lt;=AsOf+2*AlertDays,3,""))))))</f>
        <v/>
      </c>
      <c r="S195" s="79">
        <f>IF(R195="","",IF(H195="High","High-severity issue: ",IF(C195="Punch item","Punch item: ","Issue action due: "))&amp;F195&amp;IF(J195="",""," → "&amp;J195))</f>
        <v/>
      </c>
      <c r="T195" s="79">
        <f>IF(O195=1,IF(I195="",0,I195),0)</f>
        <v/>
      </c>
      <c r="U195" s="79">
        <f>IF(AND(O195=1,H195="High"),1,0)</f>
        <v/>
      </c>
      <c r="V195" s="79">
        <f>IF(AND(O195=1,C195="Punch item"),1,0)</f>
        <v/>
      </c>
    </row>
    <row r="196" ht="24" customHeight="1">
      <c r="B196" s="125" t="n">
        <v>189</v>
      </c>
      <c r="C196" s="72" t="n"/>
      <c r="D196" s="108" t="n"/>
      <c r="E196" s="72" t="n"/>
      <c r="F196" s="112" t="n"/>
      <c r="G196" s="72" t="n"/>
      <c r="H196" s="74" t="n"/>
      <c r="I196" s="73" t="n"/>
      <c r="J196" s="112" t="n"/>
      <c r="K196" s="108" t="n"/>
      <c r="L196" s="72" t="n"/>
      <c r="M196" s="108" t="n"/>
      <c r="N196" s="72" t="n"/>
      <c r="O196" s="79">
        <f>IF(AND(F196&lt;&gt;"",L196&lt;&gt;"Resolved"),1,0)</f>
        <v/>
      </c>
      <c r="P196" s="79">
        <f>IF(F196="","",IF(O196=0,0,IF(H196="High",2,1)))</f>
        <v/>
      </c>
      <c r="Q196" s="111">
        <f>IF(O196=1,IF(K196&lt;&gt;"",K196,IF(H196="High",AsOf,"")),"")</f>
        <v/>
      </c>
      <c r="R196" s="79">
        <f>IF(Q196="","",IF(H196="High",1,IF(Q196="","",IF(Q196&lt;AsOf,1,IF(Q196&lt;=AsOf+AlertDays,2,IF(Q196&lt;=AsOf+2*AlertDays,3,""))))))</f>
        <v/>
      </c>
      <c r="S196" s="79">
        <f>IF(R196="","",IF(H196="High","High-severity issue: ",IF(C196="Punch item","Punch item: ","Issue action due: "))&amp;F196&amp;IF(J196="",""," → "&amp;J196))</f>
        <v/>
      </c>
      <c r="T196" s="79">
        <f>IF(O196=1,IF(I196="",0,I196),0)</f>
        <v/>
      </c>
      <c r="U196" s="79">
        <f>IF(AND(O196=1,H196="High"),1,0)</f>
        <v/>
      </c>
      <c r="V196" s="79">
        <f>IF(AND(O196=1,C196="Punch item"),1,0)</f>
        <v/>
      </c>
    </row>
    <row r="197" ht="24" customHeight="1">
      <c r="B197" s="125" t="n">
        <v>190</v>
      </c>
      <c r="C197" s="72" t="n"/>
      <c r="D197" s="108" t="n"/>
      <c r="E197" s="72" t="n"/>
      <c r="F197" s="112" t="n"/>
      <c r="G197" s="72" t="n"/>
      <c r="H197" s="74" t="n"/>
      <c r="I197" s="73" t="n"/>
      <c r="J197" s="112" t="n"/>
      <c r="K197" s="108" t="n"/>
      <c r="L197" s="72" t="n"/>
      <c r="M197" s="108" t="n"/>
      <c r="N197" s="72" t="n"/>
      <c r="O197" s="79">
        <f>IF(AND(F197&lt;&gt;"",L197&lt;&gt;"Resolved"),1,0)</f>
        <v/>
      </c>
      <c r="P197" s="79">
        <f>IF(F197="","",IF(O197=0,0,IF(H197="High",2,1)))</f>
        <v/>
      </c>
      <c r="Q197" s="111">
        <f>IF(O197=1,IF(K197&lt;&gt;"",K197,IF(H197="High",AsOf,"")),"")</f>
        <v/>
      </c>
      <c r="R197" s="79">
        <f>IF(Q197="","",IF(H197="High",1,IF(Q197="","",IF(Q197&lt;AsOf,1,IF(Q197&lt;=AsOf+AlertDays,2,IF(Q197&lt;=AsOf+2*AlertDays,3,""))))))</f>
        <v/>
      </c>
      <c r="S197" s="79">
        <f>IF(R197="","",IF(H197="High","High-severity issue: ",IF(C197="Punch item","Punch item: ","Issue action due: "))&amp;F197&amp;IF(J197="",""," → "&amp;J197))</f>
        <v/>
      </c>
      <c r="T197" s="79">
        <f>IF(O197=1,IF(I197="",0,I197),0)</f>
        <v/>
      </c>
      <c r="U197" s="79">
        <f>IF(AND(O197=1,H197="High"),1,0)</f>
        <v/>
      </c>
      <c r="V197" s="79">
        <f>IF(AND(O197=1,C197="Punch item"),1,0)</f>
        <v/>
      </c>
    </row>
    <row r="198" ht="24" customHeight="1">
      <c r="B198" s="125" t="n">
        <v>191</v>
      </c>
      <c r="C198" s="72" t="n"/>
      <c r="D198" s="108" t="n"/>
      <c r="E198" s="72" t="n"/>
      <c r="F198" s="112" t="n"/>
      <c r="G198" s="72" t="n"/>
      <c r="H198" s="74" t="n"/>
      <c r="I198" s="73" t="n"/>
      <c r="J198" s="112" t="n"/>
      <c r="K198" s="108" t="n"/>
      <c r="L198" s="72" t="n"/>
      <c r="M198" s="108" t="n"/>
      <c r="N198" s="72" t="n"/>
      <c r="O198" s="79">
        <f>IF(AND(F198&lt;&gt;"",L198&lt;&gt;"Resolved"),1,0)</f>
        <v/>
      </c>
      <c r="P198" s="79">
        <f>IF(F198="","",IF(O198=0,0,IF(H198="High",2,1)))</f>
        <v/>
      </c>
      <c r="Q198" s="111">
        <f>IF(O198=1,IF(K198&lt;&gt;"",K198,IF(H198="High",AsOf,"")),"")</f>
        <v/>
      </c>
      <c r="R198" s="79">
        <f>IF(Q198="","",IF(H198="High",1,IF(Q198="","",IF(Q198&lt;AsOf,1,IF(Q198&lt;=AsOf+AlertDays,2,IF(Q198&lt;=AsOf+2*AlertDays,3,""))))))</f>
        <v/>
      </c>
      <c r="S198" s="79">
        <f>IF(R198="","",IF(H198="High","High-severity issue: ",IF(C198="Punch item","Punch item: ","Issue action due: "))&amp;F198&amp;IF(J198="",""," → "&amp;J198))</f>
        <v/>
      </c>
      <c r="T198" s="79">
        <f>IF(O198=1,IF(I198="",0,I198),0)</f>
        <v/>
      </c>
      <c r="U198" s="79">
        <f>IF(AND(O198=1,H198="High"),1,0)</f>
        <v/>
      </c>
      <c r="V198" s="79">
        <f>IF(AND(O198=1,C198="Punch item"),1,0)</f>
        <v/>
      </c>
    </row>
    <row r="199" ht="24" customHeight="1">
      <c r="B199" s="125" t="n">
        <v>192</v>
      </c>
      <c r="C199" s="72" t="n"/>
      <c r="D199" s="108" t="n"/>
      <c r="E199" s="72" t="n"/>
      <c r="F199" s="112" t="n"/>
      <c r="G199" s="72" t="n"/>
      <c r="H199" s="74" t="n"/>
      <c r="I199" s="73" t="n"/>
      <c r="J199" s="112" t="n"/>
      <c r="K199" s="108" t="n"/>
      <c r="L199" s="72" t="n"/>
      <c r="M199" s="108" t="n"/>
      <c r="N199" s="72" t="n"/>
      <c r="O199" s="79">
        <f>IF(AND(F199&lt;&gt;"",L199&lt;&gt;"Resolved"),1,0)</f>
        <v/>
      </c>
      <c r="P199" s="79">
        <f>IF(F199="","",IF(O199=0,0,IF(H199="High",2,1)))</f>
        <v/>
      </c>
      <c r="Q199" s="111">
        <f>IF(O199=1,IF(K199&lt;&gt;"",K199,IF(H199="High",AsOf,"")),"")</f>
        <v/>
      </c>
      <c r="R199" s="79">
        <f>IF(Q199="","",IF(H199="High",1,IF(Q199="","",IF(Q199&lt;AsOf,1,IF(Q199&lt;=AsOf+AlertDays,2,IF(Q199&lt;=AsOf+2*AlertDays,3,""))))))</f>
        <v/>
      </c>
      <c r="S199" s="79">
        <f>IF(R199="","",IF(H199="High","High-severity issue: ",IF(C199="Punch item","Punch item: ","Issue action due: "))&amp;F199&amp;IF(J199="",""," → "&amp;J199))</f>
        <v/>
      </c>
      <c r="T199" s="79">
        <f>IF(O199=1,IF(I199="",0,I199),0)</f>
        <v/>
      </c>
      <c r="U199" s="79">
        <f>IF(AND(O199=1,H199="High"),1,0)</f>
        <v/>
      </c>
      <c r="V199" s="79">
        <f>IF(AND(O199=1,C199="Punch item"),1,0)</f>
        <v/>
      </c>
    </row>
    <row r="200" ht="24" customHeight="1">
      <c r="B200" s="125" t="n">
        <v>193</v>
      </c>
      <c r="C200" s="72" t="n"/>
      <c r="D200" s="108" t="n"/>
      <c r="E200" s="72" t="n"/>
      <c r="F200" s="112" t="n"/>
      <c r="G200" s="72" t="n"/>
      <c r="H200" s="74" t="n"/>
      <c r="I200" s="73" t="n"/>
      <c r="J200" s="112" t="n"/>
      <c r="K200" s="108" t="n"/>
      <c r="L200" s="72" t="n"/>
      <c r="M200" s="108" t="n"/>
      <c r="N200" s="72" t="n"/>
      <c r="O200" s="79">
        <f>IF(AND(F200&lt;&gt;"",L200&lt;&gt;"Resolved"),1,0)</f>
        <v/>
      </c>
      <c r="P200" s="79">
        <f>IF(F200="","",IF(O200=0,0,IF(H200="High",2,1)))</f>
        <v/>
      </c>
      <c r="Q200" s="111">
        <f>IF(O200=1,IF(K200&lt;&gt;"",K200,IF(H200="High",AsOf,"")),"")</f>
        <v/>
      </c>
      <c r="R200" s="79">
        <f>IF(Q200="","",IF(H200="High",1,IF(Q200="","",IF(Q200&lt;AsOf,1,IF(Q200&lt;=AsOf+AlertDays,2,IF(Q200&lt;=AsOf+2*AlertDays,3,""))))))</f>
        <v/>
      </c>
      <c r="S200" s="79">
        <f>IF(R200="","",IF(H200="High","High-severity issue: ",IF(C200="Punch item","Punch item: ","Issue action due: "))&amp;F200&amp;IF(J200="",""," → "&amp;J200))</f>
        <v/>
      </c>
      <c r="T200" s="79">
        <f>IF(O200=1,IF(I200="",0,I200),0)</f>
        <v/>
      </c>
      <c r="U200" s="79">
        <f>IF(AND(O200=1,H200="High"),1,0)</f>
        <v/>
      </c>
      <c r="V200" s="79">
        <f>IF(AND(O200=1,C200="Punch item"),1,0)</f>
        <v/>
      </c>
    </row>
    <row r="201" ht="24" customHeight="1">
      <c r="B201" s="125" t="n">
        <v>194</v>
      </c>
      <c r="C201" s="72" t="n"/>
      <c r="D201" s="108" t="n"/>
      <c r="E201" s="72" t="n"/>
      <c r="F201" s="112" t="n"/>
      <c r="G201" s="72" t="n"/>
      <c r="H201" s="74" t="n"/>
      <c r="I201" s="73" t="n"/>
      <c r="J201" s="112" t="n"/>
      <c r="K201" s="108" t="n"/>
      <c r="L201" s="72" t="n"/>
      <c r="M201" s="108" t="n"/>
      <c r="N201" s="72" t="n"/>
      <c r="O201" s="79">
        <f>IF(AND(F201&lt;&gt;"",L201&lt;&gt;"Resolved"),1,0)</f>
        <v/>
      </c>
      <c r="P201" s="79">
        <f>IF(F201="","",IF(O201=0,0,IF(H201="High",2,1)))</f>
        <v/>
      </c>
      <c r="Q201" s="111">
        <f>IF(O201=1,IF(K201&lt;&gt;"",K201,IF(H201="High",AsOf,"")),"")</f>
        <v/>
      </c>
      <c r="R201" s="79">
        <f>IF(Q201="","",IF(H201="High",1,IF(Q201="","",IF(Q201&lt;AsOf,1,IF(Q201&lt;=AsOf+AlertDays,2,IF(Q201&lt;=AsOf+2*AlertDays,3,""))))))</f>
        <v/>
      </c>
      <c r="S201" s="79">
        <f>IF(R201="","",IF(H201="High","High-severity issue: ",IF(C201="Punch item","Punch item: ","Issue action due: "))&amp;F201&amp;IF(J201="",""," → "&amp;J201))</f>
        <v/>
      </c>
      <c r="T201" s="79">
        <f>IF(O201=1,IF(I201="",0,I201),0)</f>
        <v/>
      </c>
      <c r="U201" s="79">
        <f>IF(AND(O201=1,H201="High"),1,0)</f>
        <v/>
      </c>
      <c r="V201" s="79">
        <f>IF(AND(O201=1,C201="Punch item"),1,0)</f>
        <v/>
      </c>
    </row>
    <row r="202" ht="24" customHeight="1">
      <c r="B202" s="125" t="n">
        <v>195</v>
      </c>
      <c r="C202" s="72" t="n"/>
      <c r="D202" s="108" t="n"/>
      <c r="E202" s="72" t="n"/>
      <c r="F202" s="112" t="n"/>
      <c r="G202" s="72" t="n"/>
      <c r="H202" s="74" t="n"/>
      <c r="I202" s="73" t="n"/>
      <c r="J202" s="112" t="n"/>
      <c r="K202" s="108" t="n"/>
      <c r="L202" s="72" t="n"/>
      <c r="M202" s="108" t="n"/>
      <c r="N202" s="72" t="n"/>
      <c r="O202" s="79">
        <f>IF(AND(F202&lt;&gt;"",L202&lt;&gt;"Resolved"),1,0)</f>
        <v/>
      </c>
      <c r="P202" s="79">
        <f>IF(F202="","",IF(O202=0,0,IF(H202="High",2,1)))</f>
        <v/>
      </c>
      <c r="Q202" s="111">
        <f>IF(O202=1,IF(K202&lt;&gt;"",K202,IF(H202="High",AsOf,"")),"")</f>
        <v/>
      </c>
      <c r="R202" s="79">
        <f>IF(Q202="","",IF(H202="High",1,IF(Q202="","",IF(Q202&lt;AsOf,1,IF(Q202&lt;=AsOf+AlertDays,2,IF(Q202&lt;=AsOf+2*AlertDays,3,""))))))</f>
        <v/>
      </c>
      <c r="S202" s="79">
        <f>IF(R202="","",IF(H202="High","High-severity issue: ",IF(C202="Punch item","Punch item: ","Issue action due: "))&amp;F202&amp;IF(J202="",""," → "&amp;J202))</f>
        <v/>
      </c>
      <c r="T202" s="79">
        <f>IF(O202=1,IF(I202="",0,I202),0)</f>
        <v/>
      </c>
      <c r="U202" s="79">
        <f>IF(AND(O202=1,H202="High"),1,0)</f>
        <v/>
      </c>
      <c r="V202" s="79">
        <f>IF(AND(O202=1,C202="Punch item"),1,0)</f>
        <v/>
      </c>
    </row>
    <row r="203" ht="24" customHeight="1">
      <c r="B203" s="125" t="n">
        <v>196</v>
      </c>
      <c r="C203" s="72" t="n"/>
      <c r="D203" s="108" t="n"/>
      <c r="E203" s="72" t="n"/>
      <c r="F203" s="112" t="n"/>
      <c r="G203" s="72" t="n"/>
      <c r="H203" s="74" t="n"/>
      <c r="I203" s="73" t="n"/>
      <c r="J203" s="112" t="n"/>
      <c r="K203" s="108" t="n"/>
      <c r="L203" s="72" t="n"/>
      <c r="M203" s="108" t="n"/>
      <c r="N203" s="72" t="n"/>
      <c r="O203" s="79">
        <f>IF(AND(F203&lt;&gt;"",L203&lt;&gt;"Resolved"),1,0)</f>
        <v/>
      </c>
      <c r="P203" s="79">
        <f>IF(F203="","",IF(O203=0,0,IF(H203="High",2,1)))</f>
        <v/>
      </c>
      <c r="Q203" s="111">
        <f>IF(O203=1,IF(K203&lt;&gt;"",K203,IF(H203="High",AsOf,"")),"")</f>
        <v/>
      </c>
      <c r="R203" s="79">
        <f>IF(Q203="","",IF(H203="High",1,IF(Q203="","",IF(Q203&lt;AsOf,1,IF(Q203&lt;=AsOf+AlertDays,2,IF(Q203&lt;=AsOf+2*AlertDays,3,""))))))</f>
        <v/>
      </c>
      <c r="S203" s="79">
        <f>IF(R203="","",IF(H203="High","High-severity issue: ",IF(C203="Punch item","Punch item: ","Issue action due: "))&amp;F203&amp;IF(J203="",""," → "&amp;J203))</f>
        <v/>
      </c>
      <c r="T203" s="79">
        <f>IF(O203=1,IF(I203="",0,I203),0)</f>
        <v/>
      </c>
      <c r="U203" s="79">
        <f>IF(AND(O203=1,H203="High"),1,0)</f>
        <v/>
      </c>
      <c r="V203" s="79">
        <f>IF(AND(O203=1,C203="Punch item"),1,0)</f>
        <v/>
      </c>
    </row>
    <row r="204" ht="24" customHeight="1">
      <c r="B204" s="125" t="n">
        <v>197</v>
      </c>
      <c r="C204" s="72" t="n"/>
      <c r="D204" s="108" t="n"/>
      <c r="E204" s="72" t="n"/>
      <c r="F204" s="112" t="n"/>
      <c r="G204" s="72" t="n"/>
      <c r="H204" s="74" t="n"/>
      <c r="I204" s="73" t="n"/>
      <c r="J204" s="112" t="n"/>
      <c r="K204" s="108" t="n"/>
      <c r="L204" s="72" t="n"/>
      <c r="M204" s="108" t="n"/>
      <c r="N204" s="72" t="n"/>
      <c r="O204" s="79">
        <f>IF(AND(F204&lt;&gt;"",L204&lt;&gt;"Resolved"),1,0)</f>
        <v/>
      </c>
      <c r="P204" s="79">
        <f>IF(F204="","",IF(O204=0,0,IF(H204="High",2,1)))</f>
        <v/>
      </c>
      <c r="Q204" s="111">
        <f>IF(O204=1,IF(K204&lt;&gt;"",K204,IF(H204="High",AsOf,"")),"")</f>
        <v/>
      </c>
      <c r="R204" s="79">
        <f>IF(Q204="","",IF(H204="High",1,IF(Q204="","",IF(Q204&lt;AsOf,1,IF(Q204&lt;=AsOf+AlertDays,2,IF(Q204&lt;=AsOf+2*AlertDays,3,""))))))</f>
        <v/>
      </c>
      <c r="S204" s="79">
        <f>IF(R204="","",IF(H204="High","High-severity issue: ",IF(C204="Punch item","Punch item: ","Issue action due: "))&amp;F204&amp;IF(J204="",""," → "&amp;J204))</f>
        <v/>
      </c>
      <c r="T204" s="79">
        <f>IF(O204=1,IF(I204="",0,I204),0)</f>
        <v/>
      </c>
      <c r="U204" s="79">
        <f>IF(AND(O204=1,H204="High"),1,0)</f>
        <v/>
      </c>
      <c r="V204" s="79">
        <f>IF(AND(O204=1,C204="Punch item"),1,0)</f>
        <v/>
      </c>
    </row>
    <row r="205" ht="24" customHeight="1">
      <c r="B205" s="125" t="n">
        <v>198</v>
      </c>
      <c r="C205" s="72" t="n"/>
      <c r="D205" s="108" t="n"/>
      <c r="E205" s="72" t="n"/>
      <c r="F205" s="112" t="n"/>
      <c r="G205" s="72" t="n"/>
      <c r="H205" s="74" t="n"/>
      <c r="I205" s="73" t="n"/>
      <c r="J205" s="112" t="n"/>
      <c r="K205" s="108" t="n"/>
      <c r="L205" s="72" t="n"/>
      <c r="M205" s="108" t="n"/>
      <c r="N205" s="72" t="n"/>
      <c r="O205" s="79">
        <f>IF(AND(F205&lt;&gt;"",L205&lt;&gt;"Resolved"),1,0)</f>
        <v/>
      </c>
      <c r="P205" s="79">
        <f>IF(F205="","",IF(O205=0,0,IF(H205="High",2,1)))</f>
        <v/>
      </c>
      <c r="Q205" s="111">
        <f>IF(O205=1,IF(K205&lt;&gt;"",K205,IF(H205="High",AsOf,"")),"")</f>
        <v/>
      </c>
      <c r="R205" s="79">
        <f>IF(Q205="","",IF(H205="High",1,IF(Q205="","",IF(Q205&lt;AsOf,1,IF(Q205&lt;=AsOf+AlertDays,2,IF(Q205&lt;=AsOf+2*AlertDays,3,""))))))</f>
        <v/>
      </c>
      <c r="S205" s="79">
        <f>IF(R205="","",IF(H205="High","High-severity issue: ",IF(C205="Punch item","Punch item: ","Issue action due: "))&amp;F205&amp;IF(J205="",""," → "&amp;J205))</f>
        <v/>
      </c>
      <c r="T205" s="79">
        <f>IF(O205=1,IF(I205="",0,I205),0)</f>
        <v/>
      </c>
      <c r="U205" s="79">
        <f>IF(AND(O205=1,H205="High"),1,0)</f>
        <v/>
      </c>
      <c r="V205" s="79">
        <f>IF(AND(O205=1,C205="Punch item"),1,0)</f>
        <v/>
      </c>
    </row>
    <row r="206" ht="24" customHeight="1">
      <c r="B206" s="125" t="n">
        <v>199</v>
      </c>
      <c r="C206" s="72" t="n"/>
      <c r="D206" s="108" t="n"/>
      <c r="E206" s="72" t="n"/>
      <c r="F206" s="112" t="n"/>
      <c r="G206" s="72" t="n"/>
      <c r="H206" s="74" t="n"/>
      <c r="I206" s="73" t="n"/>
      <c r="J206" s="112" t="n"/>
      <c r="K206" s="108" t="n"/>
      <c r="L206" s="72" t="n"/>
      <c r="M206" s="108" t="n"/>
      <c r="N206" s="72" t="n"/>
      <c r="O206" s="79">
        <f>IF(AND(F206&lt;&gt;"",L206&lt;&gt;"Resolved"),1,0)</f>
        <v/>
      </c>
      <c r="P206" s="79">
        <f>IF(F206="","",IF(O206=0,0,IF(H206="High",2,1)))</f>
        <v/>
      </c>
      <c r="Q206" s="111">
        <f>IF(O206=1,IF(K206&lt;&gt;"",K206,IF(H206="High",AsOf,"")),"")</f>
        <v/>
      </c>
      <c r="R206" s="79">
        <f>IF(Q206="","",IF(H206="High",1,IF(Q206="","",IF(Q206&lt;AsOf,1,IF(Q206&lt;=AsOf+AlertDays,2,IF(Q206&lt;=AsOf+2*AlertDays,3,""))))))</f>
        <v/>
      </c>
      <c r="S206" s="79">
        <f>IF(R206="","",IF(H206="High","High-severity issue: ",IF(C206="Punch item","Punch item: ","Issue action due: "))&amp;F206&amp;IF(J206="",""," → "&amp;J206))</f>
        <v/>
      </c>
      <c r="T206" s="79">
        <f>IF(O206=1,IF(I206="",0,I206),0)</f>
        <v/>
      </c>
      <c r="U206" s="79">
        <f>IF(AND(O206=1,H206="High"),1,0)</f>
        <v/>
      </c>
      <c r="V206" s="79">
        <f>IF(AND(O206=1,C206="Punch item"),1,0)</f>
        <v/>
      </c>
    </row>
    <row r="207" ht="24" customHeight="1">
      <c r="B207" s="125" t="n">
        <v>200</v>
      </c>
      <c r="C207" s="72" t="n"/>
      <c r="D207" s="108" t="n"/>
      <c r="E207" s="72" t="n"/>
      <c r="F207" s="112" t="n"/>
      <c r="G207" s="72" t="n"/>
      <c r="H207" s="74" t="n"/>
      <c r="I207" s="73" t="n"/>
      <c r="J207" s="112" t="n"/>
      <c r="K207" s="108" t="n"/>
      <c r="L207" s="72" t="n"/>
      <c r="M207" s="108" t="n"/>
      <c r="N207" s="72" t="n"/>
      <c r="O207" s="79">
        <f>IF(AND(F207&lt;&gt;"",L207&lt;&gt;"Resolved"),1,0)</f>
        <v/>
      </c>
      <c r="P207" s="79">
        <f>IF(F207="","",IF(O207=0,0,IF(H207="High",2,1)))</f>
        <v/>
      </c>
      <c r="Q207" s="111">
        <f>IF(O207=1,IF(K207&lt;&gt;"",K207,IF(H207="High",AsOf,"")),"")</f>
        <v/>
      </c>
      <c r="R207" s="79">
        <f>IF(Q207="","",IF(H207="High",1,IF(Q207="","",IF(Q207&lt;AsOf,1,IF(Q207&lt;=AsOf+AlertDays,2,IF(Q207&lt;=AsOf+2*AlertDays,3,""))))))</f>
        <v/>
      </c>
      <c r="S207" s="79">
        <f>IF(R207="","",IF(H207="High","High-severity issue: ",IF(C207="Punch item","Punch item: ","Issue action due: "))&amp;F207&amp;IF(J207="",""," → "&amp;J207))</f>
        <v/>
      </c>
      <c r="T207" s="79">
        <f>IF(O207=1,IF(I207="",0,I207),0)</f>
        <v/>
      </c>
      <c r="U207" s="79">
        <f>IF(AND(O207=1,H207="High"),1,0)</f>
        <v/>
      </c>
      <c r="V207" s="79">
        <f>IF(AND(O207=1,C207="Punch item"),1,0)</f>
        <v/>
      </c>
    </row>
  </sheetData>
  <sheetProtection selectLockedCells="1" selectUnlockedCells="0" sheet="1" objects="0" insertRows="1" insertHyperlinks="1" autoFilter="1" scenarios="0" formatColumns="0" deleteColumns="1" insertColumns="1" pivotTables="1" deleteRows="1" formatCells="1" formatRows="0" sort="1" password="CD61"/>
  <mergeCells count="6">
    <mergeCell ref="I4:J4"/>
    <mergeCell ref="B5:C5"/>
    <mergeCell ref="D5:E5"/>
    <mergeCell ref="I5:J5"/>
    <mergeCell ref="D4:E4"/>
    <mergeCell ref="B4:C4"/>
  </mergeCells>
  <conditionalFormatting sqref="L8:L207">
    <cfRule type="expression" priority="1" dxfId="0" stopIfTrue="0">
      <formula>$P8=2</formula>
    </cfRule>
    <cfRule type="expression" priority="2" dxfId="2" stopIfTrue="0">
      <formula>$P8=1</formula>
    </cfRule>
    <cfRule type="expression" priority="3" dxfId="3" stopIfTrue="0">
      <formula>$P8=0</formula>
    </cfRule>
  </conditionalFormatting>
  <conditionalFormatting sqref="H8:H207">
    <cfRule type="expression" priority="4" dxfId="0" stopIfTrue="0">
      <formula>AND(H8="High",$O8=1)</formula>
    </cfRule>
  </conditionalFormatting>
  <conditionalFormatting sqref="B5">
    <cfRule type="expression" priority="5" dxfId="0" stopIfTrue="0">
      <formula>B5&gt;0</formula>
    </cfRule>
  </conditionalFormatting>
  <conditionalFormatting sqref="D5">
    <cfRule type="expression" priority="6" dxfId="2" stopIfTrue="0">
      <formula>D5&gt;0</formula>
    </cfRule>
  </conditionalFormatting>
  <conditionalFormatting sqref="F5">
    <cfRule type="expression" priority="7" dxfId="2" stopIfTrue="0">
      <formula>F5&gt;0</formula>
    </cfRule>
  </conditionalFormatting>
  <conditionalFormatting sqref="G5">
    <cfRule type="expression" priority="8" dxfId="2" stopIfTrue="0">
      <formula>G5&gt;0</formula>
    </cfRule>
  </conditionalFormatting>
  <conditionalFormatting sqref="I5">
    <cfRule type="expression" priority="9" dxfId="2" stopIfTrue="0">
      <formula>I5&gt;0</formula>
    </cfRule>
  </conditionalFormatting>
  <dataValidations count="5">
    <dataValidation sqref="C8:C207" showDropDown="0" showInputMessage="0" showErrorMessage="1" allowBlank="1" errorTitle="Renovation OS" error="Please pick a value from the dropdown list." type="list">
      <formula1>='Lists'!$I$2:$I$3</formula1>
    </dataValidation>
    <dataValidation sqref="E8:E207" showDropDown="0" showInputMessage="0" showErrorMessage="1" allowBlank="1" errorTitle="Renovation OS" error="Please pick a value from the dropdown list." type="list">
      <formula1>='Lists'!$W$2:$W$12</formula1>
    </dataValidation>
    <dataValidation sqref="G8:G207" showDropDown="0" showInputMessage="0" showErrorMessage="1" allowBlank="1" errorTitle="Renovation OS" error="This name is not in the list. Keep it anyway?" type="list" errorStyle="warning">
      <formula1>='Lists'!$X$2:$X$31</formula1>
    </dataValidation>
    <dataValidation sqref="H8:H207" showDropDown="0" showInputMessage="0" showErrorMessage="1" allowBlank="1" errorTitle="Renovation OS" error="Please pick a value from the dropdown list." type="list">
      <formula1>='Lists'!$J$2:$J$4</formula1>
    </dataValidation>
    <dataValidation sqref="L8:L207" showDropDown="0" showInputMessage="0" showErrorMessage="1" allowBlank="1" errorTitle="Renovation OS" error="Please pick a value from the dropdown list." type="list">
      <formula1>='Lists'!$K$2:$K$4</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6A1B9A"/>
    <outlinePr summaryBelow="1" summaryRight="1"/>
    <pageSetUpPr/>
  </sheetPr>
  <dimension ref="A1:R3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2" customWidth="1" min="3" max="3"/>
    <col width="20" customWidth="1" min="4" max="4"/>
    <col width="14" customWidth="1" min="5" max="5"/>
    <col width="12" customWidth="1" min="6" max="6"/>
    <col width="12" customWidth="1" min="7" max="7"/>
    <col width="30" customWidth="1" min="8" max="8"/>
    <col width="9" customWidth="1" min="9" max="9"/>
    <col width="28" customWidth="1" min="10" max="10"/>
    <col width="3" customWidth="1" min="11" max="11"/>
    <col width="24" customWidth="1" min="12" max="12"/>
    <col width="9" customWidth="1" min="13" max="13"/>
    <col width="11" customWidth="1" min="14" max="14"/>
    <col width="11" customWidth="1" min="15" max="15"/>
    <col width="11" customWidth="1" min="16" max="16"/>
    <col width="19" customWidth="1" min="17" max="17"/>
    <col hidden="1" width="13" customWidth="1" min="18" max="18"/>
  </cols>
  <sheetData>
    <row r="1" ht="36" customHeight="1">
      <c r="B1" s="1" t="inlineStr">
        <is>
          <t>🗄️ Vault</t>
        </is>
      </c>
    </row>
    <row r="2" ht="20" customHeight="1">
      <c r="B2" s="2" t="inlineStr">
        <is>
          <t>What this tab does: an index of every contract, invoice, permit and photo (paste the Drive/OneDrive link) — and a checklist of what is still missing (right →).</t>
        </is>
      </c>
    </row>
    <row r="3">
      <c r="B3" s="3" t="inlineStr">
        <is>
          <t>© 2026 Hang Nguyen — Renovation OS. Licensed to the original purchaser for personal use only. Do not share, copy, resell or redistribute.</t>
        </is>
      </c>
    </row>
    <row r="4">
      <c r="L4" s="4" t="inlineStr">
        <is>
          <t>DOCUMENTS YOU SHOULD HAVE (signed contractors)</t>
        </is>
      </c>
      <c r="M4" s="5" t="n"/>
      <c r="N4" s="5" t="n"/>
      <c r="O4" s="5" t="n"/>
      <c r="P4" s="5" t="n"/>
      <c r="Q4" s="5" t="n"/>
      <c r="R4" s="5" t="n"/>
    </row>
    <row r="5" ht="32" customHeight="1">
      <c r="B5" s="52" t="inlineStr">
        <is>
          <t>Document / photo</t>
        </is>
      </c>
      <c r="C5" s="52" t="inlineStr">
        <is>
          <t>Type</t>
        </is>
      </c>
      <c r="D5" s="52" t="inlineStr">
        <is>
          <t>Contractor</t>
        </is>
      </c>
      <c r="E5" s="52" t="inlineStr">
        <is>
          <t>Room</t>
        </is>
      </c>
      <c r="F5" s="52" t="inlineStr">
        <is>
          <t>Stage</t>
        </is>
      </c>
      <c r="G5" s="52" t="inlineStr">
        <is>
          <t>Date</t>
        </is>
      </c>
      <c r="H5" s="52" t="inlineStr">
        <is>
          <t>Link (Drive / OneDrive / Dropbox)</t>
        </is>
      </c>
      <c r="I5" s="52" t="inlineStr">
        <is>
          <t>Open</t>
        </is>
      </c>
      <c r="J5" s="52" t="inlineStr">
        <is>
          <t>Notes</t>
        </is>
      </c>
      <c r="L5" s="52" t="inlineStr">
        <is>
          <t>Contractor</t>
        </is>
      </c>
      <c r="M5" s="52" t="inlineStr">
        <is>
          <t>Signed?</t>
        </is>
      </c>
      <c r="N5" s="52" t="inlineStr">
        <is>
          <t>Contract</t>
        </is>
      </c>
      <c r="O5" s="52" t="inlineStr">
        <is>
          <t>Insurance</t>
        </is>
      </c>
      <c r="P5" s="52" t="inlineStr">
        <is>
          <t>Quote</t>
        </is>
      </c>
      <c r="Q5" s="52" t="inlineStr">
        <is>
          <t>Status</t>
        </is>
      </c>
      <c r="R5" s="71" t="inlineStr">
        <is>
          <t>lvl</t>
        </is>
      </c>
    </row>
    <row r="6" ht="20" customHeight="1">
      <c r="B6" s="72" t="inlineStr">
        <is>
          <t>Architect contract</t>
        </is>
      </c>
      <c r="C6" s="72" t="inlineStr">
        <is>
          <t>Contract</t>
        </is>
      </c>
      <c r="D6" s="72" t="inlineStr">
        <is>
          <t>GreenPlan Architects</t>
        </is>
      </c>
      <c r="E6" s="72" t="n"/>
      <c r="F6" s="72" t="n"/>
      <c r="G6" s="108" t="n">
        <v>46073</v>
      </c>
      <c r="H6" s="72" t="inlineStr">
        <is>
          <t>https://drive.google.com/example-greenplan-contract</t>
        </is>
      </c>
      <c r="I6" s="78">
        <f>IF(H6="","",HYPERLINK(H6,"Open ↗"))</f>
        <v/>
      </c>
      <c r="J6" s="72" t="n"/>
      <c r="L6" s="115">
        <f>IF('Contractors'!B6="","",'Contractors'!B6)</f>
        <v/>
      </c>
      <c r="M6" s="78">
        <f>IF(L6="","",'Contractors'!L6)</f>
        <v/>
      </c>
      <c r="N6" s="78">
        <f>IF(OR(L6="",M6&lt;&gt;"Yes"),"",IF(COUNTIFS('Vault'!$C$6:$C$305,"Contract",'Vault'!$D$6:$D$305,L6)&gt;0,"✓","✗ missing"))</f>
        <v/>
      </c>
      <c r="O6" s="78">
        <f>IF(OR(L6="",M6&lt;&gt;"Yes"),"",IF(COUNTIFS('Vault'!$C$6:$C$305,"Insurance",'Vault'!$D$6:$D$305,L6)&gt;0,"✓","✗ missing"))</f>
        <v/>
      </c>
      <c r="P6" s="78">
        <f>IF(OR(L6="",M6&lt;&gt;"Yes"),"",IF(COUNTIFS('Vault'!$C$6:$C$305,"Quote",'Vault'!$D$6:$D$305,L6)&gt;0,"✓","✗ missing"))</f>
        <v/>
      </c>
      <c r="Q6" s="78">
        <f>IF(N6="","",IF(AND(N6="✓",O6="✓",P6="✓"),"✓ Complete","Missing documents"))</f>
        <v/>
      </c>
      <c r="R6" s="79">
        <f>IF(Q6="","",IF(Q6="✓ Complete",0,1))</f>
        <v/>
      </c>
    </row>
    <row r="7" ht="20" customHeight="1">
      <c r="B7" s="72" t="inlineStr">
        <is>
          <t>Design drawings rev C</t>
        </is>
      </c>
      <c r="C7" s="72" t="inlineStr">
        <is>
          <t>Plan</t>
        </is>
      </c>
      <c r="D7" s="72" t="inlineStr">
        <is>
          <t>GreenPlan Architects</t>
        </is>
      </c>
      <c r="E7" s="72" t="n"/>
      <c r="F7" s="72" t="n"/>
      <c r="G7" s="108" t="n">
        <v>46101</v>
      </c>
      <c r="H7" s="72" t="inlineStr">
        <is>
          <t>https://drive.google.com/example-plans</t>
        </is>
      </c>
      <c r="I7" s="78">
        <f>IF(H7="","",HYPERLINK(H7,"Open ↗"))</f>
        <v/>
      </c>
      <c r="J7" s="72" t="n"/>
      <c r="L7" s="115">
        <f>IF('Contractors'!B7="","",'Contractors'!B7)</f>
        <v/>
      </c>
      <c r="M7" s="78">
        <f>IF(L7="","",'Contractors'!L7)</f>
        <v/>
      </c>
      <c r="N7" s="78">
        <f>IF(OR(L7="",M7&lt;&gt;"Yes"),"",IF(COUNTIFS('Vault'!$C$6:$C$305,"Contract",'Vault'!$D$6:$D$305,L7)&gt;0,"✓","✗ missing"))</f>
        <v/>
      </c>
      <c r="O7" s="78">
        <f>IF(OR(L7="",M7&lt;&gt;"Yes"),"",IF(COUNTIFS('Vault'!$C$6:$C$305,"Insurance",'Vault'!$D$6:$D$305,L7)&gt;0,"✓","✗ missing"))</f>
        <v/>
      </c>
      <c r="P7" s="78">
        <f>IF(OR(L7="",M7&lt;&gt;"Yes"),"",IF(COUNTIFS('Vault'!$C$6:$C$305,"Quote",'Vault'!$D$6:$D$305,L7)&gt;0,"✓","✗ missing"))</f>
        <v/>
      </c>
      <c r="Q7" s="78">
        <f>IF(N7="","",IF(AND(N7="✓",O7="✓",P7="✓"),"✓ Complete","Missing documents"))</f>
        <v/>
      </c>
      <c r="R7" s="79">
        <f>IF(Q7="","",IF(Q7="✓ Complete",0,1))</f>
        <v/>
      </c>
    </row>
    <row r="8" ht="20" customHeight="1">
      <c r="B8" s="72" t="inlineStr">
        <is>
          <t>Building permit</t>
        </is>
      </c>
      <c r="C8" s="72" t="inlineStr">
        <is>
          <t>Permit</t>
        </is>
      </c>
      <c r="D8" s="72" t="n"/>
      <c r="E8" s="72" t="n"/>
      <c r="F8" s="72" t="n"/>
      <c r="G8" s="108" t="n">
        <v>46129</v>
      </c>
      <c r="H8" s="72" t="inlineStr">
        <is>
          <t>https://drive.google.com/example-permit</t>
        </is>
      </c>
      <c r="I8" s="78">
        <f>IF(H8="","",HYPERLINK(H8,"Open ↗"))</f>
        <v/>
      </c>
      <c r="J8" s="72" t="n"/>
      <c r="L8" s="115">
        <f>IF('Contractors'!B8="","",'Contractors'!B8)</f>
        <v/>
      </c>
      <c r="M8" s="78">
        <f>IF(L8="","",'Contractors'!L8)</f>
        <v/>
      </c>
      <c r="N8" s="78">
        <f>IF(OR(L8="",M8&lt;&gt;"Yes"),"",IF(COUNTIFS('Vault'!$C$6:$C$305,"Contract",'Vault'!$D$6:$D$305,L8)&gt;0,"✓","✗ missing"))</f>
        <v/>
      </c>
      <c r="O8" s="78">
        <f>IF(OR(L8="",M8&lt;&gt;"Yes"),"",IF(COUNTIFS('Vault'!$C$6:$C$305,"Insurance",'Vault'!$D$6:$D$305,L8)&gt;0,"✓","✗ missing"))</f>
        <v/>
      </c>
      <c r="P8" s="78">
        <f>IF(OR(L8="",M8&lt;&gt;"Yes"),"",IF(COUNTIFS('Vault'!$C$6:$C$305,"Quote",'Vault'!$D$6:$D$305,L8)&gt;0,"✓","✗ missing"))</f>
        <v/>
      </c>
      <c r="Q8" s="78">
        <f>IF(N8="","",IF(AND(N8="✓",O8="✓",P8="✓"),"✓ Complete","Missing documents"))</f>
        <v/>
      </c>
      <c r="R8" s="79">
        <f>IF(Q8="","",IF(Q8="✓ Complete",0,1))</f>
        <v/>
      </c>
    </row>
    <row r="9" ht="20" customHeight="1">
      <c r="B9" s="72" t="inlineStr">
        <is>
          <t>Hansen contract</t>
        </is>
      </c>
      <c r="C9" s="72" t="inlineStr">
        <is>
          <t>Contract</t>
        </is>
      </c>
      <c r="D9" s="72" t="inlineStr">
        <is>
          <t>Hansen Demolition</t>
        </is>
      </c>
      <c r="E9" s="72" t="n"/>
      <c r="F9" s="72" t="n"/>
      <c r="G9" s="108" t="n">
        <v>46117</v>
      </c>
      <c r="H9" s="72" t="n"/>
      <c r="I9" s="78">
        <f>IF(H9="","",HYPERLINK(H9,"Open ↗"))</f>
        <v/>
      </c>
      <c r="J9" s="72" t="n"/>
      <c r="L9" s="115">
        <f>IF('Contractors'!B9="","",'Contractors'!B9)</f>
        <v/>
      </c>
      <c r="M9" s="78">
        <f>IF(L9="","",'Contractors'!L9)</f>
        <v/>
      </c>
      <c r="N9" s="78">
        <f>IF(OR(L9="",M9&lt;&gt;"Yes"),"",IF(COUNTIFS('Vault'!$C$6:$C$305,"Contract",'Vault'!$D$6:$D$305,L9)&gt;0,"✓","✗ missing"))</f>
        <v/>
      </c>
      <c r="O9" s="78">
        <f>IF(OR(L9="",M9&lt;&gt;"Yes"),"",IF(COUNTIFS('Vault'!$C$6:$C$305,"Insurance",'Vault'!$D$6:$D$305,L9)&gt;0,"✓","✗ missing"))</f>
        <v/>
      </c>
      <c r="P9" s="78">
        <f>IF(OR(L9="",M9&lt;&gt;"Yes"),"",IF(COUNTIFS('Vault'!$C$6:$C$305,"Quote",'Vault'!$D$6:$D$305,L9)&gt;0,"✓","✗ missing"))</f>
        <v/>
      </c>
      <c r="Q9" s="78">
        <f>IF(N9="","",IF(AND(N9="✓",O9="✓",P9="✓"),"✓ Complete","Missing documents"))</f>
        <v/>
      </c>
      <c r="R9" s="79">
        <f>IF(Q9="","",IF(Q9="✓ Complete",0,1))</f>
        <v/>
      </c>
    </row>
    <row r="10" ht="20" customHeight="1">
      <c r="B10" s="72" t="inlineStr">
        <is>
          <t>Hansen insurance certificate</t>
        </is>
      </c>
      <c r="C10" s="72" t="inlineStr">
        <is>
          <t>Insurance</t>
        </is>
      </c>
      <c r="D10" s="72" t="inlineStr">
        <is>
          <t>Hansen Demolition</t>
        </is>
      </c>
      <c r="E10" s="72" t="n"/>
      <c r="F10" s="72" t="n"/>
      <c r="G10" s="108" t="n">
        <v>46117</v>
      </c>
      <c r="H10" s="72" t="n"/>
      <c r="I10" s="78">
        <f>IF(H10="","",HYPERLINK(H10,"Open ↗"))</f>
        <v/>
      </c>
      <c r="J10" s="72" t="n"/>
      <c r="L10" s="115">
        <f>IF('Contractors'!B10="","",'Contractors'!B10)</f>
        <v/>
      </c>
      <c r="M10" s="78">
        <f>IF(L10="","",'Contractors'!L10)</f>
        <v/>
      </c>
      <c r="N10" s="78">
        <f>IF(OR(L10="",M10&lt;&gt;"Yes"),"",IF(COUNTIFS('Vault'!$C$6:$C$305,"Contract",'Vault'!$D$6:$D$305,L10)&gt;0,"✓","✗ missing"))</f>
        <v/>
      </c>
      <c r="O10" s="78">
        <f>IF(OR(L10="",M10&lt;&gt;"Yes"),"",IF(COUNTIFS('Vault'!$C$6:$C$305,"Insurance",'Vault'!$D$6:$D$305,L10)&gt;0,"✓","✗ missing"))</f>
        <v/>
      </c>
      <c r="P10" s="78">
        <f>IF(OR(L10="",M10&lt;&gt;"Yes"),"",IF(COUNTIFS('Vault'!$C$6:$C$305,"Quote",'Vault'!$D$6:$D$305,L10)&gt;0,"✓","✗ missing"))</f>
        <v/>
      </c>
      <c r="Q10" s="78">
        <f>IF(N10="","",IF(AND(N10="✓",O10="✓",P10="✓"),"✓ Complete","Missing documents"))</f>
        <v/>
      </c>
      <c r="R10" s="79">
        <f>IF(Q10="","",IF(Q10="✓ Complete",0,1))</f>
        <v/>
      </c>
    </row>
    <row r="11" ht="20" customHeight="1">
      <c r="B11" s="72" t="inlineStr">
        <is>
          <t>Hansen quote</t>
        </is>
      </c>
      <c r="C11" s="72" t="inlineStr">
        <is>
          <t>Quote</t>
        </is>
      </c>
      <c r="D11" s="72" t="inlineStr">
        <is>
          <t>Hansen Demolition</t>
        </is>
      </c>
      <c r="E11" s="72" t="n"/>
      <c r="F11" s="72" t="n"/>
      <c r="G11" s="108" t="n">
        <v>46109</v>
      </c>
      <c r="H11" s="72" t="n"/>
      <c r="I11" s="78">
        <f>IF(H11="","",HYPERLINK(H11,"Open ↗"))</f>
        <v/>
      </c>
      <c r="J11" s="72" t="n"/>
      <c r="L11" s="115">
        <f>IF('Contractors'!B11="","",'Contractors'!B11)</f>
        <v/>
      </c>
      <c r="M11" s="78">
        <f>IF(L11="","",'Contractors'!L11)</f>
        <v/>
      </c>
      <c r="N11" s="78">
        <f>IF(OR(L11="",M11&lt;&gt;"Yes"),"",IF(COUNTIFS('Vault'!$C$6:$C$305,"Contract",'Vault'!$D$6:$D$305,L11)&gt;0,"✓","✗ missing"))</f>
        <v/>
      </c>
      <c r="O11" s="78">
        <f>IF(OR(L11="",M11&lt;&gt;"Yes"),"",IF(COUNTIFS('Vault'!$C$6:$C$305,"Insurance",'Vault'!$D$6:$D$305,L11)&gt;0,"✓","✗ missing"))</f>
        <v/>
      </c>
      <c r="P11" s="78">
        <f>IF(OR(L11="",M11&lt;&gt;"Yes"),"",IF(COUNTIFS('Vault'!$C$6:$C$305,"Quote",'Vault'!$D$6:$D$305,L11)&gt;0,"✓","✗ missing"))</f>
        <v/>
      </c>
      <c r="Q11" s="78">
        <f>IF(N11="","",IF(AND(N11="✓",O11="✓",P11="✓"),"✓ Complete","Missing documents"))</f>
        <v/>
      </c>
      <c r="R11" s="79">
        <f>IF(Q11="","",IF(Q11="✓ Complete",0,1))</f>
        <v/>
      </c>
    </row>
    <row r="12" ht="20" customHeight="1">
      <c r="B12" s="72" t="inlineStr">
        <is>
          <t>Solid Structures contract</t>
        </is>
      </c>
      <c r="C12" s="72" t="inlineStr">
        <is>
          <t>Contract</t>
        </is>
      </c>
      <c r="D12" s="72" t="inlineStr">
        <is>
          <t>Solid Structures Ltd</t>
        </is>
      </c>
      <c r="E12" s="72" t="n"/>
      <c r="F12" s="72" t="n"/>
      <c r="G12" s="108" t="n">
        <v>46124</v>
      </c>
      <c r="H12" s="72" t="n"/>
      <c r="I12" s="78">
        <f>IF(H12="","",HYPERLINK(H12,"Open ↗"))</f>
        <v/>
      </c>
      <c r="J12" s="72" t="n"/>
      <c r="L12" s="115">
        <f>IF('Contractors'!B12="","",'Contractors'!B12)</f>
        <v/>
      </c>
      <c r="M12" s="78">
        <f>IF(L12="","",'Contractors'!L12)</f>
        <v/>
      </c>
      <c r="N12" s="78">
        <f>IF(OR(L12="",M12&lt;&gt;"Yes"),"",IF(COUNTIFS('Vault'!$C$6:$C$305,"Contract",'Vault'!$D$6:$D$305,L12)&gt;0,"✓","✗ missing"))</f>
        <v/>
      </c>
      <c r="O12" s="78">
        <f>IF(OR(L12="",M12&lt;&gt;"Yes"),"",IF(COUNTIFS('Vault'!$C$6:$C$305,"Insurance",'Vault'!$D$6:$D$305,L12)&gt;0,"✓","✗ missing"))</f>
        <v/>
      </c>
      <c r="P12" s="78">
        <f>IF(OR(L12="",M12&lt;&gt;"Yes"),"",IF(COUNTIFS('Vault'!$C$6:$C$305,"Quote",'Vault'!$D$6:$D$305,L12)&gt;0,"✓","✗ missing"))</f>
        <v/>
      </c>
      <c r="Q12" s="78">
        <f>IF(N12="","",IF(AND(N12="✓",O12="✓",P12="✓"),"✓ Complete","Missing documents"))</f>
        <v/>
      </c>
      <c r="R12" s="79">
        <f>IF(Q12="","",IF(Q12="✓ Complete",0,1))</f>
        <v/>
      </c>
    </row>
    <row r="13" ht="20" customHeight="1">
      <c r="B13" s="72" t="inlineStr">
        <is>
          <t>Solid Structures insurance</t>
        </is>
      </c>
      <c r="C13" s="72" t="inlineStr">
        <is>
          <t>Insurance</t>
        </is>
      </c>
      <c r="D13" s="72" t="inlineStr">
        <is>
          <t>Solid Structures Ltd</t>
        </is>
      </c>
      <c r="E13" s="72" t="n"/>
      <c r="F13" s="72" t="n"/>
      <c r="G13" s="108" t="n">
        <v>46124</v>
      </c>
      <c r="H13" s="72" t="n"/>
      <c r="I13" s="78">
        <f>IF(H13="","",HYPERLINK(H13,"Open ↗"))</f>
        <v/>
      </c>
      <c r="J13" s="72" t="n"/>
      <c r="L13" s="115">
        <f>IF('Contractors'!B13="","",'Contractors'!B13)</f>
        <v/>
      </c>
      <c r="M13" s="78">
        <f>IF(L13="","",'Contractors'!L13)</f>
        <v/>
      </c>
      <c r="N13" s="78">
        <f>IF(OR(L13="",M13&lt;&gt;"Yes"),"",IF(COUNTIFS('Vault'!$C$6:$C$305,"Contract",'Vault'!$D$6:$D$305,L13)&gt;0,"✓","✗ missing"))</f>
        <v/>
      </c>
      <c r="O13" s="78">
        <f>IF(OR(L13="",M13&lt;&gt;"Yes"),"",IF(COUNTIFS('Vault'!$C$6:$C$305,"Insurance",'Vault'!$D$6:$D$305,L13)&gt;0,"✓","✗ missing"))</f>
        <v/>
      </c>
      <c r="P13" s="78">
        <f>IF(OR(L13="",M13&lt;&gt;"Yes"),"",IF(COUNTIFS('Vault'!$C$6:$C$305,"Quote",'Vault'!$D$6:$D$305,L13)&gt;0,"✓","✗ missing"))</f>
        <v/>
      </c>
      <c r="Q13" s="78">
        <f>IF(N13="","",IF(AND(N13="✓",O13="✓",P13="✓"),"✓ Complete","Missing documents"))</f>
        <v/>
      </c>
      <c r="R13" s="79">
        <f>IF(Q13="","",IF(Q13="✓ Complete",0,1))</f>
        <v/>
      </c>
    </row>
    <row r="14" ht="20" customHeight="1">
      <c r="B14" s="72" t="inlineStr">
        <is>
          <t>Solid Structures quote</t>
        </is>
      </c>
      <c r="C14" s="72" t="inlineStr">
        <is>
          <t>Quote</t>
        </is>
      </c>
      <c r="D14" s="72" t="inlineStr">
        <is>
          <t>Solid Structures Ltd</t>
        </is>
      </c>
      <c r="E14" s="72" t="n"/>
      <c r="F14" s="72" t="n"/>
      <c r="G14" s="108" t="n">
        <v>46113</v>
      </c>
      <c r="H14" s="72" t="n"/>
      <c r="I14" s="78">
        <f>IF(H14="","",HYPERLINK(H14,"Open ↗"))</f>
        <v/>
      </c>
      <c r="J14" s="72" t="n"/>
      <c r="L14" s="115">
        <f>IF('Contractors'!B14="","",'Contractors'!B14)</f>
        <v/>
      </c>
      <c r="M14" s="78">
        <f>IF(L14="","",'Contractors'!L14)</f>
        <v/>
      </c>
      <c r="N14" s="78">
        <f>IF(OR(L14="",M14&lt;&gt;"Yes"),"",IF(COUNTIFS('Vault'!$C$6:$C$305,"Contract",'Vault'!$D$6:$D$305,L14)&gt;0,"✓","✗ missing"))</f>
        <v/>
      </c>
      <c r="O14" s="78">
        <f>IF(OR(L14="",M14&lt;&gt;"Yes"),"",IF(COUNTIFS('Vault'!$C$6:$C$305,"Insurance",'Vault'!$D$6:$D$305,L14)&gt;0,"✓","✗ missing"))</f>
        <v/>
      </c>
      <c r="P14" s="78">
        <f>IF(OR(L14="",M14&lt;&gt;"Yes"),"",IF(COUNTIFS('Vault'!$C$6:$C$305,"Quote",'Vault'!$D$6:$D$305,L14)&gt;0,"✓","✗ missing"))</f>
        <v/>
      </c>
      <c r="Q14" s="78">
        <f>IF(N14="","",IF(AND(N14="✓",O14="✓",P14="✓"),"✓ Complete","Missing documents"))</f>
        <v/>
      </c>
      <c r="R14" s="79">
        <f>IF(Q14="","",IF(Q14="✓ Complete",0,1))</f>
        <v/>
      </c>
    </row>
    <row r="15" ht="20" customHeight="1">
      <c r="B15" s="72" t="inlineStr">
        <is>
          <t>FlowRight contract</t>
        </is>
      </c>
      <c r="C15" s="72" t="inlineStr">
        <is>
          <t>Contract</t>
        </is>
      </c>
      <c r="D15" s="72" t="inlineStr">
        <is>
          <t>FlowRight Plumbing</t>
        </is>
      </c>
      <c r="E15" s="72" t="n"/>
      <c r="F15" s="72" t="n"/>
      <c r="G15" s="108" t="n">
        <v>46132</v>
      </c>
      <c r="H15" s="72" t="n"/>
      <c r="I15" s="78">
        <f>IF(H15="","",HYPERLINK(H15,"Open ↗"))</f>
        <v/>
      </c>
      <c r="J15" s="72" t="n"/>
      <c r="L15" s="115">
        <f>IF('Contractors'!B15="","",'Contractors'!B15)</f>
        <v/>
      </c>
      <c r="M15" s="78">
        <f>IF(L15="","",'Contractors'!L15)</f>
        <v/>
      </c>
      <c r="N15" s="78">
        <f>IF(OR(L15="",M15&lt;&gt;"Yes"),"",IF(COUNTIFS('Vault'!$C$6:$C$305,"Contract",'Vault'!$D$6:$D$305,L15)&gt;0,"✓","✗ missing"))</f>
        <v/>
      </c>
      <c r="O15" s="78">
        <f>IF(OR(L15="",M15&lt;&gt;"Yes"),"",IF(COUNTIFS('Vault'!$C$6:$C$305,"Insurance",'Vault'!$D$6:$D$305,L15)&gt;0,"✓","✗ missing"))</f>
        <v/>
      </c>
      <c r="P15" s="78">
        <f>IF(OR(L15="",M15&lt;&gt;"Yes"),"",IF(COUNTIFS('Vault'!$C$6:$C$305,"Quote",'Vault'!$D$6:$D$305,L15)&gt;0,"✓","✗ missing"))</f>
        <v/>
      </c>
      <c r="Q15" s="78">
        <f>IF(N15="","",IF(AND(N15="✓",O15="✓",P15="✓"),"✓ Complete","Missing documents"))</f>
        <v/>
      </c>
      <c r="R15" s="79">
        <f>IF(Q15="","",IF(Q15="✓ Complete",0,1))</f>
        <v/>
      </c>
    </row>
    <row r="16" ht="20" customHeight="1">
      <c r="B16" s="72" t="inlineStr">
        <is>
          <t>FlowRight insurance</t>
        </is>
      </c>
      <c r="C16" s="72" t="inlineStr">
        <is>
          <t>Insurance</t>
        </is>
      </c>
      <c r="D16" s="72" t="inlineStr">
        <is>
          <t>FlowRight Plumbing</t>
        </is>
      </c>
      <c r="E16" s="72" t="n"/>
      <c r="F16" s="72" t="n"/>
      <c r="G16" s="108" t="n">
        <v>46132</v>
      </c>
      <c r="H16" s="72" t="n"/>
      <c r="I16" s="78">
        <f>IF(H16="","",HYPERLINK(H16,"Open ↗"))</f>
        <v/>
      </c>
      <c r="J16" s="72" t="n"/>
      <c r="L16" s="115">
        <f>IF('Contractors'!B16="","",'Contractors'!B16)</f>
        <v/>
      </c>
      <c r="M16" s="78">
        <f>IF(L16="","",'Contractors'!L16)</f>
        <v/>
      </c>
      <c r="N16" s="78">
        <f>IF(OR(L16="",M16&lt;&gt;"Yes"),"",IF(COUNTIFS('Vault'!$C$6:$C$305,"Contract",'Vault'!$D$6:$D$305,L16)&gt;0,"✓","✗ missing"))</f>
        <v/>
      </c>
      <c r="O16" s="78">
        <f>IF(OR(L16="",M16&lt;&gt;"Yes"),"",IF(COUNTIFS('Vault'!$C$6:$C$305,"Insurance",'Vault'!$D$6:$D$305,L16)&gt;0,"✓","✗ missing"))</f>
        <v/>
      </c>
      <c r="P16" s="78">
        <f>IF(OR(L16="",M16&lt;&gt;"Yes"),"",IF(COUNTIFS('Vault'!$C$6:$C$305,"Quote",'Vault'!$D$6:$D$305,L16)&gt;0,"✓","✗ missing"))</f>
        <v/>
      </c>
      <c r="Q16" s="78">
        <f>IF(N16="","",IF(AND(N16="✓",O16="✓",P16="✓"),"✓ Complete","Missing documents"))</f>
        <v/>
      </c>
      <c r="R16" s="79">
        <f>IF(Q16="","",IF(Q16="✓ Complete",0,1))</f>
        <v/>
      </c>
    </row>
    <row r="17" ht="20" customHeight="1">
      <c r="B17" s="72" t="inlineStr">
        <is>
          <t>FlowRight quote</t>
        </is>
      </c>
      <c r="C17" s="72" t="inlineStr">
        <is>
          <t>Quote</t>
        </is>
      </c>
      <c r="D17" s="72" t="inlineStr">
        <is>
          <t>FlowRight Plumbing</t>
        </is>
      </c>
      <c r="E17" s="72" t="n"/>
      <c r="F17" s="72" t="n"/>
      <c r="G17" s="108" t="n">
        <v>46114</v>
      </c>
      <c r="H17" s="72" t="n"/>
      <c r="I17" s="78">
        <f>IF(H17="","",HYPERLINK(H17,"Open ↗"))</f>
        <v/>
      </c>
      <c r="J17" s="72" t="n"/>
      <c r="L17" s="115">
        <f>IF('Contractors'!B17="","",'Contractors'!B17)</f>
        <v/>
      </c>
      <c r="M17" s="78">
        <f>IF(L17="","",'Contractors'!L17)</f>
        <v/>
      </c>
      <c r="N17" s="78">
        <f>IF(OR(L17="",M17&lt;&gt;"Yes"),"",IF(COUNTIFS('Vault'!$C$6:$C$305,"Contract",'Vault'!$D$6:$D$305,L17)&gt;0,"✓","✗ missing"))</f>
        <v/>
      </c>
      <c r="O17" s="78">
        <f>IF(OR(L17="",M17&lt;&gt;"Yes"),"",IF(COUNTIFS('Vault'!$C$6:$C$305,"Insurance",'Vault'!$D$6:$D$305,L17)&gt;0,"✓","✗ missing"))</f>
        <v/>
      </c>
      <c r="P17" s="78">
        <f>IF(OR(L17="",M17&lt;&gt;"Yes"),"",IF(COUNTIFS('Vault'!$C$6:$C$305,"Quote",'Vault'!$D$6:$D$305,L17)&gt;0,"✓","✗ missing"))</f>
        <v/>
      </c>
      <c r="Q17" s="78">
        <f>IF(N17="","",IF(AND(N17="✓",O17="✓",P17="✓"),"✓ Complete","Missing documents"))</f>
        <v/>
      </c>
      <c r="R17" s="79">
        <f>IF(Q17="","",IF(Q17="✓ Complete",0,1))</f>
        <v/>
      </c>
    </row>
    <row r="18" ht="20" customHeight="1">
      <c r="B18" s="72" t="inlineStr">
        <is>
          <t>Bright Spark contract</t>
        </is>
      </c>
      <c r="C18" s="72" t="inlineStr">
        <is>
          <t>Contract</t>
        </is>
      </c>
      <c r="D18" s="72" t="inlineStr">
        <is>
          <t>Bright Spark Electric</t>
        </is>
      </c>
      <c r="E18" s="72" t="n"/>
      <c r="F18" s="72" t="n"/>
      <c r="G18" s="108" t="n">
        <v>46134</v>
      </c>
      <c r="H18" s="72" t="n"/>
      <c r="I18" s="78">
        <f>IF(H18="","",HYPERLINK(H18,"Open ↗"))</f>
        <v/>
      </c>
      <c r="J18" s="72" t="inlineStr">
        <is>
          <t>Insurance certificate still missing — asked twice</t>
        </is>
      </c>
      <c r="L18" s="115">
        <f>IF('Contractors'!B18="","",'Contractors'!B18)</f>
        <v/>
      </c>
      <c r="M18" s="78">
        <f>IF(L18="","",'Contractors'!L18)</f>
        <v/>
      </c>
      <c r="N18" s="78">
        <f>IF(OR(L18="",M18&lt;&gt;"Yes"),"",IF(COUNTIFS('Vault'!$C$6:$C$305,"Contract",'Vault'!$D$6:$D$305,L18)&gt;0,"✓","✗ missing"))</f>
        <v/>
      </c>
      <c r="O18" s="78">
        <f>IF(OR(L18="",M18&lt;&gt;"Yes"),"",IF(COUNTIFS('Vault'!$C$6:$C$305,"Insurance",'Vault'!$D$6:$D$305,L18)&gt;0,"✓","✗ missing"))</f>
        <v/>
      </c>
      <c r="P18" s="78">
        <f>IF(OR(L18="",M18&lt;&gt;"Yes"),"",IF(COUNTIFS('Vault'!$C$6:$C$305,"Quote",'Vault'!$D$6:$D$305,L18)&gt;0,"✓","✗ missing"))</f>
        <v/>
      </c>
      <c r="Q18" s="78">
        <f>IF(N18="","",IF(AND(N18="✓",O18="✓",P18="✓"),"✓ Complete","Missing documents"))</f>
        <v/>
      </c>
      <c r="R18" s="79">
        <f>IF(Q18="","",IF(Q18="✓ Complete",0,1))</f>
        <v/>
      </c>
    </row>
    <row r="19" ht="20" customHeight="1">
      <c r="B19" s="72" t="inlineStr">
        <is>
          <t>Bright Spark quote</t>
        </is>
      </c>
      <c r="C19" s="72" t="inlineStr">
        <is>
          <t>Quote</t>
        </is>
      </c>
      <c r="D19" s="72" t="inlineStr">
        <is>
          <t>Bright Spark Electric</t>
        </is>
      </c>
      <c r="E19" s="72" t="n"/>
      <c r="F19" s="72" t="n"/>
      <c r="G19" s="108" t="n">
        <v>46115</v>
      </c>
      <c r="H19" s="72" t="n"/>
      <c r="I19" s="78">
        <f>IF(H19="","",HYPERLINK(H19,"Open ↗"))</f>
        <v/>
      </c>
      <c r="J19" s="72" t="n"/>
      <c r="L19" s="115">
        <f>IF('Contractors'!B19="","",'Contractors'!B19)</f>
        <v/>
      </c>
      <c r="M19" s="78">
        <f>IF(L19="","",'Contractors'!L19)</f>
        <v/>
      </c>
      <c r="N19" s="78">
        <f>IF(OR(L19="",M19&lt;&gt;"Yes"),"",IF(COUNTIFS('Vault'!$C$6:$C$305,"Contract",'Vault'!$D$6:$D$305,L19)&gt;0,"✓","✗ missing"))</f>
        <v/>
      </c>
      <c r="O19" s="78">
        <f>IF(OR(L19="",M19&lt;&gt;"Yes"),"",IF(COUNTIFS('Vault'!$C$6:$C$305,"Insurance",'Vault'!$D$6:$D$305,L19)&gt;0,"✓","✗ missing"))</f>
        <v/>
      </c>
      <c r="P19" s="78">
        <f>IF(OR(L19="",M19&lt;&gt;"Yes"),"",IF(COUNTIFS('Vault'!$C$6:$C$305,"Quote",'Vault'!$D$6:$D$305,L19)&gt;0,"✓","✗ missing"))</f>
        <v/>
      </c>
      <c r="Q19" s="78">
        <f>IF(N19="","",IF(AND(N19="✓",O19="✓",P19="✓"),"✓ Complete","Missing documents"))</f>
        <v/>
      </c>
      <c r="R19" s="79">
        <f>IF(Q19="","",IF(Q19="✓ Complete",0,1))</f>
        <v/>
      </c>
    </row>
    <row r="20" ht="20" customHeight="1">
      <c r="B20" s="72" t="inlineStr">
        <is>
          <t>ClimaHeat contract</t>
        </is>
      </c>
      <c r="C20" s="72" t="inlineStr">
        <is>
          <t>Contract</t>
        </is>
      </c>
      <c r="D20" s="72" t="inlineStr">
        <is>
          <t>ClimaHeat HVAC</t>
        </is>
      </c>
      <c r="E20" s="72" t="n"/>
      <c r="F20" s="72" t="n"/>
      <c r="G20" s="108" t="n">
        <v>46144</v>
      </c>
      <c r="H20" s="72" t="n"/>
      <c r="I20" s="78">
        <f>IF(H20="","",HYPERLINK(H20,"Open ↗"))</f>
        <v/>
      </c>
      <c r="J20" s="72" t="n"/>
      <c r="L20" s="115">
        <f>IF('Contractors'!B20="","",'Contractors'!B20)</f>
        <v/>
      </c>
      <c r="M20" s="78">
        <f>IF(L20="","",'Contractors'!L20)</f>
        <v/>
      </c>
      <c r="N20" s="78">
        <f>IF(OR(L20="",M20&lt;&gt;"Yes"),"",IF(COUNTIFS('Vault'!$C$6:$C$305,"Contract",'Vault'!$D$6:$D$305,L20)&gt;0,"✓","✗ missing"))</f>
        <v/>
      </c>
      <c r="O20" s="78">
        <f>IF(OR(L20="",M20&lt;&gt;"Yes"),"",IF(COUNTIFS('Vault'!$C$6:$C$305,"Insurance",'Vault'!$D$6:$D$305,L20)&gt;0,"✓","✗ missing"))</f>
        <v/>
      </c>
      <c r="P20" s="78">
        <f>IF(OR(L20="",M20&lt;&gt;"Yes"),"",IF(COUNTIFS('Vault'!$C$6:$C$305,"Quote",'Vault'!$D$6:$D$305,L20)&gt;0,"✓","✗ missing"))</f>
        <v/>
      </c>
      <c r="Q20" s="78">
        <f>IF(N20="","",IF(AND(N20="✓",O20="✓",P20="✓"),"✓ Complete","Missing documents"))</f>
        <v/>
      </c>
      <c r="R20" s="79">
        <f>IF(Q20="","",IF(Q20="✓ Complete",0,1))</f>
        <v/>
      </c>
    </row>
    <row r="21" ht="20" customHeight="1">
      <c r="B21" s="72" t="inlineStr">
        <is>
          <t>ClimaHeat insurance</t>
        </is>
      </c>
      <c r="C21" s="72" t="inlineStr">
        <is>
          <t>Insurance</t>
        </is>
      </c>
      <c r="D21" s="72" t="inlineStr">
        <is>
          <t>ClimaHeat HVAC</t>
        </is>
      </c>
      <c r="E21" s="72" t="n"/>
      <c r="F21" s="72" t="n"/>
      <c r="G21" s="108" t="n">
        <v>46144</v>
      </c>
      <c r="H21" s="72" t="n"/>
      <c r="I21" s="78">
        <f>IF(H21="","",HYPERLINK(H21,"Open ↗"))</f>
        <v/>
      </c>
      <c r="J21" s="72" t="n"/>
      <c r="L21" s="115">
        <f>IF('Contractors'!B21="","",'Contractors'!B21)</f>
        <v/>
      </c>
      <c r="M21" s="78">
        <f>IF(L21="","",'Contractors'!L21)</f>
        <v/>
      </c>
      <c r="N21" s="78">
        <f>IF(OR(L21="",M21&lt;&gt;"Yes"),"",IF(COUNTIFS('Vault'!$C$6:$C$305,"Contract",'Vault'!$D$6:$D$305,L21)&gt;0,"✓","✗ missing"))</f>
        <v/>
      </c>
      <c r="O21" s="78">
        <f>IF(OR(L21="",M21&lt;&gt;"Yes"),"",IF(COUNTIFS('Vault'!$C$6:$C$305,"Insurance",'Vault'!$D$6:$D$305,L21)&gt;0,"✓","✗ missing"))</f>
        <v/>
      </c>
      <c r="P21" s="78">
        <f>IF(OR(L21="",M21&lt;&gt;"Yes"),"",IF(COUNTIFS('Vault'!$C$6:$C$305,"Quote",'Vault'!$D$6:$D$305,L21)&gt;0,"✓","✗ missing"))</f>
        <v/>
      </c>
      <c r="Q21" s="78">
        <f>IF(N21="","",IF(AND(N21="✓",O21="✓",P21="✓"),"✓ Complete","Missing documents"))</f>
        <v/>
      </c>
      <c r="R21" s="79">
        <f>IF(Q21="","",IF(Q21="✓ Complete",0,1))</f>
        <v/>
      </c>
    </row>
    <row r="22" ht="20" customHeight="1">
      <c r="B22" s="72" t="inlineStr">
        <is>
          <t>ClimaHeat quote</t>
        </is>
      </c>
      <c r="C22" s="72" t="inlineStr">
        <is>
          <t>Quote</t>
        </is>
      </c>
      <c r="D22" s="72" t="inlineStr">
        <is>
          <t>ClimaHeat HVAC</t>
        </is>
      </c>
      <c r="E22" s="72" t="n"/>
      <c r="F22" s="72" t="n"/>
      <c r="G22" s="108" t="n">
        <v>46127</v>
      </c>
      <c r="H22" s="72" t="n"/>
      <c r="I22" s="78">
        <f>IF(H22="","",HYPERLINK(H22,"Open ↗"))</f>
        <v/>
      </c>
      <c r="J22" s="72" t="n"/>
      <c r="L22" s="115">
        <f>IF('Contractors'!B22="","",'Contractors'!B22)</f>
        <v/>
      </c>
      <c r="M22" s="78">
        <f>IF(L22="","",'Contractors'!L22)</f>
        <v/>
      </c>
      <c r="N22" s="78">
        <f>IF(OR(L22="",M22&lt;&gt;"Yes"),"",IF(COUNTIFS('Vault'!$C$6:$C$305,"Contract",'Vault'!$D$6:$D$305,L22)&gt;0,"✓","✗ missing"))</f>
        <v/>
      </c>
      <c r="O22" s="78">
        <f>IF(OR(L22="",M22&lt;&gt;"Yes"),"",IF(COUNTIFS('Vault'!$C$6:$C$305,"Insurance",'Vault'!$D$6:$D$305,L22)&gt;0,"✓","✗ missing"))</f>
        <v/>
      </c>
      <c r="P22" s="78">
        <f>IF(OR(L22="",M22&lt;&gt;"Yes"),"",IF(COUNTIFS('Vault'!$C$6:$C$305,"Quote",'Vault'!$D$6:$D$305,L22)&gt;0,"✓","✗ missing"))</f>
        <v/>
      </c>
      <c r="Q22" s="78">
        <f>IF(N22="","",IF(AND(N22="✓",O22="✓",P22="✓"),"✓ Complete","Missing documents"))</f>
        <v/>
      </c>
      <c r="R22" s="79">
        <f>IF(Q22="","",IF(Q22="✓ Complete",0,1))</f>
        <v/>
      </c>
    </row>
    <row r="23" ht="20" customHeight="1">
      <c r="B23" s="72" t="inlineStr">
        <is>
          <t>ClearView contract</t>
        </is>
      </c>
      <c r="C23" s="72" t="inlineStr">
        <is>
          <t>Contract</t>
        </is>
      </c>
      <c r="D23" s="72" t="inlineStr">
        <is>
          <t>ClearView Windows</t>
        </is>
      </c>
      <c r="E23" s="72" t="n"/>
      <c r="F23" s="72" t="n"/>
      <c r="G23" s="108" t="n">
        <v>46113</v>
      </c>
      <c r="H23" s="72" t="n"/>
      <c r="I23" s="78">
        <f>IF(H23="","",HYPERLINK(H23,"Open ↗"))</f>
        <v/>
      </c>
      <c r="J23" s="72" t="n"/>
      <c r="L23" s="115">
        <f>IF('Contractors'!B23="","",'Contractors'!B23)</f>
        <v/>
      </c>
      <c r="M23" s="78">
        <f>IF(L23="","",'Contractors'!L23)</f>
        <v/>
      </c>
      <c r="N23" s="78">
        <f>IF(OR(L23="",M23&lt;&gt;"Yes"),"",IF(COUNTIFS('Vault'!$C$6:$C$305,"Contract",'Vault'!$D$6:$D$305,L23)&gt;0,"✓","✗ missing"))</f>
        <v/>
      </c>
      <c r="O23" s="78">
        <f>IF(OR(L23="",M23&lt;&gt;"Yes"),"",IF(COUNTIFS('Vault'!$C$6:$C$305,"Insurance",'Vault'!$D$6:$D$305,L23)&gt;0,"✓","✗ missing"))</f>
        <v/>
      </c>
      <c r="P23" s="78">
        <f>IF(OR(L23="",M23&lt;&gt;"Yes"),"",IF(COUNTIFS('Vault'!$C$6:$C$305,"Quote",'Vault'!$D$6:$D$305,L23)&gt;0,"✓","✗ missing"))</f>
        <v/>
      </c>
      <c r="Q23" s="78">
        <f>IF(N23="","",IF(AND(N23="✓",O23="✓",P23="✓"),"✓ Complete","Missing documents"))</f>
        <v/>
      </c>
      <c r="R23" s="79">
        <f>IF(Q23="","",IF(Q23="✓ Complete",0,1))</f>
        <v/>
      </c>
    </row>
    <row r="24" ht="20" customHeight="1">
      <c r="B24" s="72" t="inlineStr">
        <is>
          <t>ClearView insurance</t>
        </is>
      </c>
      <c r="C24" s="72" t="inlineStr">
        <is>
          <t>Insurance</t>
        </is>
      </c>
      <c r="D24" s="72" t="inlineStr">
        <is>
          <t>ClearView Windows</t>
        </is>
      </c>
      <c r="E24" s="72" t="n"/>
      <c r="F24" s="72" t="n"/>
      <c r="G24" s="108" t="n">
        <v>46113</v>
      </c>
      <c r="H24" s="72" t="n"/>
      <c r="I24" s="78">
        <f>IF(H24="","",HYPERLINK(H24,"Open ↗"))</f>
        <v/>
      </c>
      <c r="J24" s="72" t="n"/>
      <c r="L24" s="115">
        <f>IF('Contractors'!B24="","",'Contractors'!B24)</f>
        <v/>
      </c>
      <c r="M24" s="78">
        <f>IF(L24="","",'Contractors'!L24)</f>
        <v/>
      </c>
      <c r="N24" s="78">
        <f>IF(OR(L24="",M24&lt;&gt;"Yes"),"",IF(COUNTIFS('Vault'!$C$6:$C$305,"Contract",'Vault'!$D$6:$D$305,L24)&gt;0,"✓","✗ missing"))</f>
        <v/>
      </c>
      <c r="O24" s="78">
        <f>IF(OR(L24="",M24&lt;&gt;"Yes"),"",IF(COUNTIFS('Vault'!$C$6:$C$305,"Insurance",'Vault'!$D$6:$D$305,L24)&gt;0,"✓","✗ missing"))</f>
        <v/>
      </c>
      <c r="P24" s="78">
        <f>IF(OR(L24="",M24&lt;&gt;"Yes"),"",IF(COUNTIFS('Vault'!$C$6:$C$305,"Quote",'Vault'!$D$6:$D$305,L24)&gt;0,"✓","✗ missing"))</f>
        <v/>
      </c>
      <c r="Q24" s="78">
        <f>IF(N24="","",IF(AND(N24="✓",O24="✓",P24="✓"),"✓ Complete","Missing documents"))</f>
        <v/>
      </c>
      <c r="R24" s="79">
        <f>IF(Q24="","",IF(Q24="✓ Complete",0,1))</f>
        <v/>
      </c>
    </row>
    <row r="25" ht="20" customHeight="1">
      <c r="B25" s="72" t="inlineStr">
        <is>
          <t>ClearView quote</t>
        </is>
      </c>
      <c r="C25" s="72" t="inlineStr">
        <is>
          <t>Quote</t>
        </is>
      </c>
      <c r="D25" s="72" t="inlineStr">
        <is>
          <t>ClearView Windows</t>
        </is>
      </c>
      <c r="E25" s="72" t="n"/>
      <c r="F25" s="72" t="n"/>
      <c r="G25" s="108" t="n">
        <v>46103</v>
      </c>
      <c r="H25" s="72" t="n"/>
      <c r="I25" s="78">
        <f>IF(H25="","",HYPERLINK(H25,"Open ↗"))</f>
        <v/>
      </c>
      <c r="J25" s="72" t="n"/>
      <c r="L25" s="115">
        <f>IF('Contractors'!B25="","",'Contractors'!B25)</f>
        <v/>
      </c>
      <c r="M25" s="78">
        <f>IF(L25="","",'Contractors'!L25)</f>
        <v/>
      </c>
      <c r="N25" s="78">
        <f>IF(OR(L25="",M25&lt;&gt;"Yes"),"",IF(COUNTIFS('Vault'!$C$6:$C$305,"Contract",'Vault'!$D$6:$D$305,L25)&gt;0,"✓","✗ missing"))</f>
        <v/>
      </c>
      <c r="O25" s="78">
        <f>IF(OR(L25="",M25&lt;&gt;"Yes"),"",IF(COUNTIFS('Vault'!$C$6:$C$305,"Insurance",'Vault'!$D$6:$D$305,L25)&gt;0,"✓","✗ missing"))</f>
        <v/>
      </c>
      <c r="P25" s="78">
        <f>IF(OR(L25="",M25&lt;&gt;"Yes"),"",IF(COUNTIFS('Vault'!$C$6:$C$305,"Quote",'Vault'!$D$6:$D$305,L25)&gt;0,"✓","✗ missing"))</f>
        <v/>
      </c>
      <c r="Q25" s="78">
        <f>IF(N25="","",IF(AND(N25="✓",O25="✓",P25="✓"),"✓ Complete","Missing documents"))</f>
        <v/>
      </c>
      <c r="R25" s="79">
        <f>IF(Q25="","",IF(Q25="✓ Complete",0,1))</f>
        <v/>
      </c>
    </row>
    <row r="26" ht="20" customHeight="1">
      <c r="B26" s="72" t="inlineStr">
        <is>
          <t>Nordic Kitchens contract</t>
        </is>
      </c>
      <c r="C26" s="72" t="inlineStr">
        <is>
          <t>Contract</t>
        </is>
      </c>
      <c r="D26" s="72" t="inlineStr">
        <is>
          <t>Nordic Kitchens</t>
        </is>
      </c>
      <c r="E26" s="72" t="n"/>
      <c r="F26" s="72" t="n"/>
      <c r="G26" s="108" t="n">
        <v>46152</v>
      </c>
      <c r="H26" s="72" t="n"/>
      <c r="I26" s="78">
        <f>IF(H26="","",HYPERLINK(H26,"Open ↗"))</f>
        <v/>
      </c>
      <c r="J26" s="72" t="n"/>
      <c r="L26" s="115">
        <f>IF('Contractors'!B26="","",'Contractors'!B26)</f>
        <v/>
      </c>
      <c r="M26" s="78">
        <f>IF(L26="","",'Contractors'!L26)</f>
        <v/>
      </c>
      <c r="N26" s="78">
        <f>IF(OR(L26="",M26&lt;&gt;"Yes"),"",IF(COUNTIFS('Vault'!$C$6:$C$305,"Contract",'Vault'!$D$6:$D$305,L26)&gt;0,"✓","✗ missing"))</f>
        <v/>
      </c>
      <c r="O26" s="78">
        <f>IF(OR(L26="",M26&lt;&gt;"Yes"),"",IF(COUNTIFS('Vault'!$C$6:$C$305,"Insurance",'Vault'!$D$6:$D$305,L26)&gt;0,"✓","✗ missing"))</f>
        <v/>
      </c>
      <c r="P26" s="78">
        <f>IF(OR(L26="",M26&lt;&gt;"Yes"),"",IF(COUNTIFS('Vault'!$C$6:$C$305,"Quote",'Vault'!$D$6:$D$305,L26)&gt;0,"✓","✗ missing"))</f>
        <v/>
      </c>
      <c r="Q26" s="78">
        <f>IF(N26="","",IF(AND(N26="✓",O26="✓",P26="✓"),"✓ Complete","Missing documents"))</f>
        <v/>
      </c>
      <c r="R26" s="79">
        <f>IF(Q26="","",IF(Q26="✓ Complete",0,1))</f>
        <v/>
      </c>
    </row>
    <row r="27" ht="20" customHeight="1">
      <c r="B27" s="72" t="inlineStr">
        <is>
          <t>Nordic Kitchens insurance</t>
        </is>
      </c>
      <c r="C27" s="72" t="inlineStr">
        <is>
          <t>Insurance</t>
        </is>
      </c>
      <c r="D27" s="72" t="inlineStr">
        <is>
          <t>Nordic Kitchens</t>
        </is>
      </c>
      <c r="E27" s="72" t="n"/>
      <c r="F27" s="72" t="n"/>
      <c r="G27" s="108" t="n">
        <v>46152</v>
      </c>
      <c r="H27" s="72" t="n"/>
      <c r="I27" s="78">
        <f>IF(H27="","",HYPERLINK(H27,"Open ↗"))</f>
        <v/>
      </c>
      <c r="J27" s="72" t="n"/>
      <c r="L27" s="115">
        <f>IF('Contractors'!B27="","",'Contractors'!B27)</f>
        <v/>
      </c>
      <c r="M27" s="78">
        <f>IF(L27="","",'Contractors'!L27)</f>
        <v/>
      </c>
      <c r="N27" s="78">
        <f>IF(OR(L27="",M27&lt;&gt;"Yes"),"",IF(COUNTIFS('Vault'!$C$6:$C$305,"Contract",'Vault'!$D$6:$D$305,L27)&gt;0,"✓","✗ missing"))</f>
        <v/>
      </c>
      <c r="O27" s="78">
        <f>IF(OR(L27="",M27&lt;&gt;"Yes"),"",IF(COUNTIFS('Vault'!$C$6:$C$305,"Insurance",'Vault'!$D$6:$D$305,L27)&gt;0,"✓","✗ missing"))</f>
        <v/>
      </c>
      <c r="P27" s="78">
        <f>IF(OR(L27="",M27&lt;&gt;"Yes"),"",IF(COUNTIFS('Vault'!$C$6:$C$305,"Quote",'Vault'!$D$6:$D$305,L27)&gt;0,"✓","✗ missing"))</f>
        <v/>
      </c>
      <c r="Q27" s="78">
        <f>IF(N27="","",IF(AND(N27="✓",O27="✓",P27="✓"),"✓ Complete","Missing documents"))</f>
        <v/>
      </c>
      <c r="R27" s="79">
        <f>IF(Q27="","",IF(Q27="✓ Complete",0,1))</f>
        <v/>
      </c>
    </row>
    <row r="28" ht="20" customHeight="1">
      <c r="B28" s="72" t="inlineStr">
        <is>
          <t>Nordic Kitchens quote</t>
        </is>
      </c>
      <c r="C28" s="72" t="inlineStr">
        <is>
          <t>Quote</t>
        </is>
      </c>
      <c r="D28" s="72" t="inlineStr">
        <is>
          <t>Nordic Kitchens</t>
        </is>
      </c>
      <c r="E28" s="72" t="n"/>
      <c r="F28" s="72" t="n"/>
      <c r="G28" s="108" t="n">
        <v>46140</v>
      </c>
      <c r="H28" s="72" t="n"/>
      <c r="I28" s="78">
        <f>IF(H28="","",HYPERLINK(H28,"Open ↗"))</f>
        <v/>
      </c>
      <c r="J28" s="72" t="n"/>
      <c r="L28" s="115">
        <f>IF('Contractors'!B28="","",'Contractors'!B28)</f>
        <v/>
      </c>
      <c r="M28" s="78">
        <f>IF(L28="","",'Contractors'!L28)</f>
        <v/>
      </c>
      <c r="N28" s="78">
        <f>IF(OR(L28="",M28&lt;&gt;"Yes"),"",IF(COUNTIFS('Vault'!$C$6:$C$305,"Contract",'Vault'!$D$6:$D$305,L28)&gt;0,"✓","✗ missing"))</f>
        <v/>
      </c>
      <c r="O28" s="78">
        <f>IF(OR(L28="",M28&lt;&gt;"Yes"),"",IF(COUNTIFS('Vault'!$C$6:$C$305,"Insurance",'Vault'!$D$6:$D$305,L28)&gt;0,"✓","✗ missing"))</f>
        <v/>
      </c>
      <c r="P28" s="78">
        <f>IF(OR(L28="",M28&lt;&gt;"Yes"),"",IF(COUNTIFS('Vault'!$C$6:$C$305,"Quote",'Vault'!$D$6:$D$305,L28)&gt;0,"✓","✗ missing"))</f>
        <v/>
      </c>
      <c r="Q28" s="78">
        <f>IF(N28="","",IF(AND(N28="✓",O28="✓",P28="✓"),"✓ Complete","Missing documents"))</f>
        <v/>
      </c>
      <c r="R28" s="79">
        <f>IF(Q28="","",IF(Q28="✓ Complete",0,1))</f>
        <v/>
      </c>
    </row>
    <row r="29" ht="20" customHeight="1">
      <c r="B29" s="72" t="inlineStr">
        <is>
          <t>Aqua Bath contract</t>
        </is>
      </c>
      <c r="C29" s="72" t="inlineStr">
        <is>
          <t>Contract</t>
        </is>
      </c>
      <c r="D29" s="72" t="inlineStr">
        <is>
          <t>Aqua Bath Studio</t>
        </is>
      </c>
      <c r="E29" s="72" t="n"/>
      <c r="F29" s="72" t="n"/>
      <c r="G29" s="108" t="n">
        <v>46172</v>
      </c>
      <c r="H29" s="72" t="n"/>
      <c r="I29" s="78">
        <f>IF(H29="","",HYPERLINK(H29,"Open ↗"))</f>
        <v/>
      </c>
      <c r="J29" s="72" t="n"/>
      <c r="L29" s="115">
        <f>IF('Contractors'!B29="","",'Contractors'!B29)</f>
        <v/>
      </c>
      <c r="M29" s="78">
        <f>IF(L29="","",'Contractors'!L29)</f>
        <v/>
      </c>
      <c r="N29" s="78">
        <f>IF(OR(L29="",M29&lt;&gt;"Yes"),"",IF(COUNTIFS('Vault'!$C$6:$C$305,"Contract",'Vault'!$D$6:$D$305,L29)&gt;0,"✓","✗ missing"))</f>
        <v/>
      </c>
      <c r="O29" s="78">
        <f>IF(OR(L29="",M29&lt;&gt;"Yes"),"",IF(COUNTIFS('Vault'!$C$6:$C$305,"Insurance",'Vault'!$D$6:$D$305,L29)&gt;0,"✓","✗ missing"))</f>
        <v/>
      </c>
      <c r="P29" s="78">
        <f>IF(OR(L29="",M29&lt;&gt;"Yes"),"",IF(COUNTIFS('Vault'!$C$6:$C$305,"Quote",'Vault'!$D$6:$D$305,L29)&gt;0,"✓","✗ missing"))</f>
        <v/>
      </c>
      <c r="Q29" s="78">
        <f>IF(N29="","",IF(AND(N29="✓",O29="✓",P29="✓"),"✓ Complete","Missing documents"))</f>
        <v/>
      </c>
      <c r="R29" s="79">
        <f>IF(Q29="","",IF(Q29="✓ Complete",0,1))</f>
        <v/>
      </c>
    </row>
    <row r="30" ht="20" customHeight="1">
      <c r="B30" s="72" t="inlineStr">
        <is>
          <t>Aqua Bath quote</t>
        </is>
      </c>
      <c r="C30" s="72" t="inlineStr">
        <is>
          <t>Quote</t>
        </is>
      </c>
      <c r="D30" s="72" t="inlineStr">
        <is>
          <t>Aqua Bath Studio</t>
        </is>
      </c>
      <c r="E30" s="72" t="n"/>
      <c r="F30" s="72" t="n"/>
      <c r="G30" s="108" t="n">
        <v>46157</v>
      </c>
      <c r="H30" s="72" t="n"/>
      <c r="I30" s="78">
        <f>IF(H30="","",HYPERLINK(H30,"Open ↗"))</f>
        <v/>
      </c>
      <c r="J30" s="72" t="n"/>
      <c r="L30" s="115">
        <f>IF('Contractors'!B30="","",'Contractors'!B30)</f>
        <v/>
      </c>
      <c r="M30" s="78">
        <f>IF(L30="","",'Contractors'!L30)</f>
        <v/>
      </c>
      <c r="N30" s="78">
        <f>IF(OR(L30="",M30&lt;&gt;"Yes"),"",IF(COUNTIFS('Vault'!$C$6:$C$305,"Contract",'Vault'!$D$6:$D$305,L30)&gt;0,"✓","✗ missing"))</f>
        <v/>
      </c>
      <c r="O30" s="78">
        <f>IF(OR(L30="",M30&lt;&gt;"Yes"),"",IF(COUNTIFS('Vault'!$C$6:$C$305,"Insurance",'Vault'!$D$6:$D$305,L30)&gt;0,"✓","✗ missing"))</f>
        <v/>
      </c>
      <c r="P30" s="78">
        <f>IF(OR(L30="",M30&lt;&gt;"Yes"),"",IF(COUNTIFS('Vault'!$C$6:$C$305,"Quote",'Vault'!$D$6:$D$305,L30)&gt;0,"✓","✗ missing"))</f>
        <v/>
      </c>
      <c r="Q30" s="78">
        <f>IF(N30="","",IF(AND(N30="✓",O30="✓",P30="✓"),"✓ Complete","Missing documents"))</f>
        <v/>
      </c>
      <c r="R30" s="79">
        <f>IF(Q30="","",IF(Q30="✓ Complete",0,1))</f>
        <v/>
      </c>
    </row>
    <row r="31" ht="20" customHeight="1">
      <c r="B31" s="72" t="inlineStr">
        <is>
          <t>Aqua Bath insurance</t>
        </is>
      </c>
      <c r="C31" s="72" t="inlineStr">
        <is>
          <t>Insurance</t>
        </is>
      </c>
      <c r="D31" s="72" t="inlineStr">
        <is>
          <t>Aqua Bath Studio</t>
        </is>
      </c>
      <c r="E31" s="72" t="n"/>
      <c r="F31" s="72" t="n"/>
      <c r="G31" s="108" t="n">
        <v>46172</v>
      </c>
      <c r="H31" s="72" t="n"/>
      <c r="I31" s="78">
        <f>IF(H31="","",HYPERLINK(H31,"Open ↗"))</f>
        <v/>
      </c>
      <c r="J31" s="72" t="n"/>
      <c r="L31" s="115">
        <f>IF('Contractors'!B31="","",'Contractors'!B31)</f>
        <v/>
      </c>
      <c r="M31" s="78">
        <f>IF(L31="","",'Contractors'!L31)</f>
        <v/>
      </c>
      <c r="N31" s="78">
        <f>IF(OR(L31="",M31&lt;&gt;"Yes"),"",IF(COUNTIFS('Vault'!$C$6:$C$305,"Contract",'Vault'!$D$6:$D$305,L31)&gt;0,"✓","✗ missing"))</f>
        <v/>
      </c>
      <c r="O31" s="78">
        <f>IF(OR(L31="",M31&lt;&gt;"Yes"),"",IF(COUNTIFS('Vault'!$C$6:$C$305,"Insurance",'Vault'!$D$6:$D$305,L31)&gt;0,"✓","✗ missing"))</f>
        <v/>
      </c>
      <c r="P31" s="78">
        <f>IF(OR(L31="",M31&lt;&gt;"Yes"),"",IF(COUNTIFS('Vault'!$C$6:$C$305,"Quote",'Vault'!$D$6:$D$305,L31)&gt;0,"✓","✗ missing"))</f>
        <v/>
      </c>
      <c r="Q31" s="78">
        <f>IF(N31="","",IF(AND(N31="✓",O31="✓",P31="✓"),"✓ Complete","Missing documents"))</f>
        <v/>
      </c>
      <c r="R31" s="79">
        <f>IF(Q31="","",IF(Q31="✓ Complete",0,1))</f>
        <v/>
      </c>
    </row>
    <row r="32" ht="20" customHeight="1">
      <c r="B32" s="72" t="inlineStr">
        <is>
          <t>GreenPlan insurance</t>
        </is>
      </c>
      <c r="C32" s="72" t="inlineStr">
        <is>
          <t>Insurance</t>
        </is>
      </c>
      <c r="D32" s="72" t="inlineStr">
        <is>
          <t>GreenPlan Architects</t>
        </is>
      </c>
      <c r="E32" s="72" t="n"/>
      <c r="F32" s="72" t="n"/>
      <c r="G32" s="108" t="n">
        <v>46073</v>
      </c>
      <c r="H32" s="72" t="n"/>
      <c r="I32" s="78">
        <f>IF(H32="","",HYPERLINK(H32,"Open ↗"))</f>
        <v/>
      </c>
      <c r="J32" s="72" t="n"/>
      <c r="L32" s="115">
        <f>IF('Contractors'!B32="","",'Contractors'!B32)</f>
        <v/>
      </c>
      <c r="M32" s="78">
        <f>IF(L32="","",'Contractors'!L32)</f>
        <v/>
      </c>
      <c r="N32" s="78">
        <f>IF(OR(L32="",M32&lt;&gt;"Yes"),"",IF(COUNTIFS('Vault'!$C$6:$C$305,"Contract",'Vault'!$D$6:$D$305,L32)&gt;0,"✓","✗ missing"))</f>
        <v/>
      </c>
      <c r="O32" s="78">
        <f>IF(OR(L32="",M32&lt;&gt;"Yes"),"",IF(COUNTIFS('Vault'!$C$6:$C$305,"Insurance",'Vault'!$D$6:$D$305,L32)&gt;0,"✓","✗ missing"))</f>
        <v/>
      </c>
      <c r="P32" s="78">
        <f>IF(OR(L32="",M32&lt;&gt;"Yes"),"",IF(COUNTIFS('Vault'!$C$6:$C$305,"Quote",'Vault'!$D$6:$D$305,L32)&gt;0,"✓","✗ missing"))</f>
        <v/>
      </c>
      <c r="Q32" s="78">
        <f>IF(N32="","",IF(AND(N32="✓",O32="✓",P32="✓"),"✓ Complete","Missing documents"))</f>
        <v/>
      </c>
      <c r="R32" s="79">
        <f>IF(Q32="","",IF(Q32="✓ Complete",0,1))</f>
        <v/>
      </c>
    </row>
    <row r="33" ht="20" customHeight="1">
      <c r="B33" s="72" t="inlineStr">
        <is>
          <t>GreenPlan quote</t>
        </is>
      </c>
      <c r="C33" s="72" t="inlineStr">
        <is>
          <t>Quote</t>
        </is>
      </c>
      <c r="D33" s="72" t="inlineStr">
        <is>
          <t>GreenPlan Architects</t>
        </is>
      </c>
      <c r="E33" s="72" t="n"/>
      <c r="F33" s="72" t="n"/>
      <c r="G33" s="108" t="n">
        <v>46063</v>
      </c>
      <c r="H33" s="72" t="n"/>
      <c r="I33" s="78">
        <f>IF(H33="","",HYPERLINK(H33,"Open ↗"))</f>
        <v/>
      </c>
      <c r="J33" s="72" t="n"/>
      <c r="L33" s="115">
        <f>IF('Contractors'!B33="","",'Contractors'!B33)</f>
        <v/>
      </c>
      <c r="M33" s="78">
        <f>IF(L33="","",'Contractors'!L33)</f>
        <v/>
      </c>
      <c r="N33" s="78">
        <f>IF(OR(L33="",M33&lt;&gt;"Yes"),"",IF(COUNTIFS('Vault'!$C$6:$C$305,"Contract",'Vault'!$D$6:$D$305,L33)&gt;0,"✓","✗ missing"))</f>
        <v/>
      </c>
      <c r="O33" s="78">
        <f>IF(OR(L33="",M33&lt;&gt;"Yes"),"",IF(COUNTIFS('Vault'!$C$6:$C$305,"Insurance",'Vault'!$D$6:$D$305,L33)&gt;0,"✓","✗ missing"))</f>
        <v/>
      </c>
      <c r="P33" s="78">
        <f>IF(OR(L33="",M33&lt;&gt;"Yes"),"",IF(COUNTIFS('Vault'!$C$6:$C$305,"Quote",'Vault'!$D$6:$D$305,L33)&gt;0,"✓","✗ missing"))</f>
        <v/>
      </c>
      <c r="Q33" s="78">
        <f>IF(N33="","",IF(AND(N33="✓",O33="✓",P33="✓"),"✓ Complete","Missing documents"))</f>
        <v/>
      </c>
      <c r="R33" s="79">
        <f>IF(Q33="","",IF(Q33="✓ Complete",0,1))</f>
        <v/>
      </c>
    </row>
    <row r="34" ht="20" customHeight="1">
      <c r="B34" s="72" t="inlineStr">
        <is>
          <t>Structural beam inspection</t>
        </is>
      </c>
      <c r="C34" s="72" t="inlineStr">
        <is>
          <t>Inspection</t>
        </is>
      </c>
      <c r="D34" s="72" t="inlineStr">
        <is>
          <t>Solid Structures Ltd</t>
        </is>
      </c>
      <c r="E34" s="72" t="inlineStr">
        <is>
          <t>Living room</t>
        </is>
      </c>
      <c r="F34" s="72" t="inlineStr">
        <is>
          <t>Rough-in</t>
        </is>
      </c>
      <c r="G34" s="108" t="n">
        <v>46153</v>
      </c>
      <c r="H34" s="72" t="n"/>
      <c r="I34" s="78">
        <f>IF(H34="","",HYPERLINK(H34,"Open ↗"))</f>
        <v/>
      </c>
      <c r="J34" s="72" t="n"/>
      <c r="L34" s="115">
        <f>IF('Contractors'!B34="","",'Contractors'!B34)</f>
        <v/>
      </c>
      <c r="M34" s="78">
        <f>IF(L34="","",'Contractors'!L34)</f>
        <v/>
      </c>
      <c r="N34" s="78">
        <f>IF(OR(L34="",M34&lt;&gt;"Yes"),"",IF(COUNTIFS('Vault'!$C$6:$C$305,"Contract",'Vault'!$D$6:$D$305,L34)&gt;0,"✓","✗ missing"))</f>
        <v/>
      </c>
      <c r="O34" s="78">
        <f>IF(OR(L34="",M34&lt;&gt;"Yes"),"",IF(COUNTIFS('Vault'!$C$6:$C$305,"Insurance",'Vault'!$D$6:$D$305,L34)&gt;0,"✓","✗ missing"))</f>
        <v/>
      </c>
      <c r="P34" s="78">
        <f>IF(OR(L34="",M34&lt;&gt;"Yes"),"",IF(COUNTIFS('Vault'!$C$6:$C$305,"Quote",'Vault'!$D$6:$D$305,L34)&gt;0,"✓","✗ missing"))</f>
        <v/>
      </c>
      <c r="Q34" s="78">
        <f>IF(N34="","",IF(AND(N34="✓",O34="✓",P34="✓"),"✓ Complete","Missing documents"))</f>
        <v/>
      </c>
      <c r="R34" s="79">
        <f>IF(Q34="","",IF(Q34="✓ Complete",0,1))</f>
        <v/>
      </c>
    </row>
    <row r="35" ht="20" customHeight="1">
      <c r="B35" s="72" t="inlineStr">
        <is>
          <t>Fridge-freezer receipt</t>
        </is>
      </c>
      <c r="C35" s="72" t="inlineStr">
        <is>
          <t>Receipt</t>
        </is>
      </c>
      <c r="D35" s="72" t="n"/>
      <c r="E35" s="72" t="inlineStr">
        <is>
          <t>Kitchen</t>
        </is>
      </c>
      <c r="F35" s="72" t="n"/>
      <c r="G35" s="108" t="n">
        <v>46175</v>
      </c>
      <c r="H35" s="72" t="n"/>
      <c r="I35" s="78">
        <f>IF(H35="","",HYPERLINK(H35,"Open ↗"))</f>
        <v/>
      </c>
      <c r="J35" s="72" t="n"/>
      <c r="L35" s="115">
        <f>IF('Contractors'!B35="","",'Contractors'!B35)</f>
        <v/>
      </c>
      <c r="M35" s="78">
        <f>IF(L35="","",'Contractors'!L35)</f>
        <v/>
      </c>
      <c r="N35" s="78">
        <f>IF(OR(L35="",M35&lt;&gt;"Yes"),"",IF(COUNTIFS('Vault'!$C$6:$C$305,"Contract",'Vault'!$D$6:$D$305,L35)&gt;0,"✓","✗ missing"))</f>
        <v/>
      </c>
      <c r="O35" s="78">
        <f>IF(OR(L35="",M35&lt;&gt;"Yes"),"",IF(COUNTIFS('Vault'!$C$6:$C$305,"Insurance",'Vault'!$D$6:$D$305,L35)&gt;0,"✓","✗ missing"))</f>
        <v/>
      </c>
      <c r="P35" s="78">
        <f>IF(OR(L35="",M35&lt;&gt;"Yes"),"",IF(COUNTIFS('Vault'!$C$6:$C$305,"Quote",'Vault'!$D$6:$D$305,L35)&gt;0,"✓","✗ missing"))</f>
        <v/>
      </c>
      <c r="Q35" s="78">
        <f>IF(N35="","",IF(AND(N35="✓",O35="✓",P35="✓"),"✓ Complete","Missing documents"))</f>
        <v/>
      </c>
      <c r="R35" s="79">
        <f>IF(Q35="","",IF(Q35="✓ Complete",0,1))</f>
        <v/>
      </c>
    </row>
    <row r="36" ht="20" customHeight="1">
      <c r="B36" s="72" t="inlineStr">
        <is>
          <t>Kitchen — before</t>
        </is>
      </c>
      <c r="C36" s="72" t="inlineStr">
        <is>
          <t>Photo</t>
        </is>
      </c>
      <c r="D36" s="72" t="n"/>
      <c r="E36" s="72" t="inlineStr">
        <is>
          <t>Kitchen</t>
        </is>
      </c>
      <c r="F36" s="72" t="inlineStr">
        <is>
          <t>Before</t>
        </is>
      </c>
      <c r="G36" s="108" t="n">
        <v>46082</v>
      </c>
      <c r="H36" s="72" t="inlineStr">
        <is>
          <t>https://photos.google.com/example-album</t>
        </is>
      </c>
      <c r="I36" s="78">
        <f>IF(H36="","",HYPERLINK(H36,"Open ↗"))</f>
        <v/>
      </c>
      <c r="J36" s="72" t="n"/>
    </row>
    <row r="37" ht="20" customHeight="1">
      <c r="B37" s="72" t="inlineStr">
        <is>
          <t>Bathroom 1 — before</t>
        </is>
      </c>
      <c r="C37" s="72" t="inlineStr">
        <is>
          <t>Photo</t>
        </is>
      </c>
      <c r="D37" s="72" t="n"/>
      <c r="E37" s="72" t="inlineStr">
        <is>
          <t>Bathroom 1</t>
        </is>
      </c>
      <c r="F37" s="72" t="inlineStr">
        <is>
          <t>Before</t>
        </is>
      </c>
      <c r="G37" s="108" t="n">
        <v>46082</v>
      </c>
      <c r="H37" s="72" t="inlineStr">
        <is>
          <t>https://photos.google.com/example-album</t>
        </is>
      </c>
      <c r="I37" s="78">
        <f>IF(H37="","",HYPERLINK(H37,"Open ↗"))</f>
        <v/>
      </c>
      <c r="J37" s="72" t="n"/>
      <c r="L37" s="4" t="inlineStr">
        <is>
          <t>PROJECT DOCUMENTS</t>
        </is>
      </c>
      <c r="M37" s="5" t="n"/>
      <c r="N37" s="5" t="n"/>
      <c r="O37" s="5" t="n"/>
      <c r="P37" s="5" t="n"/>
      <c r="Q37" s="5" t="n"/>
      <c r="R37" s="5" t="n"/>
    </row>
    <row r="38" ht="20" customHeight="1">
      <c r="B38" s="72" t="inlineStr">
        <is>
          <t>Bathroom 2 — before</t>
        </is>
      </c>
      <c r="C38" s="72" t="inlineStr">
        <is>
          <t>Photo</t>
        </is>
      </c>
      <c r="D38" s="72" t="n"/>
      <c r="E38" s="72" t="inlineStr">
        <is>
          <t>Bathroom 2</t>
        </is>
      </c>
      <c r="F38" s="72" t="inlineStr">
        <is>
          <t>Before</t>
        </is>
      </c>
      <c r="G38" s="108" t="n">
        <v>46082</v>
      </c>
      <c r="H38" s="72" t="inlineStr">
        <is>
          <t>https://photos.google.com/example-album</t>
        </is>
      </c>
      <c r="I38" s="78">
        <f>IF(H38="","",HYPERLINK(H38,"Open ↗"))</f>
        <v/>
      </c>
      <c r="J38" s="72" t="n"/>
      <c r="L38" s="6" t="inlineStr">
        <is>
          <t>Building permit</t>
        </is>
      </c>
      <c r="N38" s="78">
        <f>IF(COUNTIF('Vault'!$C$6:$C$305,"Permit")&gt;0,"✓","✗ missing")</f>
        <v/>
      </c>
    </row>
    <row r="39" ht="20" customHeight="1">
      <c r="B39" s="72" t="inlineStr">
        <is>
          <t>Master bedroom — before</t>
        </is>
      </c>
      <c r="C39" s="72" t="inlineStr">
        <is>
          <t>Photo</t>
        </is>
      </c>
      <c r="D39" s="72" t="n"/>
      <c r="E39" s="72" t="inlineStr">
        <is>
          <t>Master bedroom</t>
        </is>
      </c>
      <c r="F39" s="72" t="inlineStr">
        <is>
          <t>Before</t>
        </is>
      </c>
      <c r="G39" s="108" t="n">
        <v>46082</v>
      </c>
      <c r="H39" s="72" t="inlineStr">
        <is>
          <t>https://photos.google.com/example-album</t>
        </is>
      </c>
      <c r="I39" s="78">
        <f>IF(H39="","",HYPERLINK(H39,"Open ↗"))</f>
        <v/>
      </c>
      <c r="J39" s="72" t="n"/>
      <c r="L39" s="6" t="inlineStr">
        <is>
          <t>Plans / drawings</t>
        </is>
      </c>
      <c r="N39" s="78">
        <f>IF(COUNTIF('Vault'!$C$6:$C$305,"Plan")&gt;0,"✓","✗ missing")</f>
        <v/>
      </c>
    </row>
    <row r="40" ht="20" customHeight="1">
      <c r="B40" s="72" t="inlineStr">
        <is>
          <t>Living room — before</t>
        </is>
      </c>
      <c r="C40" s="72" t="inlineStr">
        <is>
          <t>Photo</t>
        </is>
      </c>
      <c r="D40" s="72" t="n"/>
      <c r="E40" s="72" t="inlineStr">
        <is>
          <t>Living room</t>
        </is>
      </c>
      <c r="F40" s="72" t="inlineStr">
        <is>
          <t>Before</t>
        </is>
      </c>
      <c r="G40" s="108" t="n">
        <v>46082</v>
      </c>
      <c r="H40" s="72" t="inlineStr">
        <is>
          <t>https://photos.google.com/example-album</t>
        </is>
      </c>
      <c r="I40" s="78">
        <f>IF(H40="","",HYPERLINK(H40,"Open ↗"))</f>
        <v/>
      </c>
      <c r="J40" s="72" t="n"/>
      <c r="L40" s="6" t="inlineStr">
        <is>
          <t>Inspection reports</t>
        </is>
      </c>
      <c r="N40" s="78">
        <f>IF(COUNTIF('Vault'!$C$6:$C$305,"Inspection")&gt;0,"✓","✗ missing")</f>
        <v/>
      </c>
    </row>
    <row r="41" ht="20" customHeight="1">
      <c r="B41" s="72" t="inlineStr">
        <is>
          <t>Exterior — before</t>
        </is>
      </c>
      <c r="C41" s="72" t="inlineStr">
        <is>
          <t>Photo</t>
        </is>
      </c>
      <c r="D41" s="72" t="n"/>
      <c r="E41" s="72" t="inlineStr">
        <is>
          <t>Exterior</t>
        </is>
      </c>
      <c r="F41" s="72" t="inlineStr">
        <is>
          <t>Before</t>
        </is>
      </c>
      <c r="G41" s="108" t="n">
        <v>46082</v>
      </c>
      <c r="H41" s="72" t="inlineStr">
        <is>
          <t>https://photos.google.com/example-album</t>
        </is>
      </c>
      <c r="I41" s="78">
        <f>IF(H41="","",HYPERLINK(H41,"Open ↗"))</f>
        <v/>
      </c>
      <c r="J41" s="72" t="n"/>
    </row>
    <row r="42" ht="20" customHeight="1">
      <c r="B42" s="72" t="inlineStr">
        <is>
          <t>Kitchen — stripped out</t>
        </is>
      </c>
      <c r="C42" s="72" t="inlineStr">
        <is>
          <t>Photo</t>
        </is>
      </c>
      <c r="D42" s="72" t="n"/>
      <c r="E42" s="72" t="inlineStr">
        <is>
          <t>Kitchen</t>
        </is>
      </c>
      <c r="F42" s="72" t="inlineStr">
        <is>
          <t>Demolition</t>
        </is>
      </c>
      <c r="G42" s="108" t="n">
        <v>46141</v>
      </c>
      <c r="H42" s="72" t="n"/>
      <c r="I42" s="78">
        <f>IF(H42="","",HYPERLINK(H42,"Open ↗"))</f>
        <v/>
      </c>
      <c r="J42" s="72" t="n"/>
      <c r="L42" s="4" t="inlineStr">
        <is>
          <t>PHOTO TRACKER — ✓ when a Photo row exists for room + stage</t>
        </is>
      </c>
      <c r="M42" s="5" t="n"/>
      <c r="N42" s="5" t="n"/>
      <c r="O42" s="5" t="n"/>
      <c r="P42" s="5" t="n"/>
      <c r="Q42" s="5" t="n"/>
      <c r="R42" s="5" t="n"/>
    </row>
    <row r="43" ht="20" customHeight="1">
      <c r="B43" s="72" t="inlineStr">
        <is>
          <t>Bathroom 1 — stripped out</t>
        </is>
      </c>
      <c r="C43" s="72" t="inlineStr">
        <is>
          <t>Photo</t>
        </is>
      </c>
      <c r="D43" s="72" t="n"/>
      <c r="E43" s="72" t="inlineStr">
        <is>
          <t>Bathroom 1</t>
        </is>
      </c>
      <c r="F43" s="72" t="inlineStr">
        <is>
          <t>Demolition</t>
        </is>
      </c>
      <c r="G43" s="108" t="n">
        <v>46141</v>
      </c>
      <c r="H43" s="72" t="n"/>
      <c r="I43" s="78">
        <f>IF(H43="","",HYPERLINK(H43,"Open ↗"))</f>
        <v/>
      </c>
      <c r="J43" s="72" t="n"/>
      <c r="L43" s="52" t="inlineStr">
        <is>
          <t>Room</t>
        </is>
      </c>
      <c r="M43" s="52" t="inlineStr">
        <is>
          <t>Before</t>
        </is>
      </c>
      <c r="N43" s="52" t="inlineStr">
        <is>
          <t>Demolition</t>
        </is>
      </c>
      <c r="O43" s="52" t="inlineStr">
        <is>
          <t>Rough-in</t>
        </is>
      </c>
      <c r="P43" s="52" t="inlineStr">
        <is>
          <t>Walls</t>
        </is>
      </c>
      <c r="Q43" s="52" t="inlineStr">
        <is>
          <t>Finishing</t>
        </is>
      </c>
      <c r="R43" s="52" t="inlineStr">
        <is>
          <t>Final</t>
        </is>
      </c>
    </row>
    <row r="44" ht="20" customHeight="1">
      <c r="B44" s="72" t="inlineStr">
        <is>
          <t>Living room — stripped out</t>
        </is>
      </c>
      <c r="C44" s="72" t="inlineStr">
        <is>
          <t>Photo</t>
        </is>
      </c>
      <c r="D44" s="72" t="n"/>
      <c r="E44" s="72" t="inlineStr">
        <is>
          <t>Living room</t>
        </is>
      </c>
      <c r="F44" s="72" t="inlineStr">
        <is>
          <t>Demolition</t>
        </is>
      </c>
      <c r="G44" s="108" t="n">
        <v>46141</v>
      </c>
      <c r="H44" s="72" t="n"/>
      <c r="I44" s="78">
        <f>IF(H44="","",HYPERLINK(H44,"Open ↗"))</f>
        <v/>
      </c>
      <c r="J44" s="72" t="n"/>
      <c r="L44" s="115">
        <f>IF('Rooms'!Q6="","",'Rooms'!Q6)</f>
        <v/>
      </c>
      <c r="M44" s="78">
        <f>IF($L44="","",IF(COUNTIFS('Vault'!$C$6:$C$305,"Photo",'Vault'!$E$6:$E$305,$L44,'Vault'!$F$6:$F$305,M$43)&gt;0,"✓","·"))</f>
        <v/>
      </c>
      <c r="N44" s="78">
        <f>IF($L44="","",IF(COUNTIFS('Vault'!$C$6:$C$305,"Photo",'Vault'!$E$6:$E$305,$L44,'Vault'!$F$6:$F$305,N$43)&gt;0,"✓","·"))</f>
        <v/>
      </c>
      <c r="O44" s="78">
        <f>IF($L44="","",IF(COUNTIFS('Vault'!$C$6:$C$305,"Photo",'Vault'!$E$6:$E$305,$L44,'Vault'!$F$6:$F$305,O$43)&gt;0,"✓","·"))</f>
        <v/>
      </c>
      <c r="P44" s="78">
        <f>IF($L44="","",IF(COUNTIFS('Vault'!$C$6:$C$305,"Photo",'Vault'!$E$6:$E$305,$L44,'Vault'!$F$6:$F$305,P$43)&gt;0,"✓","·"))</f>
        <v/>
      </c>
      <c r="Q44" s="78">
        <f>IF($L44="","",IF(COUNTIFS('Vault'!$C$6:$C$305,"Photo",'Vault'!$E$6:$E$305,$L44,'Vault'!$F$6:$F$305,Q$43)&gt;0,"✓","·"))</f>
        <v/>
      </c>
      <c r="R44" s="78">
        <f>IF($L44="","",IF(COUNTIFS('Vault'!$C$6:$C$305,"Photo",'Vault'!$E$6:$E$305,$L44,'Vault'!$F$6:$F$305,R$43)&gt;0,"✓","·"))</f>
        <v/>
      </c>
    </row>
    <row r="45" ht="20" customHeight="1">
      <c r="B45" s="72" t="inlineStr">
        <is>
          <t>Kitchen — pipes &amp; cables</t>
        </is>
      </c>
      <c r="C45" s="72" t="inlineStr">
        <is>
          <t>Photo</t>
        </is>
      </c>
      <c r="D45" s="72" t="n"/>
      <c r="E45" s="72" t="inlineStr">
        <is>
          <t>Kitchen</t>
        </is>
      </c>
      <c r="F45" s="72" t="inlineStr">
        <is>
          <t>Rough-in</t>
        </is>
      </c>
      <c r="G45" s="108" t="n">
        <v>46185</v>
      </c>
      <c r="H45" s="72" t="n"/>
      <c r="I45" s="78">
        <f>IF(H45="","",HYPERLINK(H45,"Open ↗"))</f>
        <v/>
      </c>
      <c r="J45" s="72" t="n"/>
      <c r="L45" s="115">
        <f>IF('Rooms'!Q7="","",'Rooms'!Q7)</f>
        <v/>
      </c>
      <c r="M45" s="78">
        <f>IF($L45="","",IF(COUNTIFS('Vault'!$C$6:$C$305,"Photo",'Vault'!$E$6:$E$305,$L45,'Vault'!$F$6:$F$305,M$43)&gt;0,"✓","·"))</f>
        <v/>
      </c>
      <c r="N45" s="78">
        <f>IF($L45="","",IF(COUNTIFS('Vault'!$C$6:$C$305,"Photo",'Vault'!$E$6:$E$305,$L45,'Vault'!$F$6:$F$305,N$43)&gt;0,"✓","·"))</f>
        <v/>
      </c>
      <c r="O45" s="78">
        <f>IF($L45="","",IF(COUNTIFS('Vault'!$C$6:$C$305,"Photo",'Vault'!$E$6:$E$305,$L45,'Vault'!$F$6:$F$305,O$43)&gt;0,"✓","·"))</f>
        <v/>
      </c>
      <c r="P45" s="78">
        <f>IF($L45="","",IF(COUNTIFS('Vault'!$C$6:$C$305,"Photo",'Vault'!$E$6:$E$305,$L45,'Vault'!$F$6:$F$305,P$43)&gt;0,"✓","·"))</f>
        <v/>
      </c>
      <c r="Q45" s="78">
        <f>IF($L45="","",IF(COUNTIFS('Vault'!$C$6:$C$305,"Photo",'Vault'!$E$6:$E$305,$L45,'Vault'!$F$6:$F$305,Q$43)&gt;0,"✓","·"))</f>
        <v/>
      </c>
      <c r="R45" s="78">
        <f>IF($L45="","",IF(COUNTIFS('Vault'!$C$6:$C$305,"Photo",'Vault'!$E$6:$E$305,$L45,'Vault'!$F$6:$F$305,R$43)&gt;0,"✓","·"))</f>
        <v/>
      </c>
    </row>
    <row r="46" ht="20" customHeight="1">
      <c r="B46" s="72" t="n"/>
      <c r="C46" s="72" t="n"/>
      <c r="D46" s="72" t="n"/>
      <c r="E46" s="72" t="n"/>
      <c r="F46" s="72" t="n"/>
      <c r="G46" s="108" t="n"/>
      <c r="H46" s="72" t="n"/>
      <c r="I46" s="78">
        <f>IF(H46="","",HYPERLINK(H46,"Open ↗"))</f>
        <v/>
      </c>
      <c r="J46" s="72" t="n"/>
      <c r="L46" s="115">
        <f>IF('Rooms'!Q8="","",'Rooms'!Q8)</f>
        <v/>
      </c>
      <c r="M46" s="78">
        <f>IF($L46="","",IF(COUNTIFS('Vault'!$C$6:$C$305,"Photo",'Vault'!$E$6:$E$305,$L46,'Vault'!$F$6:$F$305,M$43)&gt;0,"✓","·"))</f>
        <v/>
      </c>
      <c r="N46" s="78">
        <f>IF($L46="","",IF(COUNTIFS('Vault'!$C$6:$C$305,"Photo",'Vault'!$E$6:$E$305,$L46,'Vault'!$F$6:$F$305,N$43)&gt;0,"✓","·"))</f>
        <v/>
      </c>
      <c r="O46" s="78">
        <f>IF($L46="","",IF(COUNTIFS('Vault'!$C$6:$C$305,"Photo",'Vault'!$E$6:$E$305,$L46,'Vault'!$F$6:$F$305,O$43)&gt;0,"✓","·"))</f>
        <v/>
      </c>
      <c r="P46" s="78">
        <f>IF($L46="","",IF(COUNTIFS('Vault'!$C$6:$C$305,"Photo",'Vault'!$E$6:$E$305,$L46,'Vault'!$F$6:$F$305,P$43)&gt;0,"✓","·"))</f>
        <v/>
      </c>
      <c r="Q46" s="78">
        <f>IF($L46="","",IF(COUNTIFS('Vault'!$C$6:$C$305,"Photo",'Vault'!$E$6:$E$305,$L46,'Vault'!$F$6:$F$305,Q$43)&gt;0,"✓","·"))</f>
        <v/>
      </c>
      <c r="R46" s="78">
        <f>IF($L46="","",IF(COUNTIFS('Vault'!$C$6:$C$305,"Photo",'Vault'!$E$6:$E$305,$L46,'Vault'!$F$6:$F$305,R$43)&gt;0,"✓","·"))</f>
        <v/>
      </c>
    </row>
    <row r="47" ht="20" customHeight="1">
      <c r="B47" s="72" t="n"/>
      <c r="C47" s="72" t="n"/>
      <c r="D47" s="72" t="n"/>
      <c r="E47" s="72" t="n"/>
      <c r="F47" s="72" t="n"/>
      <c r="G47" s="108" t="n"/>
      <c r="H47" s="72" t="n"/>
      <c r="I47" s="78">
        <f>IF(H47="","",HYPERLINK(H47,"Open ↗"))</f>
        <v/>
      </c>
      <c r="J47" s="72" t="n"/>
      <c r="L47" s="115">
        <f>IF('Rooms'!Q9="","",'Rooms'!Q9)</f>
        <v/>
      </c>
      <c r="M47" s="78">
        <f>IF($L47="","",IF(COUNTIFS('Vault'!$C$6:$C$305,"Photo",'Vault'!$E$6:$E$305,$L47,'Vault'!$F$6:$F$305,M$43)&gt;0,"✓","·"))</f>
        <v/>
      </c>
      <c r="N47" s="78">
        <f>IF($L47="","",IF(COUNTIFS('Vault'!$C$6:$C$305,"Photo",'Vault'!$E$6:$E$305,$L47,'Vault'!$F$6:$F$305,N$43)&gt;0,"✓","·"))</f>
        <v/>
      </c>
      <c r="O47" s="78">
        <f>IF($L47="","",IF(COUNTIFS('Vault'!$C$6:$C$305,"Photo",'Vault'!$E$6:$E$305,$L47,'Vault'!$F$6:$F$305,O$43)&gt;0,"✓","·"))</f>
        <v/>
      </c>
      <c r="P47" s="78">
        <f>IF($L47="","",IF(COUNTIFS('Vault'!$C$6:$C$305,"Photo",'Vault'!$E$6:$E$305,$L47,'Vault'!$F$6:$F$305,P$43)&gt;0,"✓","·"))</f>
        <v/>
      </c>
      <c r="Q47" s="78">
        <f>IF($L47="","",IF(COUNTIFS('Vault'!$C$6:$C$305,"Photo",'Vault'!$E$6:$E$305,$L47,'Vault'!$F$6:$F$305,Q$43)&gt;0,"✓","·"))</f>
        <v/>
      </c>
      <c r="R47" s="78">
        <f>IF($L47="","",IF(COUNTIFS('Vault'!$C$6:$C$305,"Photo",'Vault'!$E$6:$E$305,$L47,'Vault'!$F$6:$F$305,R$43)&gt;0,"✓","·"))</f>
        <v/>
      </c>
    </row>
    <row r="48" ht="20" customHeight="1">
      <c r="B48" s="72" t="n"/>
      <c r="C48" s="72" t="n"/>
      <c r="D48" s="72" t="n"/>
      <c r="E48" s="72" t="n"/>
      <c r="F48" s="72" t="n"/>
      <c r="G48" s="108" t="n"/>
      <c r="H48" s="72" t="n"/>
      <c r="I48" s="78">
        <f>IF(H48="","",HYPERLINK(H48,"Open ↗"))</f>
        <v/>
      </c>
      <c r="J48" s="72" t="n"/>
      <c r="L48" s="115">
        <f>IF('Rooms'!Q10="","",'Rooms'!Q10)</f>
        <v/>
      </c>
      <c r="M48" s="78">
        <f>IF($L48="","",IF(COUNTIFS('Vault'!$C$6:$C$305,"Photo",'Vault'!$E$6:$E$305,$L48,'Vault'!$F$6:$F$305,M$43)&gt;0,"✓","·"))</f>
        <v/>
      </c>
      <c r="N48" s="78">
        <f>IF($L48="","",IF(COUNTIFS('Vault'!$C$6:$C$305,"Photo",'Vault'!$E$6:$E$305,$L48,'Vault'!$F$6:$F$305,N$43)&gt;0,"✓","·"))</f>
        <v/>
      </c>
      <c r="O48" s="78">
        <f>IF($L48="","",IF(COUNTIFS('Vault'!$C$6:$C$305,"Photo",'Vault'!$E$6:$E$305,$L48,'Vault'!$F$6:$F$305,O$43)&gt;0,"✓","·"))</f>
        <v/>
      </c>
      <c r="P48" s="78">
        <f>IF($L48="","",IF(COUNTIFS('Vault'!$C$6:$C$305,"Photo",'Vault'!$E$6:$E$305,$L48,'Vault'!$F$6:$F$305,P$43)&gt;0,"✓","·"))</f>
        <v/>
      </c>
      <c r="Q48" s="78">
        <f>IF($L48="","",IF(COUNTIFS('Vault'!$C$6:$C$305,"Photo",'Vault'!$E$6:$E$305,$L48,'Vault'!$F$6:$F$305,Q$43)&gt;0,"✓","·"))</f>
        <v/>
      </c>
      <c r="R48" s="78">
        <f>IF($L48="","",IF(COUNTIFS('Vault'!$C$6:$C$305,"Photo",'Vault'!$E$6:$E$305,$L48,'Vault'!$F$6:$F$305,R$43)&gt;0,"✓","·"))</f>
        <v/>
      </c>
    </row>
    <row r="49" ht="20" customHeight="1">
      <c r="B49" s="72" t="n"/>
      <c r="C49" s="72" t="n"/>
      <c r="D49" s="72" t="n"/>
      <c r="E49" s="72" t="n"/>
      <c r="F49" s="72" t="n"/>
      <c r="G49" s="108" t="n"/>
      <c r="H49" s="72" t="n"/>
      <c r="I49" s="78">
        <f>IF(H49="","",HYPERLINK(H49,"Open ↗"))</f>
        <v/>
      </c>
      <c r="J49" s="72" t="n"/>
      <c r="L49" s="115">
        <f>IF('Rooms'!Q11="","",'Rooms'!Q11)</f>
        <v/>
      </c>
      <c r="M49" s="78">
        <f>IF($L49="","",IF(COUNTIFS('Vault'!$C$6:$C$305,"Photo",'Vault'!$E$6:$E$305,$L49,'Vault'!$F$6:$F$305,M$43)&gt;0,"✓","·"))</f>
        <v/>
      </c>
      <c r="N49" s="78">
        <f>IF($L49="","",IF(COUNTIFS('Vault'!$C$6:$C$305,"Photo",'Vault'!$E$6:$E$305,$L49,'Vault'!$F$6:$F$305,N$43)&gt;0,"✓","·"))</f>
        <v/>
      </c>
      <c r="O49" s="78">
        <f>IF($L49="","",IF(COUNTIFS('Vault'!$C$6:$C$305,"Photo",'Vault'!$E$6:$E$305,$L49,'Vault'!$F$6:$F$305,O$43)&gt;0,"✓","·"))</f>
        <v/>
      </c>
      <c r="P49" s="78">
        <f>IF($L49="","",IF(COUNTIFS('Vault'!$C$6:$C$305,"Photo",'Vault'!$E$6:$E$305,$L49,'Vault'!$F$6:$F$305,P$43)&gt;0,"✓","·"))</f>
        <v/>
      </c>
      <c r="Q49" s="78">
        <f>IF($L49="","",IF(COUNTIFS('Vault'!$C$6:$C$305,"Photo",'Vault'!$E$6:$E$305,$L49,'Vault'!$F$6:$F$305,Q$43)&gt;0,"✓","·"))</f>
        <v/>
      </c>
      <c r="R49" s="78">
        <f>IF($L49="","",IF(COUNTIFS('Vault'!$C$6:$C$305,"Photo",'Vault'!$E$6:$E$305,$L49,'Vault'!$F$6:$F$305,R$43)&gt;0,"✓","·"))</f>
        <v/>
      </c>
    </row>
    <row r="50" ht="20" customHeight="1">
      <c r="B50" s="72" t="n"/>
      <c r="C50" s="72" t="n"/>
      <c r="D50" s="72" t="n"/>
      <c r="E50" s="72" t="n"/>
      <c r="F50" s="72" t="n"/>
      <c r="G50" s="108" t="n"/>
      <c r="H50" s="72" t="n"/>
      <c r="I50" s="78">
        <f>IF(H50="","",HYPERLINK(H50,"Open ↗"))</f>
        <v/>
      </c>
      <c r="J50" s="72" t="n"/>
      <c r="L50" s="115">
        <f>IF('Rooms'!Q12="","",'Rooms'!Q12)</f>
        <v/>
      </c>
      <c r="M50" s="78">
        <f>IF($L50="","",IF(COUNTIFS('Vault'!$C$6:$C$305,"Photo",'Vault'!$E$6:$E$305,$L50,'Vault'!$F$6:$F$305,M$43)&gt;0,"✓","·"))</f>
        <v/>
      </c>
      <c r="N50" s="78">
        <f>IF($L50="","",IF(COUNTIFS('Vault'!$C$6:$C$305,"Photo",'Vault'!$E$6:$E$305,$L50,'Vault'!$F$6:$F$305,N$43)&gt;0,"✓","·"))</f>
        <v/>
      </c>
      <c r="O50" s="78">
        <f>IF($L50="","",IF(COUNTIFS('Vault'!$C$6:$C$305,"Photo",'Vault'!$E$6:$E$305,$L50,'Vault'!$F$6:$F$305,O$43)&gt;0,"✓","·"))</f>
        <v/>
      </c>
      <c r="P50" s="78">
        <f>IF($L50="","",IF(COUNTIFS('Vault'!$C$6:$C$305,"Photo",'Vault'!$E$6:$E$305,$L50,'Vault'!$F$6:$F$305,P$43)&gt;0,"✓","·"))</f>
        <v/>
      </c>
      <c r="Q50" s="78">
        <f>IF($L50="","",IF(COUNTIFS('Vault'!$C$6:$C$305,"Photo",'Vault'!$E$6:$E$305,$L50,'Vault'!$F$6:$F$305,Q$43)&gt;0,"✓","·"))</f>
        <v/>
      </c>
      <c r="R50" s="78">
        <f>IF($L50="","",IF(COUNTIFS('Vault'!$C$6:$C$305,"Photo",'Vault'!$E$6:$E$305,$L50,'Vault'!$F$6:$F$305,R$43)&gt;0,"✓","·"))</f>
        <v/>
      </c>
    </row>
    <row r="51" ht="20" customHeight="1">
      <c r="B51" s="72" t="n"/>
      <c r="C51" s="72" t="n"/>
      <c r="D51" s="72" t="n"/>
      <c r="E51" s="72" t="n"/>
      <c r="F51" s="72" t="n"/>
      <c r="G51" s="108" t="n"/>
      <c r="H51" s="72" t="n"/>
      <c r="I51" s="78">
        <f>IF(H51="","",HYPERLINK(H51,"Open ↗"))</f>
        <v/>
      </c>
      <c r="J51" s="72" t="n"/>
      <c r="L51" s="115">
        <f>IF('Rooms'!Q13="","",'Rooms'!Q13)</f>
        <v/>
      </c>
      <c r="M51" s="78">
        <f>IF($L51="","",IF(COUNTIFS('Vault'!$C$6:$C$305,"Photo",'Vault'!$E$6:$E$305,$L51,'Vault'!$F$6:$F$305,M$43)&gt;0,"✓","·"))</f>
        <v/>
      </c>
      <c r="N51" s="78">
        <f>IF($L51="","",IF(COUNTIFS('Vault'!$C$6:$C$305,"Photo",'Vault'!$E$6:$E$305,$L51,'Vault'!$F$6:$F$305,N$43)&gt;0,"✓","·"))</f>
        <v/>
      </c>
      <c r="O51" s="78">
        <f>IF($L51="","",IF(COUNTIFS('Vault'!$C$6:$C$305,"Photo",'Vault'!$E$6:$E$305,$L51,'Vault'!$F$6:$F$305,O$43)&gt;0,"✓","·"))</f>
        <v/>
      </c>
      <c r="P51" s="78">
        <f>IF($L51="","",IF(COUNTIFS('Vault'!$C$6:$C$305,"Photo",'Vault'!$E$6:$E$305,$L51,'Vault'!$F$6:$F$305,P$43)&gt;0,"✓","·"))</f>
        <v/>
      </c>
      <c r="Q51" s="78">
        <f>IF($L51="","",IF(COUNTIFS('Vault'!$C$6:$C$305,"Photo",'Vault'!$E$6:$E$305,$L51,'Vault'!$F$6:$F$305,Q$43)&gt;0,"✓","·"))</f>
        <v/>
      </c>
      <c r="R51" s="78">
        <f>IF($L51="","",IF(COUNTIFS('Vault'!$C$6:$C$305,"Photo",'Vault'!$E$6:$E$305,$L51,'Vault'!$F$6:$F$305,R$43)&gt;0,"✓","·"))</f>
        <v/>
      </c>
    </row>
    <row r="52" ht="20" customHeight="1">
      <c r="B52" s="72" t="n"/>
      <c r="C52" s="72" t="n"/>
      <c r="D52" s="72" t="n"/>
      <c r="E52" s="72" t="n"/>
      <c r="F52" s="72" t="n"/>
      <c r="G52" s="108" t="n"/>
      <c r="H52" s="72" t="n"/>
      <c r="I52" s="78">
        <f>IF(H52="","",HYPERLINK(H52,"Open ↗"))</f>
        <v/>
      </c>
      <c r="J52" s="72" t="n"/>
      <c r="L52" s="115">
        <f>IF('Rooms'!Q14="","",'Rooms'!Q14)</f>
        <v/>
      </c>
      <c r="M52" s="78">
        <f>IF($L52="","",IF(COUNTIFS('Vault'!$C$6:$C$305,"Photo",'Vault'!$E$6:$E$305,$L52,'Vault'!$F$6:$F$305,M$43)&gt;0,"✓","·"))</f>
        <v/>
      </c>
      <c r="N52" s="78">
        <f>IF($L52="","",IF(COUNTIFS('Vault'!$C$6:$C$305,"Photo",'Vault'!$E$6:$E$305,$L52,'Vault'!$F$6:$F$305,N$43)&gt;0,"✓","·"))</f>
        <v/>
      </c>
      <c r="O52" s="78">
        <f>IF($L52="","",IF(COUNTIFS('Vault'!$C$6:$C$305,"Photo",'Vault'!$E$6:$E$305,$L52,'Vault'!$F$6:$F$305,O$43)&gt;0,"✓","·"))</f>
        <v/>
      </c>
      <c r="P52" s="78">
        <f>IF($L52="","",IF(COUNTIFS('Vault'!$C$6:$C$305,"Photo",'Vault'!$E$6:$E$305,$L52,'Vault'!$F$6:$F$305,P$43)&gt;0,"✓","·"))</f>
        <v/>
      </c>
      <c r="Q52" s="78">
        <f>IF($L52="","",IF(COUNTIFS('Vault'!$C$6:$C$305,"Photo",'Vault'!$E$6:$E$305,$L52,'Vault'!$F$6:$F$305,Q$43)&gt;0,"✓","·"))</f>
        <v/>
      </c>
      <c r="R52" s="78">
        <f>IF($L52="","",IF(COUNTIFS('Vault'!$C$6:$C$305,"Photo",'Vault'!$E$6:$E$305,$L52,'Vault'!$F$6:$F$305,R$43)&gt;0,"✓","·"))</f>
        <v/>
      </c>
    </row>
    <row r="53" ht="20" customHeight="1">
      <c r="B53" s="72" t="n"/>
      <c r="C53" s="72" t="n"/>
      <c r="D53" s="72" t="n"/>
      <c r="E53" s="72" t="n"/>
      <c r="F53" s="72" t="n"/>
      <c r="G53" s="108" t="n"/>
      <c r="H53" s="72" t="n"/>
      <c r="I53" s="78">
        <f>IF(H53="","",HYPERLINK(H53,"Open ↗"))</f>
        <v/>
      </c>
      <c r="J53" s="72" t="n"/>
      <c r="L53" s="115">
        <f>IF('Rooms'!Q15="","",'Rooms'!Q15)</f>
        <v/>
      </c>
      <c r="M53" s="78">
        <f>IF($L53="","",IF(COUNTIFS('Vault'!$C$6:$C$305,"Photo",'Vault'!$E$6:$E$305,$L53,'Vault'!$F$6:$F$305,M$43)&gt;0,"✓","·"))</f>
        <v/>
      </c>
      <c r="N53" s="78">
        <f>IF($L53="","",IF(COUNTIFS('Vault'!$C$6:$C$305,"Photo",'Vault'!$E$6:$E$305,$L53,'Vault'!$F$6:$F$305,N$43)&gt;0,"✓","·"))</f>
        <v/>
      </c>
      <c r="O53" s="78">
        <f>IF($L53="","",IF(COUNTIFS('Vault'!$C$6:$C$305,"Photo",'Vault'!$E$6:$E$305,$L53,'Vault'!$F$6:$F$305,O$43)&gt;0,"✓","·"))</f>
        <v/>
      </c>
      <c r="P53" s="78">
        <f>IF($L53="","",IF(COUNTIFS('Vault'!$C$6:$C$305,"Photo",'Vault'!$E$6:$E$305,$L53,'Vault'!$F$6:$F$305,P$43)&gt;0,"✓","·"))</f>
        <v/>
      </c>
      <c r="Q53" s="78">
        <f>IF($L53="","",IF(COUNTIFS('Vault'!$C$6:$C$305,"Photo",'Vault'!$E$6:$E$305,$L53,'Vault'!$F$6:$F$305,Q$43)&gt;0,"✓","·"))</f>
        <v/>
      </c>
      <c r="R53" s="78">
        <f>IF($L53="","",IF(COUNTIFS('Vault'!$C$6:$C$305,"Photo",'Vault'!$E$6:$E$305,$L53,'Vault'!$F$6:$F$305,R$43)&gt;0,"✓","·"))</f>
        <v/>
      </c>
    </row>
    <row r="54" ht="20" customHeight="1">
      <c r="B54" s="72" t="n"/>
      <c r="C54" s="72" t="n"/>
      <c r="D54" s="72" t="n"/>
      <c r="E54" s="72" t="n"/>
      <c r="F54" s="72" t="n"/>
      <c r="G54" s="108" t="n"/>
      <c r="H54" s="72" t="n"/>
      <c r="I54" s="78">
        <f>IF(H54="","",HYPERLINK(H54,"Open ↗"))</f>
        <v/>
      </c>
      <c r="J54" s="72" t="n"/>
    </row>
    <row r="55" ht="20" customHeight="1">
      <c r="B55" s="72" t="n"/>
      <c r="C55" s="72" t="n"/>
      <c r="D55" s="72" t="n"/>
      <c r="E55" s="72" t="n"/>
      <c r="F55" s="72" t="n"/>
      <c r="G55" s="108" t="n"/>
      <c r="H55" s="72" t="n"/>
      <c r="I55" s="78">
        <f>IF(H55="","",HYPERLINK(H55,"Open ↗"))</f>
        <v/>
      </c>
      <c r="J55" s="72" t="n"/>
    </row>
    <row r="56" ht="20" customHeight="1">
      <c r="B56" s="72" t="n"/>
      <c r="C56" s="72" t="n"/>
      <c r="D56" s="72" t="n"/>
      <c r="E56" s="72" t="n"/>
      <c r="F56" s="72" t="n"/>
      <c r="G56" s="108" t="n"/>
      <c r="H56" s="72" t="n"/>
      <c r="I56" s="78">
        <f>IF(H56="","",HYPERLINK(H56,"Open ↗"))</f>
        <v/>
      </c>
      <c r="J56" s="72" t="n"/>
    </row>
    <row r="57" ht="20" customHeight="1">
      <c r="B57" s="72" t="n"/>
      <c r="C57" s="72" t="n"/>
      <c r="D57" s="72" t="n"/>
      <c r="E57" s="72" t="n"/>
      <c r="F57" s="72" t="n"/>
      <c r="G57" s="108" t="n"/>
      <c r="H57" s="72" t="n"/>
      <c r="I57" s="78">
        <f>IF(H57="","",HYPERLINK(H57,"Open ↗"))</f>
        <v/>
      </c>
      <c r="J57" s="72" t="n"/>
    </row>
    <row r="58" ht="20" customHeight="1">
      <c r="B58" s="72" t="n"/>
      <c r="C58" s="72" t="n"/>
      <c r="D58" s="72" t="n"/>
      <c r="E58" s="72" t="n"/>
      <c r="F58" s="72" t="n"/>
      <c r="G58" s="108" t="n"/>
      <c r="H58" s="72" t="n"/>
      <c r="I58" s="78">
        <f>IF(H58="","",HYPERLINK(H58,"Open ↗"))</f>
        <v/>
      </c>
      <c r="J58" s="72" t="n"/>
    </row>
    <row r="59" ht="20" customHeight="1">
      <c r="B59" s="72" t="n"/>
      <c r="C59" s="72" t="n"/>
      <c r="D59" s="72" t="n"/>
      <c r="E59" s="72" t="n"/>
      <c r="F59" s="72" t="n"/>
      <c r="G59" s="108" t="n"/>
      <c r="H59" s="72" t="n"/>
      <c r="I59" s="78">
        <f>IF(H59="","",HYPERLINK(H59,"Open ↗"))</f>
        <v/>
      </c>
      <c r="J59" s="72" t="n"/>
    </row>
    <row r="60" ht="20" customHeight="1">
      <c r="B60" s="72" t="n"/>
      <c r="C60" s="72" t="n"/>
      <c r="D60" s="72" t="n"/>
      <c r="E60" s="72" t="n"/>
      <c r="F60" s="72" t="n"/>
      <c r="G60" s="108" t="n"/>
      <c r="H60" s="72" t="n"/>
      <c r="I60" s="78">
        <f>IF(H60="","",HYPERLINK(H60,"Open ↗"))</f>
        <v/>
      </c>
      <c r="J60" s="72" t="n"/>
    </row>
    <row r="61" ht="20" customHeight="1">
      <c r="B61" s="72" t="n"/>
      <c r="C61" s="72" t="n"/>
      <c r="D61" s="72" t="n"/>
      <c r="E61" s="72" t="n"/>
      <c r="F61" s="72" t="n"/>
      <c r="G61" s="108" t="n"/>
      <c r="H61" s="72" t="n"/>
      <c r="I61" s="78">
        <f>IF(H61="","",HYPERLINK(H61,"Open ↗"))</f>
        <v/>
      </c>
      <c r="J61" s="72" t="n"/>
    </row>
    <row r="62" ht="20" customHeight="1">
      <c r="B62" s="72" t="n"/>
      <c r="C62" s="72" t="n"/>
      <c r="D62" s="72" t="n"/>
      <c r="E62" s="72" t="n"/>
      <c r="F62" s="72" t="n"/>
      <c r="G62" s="108" t="n"/>
      <c r="H62" s="72" t="n"/>
      <c r="I62" s="78">
        <f>IF(H62="","",HYPERLINK(H62,"Open ↗"))</f>
        <v/>
      </c>
      <c r="J62" s="72" t="n"/>
    </row>
    <row r="63" ht="20" customHeight="1">
      <c r="B63" s="72" t="n"/>
      <c r="C63" s="72" t="n"/>
      <c r="D63" s="72" t="n"/>
      <c r="E63" s="72" t="n"/>
      <c r="F63" s="72" t="n"/>
      <c r="G63" s="108" t="n"/>
      <c r="H63" s="72" t="n"/>
      <c r="I63" s="78">
        <f>IF(H63="","",HYPERLINK(H63,"Open ↗"))</f>
        <v/>
      </c>
      <c r="J63" s="72" t="n"/>
    </row>
    <row r="64" ht="20" customHeight="1">
      <c r="B64" s="72" t="n"/>
      <c r="C64" s="72" t="n"/>
      <c r="D64" s="72" t="n"/>
      <c r="E64" s="72" t="n"/>
      <c r="F64" s="72" t="n"/>
      <c r="G64" s="108" t="n"/>
      <c r="H64" s="72" t="n"/>
      <c r="I64" s="78">
        <f>IF(H64="","",HYPERLINK(H64,"Open ↗"))</f>
        <v/>
      </c>
      <c r="J64" s="72" t="n"/>
    </row>
    <row r="65" ht="20" customHeight="1">
      <c r="B65" s="72" t="n"/>
      <c r="C65" s="72" t="n"/>
      <c r="D65" s="72" t="n"/>
      <c r="E65" s="72" t="n"/>
      <c r="F65" s="72" t="n"/>
      <c r="G65" s="108" t="n"/>
      <c r="H65" s="72" t="n"/>
      <c r="I65" s="78">
        <f>IF(H65="","",HYPERLINK(H65,"Open ↗"))</f>
        <v/>
      </c>
      <c r="J65" s="72" t="n"/>
    </row>
    <row r="66" ht="20" customHeight="1">
      <c r="B66" s="72" t="n"/>
      <c r="C66" s="72" t="n"/>
      <c r="D66" s="72" t="n"/>
      <c r="E66" s="72" t="n"/>
      <c r="F66" s="72" t="n"/>
      <c r="G66" s="108" t="n"/>
      <c r="H66" s="72" t="n"/>
      <c r="I66" s="78">
        <f>IF(H66="","",HYPERLINK(H66,"Open ↗"))</f>
        <v/>
      </c>
      <c r="J66" s="72" t="n"/>
    </row>
    <row r="67" ht="20" customHeight="1">
      <c r="B67" s="72" t="n"/>
      <c r="C67" s="72" t="n"/>
      <c r="D67" s="72" t="n"/>
      <c r="E67" s="72" t="n"/>
      <c r="F67" s="72" t="n"/>
      <c r="G67" s="108" t="n"/>
      <c r="H67" s="72" t="n"/>
      <c r="I67" s="78">
        <f>IF(H67="","",HYPERLINK(H67,"Open ↗"))</f>
        <v/>
      </c>
      <c r="J67" s="72" t="n"/>
    </row>
    <row r="68" ht="20" customHeight="1">
      <c r="B68" s="72" t="n"/>
      <c r="C68" s="72" t="n"/>
      <c r="D68" s="72" t="n"/>
      <c r="E68" s="72" t="n"/>
      <c r="F68" s="72" t="n"/>
      <c r="G68" s="108" t="n"/>
      <c r="H68" s="72" t="n"/>
      <c r="I68" s="78">
        <f>IF(H68="","",HYPERLINK(H68,"Open ↗"))</f>
        <v/>
      </c>
      <c r="J68" s="72" t="n"/>
    </row>
    <row r="69" ht="20" customHeight="1">
      <c r="B69" s="72" t="n"/>
      <c r="C69" s="72" t="n"/>
      <c r="D69" s="72" t="n"/>
      <c r="E69" s="72" t="n"/>
      <c r="F69" s="72" t="n"/>
      <c r="G69" s="108" t="n"/>
      <c r="H69" s="72" t="n"/>
      <c r="I69" s="78">
        <f>IF(H69="","",HYPERLINK(H69,"Open ↗"))</f>
        <v/>
      </c>
      <c r="J69" s="72" t="n"/>
    </row>
    <row r="70" ht="20" customHeight="1">
      <c r="B70" s="72" t="n"/>
      <c r="C70" s="72" t="n"/>
      <c r="D70" s="72" t="n"/>
      <c r="E70" s="72" t="n"/>
      <c r="F70" s="72" t="n"/>
      <c r="G70" s="108" t="n"/>
      <c r="H70" s="72" t="n"/>
      <c r="I70" s="78">
        <f>IF(H70="","",HYPERLINK(H70,"Open ↗"))</f>
        <v/>
      </c>
      <c r="J70" s="72" t="n"/>
    </row>
    <row r="71" ht="20" customHeight="1">
      <c r="B71" s="72" t="n"/>
      <c r="C71" s="72" t="n"/>
      <c r="D71" s="72" t="n"/>
      <c r="E71" s="72" t="n"/>
      <c r="F71" s="72" t="n"/>
      <c r="G71" s="108" t="n"/>
      <c r="H71" s="72" t="n"/>
      <c r="I71" s="78">
        <f>IF(H71="","",HYPERLINK(H71,"Open ↗"))</f>
        <v/>
      </c>
      <c r="J71" s="72" t="n"/>
    </row>
    <row r="72" ht="20" customHeight="1">
      <c r="B72" s="72" t="n"/>
      <c r="C72" s="72" t="n"/>
      <c r="D72" s="72" t="n"/>
      <c r="E72" s="72" t="n"/>
      <c r="F72" s="72" t="n"/>
      <c r="G72" s="108" t="n"/>
      <c r="H72" s="72" t="n"/>
      <c r="I72" s="78">
        <f>IF(H72="","",HYPERLINK(H72,"Open ↗"))</f>
        <v/>
      </c>
      <c r="J72" s="72" t="n"/>
    </row>
    <row r="73" ht="20" customHeight="1">
      <c r="B73" s="72" t="n"/>
      <c r="C73" s="72" t="n"/>
      <c r="D73" s="72" t="n"/>
      <c r="E73" s="72" t="n"/>
      <c r="F73" s="72" t="n"/>
      <c r="G73" s="108" t="n"/>
      <c r="H73" s="72" t="n"/>
      <c r="I73" s="78">
        <f>IF(H73="","",HYPERLINK(H73,"Open ↗"))</f>
        <v/>
      </c>
      <c r="J73" s="72" t="n"/>
    </row>
    <row r="74" ht="20" customHeight="1">
      <c r="B74" s="72" t="n"/>
      <c r="C74" s="72" t="n"/>
      <c r="D74" s="72" t="n"/>
      <c r="E74" s="72" t="n"/>
      <c r="F74" s="72" t="n"/>
      <c r="G74" s="108" t="n"/>
      <c r="H74" s="72" t="n"/>
      <c r="I74" s="78">
        <f>IF(H74="","",HYPERLINK(H74,"Open ↗"))</f>
        <v/>
      </c>
      <c r="J74" s="72" t="n"/>
    </row>
    <row r="75" ht="20" customHeight="1">
      <c r="B75" s="72" t="n"/>
      <c r="C75" s="72" t="n"/>
      <c r="D75" s="72" t="n"/>
      <c r="E75" s="72" t="n"/>
      <c r="F75" s="72" t="n"/>
      <c r="G75" s="108" t="n"/>
      <c r="H75" s="72" t="n"/>
      <c r="I75" s="78">
        <f>IF(H75="","",HYPERLINK(H75,"Open ↗"))</f>
        <v/>
      </c>
      <c r="J75" s="72" t="n"/>
    </row>
    <row r="76" ht="20" customHeight="1">
      <c r="B76" s="72" t="n"/>
      <c r="C76" s="72" t="n"/>
      <c r="D76" s="72" t="n"/>
      <c r="E76" s="72" t="n"/>
      <c r="F76" s="72" t="n"/>
      <c r="G76" s="108" t="n"/>
      <c r="H76" s="72" t="n"/>
      <c r="I76" s="78">
        <f>IF(H76="","",HYPERLINK(H76,"Open ↗"))</f>
        <v/>
      </c>
      <c r="J76" s="72" t="n"/>
    </row>
    <row r="77" ht="20" customHeight="1">
      <c r="B77" s="72" t="n"/>
      <c r="C77" s="72" t="n"/>
      <c r="D77" s="72" t="n"/>
      <c r="E77" s="72" t="n"/>
      <c r="F77" s="72" t="n"/>
      <c r="G77" s="108" t="n"/>
      <c r="H77" s="72" t="n"/>
      <c r="I77" s="78">
        <f>IF(H77="","",HYPERLINK(H77,"Open ↗"))</f>
        <v/>
      </c>
      <c r="J77" s="72" t="n"/>
    </row>
    <row r="78" ht="20" customHeight="1">
      <c r="B78" s="72" t="n"/>
      <c r="C78" s="72" t="n"/>
      <c r="D78" s="72" t="n"/>
      <c r="E78" s="72" t="n"/>
      <c r="F78" s="72" t="n"/>
      <c r="G78" s="108" t="n"/>
      <c r="H78" s="72" t="n"/>
      <c r="I78" s="78">
        <f>IF(H78="","",HYPERLINK(H78,"Open ↗"))</f>
        <v/>
      </c>
      <c r="J78" s="72" t="n"/>
    </row>
    <row r="79" ht="20" customHeight="1">
      <c r="B79" s="72" t="n"/>
      <c r="C79" s="72" t="n"/>
      <c r="D79" s="72" t="n"/>
      <c r="E79" s="72" t="n"/>
      <c r="F79" s="72" t="n"/>
      <c r="G79" s="108" t="n"/>
      <c r="H79" s="72" t="n"/>
      <c r="I79" s="78">
        <f>IF(H79="","",HYPERLINK(H79,"Open ↗"))</f>
        <v/>
      </c>
      <c r="J79" s="72" t="n"/>
    </row>
    <row r="80" ht="20" customHeight="1">
      <c r="B80" s="72" t="n"/>
      <c r="C80" s="72" t="n"/>
      <c r="D80" s="72" t="n"/>
      <c r="E80" s="72" t="n"/>
      <c r="F80" s="72" t="n"/>
      <c r="G80" s="108" t="n"/>
      <c r="H80" s="72" t="n"/>
      <c r="I80" s="78">
        <f>IF(H80="","",HYPERLINK(H80,"Open ↗"))</f>
        <v/>
      </c>
      <c r="J80" s="72" t="n"/>
    </row>
    <row r="81" ht="20" customHeight="1">
      <c r="B81" s="72" t="n"/>
      <c r="C81" s="72" t="n"/>
      <c r="D81" s="72" t="n"/>
      <c r="E81" s="72" t="n"/>
      <c r="F81" s="72" t="n"/>
      <c r="G81" s="108" t="n"/>
      <c r="H81" s="72" t="n"/>
      <c r="I81" s="78">
        <f>IF(H81="","",HYPERLINK(H81,"Open ↗"))</f>
        <v/>
      </c>
      <c r="J81" s="72" t="n"/>
    </row>
    <row r="82" ht="20" customHeight="1">
      <c r="B82" s="72" t="n"/>
      <c r="C82" s="72" t="n"/>
      <c r="D82" s="72" t="n"/>
      <c r="E82" s="72" t="n"/>
      <c r="F82" s="72" t="n"/>
      <c r="G82" s="108" t="n"/>
      <c r="H82" s="72" t="n"/>
      <c r="I82" s="78">
        <f>IF(H82="","",HYPERLINK(H82,"Open ↗"))</f>
        <v/>
      </c>
      <c r="J82" s="72" t="n"/>
    </row>
    <row r="83" ht="20" customHeight="1">
      <c r="B83" s="72" t="n"/>
      <c r="C83" s="72" t="n"/>
      <c r="D83" s="72" t="n"/>
      <c r="E83" s="72" t="n"/>
      <c r="F83" s="72" t="n"/>
      <c r="G83" s="108" t="n"/>
      <c r="H83" s="72" t="n"/>
      <c r="I83" s="78">
        <f>IF(H83="","",HYPERLINK(H83,"Open ↗"))</f>
        <v/>
      </c>
      <c r="J83" s="72" t="n"/>
    </row>
    <row r="84" ht="20" customHeight="1">
      <c r="B84" s="72" t="n"/>
      <c r="C84" s="72" t="n"/>
      <c r="D84" s="72" t="n"/>
      <c r="E84" s="72" t="n"/>
      <c r="F84" s="72" t="n"/>
      <c r="G84" s="108" t="n"/>
      <c r="H84" s="72" t="n"/>
      <c r="I84" s="78">
        <f>IF(H84="","",HYPERLINK(H84,"Open ↗"))</f>
        <v/>
      </c>
      <c r="J84" s="72" t="n"/>
    </row>
    <row r="85" ht="20" customHeight="1">
      <c r="B85" s="72" t="n"/>
      <c r="C85" s="72" t="n"/>
      <c r="D85" s="72" t="n"/>
      <c r="E85" s="72" t="n"/>
      <c r="F85" s="72" t="n"/>
      <c r="G85" s="108" t="n"/>
      <c r="H85" s="72" t="n"/>
      <c r="I85" s="78">
        <f>IF(H85="","",HYPERLINK(H85,"Open ↗"))</f>
        <v/>
      </c>
      <c r="J85" s="72" t="n"/>
    </row>
    <row r="86" ht="20" customHeight="1">
      <c r="B86" s="72" t="n"/>
      <c r="C86" s="72" t="n"/>
      <c r="D86" s="72" t="n"/>
      <c r="E86" s="72" t="n"/>
      <c r="F86" s="72" t="n"/>
      <c r="G86" s="108" t="n"/>
      <c r="H86" s="72" t="n"/>
      <c r="I86" s="78">
        <f>IF(H86="","",HYPERLINK(H86,"Open ↗"))</f>
        <v/>
      </c>
      <c r="J86" s="72" t="n"/>
    </row>
    <row r="87" ht="20" customHeight="1">
      <c r="B87" s="72" t="n"/>
      <c r="C87" s="72" t="n"/>
      <c r="D87" s="72" t="n"/>
      <c r="E87" s="72" t="n"/>
      <c r="F87" s="72" t="n"/>
      <c r="G87" s="108" t="n"/>
      <c r="H87" s="72" t="n"/>
      <c r="I87" s="78">
        <f>IF(H87="","",HYPERLINK(H87,"Open ↗"))</f>
        <v/>
      </c>
      <c r="J87" s="72" t="n"/>
    </row>
    <row r="88" ht="20" customHeight="1">
      <c r="B88" s="72" t="n"/>
      <c r="C88" s="72" t="n"/>
      <c r="D88" s="72" t="n"/>
      <c r="E88" s="72" t="n"/>
      <c r="F88" s="72" t="n"/>
      <c r="G88" s="108" t="n"/>
      <c r="H88" s="72" t="n"/>
      <c r="I88" s="78">
        <f>IF(H88="","",HYPERLINK(H88,"Open ↗"))</f>
        <v/>
      </c>
      <c r="J88" s="72" t="n"/>
    </row>
    <row r="89" ht="20" customHeight="1">
      <c r="B89" s="72" t="n"/>
      <c r="C89" s="72" t="n"/>
      <c r="D89" s="72" t="n"/>
      <c r="E89" s="72" t="n"/>
      <c r="F89" s="72" t="n"/>
      <c r="G89" s="108" t="n"/>
      <c r="H89" s="72" t="n"/>
      <c r="I89" s="78">
        <f>IF(H89="","",HYPERLINK(H89,"Open ↗"))</f>
        <v/>
      </c>
      <c r="J89" s="72" t="n"/>
    </row>
    <row r="90" ht="20" customHeight="1">
      <c r="B90" s="72" t="n"/>
      <c r="C90" s="72" t="n"/>
      <c r="D90" s="72" t="n"/>
      <c r="E90" s="72" t="n"/>
      <c r="F90" s="72" t="n"/>
      <c r="G90" s="108" t="n"/>
      <c r="H90" s="72" t="n"/>
      <c r="I90" s="78">
        <f>IF(H90="","",HYPERLINK(H90,"Open ↗"))</f>
        <v/>
      </c>
      <c r="J90" s="72" t="n"/>
    </row>
    <row r="91" ht="20" customHeight="1">
      <c r="B91" s="72" t="n"/>
      <c r="C91" s="72" t="n"/>
      <c r="D91" s="72" t="n"/>
      <c r="E91" s="72" t="n"/>
      <c r="F91" s="72" t="n"/>
      <c r="G91" s="108" t="n"/>
      <c r="H91" s="72" t="n"/>
      <c r="I91" s="78">
        <f>IF(H91="","",HYPERLINK(H91,"Open ↗"))</f>
        <v/>
      </c>
      <c r="J91" s="72" t="n"/>
    </row>
    <row r="92" ht="20" customHeight="1">
      <c r="B92" s="72" t="n"/>
      <c r="C92" s="72" t="n"/>
      <c r="D92" s="72" t="n"/>
      <c r="E92" s="72" t="n"/>
      <c r="F92" s="72" t="n"/>
      <c r="G92" s="108" t="n"/>
      <c r="H92" s="72" t="n"/>
      <c r="I92" s="78">
        <f>IF(H92="","",HYPERLINK(H92,"Open ↗"))</f>
        <v/>
      </c>
      <c r="J92" s="72" t="n"/>
    </row>
    <row r="93" ht="20" customHeight="1">
      <c r="B93" s="72" t="n"/>
      <c r="C93" s="72" t="n"/>
      <c r="D93" s="72" t="n"/>
      <c r="E93" s="72" t="n"/>
      <c r="F93" s="72" t="n"/>
      <c r="G93" s="108" t="n"/>
      <c r="H93" s="72" t="n"/>
      <c r="I93" s="78">
        <f>IF(H93="","",HYPERLINK(H93,"Open ↗"))</f>
        <v/>
      </c>
      <c r="J93" s="72" t="n"/>
    </row>
    <row r="94" ht="20" customHeight="1">
      <c r="B94" s="72" t="n"/>
      <c r="C94" s="72" t="n"/>
      <c r="D94" s="72" t="n"/>
      <c r="E94" s="72" t="n"/>
      <c r="F94" s="72" t="n"/>
      <c r="G94" s="108" t="n"/>
      <c r="H94" s="72" t="n"/>
      <c r="I94" s="78">
        <f>IF(H94="","",HYPERLINK(H94,"Open ↗"))</f>
        <v/>
      </c>
      <c r="J94" s="72" t="n"/>
    </row>
    <row r="95" ht="20" customHeight="1">
      <c r="B95" s="72" t="n"/>
      <c r="C95" s="72" t="n"/>
      <c r="D95" s="72" t="n"/>
      <c r="E95" s="72" t="n"/>
      <c r="F95" s="72" t="n"/>
      <c r="G95" s="108" t="n"/>
      <c r="H95" s="72" t="n"/>
      <c r="I95" s="78">
        <f>IF(H95="","",HYPERLINK(H95,"Open ↗"))</f>
        <v/>
      </c>
      <c r="J95" s="72" t="n"/>
    </row>
    <row r="96" ht="20" customHeight="1">
      <c r="B96" s="72" t="n"/>
      <c r="C96" s="72" t="n"/>
      <c r="D96" s="72" t="n"/>
      <c r="E96" s="72" t="n"/>
      <c r="F96" s="72" t="n"/>
      <c r="G96" s="108" t="n"/>
      <c r="H96" s="72" t="n"/>
      <c r="I96" s="78">
        <f>IF(H96="","",HYPERLINK(H96,"Open ↗"))</f>
        <v/>
      </c>
      <c r="J96" s="72" t="n"/>
    </row>
    <row r="97" ht="20" customHeight="1">
      <c r="B97" s="72" t="n"/>
      <c r="C97" s="72" t="n"/>
      <c r="D97" s="72" t="n"/>
      <c r="E97" s="72" t="n"/>
      <c r="F97" s="72" t="n"/>
      <c r="G97" s="108" t="n"/>
      <c r="H97" s="72" t="n"/>
      <c r="I97" s="78">
        <f>IF(H97="","",HYPERLINK(H97,"Open ↗"))</f>
        <v/>
      </c>
      <c r="J97" s="72" t="n"/>
    </row>
    <row r="98" ht="20" customHeight="1">
      <c r="B98" s="72" t="n"/>
      <c r="C98" s="72" t="n"/>
      <c r="D98" s="72" t="n"/>
      <c r="E98" s="72" t="n"/>
      <c r="F98" s="72" t="n"/>
      <c r="G98" s="108" t="n"/>
      <c r="H98" s="72" t="n"/>
      <c r="I98" s="78">
        <f>IF(H98="","",HYPERLINK(H98,"Open ↗"))</f>
        <v/>
      </c>
      <c r="J98" s="72" t="n"/>
    </row>
    <row r="99" ht="20" customHeight="1">
      <c r="B99" s="72" t="n"/>
      <c r="C99" s="72" t="n"/>
      <c r="D99" s="72" t="n"/>
      <c r="E99" s="72" t="n"/>
      <c r="F99" s="72" t="n"/>
      <c r="G99" s="108" t="n"/>
      <c r="H99" s="72" t="n"/>
      <c r="I99" s="78">
        <f>IF(H99="","",HYPERLINK(H99,"Open ↗"))</f>
        <v/>
      </c>
      <c r="J99" s="72" t="n"/>
    </row>
    <row r="100" ht="20" customHeight="1">
      <c r="B100" s="72" t="n"/>
      <c r="C100" s="72" t="n"/>
      <c r="D100" s="72" t="n"/>
      <c r="E100" s="72" t="n"/>
      <c r="F100" s="72" t="n"/>
      <c r="G100" s="108" t="n"/>
      <c r="H100" s="72" t="n"/>
      <c r="I100" s="78">
        <f>IF(H100="","",HYPERLINK(H100,"Open ↗"))</f>
        <v/>
      </c>
      <c r="J100" s="72" t="n"/>
    </row>
    <row r="101" ht="20" customHeight="1">
      <c r="B101" s="72" t="n"/>
      <c r="C101" s="72" t="n"/>
      <c r="D101" s="72" t="n"/>
      <c r="E101" s="72" t="n"/>
      <c r="F101" s="72" t="n"/>
      <c r="G101" s="108" t="n"/>
      <c r="H101" s="72" t="n"/>
      <c r="I101" s="78">
        <f>IF(H101="","",HYPERLINK(H101,"Open ↗"))</f>
        <v/>
      </c>
      <c r="J101" s="72" t="n"/>
    </row>
    <row r="102" ht="20" customHeight="1">
      <c r="B102" s="72" t="n"/>
      <c r="C102" s="72" t="n"/>
      <c r="D102" s="72" t="n"/>
      <c r="E102" s="72" t="n"/>
      <c r="F102" s="72" t="n"/>
      <c r="G102" s="108" t="n"/>
      <c r="H102" s="72" t="n"/>
      <c r="I102" s="78">
        <f>IF(H102="","",HYPERLINK(H102,"Open ↗"))</f>
        <v/>
      </c>
      <c r="J102" s="72" t="n"/>
    </row>
    <row r="103" ht="20" customHeight="1">
      <c r="B103" s="72" t="n"/>
      <c r="C103" s="72" t="n"/>
      <c r="D103" s="72" t="n"/>
      <c r="E103" s="72" t="n"/>
      <c r="F103" s="72" t="n"/>
      <c r="G103" s="108" t="n"/>
      <c r="H103" s="72" t="n"/>
      <c r="I103" s="78">
        <f>IF(H103="","",HYPERLINK(H103,"Open ↗"))</f>
        <v/>
      </c>
      <c r="J103" s="72" t="n"/>
    </row>
    <row r="104" ht="20" customHeight="1">
      <c r="B104" s="72" t="n"/>
      <c r="C104" s="72" t="n"/>
      <c r="D104" s="72" t="n"/>
      <c r="E104" s="72" t="n"/>
      <c r="F104" s="72" t="n"/>
      <c r="G104" s="108" t="n"/>
      <c r="H104" s="72" t="n"/>
      <c r="I104" s="78">
        <f>IF(H104="","",HYPERLINK(H104,"Open ↗"))</f>
        <v/>
      </c>
      <c r="J104" s="72" t="n"/>
    </row>
    <row r="105" ht="20" customHeight="1">
      <c r="B105" s="72" t="n"/>
      <c r="C105" s="72" t="n"/>
      <c r="D105" s="72" t="n"/>
      <c r="E105" s="72" t="n"/>
      <c r="F105" s="72" t="n"/>
      <c r="G105" s="108" t="n"/>
      <c r="H105" s="72" t="n"/>
      <c r="I105" s="78">
        <f>IF(H105="","",HYPERLINK(H105,"Open ↗"))</f>
        <v/>
      </c>
      <c r="J105" s="72" t="n"/>
    </row>
    <row r="106" ht="20" customHeight="1">
      <c r="B106" s="72" t="n"/>
      <c r="C106" s="72" t="n"/>
      <c r="D106" s="72" t="n"/>
      <c r="E106" s="72" t="n"/>
      <c r="F106" s="72" t="n"/>
      <c r="G106" s="108" t="n"/>
      <c r="H106" s="72" t="n"/>
      <c r="I106" s="78">
        <f>IF(H106="","",HYPERLINK(H106,"Open ↗"))</f>
        <v/>
      </c>
      <c r="J106" s="72" t="n"/>
    </row>
    <row r="107" ht="20" customHeight="1">
      <c r="B107" s="72" t="n"/>
      <c r="C107" s="72" t="n"/>
      <c r="D107" s="72" t="n"/>
      <c r="E107" s="72" t="n"/>
      <c r="F107" s="72" t="n"/>
      <c r="G107" s="108" t="n"/>
      <c r="H107" s="72" t="n"/>
      <c r="I107" s="78">
        <f>IF(H107="","",HYPERLINK(H107,"Open ↗"))</f>
        <v/>
      </c>
      <c r="J107" s="72" t="n"/>
    </row>
    <row r="108" ht="20" customHeight="1">
      <c r="B108" s="72" t="n"/>
      <c r="C108" s="72" t="n"/>
      <c r="D108" s="72" t="n"/>
      <c r="E108" s="72" t="n"/>
      <c r="F108" s="72" t="n"/>
      <c r="G108" s="108" t="n"/>
      <c r="H108" s="72" t="n"/>
      <c r="I108" s="78">
        <f>IF(H108="","",HYPERLINK(H108,"Open ↗"))</f>
        <v/>
      </c>
      <c r="J108" s="72" t="n"/>
    </row>
    <row r="109" ht="20" customHeight="1">
      <c r="B109" s="72" t="n"/>
      <c r="C109" s="72" t="n"/>
      <c r="D109" s="72" t="n"/>
      <c r="E109" s="72" t="n"/>
      <c r="F109" s="72" t="n"/>
      <c r="G109" s="108" t="n"/>
      <c r="H109" s="72" t="n"/>
      <c r="I109" s="78">
        <f>IF(H109="","",HYPERLINK(H109,"Open ↗"))</f>
        <v/>
      </c>
      <c r="J109" s="72" t="n"/>
    </row>
    <row r="110" ht="20" customHeight="1">
      <c r="B110" s="72" t="n"/>
      <c r="C110" s="72" t="n"/>
      <c r="D110" s="72" t="n"/>
      <c r="E110" s="72" t="n"/>
      <c r="F110" s="72" t="n"/>
      <c r="G110" s="108" t="n"/>
      <c r="H110" s="72" t="n"/>
      <c r="I110" s="78">
        <f>IF(H110="","",HYPERLINK(H110,"Open ↗"))</f>
        <v/>
      </c>
      <c r="J110" s="72" t="n"/>
    </row>
    <row r="111" ht="20" customHeight="1">
      <c r="B111" s="72" t="n"/>
      <c r="C111" s="72" t="n"/>
      <c r="D111" s="72" t="n"/>
      <c r="E111" s="72" t="n"/>
      <c r="F111" s="72" t="n"/>
      <c r="G111" s="108" t="n"/>
      <c r="H111" s="72" t="n"/>
      <c r="I111" s="78">
        <f>IF(H111="","",HYPERLINK(H111,"Open ↗"))</f>
        <v/>
      </c>
      <c r="J111" s="72" t="n"/>
    </row>
    <row r="112" ht="20" customHeight="1">
      <c r="B112" s="72" t="n"/>
      <c r="C112" s="72" t="n"/>
      <c r="D112" s="72" t="n"/>
      <c r="E112" s="72" t="n"/>
      <c r="F112" s="72" t="n"/>
      <c r="G112" s="108" t="n"/>
      <c r="H112" s="72" t="n"/>
      <c r="I112" s="78">
        <f>IF(H112="","",HYPERLINK(H112,"Open ↗"))</f>
        <v/>
      </c>
      <c r="J112" s="72" t="n"/>
    </row>
    <row r="113" ht="20" customHeight="1">
      <c r="B113" s="72" t="n"/>
      <c r="C113" s="72" t="n"/>
      <c r="D113" s="72" t="n"/>
      <c r="E113" s="72" t="n"/>
      <c r="F113" s="72" t="n"/>
      <c r="G113" s="108" t="n"/>
      <c r="H113" s="72" t="n"/>
      <c r="I113" s="78">
        <f>IF(H113="","",HYPERLINK(H113,"Open ↗"))</f>
        <v/>
      </c>
      <c r="J113" s="72" t="n"/>
    </row>
    <row r="114" ht="20" customHeight="1">
      <c r="B114" s="72" t="n"/>
      <c r="C114" s="72" t="n"/>
      <c r="D114" s="72" t="n"/>
      <c r="E114" s="72" t="n"/>
      <c r="F114" s="72" t="n"/>
      <c r="G114" s="108" t="n"/>
      <c r="H114" s="72" t="n"/>
      <c r="I114" s="78">
        <f>IF(H114="","",HYPERLINK(H114,"Open ↗"))</f>
        <v/>
      </c>
      <c r="J114" s="72" t="n"/>
    </row>
    <row r="115" ht="20" customHeight="1">
      <c r="B115" s="72" t="n"/>
      <c r="C115" s="72" t="n"/>
      <c r="D115" s="72" t="n"/>
      <c r="E115" s="72" t="n"/>
      <c r="F115" s="72" t="n"/>
      <c r="G115" s="108" t="n"/>
      <c r="H115" s="72" t="n"/>
      <c r="I115" s="78">
        <f>IF(H115="","",HYPERLINK(H115,"Open ↗"))</f>
        <v/>
      </c>
      <c r="J115" s="72" t="n"/>
    </row>
    <row r="116" ht="20" customHeight="1">
      <c r="B116" s="72" t="n"/>
      <c r="C116" s="72" t="n"/>
      <c r="D116" s="72" t="n"/>
      <c r="E116" s="72" t="n"/>
      <c r="F116" s="72" t="n"/>
      <c r="G116" s="108" t="n"/>
      <c r="H116" s="72" t="n"/>
      <c r="I116" s="78">
        <f>IF(H116="","",HYPERLINK(H116,"Open ↗"))</f>
        <v/>
      </c>
      <c r="J116" s="72" t="n"/>
    </row>
    <row r="117" ht="20" customHeight="1">
      <c r="B117" s="72" t="n"/>
      <c r="C117" s="72" t="n"/>
      <c r="D117" s="72" t="n"/>
      <c r="E117" s="72" t="n"/>
      <c r="F117" s="72" t="n"/>
      <c r="G117" s="108" t="n"/>
      <c r="H117" s="72" t="n"/>
      <c r="I117" s="78">
        <f>IF(H117="","",HYPERLINK(H117,"Open ↗"))</f>
        <v/>
      </c>
      <c r="J117" s="72" t="n"/>
    </row>
    <row r="118" ht="20" customHeight="1">
      <c r="B118" s="72" t="n"/>
      <c r="C118" s="72" t="n"/>
      <c r="D118" s="72" t="n"/>
      <c r="E118" s="72" t="n"/>
      <c r="F118" s="72" t="n"/>
      <c r="G118" s="108" t="n"/>
      <c r="H118" s="72" t="n"/>
      <c r="I118" s="78">
        <f>IF(H118="","",HYPERLINK(H118,"Open ↗"))</f>
        <v/>
      </c>
      <c r="J118" s="72" t="n"/>
    </row>
    <row r="119" ht="20" customHeight="1">
      <c r="B119" s="72" t="n"/>
      <c r="C119" s="72" t="n"/>
      <c r="D119" s="72" t="n"/>
      <c r="E119" s="72" t="n"/>
      <c r="F119" s="72" t="n"/>
      <c r="G119" s="108" t="n"/>
      <c r="H119" s="72" t="n"/>
      <c r="I119" s="78">
        <f>IF(H119="","",HYPERLINK(H119,"Open ↗"))</f>
        <v/>
      </c>
      <c r="J119" s="72" t="n"/>
    </row>
    <row r="120" ht="20" customHeight="1">
      <c r="B120" s="72" t="n"/>
      <c r="C120" s="72" t="n"/>
      <c r="D120" s="72" t="n"/>
      <c r="E120" s="72" t="n"/>
      <c r="F120" s="72" t="n"/>
      <c r="G120" s="108" t="n"/>
      <c r="H120" s="72" t="n"/>
      <c r="I120" s="78">
        <f>IF(H120="","",HYPERLINK(H120,"Open ↗"))</f>
        <v/>
      </c>
      <c r="J120" s="72" t="n"/>
    </row>
    <row r="121" ht="20" customHeight="1">
      <c r="B121" s="72" t="n"/>
      <c r="C121" s="72" t="n"/>
      <c r="D121" s="72" t="n"/>
      <c r="E121" s="72" t="n"/>
      <c r="F121" s="72" t="n"/>
      <c r="G121" s="108" t="n"/>
      <c r="H121" s="72" t="n"/>
      <c r="I121" s="78">
        <f>IF(H121="","",HYPERLINK(H121,"Open ↗"))</f>
        <v/>
      </c>
      <c r="J121" s="72" t="n"/>
    </row>
    <row r="122" ht="20" customHeight="1">
      <c r="B122" s="72" t="n"/>
      <c r="C122" s="72" t="n"/>
      <c r="D122" s="72" t="n"/>
      <c r="E122" s="72" t="n"/>
      <c r="F122" s="72" t="n"/>
      <c r="G122" s="108" t="n"/>
      <c r="H122" s="72" t="n"/>
      <c r="I122" s="78">
        <f>IF(H122="","",HYPERLINK(H122,"Open ↗"))</f>
        <v/>
      </c>
      <c r="J122" s="72" t="n"/>
    </row>
    <row r="123" ht="20" customHeight="1">
      <c r="B123" s="72" t="n"/>
      <c r="C123" s="72" t="n"/>
      <c r="D123" s="72" t="n"/>
      <c r="E123" s="72" t="n"/>
      <c r="F123" s="72" t="n"/>
      <c r="G123" s="108" t="n"/>
      <c r="H123" s="72" t="n"/>
      <c r="I123" s="78">
        <f>IF(H123="","",HYPERLINK(H123,"Open ↗"))</f>
        <v/>
      </c>
      <c r="J123" s="72" t="n"/>
    </row>
    <row r="124" ht="20" customHeight="1">
      <c r="B124" s="72" t="n"/>
      <c r="C124" s="72" t="n"/>
      <c r="D124" s="72" t="n"/>
      <c r="E124" s="72" t="n"/>
      <c r="F124" s="72" t="n"/>
      <c r="G124" s="108" t="n"/>
      <c r="H124" s="72" t="n"/>
      <c r="I124" s="78">
        <f>IF(H124="","",HYPERLINK(H124,"Open ↗"))</f>
        <v/>
      </c>
      <c r="J124" s="72" t="n"/>
    </row>
    <row r="125" ht="20" customHeight="1">
      <c r="B125" s="72" t="n"/>
      <c r="C125" s="72" t="n"/>
      <c r="D125" s="72" t="n"/>
      <c r="E125" s="72" t="n"/>
      <c r="F125" s="72" t="n"/>
      <c r="G125" s="108" t="n"/>
      <c r="H125" s="72" t="n"/>
      <c r="I125" s="78">
        <f>IF(H125="","",HYPERLINK(H125,"Open ↗"))</f>
        <v/>
      </c>
      <c r="J125" s="72" t="n"/>
    </row>
    <row r="126" ht="20" customHeight="1">
      <c r="B126" s="72" t="n"/>
      <c r="C126" s="72" t="n"/>
      <c r="D126" s="72" t="n"/>
      <c r="E126" s="72" t="n"/>
      <c r="F126" s="72" t="n"/>
      <c r="G126" s="108" t="n"/>
      <c r="H126" s="72" t="n"/>
      <c r="I126" s="78">
        <f>IF(H126="","",HYPERLINK(H126,"Open ↗"))</f>
        <v/>
      </c>
      <c r="J126" s="72" t="n"/>
    </row>
    <row r="127" ht="20" customHeight="1">
      <c r="B127" s="72" t="n"/>
      <c r="C127" s="72" t="n"/>
      <c r="D127" s="72" t="n"/>
      <c r="E127" s="72" t="n"/>
      <c r="F127" s="72" t="n"/>
      <c r="G127" s="108" t="n"/>
      <c r="H127" s="72" t="n"/>
      <c r="I127" s="78">
        <f>IF(H127="","",HYPERLINK(H127,"Open ↗"))</f>
        <v/>
      </c>
      <c r="J127" s="72" t="n"/>
    </row>
    <row r="128" ht="20" customHeight="1">
      <c r="B128" s="72" t="n"/>
      <c r="C128" s="72" t="n"/>
      <c r="D128" s="72" t="n"/>
      <c r="E128" s="72" t="n"/>
      <c r="F128" s="72" t="n"/>
      <c r="G128" s="108" t="n"/>
      <c r="H128" s="72" t="n"/>
      <c r="I128" s="78">
        <f>IF(H128="","",HYPERLINK(H128,"Open ↗"))</f>
        <v/>
      </c>
      <c r="J128" s="72" t="n"/>
    </row>
    <row r="129" ht="20" customHeight="1">
      <c r="B129" s="72" t="n"/>
      <c r="C129" s="72" t="n"/>
      <c r="D129" s="72" t="n"/>
      <c r="E129" s="72" t="n"/>
      <c r="F129" s="72" t="n"/>
      <c r="G129" s="108" t="n"/>
      <c r="H129" s="72" t="n"/>
      <c r="I129" s="78">
        <f>IF(H129="","",HYPERLINK(H129,"Open ↗"))</f>
        <v/>
      </c>
      <c r="J129" s="72" t="n"/>
    </row>
    <row r="130" ht="20" customHeight="1">
      <c r="B130" s="72" t="n"/>
      <c r="C130" s="72" t="n"/>
      <c r="D130" s="72" t="n"/>
      <c r="E130" s="72" t="n"/>
      <c r="F130" s="72" t="n"/>
      <c r="G130" s="108" t="n"/>
      <c r="H130" s="72" t="n"/>
      <c r="I130" s="78">
        <f>IF(H130="","",HYPERLINK(H130,"Open ↗"))</f>
        <v/>
      </c>
      <c r="J130" s="72" t="n"/>
    </row>
    <row r="131" ht="20" customHeight="1">
      <c r="B131" s="72" t="n"/>
      <c r="C131" s="72" t="n"/>
      <c r="D131" s="72" t="n"/>
      <c r="E131" s="72" t="n"/>
      <c r="F131" s="72" t="n"/>
      <c r="G131" s="108" t="n"/>
      <c r="H131" s="72" t="n"/>
      <c r="I131" s="78">
        <f>IF(H131="","",HYPERLINK(H131,"Open ↗"))</f>
        <v/>
      </c>
      <c r="J131" s="72" t="n"/>
    </row>
    <row r="132" ht="20" customHeight="1">
      <c r="B132" s="72" t="n"/>
      <c r="C132" s="72" t="n"/>
      <c r="D132" s="72" t="n"/>
      <c r="E132" s="72" t="n"/>
      <c r="F132" s="72" t="n"/>
      <c r="G132" s="108" t="n"/>
      <c r="H132" s="72" t="n"/>
      <c r="I132" s="78">
        <f>IF(H132="","",HYPERLINK(H132,"Open ↗"))</f>
        <v/>
      </c>
      <c r="J132" s="72" t="n"/>
    </row>
    <row r="133" ht="20" customHeight="1">
      <c r="B133" s="72" t="n"/>
      <c r="C133" s="72" t="n"/>
      <c r="D133" s="72" t="n"/>
      <c r="E133" s="72" t="n"/>
      <c r="F133" s="72" t="n"/>
      <c r="G133" s="108" t="n"/>
      <c r="H133" s="72" t="n"/>
      <c r="I133" s="78">
        <f>IF(H133="","",HYPERLINK(H133,"Open ↗"))</f>
        <v/>
      </c>
      <c r="J133" s="72" t="n"/>
    </row>
    <row r="134" ht="20" customHeight="1">
      <c r="B134" s="72" t="n"/>
      <c r="C134" s="72" t="n"/>
      <c r="D134" s="72" t="n"/>
      <c r="E134" s="72" t="n"/>
      <c r="F134" s="72" t="n"/>
      <c r="G134" s="108" t="n"/>
      <c r="H134" s="72" t="n"/>
      <c r="I134" s="78">
        <f>IF(H134="","",HYPERLINK(H134,"Open ↗"))</f>
        <v/>
      </c>
      <c r="J134" s="72" t="n"/>
    </row>
    <row r="135" ht="20" customHeight="1">
      <c r="B135" s="72" t="n"/>
      <c r="C135" s="72" t="n"/>
      <c r="D135" s="72" t="n"/>
      <c r="E135" s="72" t="n"/>
      <c r="F135" s="72" t="n"/>
      <c r="G135" s="108" t="n"/>
      <c r="H135" s="72" t="n"/>
      <c r="I135" s="78">
        <f>IF(H135="","",HYPERLINK(H135,"Open ↗"))</f>
        <v/>
      </c>
      <c r="J135" s="72" t="n"/>
    </row>
    <row r="136" ht="20" customHeight="1">
      <c r="B136" s="72" t="n"/>
      <c r="C136" s="72" t="n"/>
      <c r="D136" s="72" t="n"/>
      <c r="E136" s="72" t="n"/>
      <c r="F136" s="72" t="n"/>
      <c r="G136" s="108" t="n"/>
      <c r="H136" s="72" t="n"/>
      <c r="I136" s="78">
        <f>IF(H136="","",HYPERLINK(H136,"Open ↗"))</f>
        <v/>
      </c>
      <c r="J136" s="72" t="n"/>
    </row>
    <row r="137" ht="20" customHeight="1">
      <c r="B137" s="72" t="n"/>
      <c r="C137" s="72" t="n"/>
      <c r="D137" s="72" t="n"/>
      <c r="E137" s="72" t="n"/>
      <c r="F137" s="72" t="n"/>
      <c r="G137" s="108" t="n"/>
      <c r="H137" s="72" t="n"/>
      <c r="I137" s="78">
        <f>IF(H137="","",HYPERLINK(H137,"Open ↗"))</f>
        <v/>
      </c>
      <c r="J137" s="72" t="n"/>
    </row>
    <row r="138" ht="20" customHeight="1">
      <c r="B138" s="72" t="n"/>
      <c r="C138" s="72" t="n"/>
      <c r="D138" s="72" t="n"/>
      <c r="E138" s="72" t="n"/>
      <c r="F138" s="72" t="n"/>
      <c r="G138" s="108" t="n"/>
      <c r="H138" s="72" t="n"/>
      <c r="I138" s="78">
        <f>IF(H138="","",HYPERLINK(H138,"Open ↗"))</f>
        <v/>
      </c>
      <c r="J138" s="72" t="n"/>
    </row>
    <row r="139" ht="20" customHeight="1">
      <c r="B139" s="72" t="n"/>
      <c r="C139" s="72" t="n"/>
      <c r="D139" s="72" t="n"/>
      <c r="E139" s="72" t="n"/>
      <c r="F139" s="72" t="n"/>
      <c r="G139" s="108" t="n"/>
      <c r="H139" s="72" t="n"/>
      <c r="I139" s="78">
        <f>IF(H139="","",HYPERLINK(H139,"Open ↗"))</f>
        <v/>
      </c>
      <c r="J139" s="72" t="n"/>
    </row>
    <row r="140" ht="20" customHeight="1">
      <c r="B140" s="72" t="n"/>
      <c r="C140" s="72" t="n"/>
      <c r="D140" s="72" t="n"/>
      <c r="E140" s="72" t="n"/>
      <c r="F140" s="72" t="n"/>
      <c r="G140" s="108" t="n"/>
      <c r="H140" s="72" t="n"/>
      <c r="I140" s="78">
        <f>IF(H140="","",HYPERLINK(H140,"Open ↗"))</f>
        <v/>
      </c>
      <c r="J140" s="72" t="n"/>
    </row>
    <row r="141" ht="20" customHeight="1">
      <c r="B141" s="72" t="n"/>
      <c r="C141" s="72" t="n"/>
      <c r="D141" s="72" t="n"/>
      <c r="E141" s="72" t="n"/>
      <c r="F141" s="72" t="n"/>
      <c r="G141" s="108" t="n"/>
      <c r="H141" s="72" t="n"/>
      <c r="I141" s="78">
        <f>IF(H141="","",HYPERLINK(H141,"Open ↗"))</f>
        <v/>
      </c>
      <c r="J141" s="72" t="n"/>
    </row>
    <row r="142" ht="20" customHeight="1">
      <c r="B142" s="72" t="n"/>
      <c r="C142" s="72" t="n"/>
      <c r="D142" s="72" t="n"/>
      <c r="E142" s="72" t="n"/>
      <c r="F142" s="72" t="n"/>
      <c r="G142" s="108" t="n"/>
      <c r="H142" s="72" t="n"/>
      <c r="I142" s="78">
        <f>IF(H142="","",HYPERLINK(H142,"Open ↗"))</f>
        <v/>
      </c>
      <c r="J142" s="72" t="n"/>
    </row>
    <row r="143" ht="20" customHeight="1">
      <c r="B143" s="72" t="n"/>
      <c r="C143" s="72" t="n"/>
      <c r="D143" s="72" t="n"/>
      <c r="E143" s="72" t="n"/>
      <c r="F143" s="72" t="n"/>
      <c r="G143" s="108" t="n"/>
      <c r="H143" s="72" t="n"/>
      <c r="I143" s="78">
        <f>IF(H143="","",HYPERLINK(H143,"Open ↗"))</f>
        <v/>
      </c>
      <c r="J143" s="72" t="n"/>
    </row>
    <row r="144" ht="20" customHeight="1">
      <c r="B144" s="72" t="n"/>
      <c r="C144" s="72" t="n"/>
      <c r="D144" s="72" t="n"/>
      <c r="E144" s="72" t="n"/>
      <c r="F144" s="72" t="n"/>
      <c r="G144" s="108" t="n"/>
      <c r="H144" s="72" t="n"/>
      <c r="I144" s="78">
        <f>IF(H144="","",HYPERLINK(H144,"Open ↗"))</f>
        <v/>
      </c>
      <c r="J144" s="72" t="n"/>
    </row>
    <row r="145" ht="20" customHeight="1">
      <c r="B145" s="72" t="n"/>
      <c r="C145" s="72" t="n"/>
      <c r="D145" s="72" t="n"/>
      <c r="E145" s="72" t="n"/>
      <c r="F145" s="72" t="n"/>
      <c r="G145" s="108" t="n"/>
      <c r="H145" s="72" t="n"/>
      <c r="I145" s="78">
        <f>IF(H145="","",HYPERLINK(H145,"Open ↗"))</f>
        <v/>
      </c>
      <c r="J145" s="72" t="n"/>
    </row>
    <row r="146" ht="20" customHeight="1">
      <c r="B146" s="72" t="n"/>
      <c r="C146" s="72" t="n"/>
      <c r="D146" s="72" t="n"/>
      <c r="E146" s="72" t="n"/>
      <c r="F146" s="72" t="n"/>
      <c r="G146" s="108" t="n"/>
      <c r="H146" s="72" t="n"/>
      <c r="I146" s="78">
        <f>IF(H146="","",HYPERLINK(H146,"Open ↗"))</f>
        <v/>
      </c>
      <c r="J146" s="72" t="n"/>
    </row>
    <row r="147" ht="20" customHeight="1">
      <c r="B147" s="72" t="n"/>
      <c r="C147" s="72" t="n"/>
      <c r="D147" s="72" t="n"/>
      <c r="E147" s="72" t="n"/>
      <c r="F147" s="72" t="n"/>
      <c r="G147" s="108" t="n"/>
      <c r="H147" s="72" t="n"/>
      <c r="I147" s="78">
        <f>IF(H147="","",HYPERLINK(H147,"Open ↗"))</f>
        <v/>
      </c>
      <c r="J147" s="72" t="n"/>
    </row>
    <row r="148" ht="20" customHeight="1">
      <c r="B148" s="72" t="n"/>
      <c r="C148" s="72" t="n"/>
      <c r="D148" s="72" t="n"/>
      <c r="E148" s="72" t="n"/>
      <c r="F148" s="72" t="n"/>
      <c r="G148" s="108" t="n"/>
      <c r="H148" s="72" t="n"/>
      <c r="I148" s="78">
        <f>IF(H148="","",HYPERLINK(H148,"Open ↗"))</f>
        <v/>
      </c>
      <c r="J148" s="72" t="n"/>
    </row>
    <row r="149" ht="20" customHeight="1">
      <c r="B149" s="72" t="n"/>
      <c r="C149" s="72" t="n"/>
      <c r="D149" s="72" t="n"/>
      <c r="E149" s="72" t="n"/>
      <c r="F149" s="72" t="n"/>
      <c r="G149" s="108" t="n"/>
      <c r="H149" s="72" t="n"/>
      <c r="I149" s="78">
        <f>IF(H149="","",HYPERLINK(H149,"Open ↗"))</f>
        <v/>
      </c>
      <c r="J149" s="72" t="n"/>
    </row>
    <row r="150" ht="20" customHeight="1">
      <c r="B150" s="72" t="n"/>
      <c r="C150" s="72" t="n"/>
      <c r="D150" s="72" t="n"/>
      <c r="E150" s="72" t="n"/>
      <c r="F150" s="72" t="n"/>
      <c r="G150" s="108" t="n"/>
      <c r="H150" s="72" t="n"/>
      <c r="I150" s="78">
        <f>IF(H150="","",HYPERLINK(H150,"Open ↗"))</f>
        <v/>
      </c>
      <c r="J150" s="72" t="n"/>
    </row>
    <row r="151" ht="20" customHeight="1">
      <c r="B151" s="72" t="n"/>
      <c r="C151" s="72" t="n"/>
      <c r="D151" s="72" t="n"/>
      <c r="E151" s="72" t="n"/>
      <c r="F151" s="72" t="n"/>
      <c r="G151" s="108" t="n"/>
      <c r="H151" s="72" t="n"/>
      <c r="I151" s="78">
        <f>IF(H151="","",HYPERLINK(H151,"Open ↗"))</f>
        <v/>
      </c>
      <c r="J151" s="72" t="n"/>
    </row>
    <row r="152" ht="20" customHeight="1">
      <c r="B152" s="72" t="n"/>
      <c r="C152" s="72" t="n"/>
      <c r="D152" s="72" t="n"/>
      <c r="E152" s="72" t="n"/>
      <c r="F152" s="72" t="n"/>
      <c r="G152" s="108" t="n"/>
      <c r="H152" s="72" t="n"/>
      <c r="I152" s="78">
        <f>IF(H152="","",HYPERLINK(H152,"Open ↗"))</f>
        <v/>
      </c>
      <c r="J152" s="72" t="n"/>
    </row>
    <row r="153" ht="20" customHeight="1">
      <c r="B153" s="72" t="n"/>
      <c r="C153" s="72" t="n"/>
      <c r="D153" s="72" t="n"/>
      <c r="E153" s="72" t="n"/>
      <c r="F153" s="72" t="n"/>
      <c r="G153" s="108" t="n"/>
      <c r="H153" s="72" t="n"/>
      <c r="I153" s="78">
        <f>IF(H153="","",HYPERLINK(H153,"Open ↗"))</f>
        <v/>
      </c>
      <c r="J153" s="72" t="n"/>
    </row>
    <row r="154" ht="20" customHeight="1">
      <c r="B154" s="72" t="n"/>
      <c r="C154" s="72" t="n"/>
      <c r="D154" s="72" t="n"/>
      <c r="E154" s="72" t="n"/>
      <c r="F154" s="72" t="n"/>
      <c r="G154" s="108" t="n"/>
      <c r="H154" s="72" t="n"/>
      <c r="I154" s="78">
        <f>IF(H154="","",HYPERLINK(H154,"Open ↗"))</f>
        <v/>
      </c>
      <c r="J154" s="72" t="n"/>
    </row>
    <row r="155" ht="20" customHeight="1">
      <c r="B155" s="72" t="n"/>
      <c r="C155" s="72" t="n"/>
      <c r="D155" s="72" t="n"/>
      <c r="E155" s="72" t="n"/>
      <c r="F155" s="72" t="n"/>
      <c r="G155" s="108" t="n"/>
      <c r="H155" s="72" t="n"/>
      <c r="I155" s="78">
        <f>IF(H155="","",HYPERLINK(H155,"Open ↗"))</f>
        <v/>
      </c>
      <c r="J155" s="72" t="n"/>
    </row>
    <row r="156" ht="20" customHeight="1">
      <c r="B156" s="72" t="n"/>
      <c r="C156" s="72" t="n"/>
      <c r="D156" s="72" t="n"/>
      <c r="E156" s="72" t="n"/>
      <c r="F156" s="72" t="n"/>
      <c r="G156" s="108" t="n"/>
      <c r="H156" s="72" t="n"/>
      <c r="I156" s="78">
        <f>IF(H156="","",HYPERLINK(H156,"Open ↗"))</f>
        <v/>
      </c>
      <c r="J156" s="72" t="n"/>
    </row>
    <row r="157" ht="20" customHeight="1">
      <c r="B157" s="72" t="n"/>
      <c r="C157" s="72" t="n"/>
      <c r="D157" s="72" t="n"/>
      <c r="E157" s="72" t="n"/>
      <c r="F157" s="72" t="n"/>
      <c r="G157" s="108" t="n"/>
      <c r="H157" s="72" t="n"/>
      <c r="I157" s="78">
        <f>IF(H157="","",HYPERLINK(H157,"Open ↗"))</f>
        <v/>
      </c>
      <c r="J157" s="72" t="n"/>
    </row>
    <row r="158" ht="20" customHeight="1">
      <c r="B158" s="72" t="n"/>
      <c r="C158" s="72" t="n"/>
      <c r="D158" s="72" t="n"/>
      <c r="E158" s="72" t="n"/>
      <c r="F158" s="72" t="n"/>
      <c r="G158" s="108" t="n"/>
      <c r="H158" s="72" t="n"/>
      <c r="I158" s="78">
        <f>IF(H158="","",HYPERLINK(H158,"Open ↗"))</f>
        <v/>
      </c>
      <c r="J158" s="72" t="n"/>
    </row>
    <row r="159" ht="20" customHeight="1">
      <c r="B159" s="72" t="n"/>
      <c r="C159" s="72" t="n"/>
      <c r="D159" s="72" t="n"/>
      <c r="E159" s="72" t="n"/>
      <c r="F159" s="72" t="n"/>
      <c r="G159" s="108" t="n"/>
      <c r="H159" s="72" t="n"/>
      <c r="I159" s="78">
        <f>IF(H159="","",HYPERLINK(H159,"Open ↗"))</f>
        <v/>
      </c>
      <c r="J159" s="72" t="n"/>
    </row>
    <row r="160" ht="20" customHeight="1">
      <c r="B160" s="72" t="n"/>
      <c r="C160" s="72" t="n"/>
      <c r="D160" s="72" t="n"/>
      <c r="E160" s="72" t="n"/>
      <c r="F160" s="72" t="n"/>
      <c r="G160" s="108" t="n"/>
      <c r="H160" s="72" t="n"/>
      <c r="I160" s="78">
        <f>IF(H160="","",HYPERLINK(H160,"Open ↗"))</f>
        <v/>
      </c>
      <c r="J160" s="72" t="n"/>
    </row>
    <row r="161" ht="20" customHeight="1">
      <c r="B161" s="72" t="n"/>
      <c r="C161" s="72" t="n"/>
      <c r="D161" s="72" t="n"/>
      <c r="E161" s="72" t="n"/>
      <c r="F161" s="72" t="n"/>
      <c r="G161" s="108" t="n"/>
      <c r="H161" s="72" t="n"/>
      <c r="I161" s="78">
        <f>IF(H161="","",HYPERLINK(H161,"Open ↗"))</f>
        <v/>
      </c>
      <c r="J161" s="72" t="n"/>
    </row>
    <row r="162" ht="20" customHeight="1">
      <c r="B162" s="72" t="n"/>
      <c r="C162" s="72" t="n"/>
      <c r="D162" s="72" t="n"/>
      <c r="E162" s="72" t="n"/>
      <c r="F162" s="72" t="n"/>
      <c r="G162" s="108" t="n"/>
      <c r="H162" s="72" t="n"/>
      <c r="I162" s="78">
        <f>IF(H162="","",HYPERLINK(H162,"Open ↗"))</f>
        <v/>
      </c>
      <c r="J162" s="72" t="n"/>
    </row>
    <row r="163" ht="20" customHeight="1">
      <c r="B163" s="72" t="n"/>
      <c r="C163" s="72" t="n"/>
      <c r="D163" s="72" t="n"/>
      <c r="E163" s="72" t="n"/>
      <c r="F163" s="72" t="n"/>
      <c r="G163" s="108" t="n"/>
      <c r="H163" s="72" t="n"/>
      <c r="I163" s="78">
        <f>IF(H163="","",HYPERLINK(H163,"Open ↗"))</f>
        <v/>
      </c>
      <c r="J163" s="72" t="n"/>
    </row>
    <row r="164" ht="20" customHeight="1">
      <c r="B164" s="72" t="n"/>
      <c r="C164" s="72" t="n"/>
      <c r="D164" s="72" t="n"/>
      <c r="E164" s="72" t="n"/>
      <c r="F164" s="72" t="n"/>
      <c r="G164" s="108" t="n"/>
      <c r="H164" s="72" t="n"/>
      <c r="I164" s="78">
        <f>IF(H164="","",HYPERLINK(H164,"Open ↗"))</f>
        <v/>
      </c>
      <c r="J164" s="72" t="n"/>
    </row>
    <row r="165" ht="20" customHeight="1">
      <c r="B165" s="72" t="n"/>
      <c r="C165" s="72" t="n"/>
      <c r="D165" s="72" t="n"/>
      <c r="E165" s="72" t="n"/>
      <c r="F165" s="72" t="n"/>
      <c r="G165" s="108" t="n"/>
      <c r="H165" s="72" t="n"/>
      <c r="I165" s="78">
        <f>IF(H165="","",HYPERLINK(H165,"Open ↗"))</f>
        <v/>
      </c>
      <c r="J165" s="72" t="n"/>
    </row>
    <row r="166" ht="20" customHeight="1">
      <c r="B166" s="72" t="n"/>
      <c r="C166" s="72" t="n"/>
      <c r="D166" s="72" t="n"/>
      <c r="E166" s="72" t="n"/>
      <c r="F166" s="72" t="n"/>
      <c r="G166" s="108" t="n"/>
      <c r="H166" s="72" t="n"/>
      <c r="I166" s="78">
        <f>IF(H166="","",HYPERLINK(H166,"Open ↗"))</f>
        <v/>
      </c>
      <c r="J166" s="72" t="n"/>
    </row>
    <row r="167" ht="20" customHeight="1">
      <c r="B167" s="72" t="n"/>
      <c r="C167" s="72" t="n"/>
      <c r="D167" s="72" t="n"/>
      <c r="E167" s="72" t="n"/>
      <c r="F167" s="72" t="n"/>
      <c r="G167" s="108" t="n"/>
      <c r="H167" s="72" t="n"/>
      <c r="I167" s="78">
        <f>IF(H167="","",HYPERLINK(H167,"Open ↗"))</f>
        <v/>
      </c>
      <c r="J167" s="72" t="n"/>
    </row>
    <row r="168" ht="20" customHeight="1">
      <c r="B168" s="72" t="n"/>
      <c r="C168" s="72" t="n"/>
      <c r="D168" s="72" t="n"/>
      <c r="E168" s="72" t="n"/>
      <c r="F168" s="72" t="n"/>
      <c r="G168" s="108" t="n"/>
      <c r="H168" s="72" t="n"/>
      <c r="I168" s="78">
        <f>IF(H168="","",HYPERLINK(H168,"Open ↗"))</f>
        <v/>
      </c>
      <c r="J168" s="72" t="n"/>
    </row>
    <row r="169" ht="20" customHeight="1">
      <c r="B169" s="72" t="n"/>
      <c r="C169" s="72" t="n"/>
      <c r="D169" s="72" t="n"/>
      <c r="E169" s="72" t="n"/>
      <c r="F169" s="72" t="n"/>
      <c r="G169" s="108" t="n"/>
      <c r="H169" s="72" t="n"/>
      <c r="I169" s="78">
        <f>IF(H169="","",HYPERLINK(H169,"Open ↗"))</f>
        <v/>
      </c>
      <c r="J169" s="72" t="n"/>
    </row>
    <row r="170" ht="20" customHeight="1">
      <c r="B170" s="72" t="n"/>
      <c r="C170" s="72" t="n"/>
      <c r="D170" s="72" t="n"/>
      <c r="E170" s="72" t="n"/>
      <c r="F170" s="72" t="n"/>
      <c r="G170" s="108" t="n"/>
      <c r="H170" s="72" t="n"/>
      <c r="I170" s="78">
        <f>IF(H170="","",HYPERLINK(H170,"Open ↗"))</f>
        <v/>
      </c>
      <c r="J170" s="72" t="n"/>
    </row>
    <row r="171" ht="20" customHeight="1">
      <c r="B171" s="72" t="n"/>
      <c r="C171" s="72" t="n"/>
      <c r="D171" s="72" t="n"/>
      <c r="E171" s="72" t="n"/>
      <c r="F171" s="72" t="n"/>
      <c r="G171" s="108" t="n"/>
      <c r="H171" s="72" t="n"/>
      <c r="I171" s="78">
        <f>IF(H171="","",HYPERLINK(H171,"Open ↗"))</f>
        <v/>
      </c>
      <c r="J171" s="72" t="n"/>
    </row>
    <row r="172" ht="20" customHeight="1">
      <c r="B172" s="72" t="n"/>
      <c r="C172" s="72" t="n"/>
      <c r="D172" s="72" t="n"/>
      <c r="E172" s="72" t="n"/>
      <c r="F172" s="72" t="n"/>
      <c r="G172" s="108" t="n"/>
      <c r="H172" s="72" t="n"/>
      <c r="I172" s="78">
        <f>IF(H172="","",HYPERLINK(H172,"Open ↗"))</f>
        <v/>
      </c>
      <c r="J172" s="72" t="n"/>
    </row>
    <row r="173" ht="20" customHeight="1">
      <c r="B173" s="72" t="n"/>
      <c r="C173" s="72" t="n"/>
      <c r="D173" s="72" t="n"/>
      <c r="E173" s="72" t="n"/>
      <c r="F173" s="72" t="n"/>
      <c r="G173" s="108" t="n"/>
      <c r="H173" s="72" t="n"/>
      <c r="I173" s="78">
        <f>IF(H173="","",HYPERLINK(H173,"Open ↗"))</f>
        <v/>
      </c>
      <c r="J173" s="72" t="n"/>
    </row>
    <row r="174" ht="20" customHeight="1">
      <c r="B174" s="72" t="n"/>
      <c r="C174" s="72" t="n"/>
      <c r="D174" s="72" t="n"/>
      <c r="E174" s="72" t="n"/>
      <c r="F174" s="72" t="n"/>
      <c r="G174" s="108" t="n"/>
      <c r="H174" s="72" t="n"/>
      <c r="I174" s="78">
        <f>IF(H174="","",HYPERLINK(H174,"Open ↗"))</f>
        <v/>
      </c>
      <c r="J174" s="72" t="n"/>
    </row>
    <row r="175" ht="20" customHeight="1">
      <c r="B175" s="72" t="n"/>
      <c r="C175" s="72" t="n"/>
      <c r="D175" s="72" t="n"/>
      <c r="E175" s="72" t="n"/>
      <c r="F175" s="72" t="n"/>
      <c r="G175" s="108" t="n"/>
      <c r="H175" s="72" t="n"/>
      <c r="I175" s="78">
        <f>IF(H175="","",HYPERLINK(H175,"Open ↗"))</f>
        <v/>
      </c>
      <c r="J175" s="72" t="n"/>
    </row>
    <row r="176" ht="20" customHeight="1">
      <c r="B176" s="72" t="n"/>
      <c r="C176" s="72" t="n"/>
      <c r="D176" s="72" t="n"/>
      <c r="E176" s="72" t="n"/>
      <c r="F176" s="72" t="n"/>
      <c r="G176" s="108" t="n"/>
      <c r="H176" s="72" t="n"/>
      <c r="I176" s="78">
        <f>IF(H176="","",HYPERLINK(H176,"Open ↗"))</f>
        <v/>
      </c>
      <c r="J176" s="72" t="n"/>
    </row>
    <row r="177" ht="20" customHeight="1">
      <c r="B177" s="72" t="n"/>
      <c r="C177" s="72" t="n"/>
      <c r="D177" s="72" t="n"/>
      <c r="E177" s="72" t="n"/>
      <c r="F177" s="72" t="n"/>
      <c r="G177" s="108" t="n"/>
      <c r="H177" s="72" t="n"/>
      <c r="I177" s="78">
        <f>IF(H177="","",HYPERLINK(H177,"Open ↗"))</f>
        <v/>
      </c>
      <c r="J177" s="72" t="n"/>
    </row>
    <row r="178" ht="20" customHeight="1">
      <c r="B178" s="72" t="n"/>
      <c r="C178" s="72" t="n"/>
      <c r="D178" s="72" t="n"/>
      <c r="E178" s="72" t="n"/>
      <c r="F178" s="72" t="n"/>
      <c r="G178" s="108" t="n"/>
      <c r="H178" s="72" t="n"/>
      <c r="I178" s="78">
        <f>IF(H178="","",HYPERLINK(H178,"Open ↗"))</f>
        <v/>
      </c>
      <c r="J178" s="72" t="n"/>
    </row>
    <row r="179" ht="20" customHeight="1">
      <c r="B179" s="72" t="n"/>
      <c r="C179" s="72" t="n"/>
      <c r="D179" s="72" t="n"/>
      <c r="E179" s="72" t="n"/>
      <c r="F179" s="72" t="n"/>
      <c r="G179" s="108" t="n"/>
      <c r="H179" s="72" t="n"/>
      <c r="I179" s="78">
        <f>IF(H179="","",HYPERLINK(H179,"Open ↗"))</f>
        <v/>
      </c>
      <c r="J179" s="72" t="n"/>
    </row>
    <row r="180" ht="20" customHeight="1">
      <c r="B180" s="72" t="n"/>
      <c r="C180" s="72" t="n"/>
      <c r="D180" s="72" t="n"/>
      <c r="E180" s="72" t="n"/>
      <c r="F180" s="72" t="n"/>
      <c r="G180" s="108" t="n"/>
      <c r="H180" s="72" t="n"/>
      <c r="I180" s="78">
        <f>IF(H180="","",HYPERLINK(H180,"Open ↗"))</f>
        <v/>
      </c>
      <c r="J180" s="72" t="n"/>
    </row>
    <row r="181" ht="20" customHeight="1">
      <c r="B181" s="72" t="n"/>
      <c r="C181" s="72" t="n"/>
      <c r="D181" s="72" t="n"/>
      <c r="E181" s="72" t="n"/>
      <c r="F181" s="72" t="n"/>
      <c r="G181" s="108" t="n"/>
      <c r="H181" s="72" t="n"/>
      <c r="I181" s="78">
        <f>IF(H181="","",HYPERLINK(H181,"Open ↗"))</f>
        <v/>
      </c>
      <c r="J181" s="72" t="n"/>
    </row>
    <row r="182" ht="20" customHeight="1">
      <c r="B182" s="72" t="n"/>
      <c r="C182" s="72" t="n"/>
      <c r="D182" s="72" t="n"/>
      <c r="E182" s="72" t="n"/>
      <c r="F182" s="72" t="n"/>
      <c r="G182" s="108" t="n"/>
      <c r="H182" s="72" t="n"/>
      <c r="I182" s="78">
        <f>IF(H182="","",HYPERLINK(H182,"Open ↗"))</f>
        <v/>
      </c>
      <c r="J182" s="72" t="n"/>
    </row>
    <row r="183" ht="20" customHeight="1">
      <c r="B183" s="72" t="n"/>
      <c r="C183" s="72" t="n"/>
      <c r="D183" s="72" t="n"/>
      <c r="E183" s="72" t="n"/>
      <c r="F183" s="72" t="n"/>
      <c r="G183" s="108" t="n"/>
      <c r="H183" s="72" t="n"/>
      <c r="I183" s="78">
        <f>IF(H183="","",HYPERLINK(H183,"Open ↗"))</f>
        <v/>
      </c>
      <c r="J183" s="72" t="n"/>
    </row>
    <row r="184" ht="20" customHeight="1">
      <c r="B184" s="72" t="n"/>
      <c r="C184" s="72" t="n"/>
      <c r="D184" s="72" t="n"/>
      <c r="E184" s="72" t="n"/>
      <c r="F184" s="72" t="n"/>
      <c r="G184" s="108" t="n"/>
      <c r="H184" s="72" t="n"/>
      <c r="I184" s="78">
        <f>IF(H184="","",HYPERLINK(H184,"Open ↗"))</f>
        <v/>
      </c>
      <c r="J184" s="72" t="n"/>
    </row>
    <row r="185" ht="20" customHeight="1">
      <c r="B185" s="72" t="n"/>
      <c r="C185" s="72" t="n"/>
      <c r="D185" s="72" t="n"/>
      <c r="E185" s="72" t="n"/>
      <c r="F185" s="72" t="n"/>
      <c r="G185" s="108" t="n"/>
      <c r="H185" s="72" t="n"/>
      <c r="I185" s="78">
        <f>IF(H185="","",HYPERLINK(H185,"Open ↗"))</f>
        <v/>
      </c>
      <c r="J185" s="72" t="n"/>
    </row>
    <row r="186" ht="20" customHeight="1">
      <c r="B186" s="72" t="n"/>
      <c r="C186" s="72" t="n"/>
      <c r="D186" s="72" t="n"/>
      <c r="E186" s="72" t="n"/>
      <c r="F186" s="72" t="n"/>
      <c r="G186" s="108" t="n"/>
      <c r="H186" s="72" t="n"/>
      <c r="I186" s="78">
        <f>IF(H186="","",HYPERLINK(H186,"Open ↗"))</f>
        <v/>
      </c>
      <c r="J186" s="72" t="n"/>
    </row>
    <row r="187" ht="20" customHeight="1">
      <c r="B187" s="72" t="n"/>
      <c r="C187" s="72" t="n"/>
      <c r="D187" s="72" t="n"/>
      <c r="E187" s="72" t="n"/>
      <c r="F187" s="72" t="n"/>
      <c r="G187" s="108" t="n"/>
      <c r="H187" s="72" t="n"/>
      <c r="I187" s="78">
        <f>IF(H187="","",HYPERLINK(H187,"Open ↗"))</f>
        <v/>
      </c>
      <c r="J187" s="72" t="n"/>
    </row>
    <row r="188" ht="20" customHeight="1">
      <c r="B188" s="72" t="n"/>
      <c r="C188" s="72" t="n"/>
      <c r="D188" s="72" t="n"/>
      <c r="E188" s="72" t="n"/>
      <c r="F188" s="72" t="n"/>
      <c r="G188" s="108" t="n"/>
      <c r="H188" s="72" t="n"/>
      <c r="I188" s="78">
        <f>IF(H188="","",HYPERLINK(H188,"Open ↗"))</f>
        <v/>
      </c>
      <c r="J188" s="72" t="n"/>
    </row>
    <row r="189" ht="20" customHeight="1">
      <c r="B189" s="72" t="n"/>
      <c r="C189" s="72" t="n"/>
      <c r="D189" s="72" t="n"/>
      <c r="E189" s="72" t="n"/>
      <c r="F189" s="72" t="n"/>
      <c r="G189" s="108" t="n"/>
      <c r="H189" s="72" t="n"/>
      <c r="I189" s="78">
        <f>IF(H189="","",HYPERLINK(H189,"Open ↗"))</f>
        <v/>
      </c>
      <c r="J189" s="72" t="n"/>
    </row>
    <row r="190" ht="20" customHeight="1">
      <c r="B190" s="72" t="n"/>
      <c r="C190" s="72" t="n"/>
      <c r="D190" s="72" t="n"/>
      <c r="E190" s="72" t="n"/>
      <c r="F190" s="72" t="n"/>
      <c r="G190" s="108" t="n"/>
      <c r="H190" s="72" t="n"/>
      <c r="I190" s="78">
        <f>IF(H190="","",HYPERLINK(H190,"Open ↗"))</f>
        <v/>
      </c>
      <c r="J190" s="72" t="n"/>
    </row>
    <row r="191" ht="20" customHeight="1">
      <c r="B191" s="72" t="n"/>
      <c r="C191" s="72" t="n"/>
      <c r="D191" s="72" t="n"/>
      <c r="E191" s="72" t="n"/>
      <c r="F191" s="72" t="n"/>
      <c r="G191" s="108" t="n"/>
      <c r="H191" s="72" t="n"/>
      <c r="I191" s="78">
        <f>IF(H191="","",HYPERLINK(H191,"Open ↗"))</f>
        <v/>
      </c>
      <c r="J191" s="72" t="n"/>
    </row>
    <row r="192" ht="20" customHeight="1">
      <c r="B192" s="72" t="n"/>
      <c r="C192" s="72" t="n"/>
      <c r="D192" s="72" t="n"/>
      <c r="E192" s="72" t="n"/>
      <c r="F192" s="72" t="n"/>
      <c r="G192" s="108" t="n"/>
      <c r="H192" s="72" t="n"/>
      <c r="I192" s="78">
        <f>IF(H192="","",HYPERLINK(H192,"Open ↗"))</f>
        <v/>
      </c>
      <c r="J192" s="72" t="n"/>
    </row>
    <row r="193" ht="20" customHeight="1">
      <c r="B193" s="72" t="n"/>
      <c r="C193" s="72" t="n"/>
      <c r="D193" s="72" t="n"/>
      <c r="E193" s="72" t="n"/>
      <c r="F193" s="72" t="n"/>
      <c r="G193" s="108" t="n"/>
      <c r="H193" s="72" t="n"/>
      <c r="I193" s="78">
        <f>IF(H193="","",HYPERLINK(H193,"Open ↗"))</f>
        <v/>
      </c>
      <c r="J193" s="72" t="n"/>
    </row>
    <row r="194" ht="20" customHeight="1">
      <c r="B194" s="72" t="n"/>
      <c r="C194" s="72" t="n"/>
      <c r="D194" s="72" t="n"/>
      <c r="E194" s="72" t="n"/>
      <c r="F194" s="72" t="n"/>
      <c r="G194" s="108" t="n"/>
      <c r="H194" s="72" t="n"/>
      <c r="I194" s="78">
        <f>IF(H194="","",HYPERLINK(H194,"Open ↗"))</f>
        <v/>
      </c>
      <c r="J194" s="72" t="n"/>
    </row>
    <row r="195" ht="20" customHeight="1">
      <c r="B195" s="72" t="n"/>
      <c r="C195" s="72" t="n"/>
      <c r="D195" s="72" t="n"/>
      <c r="E195" s="72" t="n"/>
      <c r="F195" s="72" t="n"/>
      <c r="G195" s="108" t="n"/>
      <c r="H195" s="72" t="n"/>
      <c r="I195" s="78">
        <f>IF(H195="","",HYPERLINK(H195,"Open ↗"))</f>
        <v/>
      </c>
      <c r="J195" s="72" t="n"/>
    </row>
    <row r="196" ht="20" customHeight="1">
      <c r="B196" s="72" t="n"/>
      <c r="C196" s="72" t="n"/>
      <c r="D196" s="72" t="n"/>
      <c r="E196" s="72" t="n"/>
      <c r="F196" s="72" t="n"/>
      <c r="G196" s="108" t="n"/>
      <c r="H196" s="72" t="n"/>
      <c r="I196" s="78">
        <f>IF(H196="","",HYPERLINK(H196,"Open ↗"))</f>
        <v/>
      </c>
      <c r="J196" s="72" t="n"/>
    </row>
    <row r="197" ht="20" customHeight="1">
      <c r="B197" s="72" t="n"/>
      <c r="C197" s="72" t="n"/>
      <c r="D197" s="72" t="n"/>
      <c r="E197" s="72" t="n"/>
      <c r="F197" s="72" t="n"/>
      <c r="G197" s="108" t="n"/>
      <c r="H197" s="72" t="n"/>
      <c r="I197" s="78">
        <f>IF(H197="","",HYPERLINK(H197,"Open ↗"))</f>
        <v/>
      </c>
      <c r="J197" s="72" t="n"/>
    </row>
    <row r="198" ht="20" customHeight="1">
      <c r="B198" s="72" t="n"/>
      <c r="C198" s="72" t="n"/>
      <c r="D198" s="72" t="n"/>
      <c r="E198" s="72" t="n"/>
      <c r="F198" s="72" t="n"/>
      <c r="G198" s="108" t="n"/>
      <c r="H198" s="72" t="n"/>
      <c r="I198" s="78">
        <f>IF(H198="","",HYPERLINK(H198,"Open ↗"))</f>
        <v/>
      </c>
      <c r="J198" s="72" t="n"/>
    </row>
    <row r="199" ht="20" customHeight="1">
      <c r="B199" s="72" t="n"/>
      <c r="C199" s="72" t="n"/>
      <c r="D199" s="72" t="n"/>
      <c r="E199" s="72" t="n"/>
      <c r="F199" s="72" t="n"/>
      <c r="G199" s="108" t="n"/>
      <c r="H199" s="72" t="n"/>
      <c r="I199" s="78">
        <f>IF(H199="","",HYPERLINK(H199,"Open ↗"))</f>
        <v/>
      </c>
      <c r="J199" s="72" t="n"/>
    </row>
    <row r="200" ht="20" customHeight="1">
      <c r="B200" s="72" t="n"/>
      <c r="C200" s="72" t="n"/>
      <c r="D200" s="72" t="n"/>
      <c r="E200" s="72" t="n"/>
      <c r="F200" s="72" t="n"/>
      <c r="G200" s="108" t="n"/>
      <c r="H200" s="72" t="n"/>
      <c r="I200" s="78">
        <f>IF(H200="","",HYPERLINK(H200,"Open ↗"))</f>
        <v/>
      </c>
      <c r="J200" s="72" t="n"/>
    </row>
    <row r="201" ht="20" customHeight="1">
      <c r="B201" s="72" t="n"/>
      <c r="C201" s="72" t="n"/>
      <c r="D201" s="72" t="n"/>
      <c r="E201" s="72" t="n"/>
      <c r="F201" s="72" t="n"/>
      <c r="G201" s="108" t="n"/>
      <c r="H201" s="72" t="n"/>
      <c r="I201" s="78">
        <f>IF(H201="","",HYPERLINK(H201,"Open ↗"))</f>
        <v/>
      </c>
      <c r="J201" s="72" t="n"/>
    </row>
    <row r="202" ht="20" customHeight="1">
      <c r="B202" s="72" t="n"/>
      <c r="C202" s="72" t="n"/>
      <c r="D202" s="72" t="n"/>
      <c r="E202" s="72" t="n"/>
      <c r="F202" s="72" t="n"/>
      <c r="G202" s="108" t="n"/>
      <c r="H202" s="72" t="n"/>
      <c r="I202" s="78">
        <f>IF(H202="","",HYPERLINK(H202,"Open ↗"))</f>
        <v/>
      </c>
      <c r="J202" s="72" t="n"/>
    </row>
    <row r="203" ht="20" customHeight="1">
      <c r="B203" s="72" t="n"/>
      <c r="C203" s="72" t="n"/>
      <c r="D203" s="72" t="n"/>
      <c r="E203" s="72" t="n"/>
      <c r="F203" s="72" t="n"/>
      <c r="G203" s="108" t="n"/>
      <c r="H203" s="72" t="n"/>
      <c r="I203" s="78">
        <f>IF(H203="","",HYPERLINK(H203,"Open ↗"))</f>
        <v/>
      </c>
      <c r="J203" s="72" t="n"/>
    </row>
    <row r="204" ht="20" customHeight="1">
      <c r="B204" s="72" t="n"/>
      <c r="C204" s="72" t="n"/>
      <c r="D204" s="72" t="n"/>
      <c r="E204" s="72" t="n"/>
      <c r="F204" s="72" t="n"/>
      <c r="G204" s="108" t="n"/>
      <c r="H204" s="72" t="n"/>
      <c r="I204" s="78">
        <f>IF(H204="","",HYPERLINK(H204,"Open ↗"))</f>
        <v/>
      </c>
      <c r="J204" s="72" t="n"/>
    </row>
    <row r="205" ht="20" customHeight="1">
      <c r="B205" s="72" t="n"/>
      <c r="C205" s="72" t="n"/>
      <c r="D205" s="72" t="n"/>
      <c r="E205" s="72" t="n"/>
      <c r="F205" s="72" t="n"/>
      <c r="G205" s="108" t="n"/>
      <c r="H205" s="72" t="n"/>
      <c r="I205" s="78">
        <f>IF(H205="","",HYPERLINK(H205,"Open ↗"))</f>
        <v/>
      </c>
      <c r="J205" s="72" t="n"/>
    </row>
    <row r="206" ht="20" customHeight="1">
      <c r="B206" s="72" t="n"/>
      <c r="C206" s="72" t="n"/>
      <c r="D206" s="72" t="n"/>
      <c r="E206" s="72" t="n"/>
      <c r="F206" s="72" t="n"/>
      <c r="G206" s="108" t="n"/>
      <c r="H206" s="72" t="n"/>
      <c r="I206" s="78">
        <f>IF(H206="","",HYPERLINK(H206,"Open ↗"))</f>
        <v/>
      </c>
      <c r="J206" s="72" t="n"/>
    </row>
    <row r="207" ht="20" customHeight="1">
      <c r="B207" s="72" t="n"/>
      <c r="C207" s="72" t="n"/>
      <c r="D207" s="72" t="n"/>
      <c r="E207" s="72" t="n"/>
      <c r="F207" s="72" t="n"/>
      <c r="G207" s="108" t="n"/>
      <c r="H207" s="72" t="n"/>
      <c r="I207" s="78">
        <f>IF(H207="","",HYPERLINK(H207,"Open ↗"))</f>
        <v/>
      </c>
      <c r="J207" s="72" t="n"/>
    </row>
    <row r="208" ht="20" customHeight="1">
      <c r="B208" s="72" t="n"/>
      <c r="C208" s="72" t="n"/>
      <c r="D208" s="72" t="n"/>
      <c r="E208" s="72" t="n"/>
      <c r="F208" s="72" t="n"/>
      <c r="G208" s="108" t="n"/>
      <c r="H208" s="72" t="n"/>
      <c r="I208" s="78">
        <f>IF(H208="","",HYPERLINK(H208,"Open ↗"))</f>
        <v/>
      </c>
      <c r="J208" s="72" t="n"/>
    </row>
    <row r="209" ht="20" customHeight="1">
      <c r="B209" s="72" t="n"/>
      <c r="C209" s="72" t="n"/>
      <c r="D209" s="72" t="n"/>
      <c r="E209" s="72" t="n"/>
      <c r="F209" s="72" t="n"/>
      <c r="G209" s="108" t="n"/>
      <c r="H209" s="72" t="n"/>
      <c r="I209" s="78">
        <f>IF(H209="","",HYPERLINK(H209,"Open ↗"))</f>
        <v/>
      </c>
      <c r="J209" s="72" t="n"/>
    </row>
    <row r="210" ht="20" customHeight="1">
      <c r="B210" s="72" t="n"/>
      <c r="C210" s="72" t="n"/>
      <c r="D210" s="72" t="n"/>
      <c r="E210" s="72" t="n"/>
      <c r="F210" s="72" t="n"/>
      <c r="G210" s="108" t="n"/>
      <c r="H210" s="72" t="n"/>
      <c r="I210" s="78">
        <f>IF(H210="","",HYPERLINK(H210,"Open ↗"))</f>
        <v/>
      </c>
      <c r="J210" s="72" t="n"/>
    </row>
    <row r="211" ht="20" customHeight="1">
      <c r="B211" s="72" t="n"/>
      <c r="C211" s="72" t="n"/>
      <c r="D211" s="72" t="n"/>
      <c r="E211" s="72" t="n"/>
      <c r="F211" s="72" t="n"/>
      <c r="G211" s="108" t="n"/>
      <c r="H211" s="72" t="n"/>
      <c r="I211" s="78">
        <f>IF(H211="","",HYPERLINK(H211,"Open ↗"))</f>
        <v/>
      </c>
      <c r="J211" s="72" t="n"/>
    </row>
    <row r="212" ht="20" customHeight="1">
      <c r="B212" s="72" t="n"/>
      <c r="C212" s="72" t="n"/>
      <c r="D212" s="72" t="n"/>
      <c r="E212" s="72" t="n"/>
      <c r="F212" s="72" t="n"/>
      <c r="G212" s="108" t="n"/>
      <c r="H212" s="72" t="n"/>
      <c r="I212" s="78">
        <f>IF(H212="","",HYPERLINK(H212,"Open ↗"))</f>
        <v/>
      </c>
      <c r="J212" s="72" t="n"/>
    </row>
    <row r="213" ht="20" customHeight="1">
      <c r="B213" s="72" t="n"/>
      <c r="C213" s="72" t="n"/>
      <c r="D213" s="72" t="n"/>
      <c r="E213" s="72" t="n"/>
      <c r="F213" s="72" t="n"/>
      <c r="G213" s="108" t="n"/>
      <c r="H213" s="72" t="n"/>
      <c r="I213" s="78">
        <f>IF(H213="","",HYPERLINK(H213,"Open ↗"))</f>
        <v/>
      </c>
      <c r="J213" s="72" t="n"/>
    </row>
    <row r="214" ht="20" customHeight="1">
      <c r="B214" s="72" t="n"/>
      <c r="C214" s="72" t="n"/>
      <c r="D214" s="72" t="n"/>
      <c r="E214" s="72" t="n"/>
      <c r="F214" s="72" t="n"/>
      <c r="G214" s="108" t="n"/>
      <c r="H214" s="72" t="n"/>
      <c r="I214" s="78">
        <f>IF(H214="","",HYPERLINK(H214,"Open ↗"))</f>
        <v/>
      </c>
      <c r="J214" s="72" t="n"/>
    </row>
    <row r="215" ht="20" customHeight="1">
      <c r="B215" s="72" t="n"/>
      <c r="C215" s="72" t="n"/>
      <c r="D215" s="72" t="n"/>
      <c r="E215" s="72" t="n"/>
      <c r="F215" s="72" t="n"/>
      <c r="G215" s="108" t="n"/>
      <c r="H215" s="72" t="n"/>
      <c r="I215" s="78">
        <f>IF(H215="","",HYPERLINK(H215,"Open ↗"))</f>
        <v/>
      </c>
      <c r="J215" s="72" t="n"/>
    </row>
    <row r="216" ht="20" customHeight="1">
      <c r="B216" s="72" t="n"/>
      <c r="C216" s="72" t="n"/>
      <c r="D216" s="72" t="n"/>
      <c r="E216" s="72" t="n"/>
      <c r="F216" s="72" t="n"/>
      <c r="G216" s="108" t="n"/>
      <c r="H216" s="72" t="n"/>
      <c r="I216" s="78">
        <f>IF(H216="","",HYPERLINK(H216,"Open ↗"))</f>
        <v/>
      </c>
      <c r="J216" s="72" t="n"/>
    </row>
    <row r="217" ht="20" customHeight="1">
      <c r="B217" s="72" t="n"/>
      <c r="C217" s="72" t="n"/>
      <c r="D217" s="72" t="n"/>
      <c r="E217" s="72" t="n"/>
      <c r="F217" s="72" t="n"/>
      <c r="G217" s="108" t="n"/>
      <c r="H217" s="72" t="n"/>
      <c r="I217" s="78">
        <f>IF(H217="","",HYPERLINK(H217,"Open ↗"))</f>
        <v/>
      </c>
      <c r="J217" s="72" t="n"/>
    </row>
    <row r="218" ht="20" customHeight="1">
      <c r="B218" s="72" t="n"/>
      <c r="C218" s="72" t="n"/>
      <c r="D218" s="72" t="n"/>
      <c r="E218" s="72" t="n"/>
      <c r="F218" s="72" t="n"/>
      <c r="G218" s="108" t="n"/>
      <c r="H218" s="72" t="n"/>
      <c r="I218" s="78">
        <f>IF(H218="","",HYPERLINK(H218,"Open ↗"))</f>
        <v/>
      </c>
      <c r="J218" s="72" t="n"/>
    </row>
    <row r="219" ht="20" customHeight="1">
      <c r="B219" s="72" t="n"/>
      <c r="C219" s="72" t="n"/>
      <c r="D219" s="72" t="n"/>
      <c r="E219" s="72" t="n"/>
      <c r="F219" s="72" t="n"/>
      <c r="G219" s="108" t="n"/>
      <c r="H219" s="72" t="n"/>
      <c r="I219" s="78">
        <f>IF(H219="","",HYPERLINK(H219,"Open ↗"))</f>
        <v/>
      </c>
      <c r="J219" s="72" t="n"/>
    </row>
    <row r="220" ht="20" customHeight="1">
      <c r="B220" s="72" t="n"/>
      <c r="C220" s="72" t="n"/>
      <c r="D220" s="72" t="n"/>
      <c r="E220" s="72" t="n"/>
      <c r="F220" s="72" t="n"/>
      <c r="G220" s="108" t="n"/>
      <c r="H220" s="72" t="n"/>
      <c r="I220" s="78">
        <f>IF(H220="","",HYPERLINK(H220,"Open ↗"))</f>
        <v/>
      </c>
      <c r="J220" s="72" t="n"/>
    </row>
    <row r="221" ht="20" customHeight="1">
      <c r="B221" s="72" t="n"/>
      <c r="C221" s="72" t="n"/>
      <c r="D221" s="72" t="n"/>
      <c r="E221" s="72" t="n"/>
      <c r="F221" s="72" t="n"/>
      <c r="G221" s="108" t="n"/>
      <c r="H221" s="72" t="n"/>
      <c r="I221" s="78">
        <f>IF(H221="","",HYPERLINK(H221,"Open ↗"))</f>
        <v/>
      </c>
      <c r="J221" s="72" t="n"/>
    </row>
    <row r="222" ht="20" customHeight="1">
      <c r="B222" s="72" t="n"/>
      <c r="C222" s="72" t="n"/>
      <c r="D222" s="72" t="n"/>
      <c r="E222" s="72" t="n"/>
      <c r="F222" s="72" t="n"/>
      <c r="G222" s="108" t="n"/>
      <c r="H222" s="72" t="n"/>
      <c r="I222" s="78">
        <f>IF(H222="","",HYPERLINK(H222,"Open ↗"))</f>
        <v/>
      </c>
      <c r="J222" s="72" t="n"/>
    </row>
    <row r="223" ht="20" customHeight="1">
      <c r="B223" s="72" t="n"/>
      <c r="C223" s="72" t="n"/>
      <c r="D223" s="72" t="n"/>
      <c r="E223" s="72" t="n"/>
      <c r="F223" s="72" t="n"/>
      <c r="G223" s="108" t="n"/>
      <c r="H223" s="72" t="n"/>
      <c r="I223" s="78">
        <f>IF(H223="","",HYPERLINK(H223,"Open ↗"))</f>
        <v/>
      </c>
      <c r="J223" s="72" t="n"/>
    </row>
    <row r="224" ht="20" customHeight="1">
      <c r="B224" s="72" t="n"/>
      <c r="C224" s="72" t="n"/>
      <c r="D224" s="72" t="n"/>
      <c r="E224" s="72" t="n"/>
      <c r="F224" s="72" t="n"/>
      <c r="G224" s="108" t="n"/>
      <c r="H224" s="72" t="n"/>
      <c r="I224" s="78">
        <f>IF(H224="","",HYPERLINK(H224,"Open ↗"))</f>
        <v/>
      </c>
      <c r="J224" s="72" t="n"/>
    </row>
    <row r="225" ht="20" customHeight="1">
      <c r="B225" s="72" t="n"/>
      <c r="C225" s="72" t="n"/>
      <c r="D225" s="72" t="n"/>
      <c r="E225" s="72" t="n"/>
      <c r="F225" s="72" t="n"/>
      <c r="G225" s="108" t="n"/>
      <c r="H225" s="72" t="n"/>
      <c r="I225" s="78">
        <f>IF(H225="","",HYPERLINK(H225,"Open ↗"))</f>
        <v/>
      </c>
      <c r="J225" s="72" t="n"/>
    </row>
    <row r="226" ht="20" customHeight="1">
      <c r="B226" s="72" t="n"/>
      <c r="C226" s="72" t="n"/>
      <c r="D226" s="72" t="n"/>
      <c r="E226" s="72" t="n"/>
      <c r="F226" s="72" t="n"/>
      <c r="G226" s="108" t="n"/>
      <c r="H226" s="72" t="n"/>
      <c r="I226" s="78">
        <f>IF(H226="","",HYPERLINK(H226,"Open ↗"))</f>
        <v/>
      </c>
      <c r="J226" s="72" t="n"/>
    </row>
    <row r="227" ht="20" customHeight="1">
      <c r="B227" s="72" t="n"/>
      <c r="C227" s="72" t="n"/>
      <c r="D227" s="72" t="n"/>
      <c r="E227" s="72" t="n"/>
      <c r="F227" s="72" t="n"/>
      <c r="G227" s="108" t="n"/>
      <c r="H227" s="72" t="n"/>
      <c r="I227" s="78">
        <f>IF(H227="","",HYPERLINK(H227,"Open ↗"))</f>
        <v/>
      </c>
      <c r="J227" s="72" t="n"/>
    </row>
    <row r="228" ht="20" customHeight="1">
      <c r="B228" s="72" t="n"/>
      <c r="C228" s="72" t="n"/>
      <c r="D228" s="72" t="n"/>
      <c r="E228" s="72" t="n"/>
      <c r="F228" s="72" t="n"/>
      <c r="G228" s="108" t="n"/>
      <c r="H228" s="72" t="n"/>
      <c r="I228" s="78">
        <f>IF(H228="","",HYPERLINK(H228,"Open ↗"))</f>
        <v/>
      </c>
      <c r="J228" s="72" t="n"/>
    </row>
    <row r="229" ht="20" customHeight="1">
      <c r="B229" s="72" t="n"/>
      <c r="C229" s="72" t="n"/>
      <c r="D229" s="72" t="n"/>
      <c r="E229" s="72" t="n"/>
      <c r="F229" s="72" t="n"/>
      <c r="G229" s="108" t="n"/>
      <c r="H229" s="72" t="n"/>
      <c r="I229" s="78">
        <f>IF(H229="","",HYPERLINK(H229,"Open ↗"))</f>
        <v/>
      </c>
      <c r="J229" s="72" t="n"/>
    </row>
    <row r="230" ht="20" customHeight="1">
      <c r="B230" s="72" t="n"/>
      <c r="C230" s="72" t="n"/>
      <c r="D230" s="72" t="n"/>
      <c r="E230" s="72" t="n"/>
      <c r="F230" s="72" t="n"/>
      <c r="G230" s="108" t="n"/>
      <c r="H230" s="72" t="n"/>
      <c r="I230" s="78">
        <f>IF(H230="","",HYPERLINK(H230,"Open ↗"))</f>
        <v/>
      </c>
      <c r="J230" s="72" t="n"/>
    </row>
    <row r="231" ht="20" customHeight="1">
      <c r="B231" s="72" t="n"/>
      <c r="C231" s="72" t="n"/>
      <c r="D231" s="72" t="n"/>
      <c r="E231" s="72" t="n"/>
      <c r="F231" s="72" t="n"/>
      <c r="G231" s="108" t="n"/>
      <c r="H231" s="72" t="n"/>
      <c r="I231" s="78">
        <f>IF(H231="","",HYPERLINK(H231,"Open ↗"))</f>
        <v/>
      </c>
      <c r="J231" s="72" t="n"/>
    </row>
    <row r="232" ht="20" customHeight="1">
      <c r="B232" s="72" t="n"/>
      <c r="C232" s="72" t="n"/>
      <c r="D232" s="72" t="n"/>
      <c r="E232" s="72" t="n"/>
      <c r="F232" s="72" t="n"/>
      <c r="G232" s="108" t="n"/>
      <c r="H232" s="72" t="n"/>
      <c r="I232" s="78">
        <f>IF(H232="","",HYPERLINK(H232,"Open ↗"))</f>
        <v/>
      </c>
      <c r="J232" s="72" t="n"/>
    </row>
    <row r="233" ht="20" customHeight="1">
      <c r="B233" s="72" t="n"/>
      <c r="C233" s="72" t="n"/>
      <c r="D233" s="72" t="n"/>
      <c r="E233" s="72" t="n"/>
      <c r="F233" s="72" t="n"/>
      <c r="G233" s="108" t="n"/>
      <c r="H233" s="72" t="n"/>
      <c r="I233" s="78">
        <f>IF(H233="","",HYPERLINK(H233,"Open ↗"))</f>
        <v/>
      </c>
      <c r="J233" s="72" t="n"/>
    </row>
    <row r="234" ht="20" customHeight="1">
      <c r="B234" s="72" t="n"/>
      <c r="C234" s="72" t="n"/>
      <c r="D234" s="72" t="n"/>
      <c r="E234" s="72" t="n"/>
      <c r="F234" s="72" t="n"/>
      <c r="G234" s="108" t="n"/>
      <c r="H234" s="72" t="n"/>
      <c r="I234" s="78">
        <f>IF(H234="","",HYPERLINK(H234,"Open ↗"))</f>
        <v/>
      </c>
      <c r="J234" s="72" t="n"/>
    </row>
    <row r="235" ht="20" customHeight="1">
      <c r="B235" s="72" t="n"/>
      <c r="C235" s="72" t="n"/>
      <c r="D235" s="72" t="n"/>
      <c r="E235" s="72" t="n"/>
      <c r="F235" s="72" t="n"/>
      <c r="G235" s="108" t="n"/>
      <c r="H235" s="72" t="n"/>
      <c r="I235" s="78">
        <f>IF(H235="","",HYPERLINK(H235,"Open ↗"))</f>
        <v/>
      </c>
      <c r="J235" s="72" t="n"/>
    </row>
    <row r="236" ht="20" customHeight="1">
      <c r="B236" s="72" t="n"/>
      <c r="C236" s="72" t="n"/>
      <c r="D236" s="72" t="n"/>
      <c r="E236" s="72" t="n"/>
      <c r="F236" s="72" t="n"/>
      <c r="G236" s="108" t="n"/>
      <c r="H236" s="72" t="n"/>
      <c r="I236" s="78">
        <f>IF(H236="","",HYPERLINK(H236,"Open ↗"))</f>
        <v/>
      </c>
      <c r="J236" s="72" t="n"/>
    </row>
    <row r="237" ht="20" customHeight="1">
      <c r="B237" s="72" t="n"/>
      <c r="C237" s="72" t="n"/>
      <c r="D237" s="72" t="n"/>
      <c r="E237" s="72" t="n"/>
      <c r="F237" s="72" t="n"/>
      <c r="G237" s="108" t="n"/>
      <c r="H237" s="72" t="n"/>
      <c r="I237" s="78">
        <f>IF(H237="","",HYPERLINK(H237,"Open ↗"))</f>
        <v/>
      </c>
      <c r="J237" s="72" t="n"/>
    </row>
    <row r="238" ht="20" customHeight="1">
      <c r="B238" s="72" t="n"/>
      <c r="C238" s="72" t="n"/>
      <c r="D238" s="72" t="n"/>
      <c r="E238" s="72" t="n"/>
      <c r="F238" s="72" t="n"/>
      <c r="G238" s="108" t="n"/>
      <c r="H238" s="72" t="n"/>
      <c r="I238" s="78">
        <f>IF(H238="","",HYPERLINK(H238,"Open ↗"))</f>
        <v/>
      </c>
      <c r="J238" s="72" t="n"/>
    </row>
    <row r="239" ht="20" customHeight="1">
      <c r="B239" s="72" t="n"/>
      <c r="C239" s="72" t="n"/>
      <c r="D239" s="72" t="n"/>
      <c r="E239" s="72" t="n"/>
      <c r="F239" s="72" t="n"/>
      <c r="G239" s="108" t="n"/>
      <c r="H239" s="72" t="n"/>
      <c r="I239" s="78">
        <f>IF(H239="","",HYPERLINK(H239,"Open ↗"))</f>
        <v/>
      </c>
      <c r="J239" s="72" t="n"/>
    </row>
    <row r="240" ht="20" customHeight="1">
      <c r="B240" s="72" t="n"/>
      <c r="C240" s="72" t="n"/>
      <c r="D240" s="72" t="n"/>
      <c r="E240" s="72" t="n"/>
      <c r="F240" s="72" t="n"/>
      <c r="G240" s="108" t="n"/>
      <c r="H240" s="72" t="n"/>
      <c r="I240" s="78">
        <f>IF(H240="","",HYPERLINK(H240,"Open ↗"))</f>
        <v/>
      </c>
      <c r="J240" s="72" t="n"/>
    </row>
    <row r="241" ht="20" customHeight="1">
      <c r="B241" s="72" t="n"/>
      <c r="C241" s="72" t="n"/>
      <c r="D241" s="72" t="n"/>
      <c r="E241" s="72" t="n"/>
      <c r="F241" s="72" t="n"/>
      <c r="G241" s="108" t="n"/>
      <c r="H241" s="72" t="n"/>
      <c r="I241" s="78">
        <f>IF(H241="","",HYPERLINK(H241,"Open ↗"))</f>
        <v/>
      </c>
      <c r="J241" s="72" t="n"/>
    </row>
    <row r="242" ht="20" customHeight="1">
      <c r="B242" s="72" t="n"/>
      <c r="C242" s="72" t="n"/>
      <c r="D242" s="72" t="n"/>
      <c r="E242" s="72" t="n"/>
      <c r="F242" s="72" t="n"/>
      <c r="G242" s="108" t="n"/>
      <c r="H242" s="72" t="n"/>
      <c r="I242" s="78">
        <f>IF(H242="","",HYPERLINK(H242,"Open ↗"))</f>
        <v/>
      </c>
      <c r="J242" s="72" t="n"/>
    </row>
    <row r="243" ht="20" customHeight="1">
      <c r="B243" s="72" t="n"/>
      <c r="C243" s="72" t="n"/>
      <c r="D243" s="72" t="n"/>
      <c r="E243" s="72" t="n"/>
      <c r="F243" s="72" t="n"/>
      <c r="G243" s="108" t="n"/>
      <c r="H243" s="72" t="n"/>
      <c r="I243" s="78">
        <f>IF(H243="","",HYPERLINK(H243,"Open ↗"))</f>
        <v/>
      </c>
      <c r="J243" s="72" t="n"/>
    </row>
    <row r="244" ht="20" customHeight="1">
      <c r="B244" s="72" t="n"/>
      <c r="C244" s="72" t="n"/>
      <c r="D244" s="72" t="n"/>
      <c r="E244" s="72" t="n"/>
      <c r="F244" s="72" t="n"/>
      <c r="G244" s="108" t="n"/>
      <c r="H244" s="72" t="n"/>
      <c r="I244" s="78">
        <f>IF(H244="","",HYPERLINK(H244,"Open ↗"))</f>
        <v/>
      </c>
      <c r="J244" s="72" t="n"/>
    </row>
    <row r="245" ht="20" customHeight="1">
      <c r="B245" s="72" t="n"/>
      <c r="C245" s="72" t="n"/>
      <c r="D245" s="72" t="n"/>
      <c r="E245" s="72" t="n"/>
      <c r="F245" s="72" t="n"/>
      <c r="G245" s="108" t="n"/>
      <c r="H245" s="72" t="n"/>
      <c r="I245" s="78">
        <f>IF(H245="","",HYPERLINK(H245,"Open ↗"))</f>
        <v/>
      </c>
      <c r="J245" s="72" t="n"/>
    </row>
    <row r="246" ht="20" customHeight="1">
      <c r="B246" s="72" t="n"/>
      <c r="C246" s="72" t="n"/>
      <c r="D246" s="72" t="n"/>
      <c r="E246" s="72" t="n"/>
      <c r="F246" s="72" t="n"/>
      <c r="G246" s="108" t="n"/>
      <c r="H246" s="72" t="n"/>
      <c r="I246" s="78">
        <f>IF(H246="","",HYPERLINK(H246,"Open ↗"))</f>
        <v/>
      </c>
      <c r="J246" s="72" t="n"/>
    </row>
    <row r="247" ht="20" customHeight="1">
      <c r="B247" s="72" t="n"/>
      <c r="C247" s="72" t="n"/>
      <c r="D247" s="72" t="n"/>
      <c r="E247" s="72" t="n"/>
      <c r="F247" s="72" t="n"/>
      <c r="G247" s="108" t="n"/>
      <c r="H247" s="72" t="n"/>
      <c r="I247" s="78">
        <f>IF(H247="","",HYPERLINK(H247,"Open ↗"))</f>
        <v/>
      </c>
      <c r="J247" s="72" t="n"/>
    </row>
    <row r="248" ht="20" customHeight="1">
      <c r="B248" s="72" t="n"/>
      <c r="C248" s="72" t="n"/>
      <c r="D248" s="72" t="n"/>
      <c r="E248" s="72" t="n"/>
      <c r="F248" s="72" t="n"/>
      <c r="G248" s="108" t="n"/>
      <c r="H248" s="72" t="n"/>
      <c r="I248" s="78">
        <f>IF(H248="","",HYPERLINK(H248,"Open ↗"))</f>
        <v/>
      </c>
      <c r="J248" s="72" t="n"/>
    </row>
    <row r="249" ht="20" customHeight="1">
      <c r="B249" s="72" t="n"/>
      <c r="C249" s="72" t="n"/>
      <c r="D249" s="72" t="n"/>
      <c r="E249" s="72" t="n"/>
      <c r="F249" s="72" t="n"/>
      <c r="G249" s="108" t="n"/>
      <c r="H249" s="72" t="n"/>
      <c r="I249" s="78">
        <f>IF(H249="","",HYPERLINK(H249,"Open ↗"))</f>
        <v/>
      </c>
      <c r="J249" s="72" t="n"/>
    </row>
    <row r="250" ht="20" customHeight="1">
      <c r="B250" s="72" t="n"/>
      <c r="C250" s="72" t="n"/>
      <c r="D250" s="72" t="n"/>
      <c r="E250" s="72" t="n"/>
      <c r="F250" s="72" t="n"/>
      <c r="G250" s="108" t="n"/>
      <c r="H250" s="72" t="n"/>
      <c r="I250" s="78">
        <f>IF(H250="","",HYPERLINK(H250,"Open ↗"))</f>
        <v/>
      </c>
      <c r="J250" s="72" t="n"/>
    </row>
    <row r="251" ht="20" customHeight="1">
      <c r="B251" s="72" t="n"/>
      <c r="C251" s="72" t="n"/>
      <c r="D251" s="72" t="n"/>
      <c r="E251" s="72" t="n"/>
      <c r="F251" s="72" t="n"/>
      <c r="G251" s="108" t="n"/>
      <c r="H251" s="72" t="n"/>
      <c r="I251" s="78">
        <f>IF(H251="","",HYPERLINK(H251,"Open ↗"))</f>
        <v/>
      </c>
      <c r="J251" s="72" t="n"/>
    </row>
    <row r="252" ht="20" customHeight="1">
      <c r="B252" s="72" t="n"/>
      <c r="C252" s="72" t="n"/>
      <c r="D252" s="72" t="n"/>
      <c r="E252" s="72" t="n"/>
      <c r="F252" s="72" t="n"/>
      <c r="G252" s="108" t="n"/>
      <c r="H252" s="72" t="n"/>
      <c r="I252" s="78">
        <f>IF(H252="","",HYPERLINK(H252,"Open ↗"))</f>
        <v/>
      </c>
      <c r="J252" s="72" t="n"/>
    </row>
    <row r="253" ht="20" customHeight="1">
      <c r="B253" s="72" t="n"/>
      <c r="C253" s="72" t="n"/>
      <c r="D253" s="72" t="n"/>
      <c r="E253" s="72" t="n"/>
      <c r="F253" s="72" t="n"/>
      <c r="G253" s="108" t="n"/>
      <c r="H253" s="72" t="n"/>
      <c r="I253" s="78">
        <f>IF(H253="","",HYPERLINK(H253,"Open ↗"))</f>
        <v/>
      </c>
      <c r="J253" s="72" t="n"/>
    </row>
    <row r="254" ht="20" customHeight="1">
      <c r="B254" s="72" t="n"/>
      <c r="C254" s="72" t="n"/>
      <c r="D254" s="72" t="n"/>
      <c r="E254" s="72" t="n"/>
      <c r="F254" s="72" t="n"/>
      <c r="G254" s="108" t="n"/>
      <c r="H254" s="72" t="n"/>
      <c r="I254" s="78">
        <f>IF(H254="","",HYPERLINK(H254,"Open ↗"))</f>
        <v/>
      </c>
      <c r="J254" s="72" t="n"/>
    </row>
    <row r="255" ht="20" customHeight="1">
      <c r="B255" s="72" t="n"/>
      <c r="C255" s="72" t="n"/>
      <c r="D255" s="72" t="n"/>
      <c r="E255" s="72" t="n"/>
      <c r="F255" s="72" t="n"/>
      <c r="G255" s="108" t="n"/>
      <c r="H255" s="72" t="n"/>
      <c r="I255" s="78">
        <f>IF(H255="","",HYPERLINK(H255,"Open ↗"))</f>
        <v/>
      </c>
      <c r="J255" s="72" t="n"/>
    </row>
    <row r="256" ht="20" customHeight="1">
      <c r="B256" s="72" t="n"/>
      <c r="C256" s="72" t="n"/>
      <c r="D256" s="72" t="n"/>
      <c r="E256" s="72" t="n"/>
      <c r="F256" s="72" t="n"/>
      <c r="G256" s="108" t="n"/>
      <c r="H256" s="72" t="n"/>
      <c r="I256" s="78">
        <f>IF(H256="","",HYPERLINK(H256,"Open ↗"))</f>
        <v/>
      </c>
      <c r="J256" s="72" t="n"/>
    </row>
    <row r="257" ht="20" customHeight="1">
      <c r="B257" s="72" t="n"/>
      <c r="C257" s="72" t="n"/>
      <c r="D257" s="72" t="n"/>
      <c r="E257" s="72" t="n"/>
      <c r="F257" s="72" t="n"/>
      <c r="G257" s="108" t="n"/>
      <c r="H257" s="72" t="n"/>
      <c r="I257" s="78">
        <f>IF(H257="","",HYPERLINK(H257,"Open ↗"))</f>
        <v/>
      </c>
      <c r="J257" s="72" t="n"/>
    </row>
    <row r="258" ht="20" customHeight="1">
      <c r="B258" s="72" t="n"/>
      <c r="C258" s="72" t="n"/>
      <c r="D258" s="72" t="n"/>
      <c r="E258" s="72" t="n"/>
      <c r="F258" s="72" t="n"/>
      <c r="G258" s="108" t="n"/>
      <c r="H258" s="72" t="n"/>
      <c r="I258" s="78">
        <f>IF(H258="","",HYPERLINK(H258,"Open ↗"))</f>
        <v/>
      </c>
      <c r="J258" s="72" t="n"/>
    </row>
    <row r="259" ht="20" customHeight="1">
      <c r="B259" s="72" t="n"/>
      <c r="C259" s="72" t="n"/>
      <c r="D259" s="72" t="n"/>
      <c r="E259" s="72" t="n"/>
      <c r="F259" s="72" t="n"/>
      <c r="G259" s="108" t="n"/>
      <c r="H259" s="72" t="n"/>
      <c r="I259" s="78">
        <f>IF(H259="","",HYPERLINK(H259,"Open ↗"))</f>
        <v/>
      </c>
      <c r="J259" s="72" t="n"/>
    </row>
    <row r="260" ht="20" customHeight="1">
      <c r="B260" s="72" t="n"/>
      <c r="C260" s="72" t="n"/>
      <c r="D260" s="72" t="n"/>
      <c r="E260" s="72" t="n"/>
      <c r="F260" s="72" t="n"/>
      <c r="G260" s="108" t="n"/>
      <c r="H260" s="72" t="n"/>
      <c r="I260" s="78">
        <f>IF(H260="","",HYPERLINK(H260,"Open ↗"))</f>
        <v/>
      </c>
      <c r="J260" s="72" t="n"/>
    </row>
    <row r="261" ht="20" customHeight="1">
      <c r="B261" s="72" t="n"/>
      <c r="C261" s="72" t="n"/>
      <c r="D261" s="72" t="n"/>
      <c r="E261" s="72" t="n"/>
      <c r="F261" s="72" t="n"/>
      <c r="G261" s="108" t="n"/>
      <c r="H261" s="72" t="n"/>
      <c r="I261" s="78">
        <f>IF(H261="","",HYPERLINK(H261,"Open ↗"))</f>
        <v/>
      </c>
      <c r="J261" s="72" t="n"/>
    </row>
    <row r="262" ht="20" customHeight="1">
      <c r="B262" s="72" t="n"/>
      <c r="C262" s="72" t="n"/>
      <c r="D262" s="72" t="n"/>
      <c r="E262" s="72" t="n"/>
      <c r="F262" s="72" t="n"/>
      <c r="G262" s="108" t="n"/>
      <c r="H262" s="72" t="n"/>
      <c r="I262" s="78">
        <f>IF(H262="","",HYPERLINK(H262,"Open ↗"))</f>
        <v/>
      </c>
      <c r="J262" s="72" t="n"/>
    </row>
    <row r="263" ht="20" customHeight="1">
      <c r="B263" s="72" t="n"/>
      <c r="C263" s="72" t="n"/>
      <c r="D263" s="72" t="n"/>
      <c r="E263" s="72" t="n"/>
      <c r="F263" s="72" t="n"/>
      <c r="G263" s="108" t="n"/>
      <c r="H263" s="72" t="n"/>
      <c r="I263" s="78">
        <f>IF(H263="","",HYPERLINK(H263,"Open ↗"))</f>
        <v/>
      </c>
      <c r="J263" s="72" t="n"/>
    </row>
    <row r="264" ht="20" customHeight="1">
      <c r="B264" s="72" t="n"/>
      <c r="C264" s="72" t="n"/>
      <c r="D264" s="72" t="n"/>
      <c r="E264" s="72" t="n"/>
      <c r="F264" s="72" t="n"/>
      <c r="G264" s="108" t="n"/>
      <c r="H264" s="72" t="n"/>
      <c r="I264" s="78">
        <f>IF(H264="","",HYPERLINK(H264,"Open ↗"))</f>
        <v/>
      </c>
      <c r="J264" s="72" t="n"/>
    </row>
    <row r="265" ht="20" customHeight="1">
      <c r="B265" s="72" t="n"/>
      <c r="C265" s="72" t="n"/>
      <c r="D265" s="72" t="n"/>
      <c r="E265" s="72" t="n"/>
      <c r="F265" s="72" t="n"/>
      <c r="G265" s="108" t="n"/>
      <c r="H265" s="72" t="n"/>
      <c r="I265" s="78">
        <f>IF(H265="","",HYPERLINK(H265,"Open ↗"))</f>
        <v/>
      </c>
      <c r="J265" s="72" t="n"/>
    </row>
    <row r="266" ht="20" customHeight="1">
      <c r="B266" s="72" t="n"/>
      <c r="C266" s="72" t="n"/>
      <c r="D266" s="72" t="n"/>
      <c r="E266" s="72" t="n"/>
      <c r="F266" s="72" t="n"/>
      <c r="G266" s="108" t="n"/>
      <c r="H266" s="72" t="n"/>
      <c r="I266" s="78">
        <f>IF(H266="","",HYPERLINK(H266,"Open ↗"))</f>
        <v/>
      </c>
      <c r="J266" s="72" t="n"/>
    </row>
    <row r="267" ht="20" customHeight="1">
      <c r="B267" s="72" t="n"/>
      <c r="C267" s="72" t="n"/>
      <c r="D267" s="72" t="n"/>
      <c r="E267" s="72" t="n"/>
      <c r="F267" s="72" t="n"/>
      <c r="G267" s="108" t="n"/>
      <c r="H267" s="72" t="n"/>
      <c r="I267" s="78">
        <f>IF(H267="","",HYPERLINK(H267,"Open ↗"))</f>
        <v/>
      </c>
      <c r="J267" s="72" t="n"/>
    </row>
    <row r="268" ht="20" customHeight="1">
      <c r="B268" s="72" t="n"/>
      <c r="C268" s="72" t="n"/>
      <c r="D268" s="72" t="n"/>
      <c r="E268" s="72" t="n"/>
      <c r="F268" s="72" t="n"/>
      <c r="G268" s="108" t="n"/>
      <c r="H268" s="72" t="n"/>
      <c r="I268" s="78">
        <f>IF(H268="","",HYPERLINK(H268,"Open ↗"))</f>
        <v/>
      </c>
      <c r="J268" s="72" t="n"/>
    </row>
    <row r="269" ht="20" customHeight="1">
      <c r="B269" s="72" t="n"/>
      <c r="C269" s="72" t="n"/>
      <c r="D269" s="72" t="n"/>
      <c r="E269" s="72" t="n"/>
      <c r="F269" s="72" t="n"/>
      <c r="G269" s="108" t="n"/>
      <c r="H269" s="72" t="n"/>
      <c r="I269" s="78">
        <f>IF(H269="","",HYPERLINK(H269,"Open ↗"))</f>
        <v/>
      </c>
      <c r="J269" s="72" t="n"/>
    </row>
    <row r="270" ht="20" customHeight="1">
      <c r="B270" s="72" t="n"/>
      <c r="C270" s="72" t="n"/>
      <c r="D270" s="72" t="n"/>
      <c r="E270" s="72" t="n"/>
      <c r="F270" s="72" t="n"/>
      <c r="G270" s="108" t="n"/>
      <c r="H270" s="72" t="n"/>
      <c r="I270" s="78">
        <f>IF(H270="","",HYPERLINK(H270,"Open ↗"))</f>
        <v/>
      </c>
      <c r="J270" s="72" t="n"/>
    </row>
    <row r="271" ht="20" customHeight="1">
      <c r="B271" s="72" t="n"/>
      <c r="C271" s="72" t="n"/>
      <c r="D271" s="72" t="n"/>
      <c r="E271" s="72" t="n"/>
      <c r="F271" s="72" t="n"/>
      <c r="G271" s="108" t="n"/>
      <c r="H271" s="72" t="n"/>
      <c r="I271" s="78">
        <f>IF(H271="","",HYPERLINK(H271,"Open ↗"))</f>
        <v/>
      </c>
      <c r="J271" s="72" t="n"/>
    </row>
    <row r="272" ht="20" customHeight="1">
      <c r="B272" s="72" t="n"/>
      <c r="C272" s="72" t="n"/>
      <c r="D272" s="72" t="n"/>
      <c r="E272" s="72" t="n"/>
      <c r="F272" s="72" t="n"/>
      <c r="G272" s="108" t="n"/>
      <c r="H272" s="72" t="n"/>
      <c r="I272" s="78">
        <f>IF(H272="","",HYPERLINK(H272,"Open ↗"))</f>
        <v/>
      </c>
      <c r="J272" s="72" t="n"/>
    </row>
    <row r="273" ht="20" customHeight="1">
      <c r="B273" s="72" t="n"/>
      <c r="C273" s="72" t="n"/>
      <c r="D273" s="72" t="n"/>
      <c r="E273" s="72" t="n"/>
      <c r="F273" s="72" t="n"/>
      <c r="G273" s="108" t="n"/>
      <c r="H273" s="72" t="n"/>
      <c r="I273" s="78">
        <f>IF(H273="","",HYPERLINK(H273,"Open ↗"))</f>
        <v/>
      </c>
      <c r="J273" s="72" t="n"/>
    </row>
    <row r="274" ht="20" customHeight="1">
      <c r="B274" s="72" t="n"/>
      <c r="C274" s="72" t="n"/>
      <c r="D274" s="72" t="n"/>
      <c r="E274" s="72" t="n"/>
      <c r="F274" s="72" t="n"/>
      <c r="G274" s="108" t="n"/>
      <c r="H274" s="72" t="n"/>
      <c r="I274" s="78">
        <f>IF(H274="","",HYPERLINK(H274,"Open ↗"))</f>
        <v/>
      </c>
      <c r="J274" s="72" t="n"/>
    </row>
    <row r="275" ht="20" customHeight="1">
      <c r="B275" s="72" t="n"/>
      <c r="C275" s="72" t="n"/>
      <c r="D275" s="72" t="n"/>
      <c r="E275" s="72" t="n"/>
      <c r="F275" s="72" t="n"/>
      <c r="G275" s="108" t="n"/>
      <c r="H275" s="72" t="n"/>
      <c r="I275" s="78">
        <f>IF(H275="","",HYPERLINK(H275,"Open ↗"))</f>
        <v/>
      </c>
      <c r="J275" s="72" t="n"/>
    </row>
    <row r="276" ht="20" customHeight="1">
      <c r="B276" s="72" t="n"/>
      <c r="C276" s="72" t="n"/>
      <c r="D276" s="72" t="n"/>
      <c r="E276" s="72" t="n"/>
      <c r="F276" s="72" t="n"/>
      <c r="G276" s="108" t="n"/>
      <c r="H276" s="72" t="n"/>
      <c r="I276" s="78">
        <f>IF(H276="","",HYPERLINK(H276,"Open ↗"))</f>
        <v/>
      </c>
      <c r="J276" s="72" t="n"/>
    </row>
    <row r="277" ht="20" customHeight="1">
      <c r="B277" s="72" t="n"/>
      <c r="C277" s="72" t="n"/>
      <c r="D277" s="72" t="n"/>
      <c r="E277" s="72" t="n"/>
      <c r="F277" s="72" t="n"/>
      <c r="G277" s="108" t="n"/>
      <c r="H277" s="72" t="n"/>
      <c r="I277" s="78">
        <f>IF(H277="","",HYPERLINK(H277,"Open ↗"))</f>
        <v/>
      </c>
      <c r="J277" s="72" t="n"/>
    </row>
    <row r="278" ht="20" customHeight="1">
      <c r="B278" s="72" t="n"/>
      <c r="C278" s="72" t="n"/>
      <c r="D278" s="72" t="n"/>
      <c r="E278" s="72" t="n"/>
      <c r="F278" s="72" t="n"/>
      <c r="G278" s="108" t="n"/>
      <c r="H278" s="72" t="n"/>
      <c r="I278" s="78">
        <f>IF(H278="","",HYPERLINK(H278,"Open ↗"))</f>
        <v/>
      </c>
      <c r="J278" s="72" t="n"/>
    </row>
    <row r="279" ht="20" customHeight="1">
      <c r="B279" s="72" t="n"/>
      <c r="C279" s="72" t="n"/>
      <c r="D279" s="72" t="n"/>
      <c r="E279" s="72" t="n"/>
      <c r="F279" s="72" t="n"/>
      <c r="G279" s="108" t="n"/>
      <c r="H279" s="72" t="n"/>
      <c r="I279" s="78">
        <f>IF(H279="","",HYPERLINK(H279,"Open ↗"))</f>
        <v/>
      </c>
      <c r="J279" s="72" t="n"/>
    </row>
    <row r="280" ht="20" customHeight="1">
      <c r="B280" s="72" t="n"/>
      <c r="C280" s="72" t="n"/>
      <c r="D280" s="72" t="n"/>
      <c r="E280" s="72" t="n"/>
      <c r="F280" s="72" t="n"/>
      <c r="G280" s="108" t="n"/>
      <c r="H280" s="72" t="n"/>
      <c r="I280" s="78">
        <f>IF(H280="","",HYPERLINK(H280,"Open ↗"))</f>
        <v/>
      </c>
      <c r="J280" s="72" t="n"/>
    </row>
    <row r="281" ht="20" customHeight="1">
      <c r="B281" s="72" t="n"/>
      <c r="C281" s="72" t="n"/>
      <c r="D281" s="72" t="n"/>
      <c r="E281" s="72" t="n"/>
      <c r="F281" s="72" t="n"/>
      <c r="G281" s="108" t="n"/>
      <c r="H281" s="72" t="n"/>
      <c r="I281" s="78">
        <f>IF(H281="","",HYPERLINK(H281,"Open ↗"))</f>
        <v/>
      </c>
      <c r="J281" s="72" t="n"/>
    </row>
    <row r="282" ht="20" customHeight="1">
      <c r="B282" s="72" t="n"/>
      <c r="C282" s="72" t="n"/>
      <c r="D282" s="72" t="n"/>
      <c r="E282" s="72" t="n"/>
      <c r="F282" s="72" t="n"/>
      <c r="G282" s="108" t="n"/>
      <c r="H282" s="72" t="n"/>
      <c r="I282" s="78">
        <f>IF(H282="","",HYPERLINK(H282,"Open ↗"))</f>
        <v/>
      </c>
      <c r="J282" s="72" t="n"/>
    </row>
    <row r="283" ht="20" customHeight="1">
      <c r="B283" s="72" t="n"/>
      <c r="C283" s="72" t="n"/>
      <c r="D283" s="72" t="n"/>
      <c r="E283" s="72" t="n"/>
      <c r="F283" s="72" t="n"/>
      <c r="G283" s="108" t="n"/>
      <c r="H283" s="72" t="n"/>
      <c r="I283" s="78">
        <f>IF(H283="","",HYPERLINK(H283,"Open ↗"))</f>
        <v/>
      </c>
      <c r="J283" s="72" t="n"/>
    </row>
    <row r="284" ht="20" customHeight="1">
      <c r="B284" s="72" t="n"/>
      <c r="C284" s="72" t="n"/>
      <c r="D284" s="72" t="n"/>
      <c r="E284" s="72" t="n"/>
      <c r="F284" s="72" t="n"/>
      <c r="G284" s="108" t="n"/>
      <c r="H284" s="72" t="n"/>
      <c r="I284" s="78">
        <f>IF(H284="","",HYPERLINK(H284,"Open ↗"))</f>
        <v/>
      </c>
      <c r="J284" s="72" t="n"/>
    </row>
    <row r="285" ht="20" customHeight="1">
      <c r="B285" s="72" t="n"/>
      <c r="C285" s="72" t="n"/>
      <c r="D285" s="72" t="n"/>
      <c r="E285" s="72" t="n"/>
      <c r="F285" s="72" t="n"/>
      <c r="G285" s="108" t="n"/>
      <c r="H285" s="72" t="n"/>
      <c r="I285" s="78">
        <f>IF(H285="","",HYPERLINK(H285,"Open ↗"))</f>
        <v/>
      </c>
      <c r="J285" s="72" t="n"/>
    </row>
    <row r="286" ht="20" customHeight="1">
      <c r="B286" s="72" t="n"/>
      <c r="C286" s="72" t="n"/>
      <c r="D286" s="72" t="n"/>
      <c r="E286" s="72" t="n"/>
      <c r="F286" s="72" t="n"/>
      <c r="G286" s="108" t="n"/>
      <c r="H286" s="72" t="n"/>
      <c r="I286" s="78">
        <f>IF(H286="","",HYPERLINK(H286,"Open ↗"))</f>
        <v/>
      </c>
      <c r="J286" s="72" t="n"/>
    </row>
    <row r="287" ht="20" customHeight="1">
      <c r="B287" s="72" t="n"/>
      <c r="C287" s="72" t="n"/>
      <c r="D287" s="72" t="n"/>
      <c r="E287" s="72" t="n"/>
      <c r="F287" s="72" t="n"/>
      <c r="G287" s="108" t="n"/>
      <c r="H287" s="72" t="n"/>
      <c r="I287" s="78">
        <f>IF(H287="","",HYPERLINK(H287,"Open ↗"))</f>
        <v/>
      </c>
      <c r="J287" s="72" t="n"/>
    </row>
    <row r="288" ht="20" customHeight="1">
      <c r="B288" s="72" t="n"/>
      <c r="C288" s="72" t="n"/>
      <c r="D288" s="72" t="n"/>
      <c r="E288" s="72" t="n"/>
      <c r="F288" s="72" t="n"/>
      <c r="G288" s="108" t="n"/>
      <c r="H288" s="72" t="n"/>
      <c r="I288" s="78">
        <f>IF(H288="","",HYPERLINK(H288,"Open ↗"))</f>
        <v/>
      </c>
      <c r="J288" s="72" t="n"/>
    </row>
    <row r="289" ht="20" customHeight="1">
      <c r="B289" s="72" t="n"/>
      <c r="C289" s="72" t="n"/>
      <c r="D289" s="72" t="n"/>
      <c r="E289" s="72" t="n"/>
      <c r="F289" s="72" t="n"/>
      <c r="G289" s="108" t="n"/>
      <c r="H289" s="72" t="n"/>
      <c r="I289" s="78">
        <f>IF(H289="","",HYPERLINK(H289,"Open ↗"))</f>
        <v/>
      </c>
      <c r="J289" s="72" t="n"/>
    </row>
    <row r="290" ht="20" customHeight="1">
      <c r="B290" s="72" t="n"/>
      <c r="C290" s="72" t="n"/>
      <c r="D290" s="72" t="n"/>
      <c r="E290" s="72" t="n"/>
      <c r="F290" s="72" t="n"/>
      <c r="G290" s="108" t="n"/>
      <c r="H290" s="72" t="n"/>
      <c r="I290" s="78">
        <f>IF(H290="","",HYPERLINK(H290,"Open ↗"))</f>
        <v/>
      </c>
      <c r="J290" s="72" t="n"/>
    </row>
    <row r="291" ht="20" customHeight="1">
      <c r="B291" s="72" t="n"/>
      <c r="C291" s="72" t="n"/>
      <c r="D291" s="72" t="n"/>
      <c r="E291" s="72" t="n"/>
      <c r="F291" s="72" t="n"/>
      <c r="G291" s="108" t="n"/>
      <c r="H291" s="72" t="n"/>
      <c r="I291" s="78">
        <f>IF(H291="","",HYPERLINK(H291,"Open ↗"))</f>
        <v/>
      </c>
      <c r="J291" s="72" t="n"/>
    </row>
    <row r="292" ht="20" customHeight="1">
      <c r="B292" s="72" t="n"/>
      <c r="C292" s="72" t="n"/>
      <c r="D292" s="72" t="n"/>
      <c r="E292" s="72" t="n"/>
      <c r="F292" s="72" t="n"/>
      <c r="G292" s="108" t="n"/>
      <c r="H292" s="72" t="n"/>
      <c r="I292" s="78">
        <f>IF(H292="","",HYPERLINK(H292,"Open ↗"))</f>
        <v/>
      </c>
      <c r="J292" s="72" t="n"/>
    </row>
    <row r="293" ht="20" customHeight="1">
      <c r="B293" s="72" t="n"/>
      <c r="C293" s="72" t="n"/>
      <c r="D293" s="72" t="n"/>
      <c r="E293" s="72" t="n"/>
      <c r="F293" s="72" t="n"/>
      <c r="G293" s="108" t="n"/>
      <c r="H293" s="72" t="n"/>
      <c r="I293" s="78">
        <f>IF(H293="","",HYPERLINK(H293,"Open ↗"))</f>
        <v/>
      </c>
      <c r="J293" s="72" t="n"/>
    </row>
    <row r="294" ht="20" customHeight="1">
      <c r="B294" s="72" t="n"/>
      <c r="C294" s="72" t="n"/>
      <c r="D294" s="72" t="n"/>
      <c r="E294" s="72" t="n"/>
      <c r="F294" s="72" t="n"/>
      <c r="G294" s="108" t="n"/>
      <c r="H294" s="72" t="n"/>
      <c r="I294" s="78">
        <f>IF(H294="","",HYPERLINK(H294,"Open ↗"))</f>
        <v/>
      </c>
      <c r="J294" s="72" t="n"/>
    </row>
    <row r="295" ht="20" customHeight="1">
      <c r="B295" s="72" t="n"/>
      <c r="C295" s="72" t="n"/>
      <c r="D295" s="72" t="n"/>
      <c r="E295" s="72" t="n"/>
      <c r="F295" s="72" t="n"/>
      <c r="G295" s="108" t="n"/>
      <c r="H295" s="72" t="n"/>
      <c r="I295" s="78">
        <f>IF(H295="","",HYPERLINK(H295,"Open ↗"))</f>
        <v/>
      </c>
      <c r="J295" s="72" t="n"/>
    </row>
    <row r="296" ht="20" customHeight="1">
      <c r="B296" s="72" t="n"/>
      <c r="C296" s="72" t="n"/>
      <c r="D296" s="72" t="n"/>
      <c r="E296" s="72" t="n"/>
      <c r="F296" s="72" t="n"/>
      <c r="G296" s="108" t="n"/>
      <c r="H296" s="72" t="n"/>
      <c r="I296" s="78">
        <f>IF(H296="","",HYPERLINK(H296,"Open ↗"))</f>
        <v/>
      </c>
      <c r="J296" s="72" t="n"/>
    </row>
    <row r="297" ht="20" customHeight="1">
      <c r="B297" s="72" t="n"/>
      <c r="C297" s="72" t="n"/>
      <c r="D297" s="72" t="n"/>
      <c r="E297" s="72" t="n"/>
      <c r="F297" s="72" t="n"/>
      <c r="G297" s="108" t="n"/>
      <c r="H297" s="72" t="n"/>
      <c r="I297" s="78">
        <f>IF(H297="","",HYPERLINK(H297,"Open ↗"))</f>
        <v/>
      </c>
      <c r="J297" s="72" t="n"/>
    </row>
    <row r="298" ht="20" customHeight="1">
      <c r="B298" s="72" t="n"/>
      <c r="C298" s="72" t="n"/>
      <c r="D298" s="72" t="n"/>
      <c r="E298" s="72" t="n"/>
      <c r="F298" s="72" t="n"/>
      <c r="G298" s="108" t="n"/>
      <c r="H298" s="72" t="n"/>
      <c r="I298" s="78">
        <f>IF(H298="","",HYPERLINK(H298,"Open ↗"))</f>
        <v/>
      </c>
      <c r="J298" s="72" t="n"/>
    </row>
    <row r="299" ht="20" customHeight="1">
      <c r="B299" s="72" t="n"/>
      <c r="C299" s="72" t="n"/>
      <c r="D299" s="72" t="n"/>
      <c r="E299" s="72" t="n"/>
      <c r="F299" s="72" t="n"/>
      <c r="G299" s="108" t="n"/>
      <c r="H299" s="72" t="n"/>
      <c r="I299" s="78">
        <f>IF(H299="","",HYPERLINK(H299,"Open ↗"))</f>
        <v/>
      </c>
      <c r="J299" s="72" t="n"/>
    </row>
    <row r="300" ht="20" customHeight="1">
      <c r="B300" s="72" t="n"/>
      <c r="C300" s="72" t="n"/>
      <c r="D300" s="72" t="n"/>
      <c r="E300" s="72" t="n"/>
      <c r="F300" s="72" t="n"/>
      <c r="G300" s="108" t="n"/>
      <c r="H300" s="72" t="n"/>
      <c r="I300" s="78">
        <f>IF(H300="","",HYPERLINK(H300,"Open ↗"))</f>
        <v/>
      </c>
      <c r="J300" s="72" t="n"/>
    </row>
    <row r="301" ht="20" customHeight="1">
      <c r="B301" s="72" t="n"/>
      <c r="C301" s="72" t="n"/>
      <c r="D301" s="72" t="n"/>
      <c r="E301" s="72" t="n"/>
      <c r="F301" s="72" t="n"/>
      <c r="G301" s="108" t="n"/>
      <c r="H301" s="72" t="n"/>
      <c r="I301" s="78">
        <f>IF(H301="","",HYPERLINK(H301,"Open ↗"))</f>
        <v/>
      </c>
      <c r="J301" s="72" t="n"/>
    </row>
    <row r="302" ht="20" customHeight="1">
      <c r="B302" s="72" t="n"/>
      <c r="C302" s="72" t="n"/>
      <c r="D302" s="72" t="n"/>
      <c r="E302" s="72" t="n"/>
      <c r="F302" s="72" t="n"/>
      <c r="G302" s="108" t="n"/>
      <c r="H302" s="72" t="n"/>
      <c r="I302" s="78">
        <f>IF(H302="","",HYPERLINK(H302,"Open ↗"))</f>
        <v/>
      </c>
      <c r="J302" s="72" t="n"/>
    </row>
    <row r="303" ht="20" customHeight="1">
      <c r="B303" s="72" t="n"/>
      <c r="C303" s="72" t="n"/>
      <c r="D303" s="72" t="n"/>
      <c r="E303" s="72" t="n"/>
      <c r="F303" s="72" t="n"/>
      <c r="G303" s="108" t="n"/>
      <c r="H303" s="72" t="n"/>
      <c r="I303" s="78">
        <f>IF(H303="","",HYPERLINK(H303,"Open ↗"))</f>
        <v/>
      </c>
      <c r="J303" s="72" t="n"/>
    </row>
    <row r="304" ht="20" customHeight="1">
      <c r="B304" s="72" t="n"/>
      <c r="C304" s="72" t="n"/>
      <c r="D304" s="72" t="n"/>
      <c r="E304" s="72" t="n"/>
      <c r="F304" s="72" t="n"/>
      <c r="G304" s="108" t="n"/>
      <c r="H304" s="72" t="n"/>
      <c r="I304" s="78">
        <f>IF(H304="","",HYPERLINK(H304,"Open ↗"))</f>
        <v/>
      </c>
      <c r="J304" s="72" t="n"/>
    </row>
    <row r="305" ht="20" customHeight="1">
      <c r="B305" s="72" t="n"/>
      <c r="C305" s="72" t="n"/>
      <c r="D305" s="72" t="n"/>
      <c r="E305" s="72" t="n"/>
      <c r="F305" s="72" t="n"/>
      <c r="G305" s="108" t="n"/>
      <c r="H305" s="72" t="n"/>
      <c r="I305" s="78">
        <f>IF(H305="","",HYPERLINK(H305,"Open ↗"))</f>
        <v/>
      </c>
      <c r="J305" s="72" t="n"/>
    </row>
  </sheetData>
  <sheetProtection selectLockedCells="1" selectUnlockedCells="0" sheet="1" objects="0" insertRows="1" insertHyperlinks="1" autoFilter="1" scenarios="0" formatColumns="0" deleteColumns="1" insertColumns="1" pivotTables="1" deleteRows="1" formatCells="1" formatRows="0" sort="1" password="CD61"/>
  <mergeCells count="3">
    <mergeCell ref="L39:M39"/>
    <mergeCell ref="L38:M38"/>
    <mergeCell ref="L40:M40"/>
  </mergeCells>
  <conditionalFormatting sqref="N6:P35">
    <cfRule type="expression" priority="1" dxfId="0" stopIfTrue="0">
      <formula>N6="✗ missing"</formula>
    </cfRule>
    <cfRule type="expression" priority="2" dxfId="3" stopIfTrue="0">
      <formula>N6="✓"</formula>
    </cfRule>
  </conditionalFormatting>
  <conditionalFormatting sqref="Q6:Q35">
    <cfRule type="expression" priority="3" dxfId="0" stopIfTrue="0">
      <formula>$R6=2</formula>
    </cfRule>
    <cfRule type="expression" priority="4" dxfId="2" stopIfTrue="0">
      <formula>$R6=1</formula>
    </cfRule>
    <cfRule type="expression" priority="5" dxfId="3" stopIfTrue="0">
      <formula>$R6=0</formula>
    </cfRule>
  </conditionalFormatting>
  <conditionalFormatting sqref="N38">
    <cfRule type="expression" priority="6" dxfId="0" stopIfTrue="0">
      <formula>N38="✗ missing"</formula>
    </cfRule>
    <cfRule type="expression" priority="7" dxfId="3" stopIfTrue="0">
      <formula>N38="✓"</formula>
    </cfRule>
  </conditionalFormatting>
  <conditionalFormatting sqref="N39">
    <cfRule type="expression" priority="8" dxfId="0" stopIfTrue="0">
      <formula>N39="✗ missing"</formula>
    </cfRule>
    <cfRule type="expression" priority="9" dxfId="3" stopIfTrue="0">
      <formula>N39="✓"</formula>
    </cfRule>
  </conditionalFormatting>
  <conditionalFormatting sqref="N40">
    <cfRule type="expression" priority="10" dxfId="0" stopIfTrue="0">
      <formula>N40="✗ missing"</formula>
    </cfRule>
    <cfRule type="expression" priority="11" dxfId="3" stopIfTrue="0">
      <formula>N40="✓"</formula>
    </cfRule>
  </conditionalFormatting>
  <conditionalFormatting sqref="M44:R53">
    <cfRule type="expression" priority="12" dxfId="1" stopIfTrue="0">
      <formula>M44="✓"</formula>
    </cfRule>
  </conditionalFormatting>
  <dataValidations count="4">
    <dataValidation sqref="C6:C305" showDropDown="0" showInputMessage="0" showErrorMessage="1" allowBlank="1" errorTitle="Renovation OS" error="Please pick a value from the dropdown list." type="list">
      <formula1>='Lists'!$L$2:$L$12</formula1>
    </dataValidation>
    <dataValidation sqref="D6:D305" showDropDown="0" showInputMessage="0" showErrorMessage="1" allowBlank="1" errorTitle="Renovation OS" error="This name is not in the list. Keep it anyway?" type="list" errorStyle="warning">
      <formula1>='Lists'!$X$2:$X$31</formula1>
    </dataValidation>
    <dataValidation sqref="E6:E305" showDropDown="0" showInputMessage="0" showErrorMessage="1" allowBlank="1" errorTitle="Renovation OS" error="Please pick a value from the dropdown list." type="list">
      <formula1>='Lists'!$W$2:$W$12</formula1>
    </dataValidation>
    <dataValidation sqref="F6:F305" showDropDown="0" showInputMessage="0" showErrorMessage="1" allowBlank="1" errorTitle="Renovation OS" error="Please pick a value from the dropdown list." type="list">
      <formula1>='Lists'!$M$2:$M$7</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6A1B9A"/>
    <outlinePr summaryBelow="1" summaryRight="1"/>
    <pageSetUpPr/>
  </sheetPr>
  <dimension ref="A1:N11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20" customWidth="1" min="3" max="3"/>
    <col width="14" customWidth="1" min="4" max="4"/>
    <col width="13" customWidth="1" min="5" max="5"/>
    <col width="13" customWidth="1" min="6" max="6"/>
    <col width="13" customWidth="1" min="7" max="7"/>
    <col width="10" customWidth="1" min="8" max="8"/>
    <col width="18" customWidth="1" min="9" max="9"/>
    <col width="26" customWidth="1" min="10" max="10"/>
    <col hidden="1" width="13" customWidth="1" min="11" max="11"/>
    <col hidden="1" width="13" customWidth="1" min="12" max="12"/>
    <col hidden="1" width="13" customWidth="1" min="13" max="13"/>
    <col hidden="1" width="13" customWidth="1" min="14" max="14"/>
  </cols>
  <sheetData>
    <row r="1" ht="36" customHeight="1">
      <c r="B1" s="1" t="inlineStr">
        <is>
          <t>🛡️ Warranty &amp; Maintenance</t>
        </is>
      </c>
    </row>
    <row r="2" ht="20" customHeight="1">
      <c r="B2" s="2" t="inlineStr">
        <is>
          <t>What this tab does: tracks warranty expiry dates (check for defects before they run out) and recurring home maintenance. Both create alerts.</t>
        </is>
      </c>
    </row>
    <row r="3">
      <c r="B3" s="3" t="inlineStr">
        <is>
          <t>© 2026 Hang Nguyen — Renovation OS. Licensed to the original purchaser for personal use only. Do not share, copy, resell or redistribute.</t>
        </is>
      </c>
    </row>
    <row r="4">
      <c r="B4" s="4" t="inlineStr">
        <is>
          <t>WARRANTIES</t>
        </is>
      </c>
      <c r="C4" s="5" t="n"/>
      <c r="D4" s="5" t="n"/>
      <c r="E4" s="5" t="n"/>
      <c r="F4" s="5" t="n"/>
      <c r="G4" s="5" t="n"/>
      <c r="H4" s="5" t="n"/>
      <c r="I4" s="5" t="n"/>
      <c r="J4" s="5" t="n"/>
    </row>
    <row r="5"/>
    <row r="6" ht="32" customHeight="1">
      <c r="B6" s="52" t="inlineStr">
        <is>
          <t>Item / work</t>
        </is>
      </c>
      <c r="C6" s="52" t="inlineStr">
        <is>
          <t>Supplier / contractor</t>
        </is>
      </c>
      <c r="D6" s="52" t="inlineStr">
        <is>
          <t>Room</t>
        </is>
      </c>
      <c r="E6" s="52" t="inlineStr">
        <is>
          <t>Purchase / completion date</t>
        </is>
      </c>
      <c r="F6" s="52" t="inlineStr">
        <is>
          <t>Warranty (years)</t>
        </is>
      </c>
      <c r="G6" s="52" t="inlineStr">
        <is>
          <t>Expires</t>
        </is>
      </c>
      <c r="H6" s="52" t="inlineStr">
        <is>
          <t>Days left</t>
        </is>
      </c>
      <c r="I6" s="52" t="inlineStr">
        <is>
          <t>Status</t>
        </is>
      </c>
      <c r="J6" s="52" t="inlineStr">
        <is>
          <t>Warranty document link</t>
        </is>
      </c>
      <c r="K6" s="71" t="inlineStr">
        <is>
          <t>lvl</t>
        </is>
      </c>
      <c r="L6" s="71" t="inlineStr">
        <is>
          <t>due</t>
        </is>
      </c>
      <c r="M6" s="71" t="inlineStr">
        <is>
          <t>pri</t>
        </is>
      </c>
      <c r="N6" s="71" t="inlineStr">
        <is>
          <t>text</t>
        </is>
      </c>
    </row>
    <row r="7" ht="20" customHeight="1">
      <c r="B7" s="72" t="inlineStr">
        <is>
          <t>Roof repair (2019)</t>
        </is>
      </c>
      <c r="C7" s="72" t="inlineStr">
        <is>
          <t>TopRoof</t>
        </is>
      </c>
      <c r="D7" s="72" t="inlineStr">
        <is>
          <t>Exterior</t>
        </is>
      </c>
      <c r="E7" s="108" t="n">
        <v>43709</v>
      </c>
      <c r="F7" s="74" t="n">
        <v>7</v>
      </c>
      <c r="G7" s="126">
        <f>IF(OR(E7="",F7=""),"",DATE(YEAR(E7),MONTH(E7)+ROUND(F7*12,0),DAY(E7)))</f>
        <v/>
      </c>
      <c r="H7" s="145">
        <f>IF(G7="","",G7-AsOf)</f>
        <v/>
      </c>
      <c r="I7" s="107">
        <f>IF(G7="","",IF(H7&lt;0,"Expired",IF(H7&lt;=90,"Expires soon","Active")))</f>
        <v/>
      </c>
      <c r="J7" s="72" t="n"/>
      <c r="K7" s="79">
        <f>IF(I7="","",IF(I7="Active",0,IF(I7="Expires soon",1,3)))</f>
        <v/>
      </c>
      <c r="L7" s="111">
        <f>IF(G7="","",IF(G7&lt;AsOf,"",G7))</f>
        <v/>
      </c>
      <c r="M7" s="79">
        <f>IF(L7="","",IF(L7&lt;=AsOf+AlertDays,2,IF(L7&lt;=AsOf+90,3,"")))</f>
        <v/>
      </c>
      <c r="N7" s="79">
        <f>IF(M7="","","Warranty expires in "&amp;H7&amp;" days: "&amp;B7&amp;IF(C7="",""," ("&amp;C7&amp;")")&amp;" — check for defects")</f>
        <v/>
      </c>
    </row>
    <row r="8" ht="20" customHeight="1">
      <c r="B8" s="72" t="inlineStr">
        <is>
          <t>Garage door motor</t>
        </is>
      </c>
      <c r="C8" s="72" t="inlineStr">
        <is>
          <t>DoorTech</t>
        </is>
      </c>
      <c r="D8" s="72" t="inlineStr">
        <is>
          <t>Exterior</t>
        </is>
      </c>
      <c r="E8" s="108" t="n">
        <v>45463</v>
      </c>
      <c r="F8" s="74" t="n">
        <v>2</v>
      </c>
      <c r="G8" s="126">
        <f>IF(OR(E8="",F8=""),"",DATE(YEAR(E8),MONTH(E8)+ROUND(F8*12,0),DAY(E8)))</f>
        <v/>
      </c>
      <c r="H8" s="145">
        <f>IF(G8="","",G8-AsOf)</f>
        <v/>
      </c>
      <c r="I8" s="107">
        <f>IF(G8="","",IF(H8&lt;0,"Expired",IF(H8&lt;=90,"Expires soon","Active")))</f>
        <v/>
      </c>
      <c r="J8" s="72" t="n"/>
      <c r="K8" s="79">
        <f>IF(I8="","",IF(I8="Active",0,IF(I8="Expires soon",1,3)))</f>
        <v/>
      </c>
      <c r="L8" s="111">
        <f>IF(G8="","",IF(G8&lt;AsOf,"",G8))</f>
        <v/>
      </c>
      <c r="M8" s="79">
        <f>IF(L8="","",IF(L8&lt;=AsOf+AlertDays,2,IF(L8&lt;=AsOf+90,3,"")))</f>
        <v/>
      </c>
      <c r="N8" s="79">
        <f>IF(M8="","","Warranty expires in "&amp;H8&amp;" days: "&amp;B8&amp;IF(C8="",""," ("&amp;C8&amp;")")&amp;" — check for defects")</f>
        <v/>
      </c>
    </row>
    <row r="9" ht="20" customHeight="1">
      <c r="B9" s="72" t="inlineStr">
        <is>
          <t>Windows &amp; doors</t>
        </is>
      </c>
      <c r="C9" s="72" t="inlineStr">
        <is>
          <t>ClearView Windows</t>
        </is>
      </c>
      <c r="D9" s="72" t="inlineStr">
        <is>
          <t>Whole house</t>
        </is>
      </c>
      <c r="E9" s="108" t="n">
        <v>46149</v>
      </c>
      <c r="F9" s="74" t="n">
        <v>10</v>
      </c>
      <c r="G9" s="126">
        <f>IF(OR(E9="",F9=""),"",DATE(YEAR(E9),MONTH(E9)+ROUND(F9*12,0),DAY(E9)))</f>
        <v/>
      </c>
      <c r="H9" s="145">
        <f>IF(G9="","",G9-AsOf)</f>
        <v/>
      </c>
      <c r="I9" s="107">
        <f>IF(G9="","",IF(H9&lt;0,"Expired",IF(H9&lt;=90,"Expires soon","Active")))</f>
        <v/>
      </c>
      <c r="J9" s="72" t="inlineStr">
        <is>
          <t>https://drive.google.com/example-warranty</t>
        </is>
      </c>
      <c r="K9" s="79">
        <f>IF(I9="","",IF(I9="Active",0,IF(I9="Expires soon",1,3)))</f>
        <v/>
      </c>
      <c r="L9" s="111">
        <f>IF(G9="","",IF(G9&lt;AsOf,"",G9))</f>
        <v/>
      </c>
      <c r="M9" s="79">
        <f>IF(L9="","",IF(L9&lt;=AsOf+AlertDays,2,IF(L9&lt;=AsOf+90,3,"")))</f>
        <v/>
      </c>
      <c r="N9" s="79">
        <f>IF(M9="","","Warranty expires in "&amp;H9&amp;" days: "&amp;B9&amp;IF(C9="",""," ("&amp;C9&amp;")")&amp;" — check for defects")</f>
        <v/>
      </c>
    </row>
    <row r="10" ht="20" customHeight="1">
      <c r="B10" s="72" t="inlineStr">
        <is>
          <t>Fridge-freezer</t>
        </is>
      </c>
      <c r="C10" s="72" t="inlineStr">
        <is>
          <t>ApplianceHub</t>
        </is>
      </c>
      <c r="D10" s="72" t="inlineStr">
        <is>
          <t>Kitchen</t>
        </is>
      </c>
      <c r="E10" s="108" t="n">
        <v>46175</v>
      </c>
      <c r="F10" s="74" t="n">
        <v>2</v>
      </c>
      <c r="G10" s="126">
        <f>IF(OR(E10="",F10=""),"",DATE(YEAR(E10),MONTH(E10)+ROUND(F10*12,0),DAY(E10)))</f>
        <v/>
      </c>
      <c r="H10" s="145">
        <f>IF(G10="","",G10-AsOf)</f>
        <v/>
      </c>
      <c r="I10" s="107">
        <f>IF(G10="","",IF(H10&lt;0,"Expired",IF(H10&lt;=90,"Expires soon","Active")))</f>
        <v/>
      </c>
      <c r="J10" s="72" t="n"/>
      <c r="K10" s="79">
        <f>IF(I10="","",IF(I10="Active",0,IF(I10="Expires soon",1,3)))</f>
        <v/>
      </c>
      <c r="L10" s="111">
        <f>IF(G10="","",IF(G10&lt;AsOf,"",G10))</f>
        <v/>
      </c>
      <c r="M10" s="79">
        <f>IF(L10="","",IF(L10&lt;=AsOf+AlertDays,2,IF(L10&lt;=AsOf+90,3,"")))</f>
        <v/>
      </c>
      <c r="N10" s="79">
        <f>IF(M10="","","Warranty expires in "&amp;H10&amp;" days: "&amp;B10&amp;IF(C10="",""," ("&amp;C10&amp;")")&amp;" — check for defects")</f>
        <v/>
      </c>
    </row>
    <row r="11" ht="20" customHeight="1">
      <c r="B11" s="72" t="inlineStr">
        <is>
          <t>Demolition works</t>
        </is>
      </c>
      <c r="C11" s="72" t="inlineStr">
        <is>
          <t>Hansen Demolition</t>
        </is>
      </c>
      <c r="D11" s="72" t="inlineStr">
        <is>
          <t>Whole house</t>
        </is>
      </c>
      <c r="E11" s="108" t="n">
        <v>46141</v>
      </c>
      <c r="F11" s="74" t="n">
        <v>1</v>
      </c>
      <c r="G11" s="126">
        <f>IF(OR(E11="",F11=""),"",DATE(YEAR(E11),MONTH(E11)+ROUND(F11*12,0),DAY(E11)))</f>
        <v/>
      </c>
      <c r="H11" s="145">
        <f>IF(G11="","",G11-AsOf)</f>
        <v/>
      </c>
      <c r="I11" s="107">
        <f>IF(G11="","",IF(H11&lt;0,"Expired",IF(H11&lt;=90,"Expires soon","Active")))</f>
        <v/>
      </c>
      <c r="J11" s="72" t="n"/>
      <c r="K11" s="79">
        <f>IF(I11="","",IF(I11="Active",0,IF(I11="Expires soon",1,3)))</f>
        <v/>
      </c>
      <c r="L11" s="111">
        <f>IF(G11="","",IF(G11&lt;AsOf,"",G11))</f>
        <v/>
      </c>
      <c r="M11" s="79">
        <f>IF(L11="","",IF(L11&lt;=AsOf+AlertDays,2,IF(L11&lt;=AsOf+90,3,"")))</f>
        <v/>
      </c>
      <c r="N11" s="79">
        <f>IF(M11="","","Warranty expires in "&amp;H11&amp;" days: "&amp;B11&amp;IF(C11="",""," ("&amp;C11&amp;")")&amp;" — check for defects")</f>
        <v/>
      </c>
    </row>
    <row r="12" ht="20" customHeight="1">
      <c r="B12" s="72" t="inlineStr">
        <is>
          <t>Structural beam</t>
        </is>
      </c>
      <c r="C12" s="72" t="inlineStr">
        <is>
          <t>Solid Structures Ltd</t>
        </is>
      </c>
      <c r="D12" s="72" t="inlineStr">
        <is>
          <t>Living room</t>
        </is>
      </c>
      <c r="E12" s="108" t="n">
        <v>46153</v>
      </c>
      <c r="F12" s="74" t="n">
        <v>10</v>
      </c>
      <c r="G12" s="126">
        <f>IF(OR(E12="",F12=""),"",DATE(YEAR(E12),MONTH(E12)+ROUND(F12*12,0),DAY(E12)))</f>
        <v/>
      </c>
      <c r="H12" s="145">
        <f>IF(G12="","",G12-AsOf)</f>
        <v/>
      </c>
      <c r="I12" s="107">
        <f>IF(G12="","",IF(H12&lt;0,"Expired",IF(H12&lt;=90,"Expires soon","Active")))</f>
        <v/>
      </c>
      <c r="J12" s="72" t="n"/>
      <c r="K12" s="79">
        <f>IF(I12="","",IF(I12="Active",0,IF(I12="Expires soon",1,3)))</f>
        <v/>
      </c>
      <c r="L12" s="111">
        <f>IF(G12="","",IF(G12&lt;AsOf,"",G12))</f>
        <v/>
      </c>
      <c r="M12" s="79">
        <f>IF(L12="","",IF(L12&lt;=AsOf+AlertDays,2,IF(L12&lt;=AsOf+90,3,"")))</f>
        <v/>
      </c>
      <c r="N12" s="79">
        <f>IF(M12="","","Warranty expires in "&amp;H12&amp;" days: "&amp;B12&amp;IF(C12="",""," ("&amp;C12&amp;")")&amp;" — check for defects")</f>
        <v/>
      </c>
    </row>
    <row r="13" ht="20" customHeight="1">
      <c r="B13" s="72" t="n"/>
      <c r="C13" s="72" t="n"/>
      <c r="D13" s="72" t="n"/>
      <c r="E13" s="108" t="n"/>
      <c r="F13" s="74" t="n"/>
      <c r="G13" s="126">
        <f>IF(OR(E13="",F13=""),"",DATE(YEAR(E13),MONTH(E13)+ROUND(F13*12,0),DAY(E13)))</f>
        <v/>
      </c>
      <c r="H13" s="145">
        <f>IF(G13="","",G13-AsOf)</f>
        <v/>
      </c>
      <c r="I13" s="107">
        <f>IF(G13="","",IF(H13&lt;0,"Expired",IF(H13&lt;=90,"Expires soon","Active")))</f>
        <v/>
      </c>
      <c r="J13" s="72" t="n"/>
      <c r="K13" s="79">
        <f>IF(I13="","",IF(I13="Active",0,IF(I13="Expires soon",1,3)))</f>
        <v/>
      </c>
      <c r="L13" s="111">
        <f>IF(G13="","",IF(G13&lt;AsOf,"",G13))</f>
        <v/>
      </c>
      <c r="M13" s="79">
        <f>IF(L13="","",IF(L13&lt;=AsOf+AlertDays,2,IF(L13&lt;=AsOf+90,3,"")))</f>
        <v/>
      </c>
      <c r="N13" s="79">
        <f>IF(M13="","","Warranty expires in "&amp;H13&amp;" days: "&amp;B13&amp;IF(C13="",""," ("&amp;C13&amp;")")&amp;" — check for defects")</f>
        <v/>
      </c>
    </row>
    <row r="14" ht="20" customHeight="1">
      <c r="B14" s="72" t="n"/>
      <c r="C14" s="72" t="n"/>
      <c r="D14" s="72" t="n"/>
      <c r="E14" s="108" t="n"/>
      <c r="F14" s="74" t="n"/>
      <c r="G14" s="126">
        <f>IF(OR(E14="",F14=""),"",DATE(YEAR(E14),MONTH(E14)+ROUND(F14*12,0),DAY(E14)))</f>
        <v/>
      </c>
      <c r="H14" s="145">
        <f>IF(G14="","",G14-AsOf)</f>
        <v/>
      </c>
      <c r="I14" s="107">
        <f>IF(G14="","",IF(H14&lt;0,"Expired",IF(H14&lt;=90,"Expires soon","Active")))</f>
        <v/>
      </c>
      <c r="J14" s="72" t="n"/>
      <c r="K14" s="79">
        <f>IF(I14="","",IF(I14="Active",0,IF(I14="Expires soon",1,3)))</f>
        <v/>
      </c>
      <c r="L14" s="111">
        <f>IF(G14="","",IF(G14&lt;AsOf,"",G14))</f>
        <v/>
      </c>
      <c r="M14" s="79">
        <f>IF(L14="","",IF(L14&lt;=AsOf+AlertDays,2,IF(L14&lt;=AsOf+90,3,"")))</f>
        <v/>
      </c>
      <c r="N14" s="79">
        <f>IF(M14="","","Warranty expires in "&amp;H14&amp;" days: "&amp;B14&amp;IF(C14="",""," ("&amp;C14&amp;")")&amp;" — check for defects")</f>
        <v/>
      </c>
    </row>
    <row r="15" ht="20" customHeight="1">
      <c r="B15" s="72" t="n"/>
      <c r="C15" s="72" t="n"/>
      <c r="D15" s="72" t="n"/>
      <c r="E15" s="108" t="n"/>
      <c r="F15" s="74" t="n"/>
      <c r="G15" s="126">
        <f>IF(OR(E15="",F15=""),"",DATE(YEAR(E15),MONTH(E15)+ROUND(F15*12,0),DAY(E15)))</f>
        <v/>
      </c>
      <c r="H15" s="145">
        <f>IF(G15="","",G15-AsOf)</f>
        <v/>
      </c>
      <c r="I15" s="107">
        <f>IF(G15="","",IF(H15&lt;0,"Expired",IF(H15&lt;=90,"Expires soon","Active")))</f>
        <v/>
      </c>
      <c r="J15" s="72" t="n"/>
      <c r="K15" s="79">
        <f>IF(I15="","",IF(I15="Active",0,IF(I15="Expires soon",1,3)))</f>
        <v/>
      </c>
      <c r="L15" s="111">
        <f>IF(G15="","",IF(G15&lt;AsOf,"",G15))</f>
        <v/>
      </c>
      <c r="M15" s="79">
        <f>IF(L15="","",IF(L15&lt;=AsOf+AlertDays,2,IF(L15&lt;=AsOf+90,3,"")))</f>
        <v/>
      </c>
      <c r="N15" s="79">
        <f>IF(M15="","","Warranty expires in "&amp;H15&amp;" days: "&amp;B15&amp;IF(C15="",""," ("&amp;C15&amp;")")&amp;" — check for defects")</f>
        <v/>
      </c>
    </row>
    <row r="16" ht="20" customHeight="1">
      <c r="B16" s="72" t="n"/>
      <c r="C16" s="72" t="n"/>
      <c r="D16" s="72" t="n"/>
      <c r="E16" s="108" t="n"/>
      <c r="F16" s="74" t="n"/>
      <c r="G16" s="126">
        <f>IF(OR(E16="",F16=""),"",DATE(YEAR(E16),MONTH(E16)+ROUND(F16*12,0),DAY(E16)))</f>
        <v/>
      </c>
      <c r="H16" s="145">
        <f>IF(G16="","",G16-AsOf)</f>
        <v/>
      </c>
      <c r="I16" s="107">
        <f>IF(G16="","",IF(H16&lt;0,"Expired",IF(H16&lt;=90,"Expires soon","Active")))</f>
        <v/>
      </c>
      <c r="J16" s="72" t="n"/>
      <c r="K16" s="79">
        <f>IF(I16="","",IF(I16="Active",0,IF(I16="Expires soon",1,3)))</f>
        <v/>
      </c>
      <c r="L16" s="111">
        <f>IF(G16="","",IF(G16&lt;AsOf,"",G16))</f>
        <v/>
      </c>
      <c r="M16" s="79">
        <f>IF(L16="","",IF(L16&lt;=AsOf+AlertDays,2,IF(L16&lt;=AsOf+90,3,"")))</f>
        <v/>
      </c>
      <c r="N16" s="79">
        <f>IF(M16="","","Warranty expires in "&amp;H16&amp;" days: "&amp;B16&amp;IF(C16="",""," ("&amp;C16&amp;")")&amp;" — check for defects")</f>
        <v/>
      </c>
    </row>
    <row r="17" ht="20" customHeight="1">
      <c r="B17" s="72" t="n"/>
      <c r="C17" s="72" t="n"/>
      <c r="D17" s="72" t="n"/>
      <c r="E17" s="108" t="n"/>
      <c r="F17" s="74" t="n"/>
      <c r="G17" s="126">
        <f>IF(OR(E17="",F17=""),"",DATE(YEAR(E17),MONTH(E17)+ROUND(F17*12,0),DAY(E17)))</f>
        <v/>
      </c>
      <c r="H17" s="145">
        <f>IF(G17="","",G17-AsOf)</f>
        <v/>
      </c>
      <c r="I17" s="107">
        <f>IF(G17="","",IF(H17&lt;0,"Expired",IF(H17&lt;=90,"Expires soon","Active")))</f>
        <v/>
      </c>
      <c r="J17" s="72" t="n"/>
      <c r="K17" s="79">
        <f>IF(I17="","",IF(I17="Active",0,IF(I17="Expires soon",1,3)))</f>
        <v/>
      </c>
      <c r="L17" s="111">
        <f>IF(G17="","",IF(G17&lt;AsOf,"",G17))</f>
        <v/>
      </c>
      <c r="M17" s="79">
        <f>IF(L17="","",IF(L17&lt;=AsOf+AlertDays,2,IF(L17&lt;=AsOf+90,3,"")))</f>
        <v/>
      </c>
      <c r="N17" s="79">
        <f>IF(M17="","","Warranty expires in "&amp;H17&amp;" days: "&amp;B17&amp;IF(C17="",""," ("&amp;C17&amp;")")&amp;" — check for defects")</f>
        <v/>
      </c>
    </row>
    <row r="18" ht="20" customHeight="1">
      <c r="B18" s="72" t="n"/>
      <c r="C18" s="72" t="n"/>
      <c r="D18" s="72" t="n"/>
      <c r="E18" s="108" t="n"/>
      <c r="F18" s="74" t="n"/>
      <c r="G18" s="126">
        <f>IF(OR(E18="",F18=""),"",DATE(YEAR(E18),MONTH(E18)+ROUND(F18*12,0),DAY(E18)))</f>
        <v/>
      </c>
      <c r="H18" s="145">
        <f>IF(G18="","",G18-AsOf)</f>
        <v/>
      </c>
      <c r="I18" s="107">
        <f>IF(G18="","",IF(H18&lt;0,"Expired",IF(H18&lt;=90,"Expires soon","Active")))</f>
        <v/>
      </c>
      <c r="J18" s="72" t="n"/>
      <c r="K18" s="79">
        <f>IF(I18="","",IF(I18="Active",0,IF(I18="Expires soon",1,3)))</f>
        <v/>
      </c>
      <c r="L18" s="111">
        <f>IF(G18="","",IF(G18&lt;AsOf,"",G18))</f>
        <v/>
      </c>
      <c r="M18" s="79">
        <f>IF(L18="","",IF(L18&lt;=AsOf+AlertDays,2,IF(L18&lt;=AsOf+90,3,"")))</f>
        <v/>
      </c>
      <c r="N18" s="79">
        <f>IF(M18="","","Warranty expires in "&amp;H18&amp;" days: "&amp;B18&amp;IF(C18="",""," ("&amp;C18&amp;")")&amp;" — check for defects")</f>
        <v/>
      </c>
    </row>
    <row r="19" ht="20" customHeight="1">
      <c r="B19" s="72" t="n"/>
      <c r="C19" s="72" t="n"/>
      <c r="D19" s="72" t="n"/>
      <c r="E19" s="108" t="n"/>
      <c r="F19" s="74" t="n"/>
      <c r="G19" s="126">
        <f>IF(OR(E19="",F19=""),"",DATE(YEAR(E19),MONTH(E19)+ROUND(F19*12,0),DAY(E19)))</f>
        <v/>
      </c>
      <c r="H19" s="145">
        <f>IF(G19="","",G19-AsOf)</f>
        <v/>
      </c>
      <c r="I19" s="107">
        <f>IF(G19="","",IF(H19&lt;0,"Expired",IF(H19&lt;=90,"Expires soon","Active")))</f>
        <v/>
      </c>
      <c r="J19" s="72" t="n"/>
      <c r="K19" s="79">
        <f>IF(I19="","",IF(I19="Active",0,IF(I19="Expires soon",1,3)))</f>
        <v/>
      </c>
      <c r="L19" s="111">
        <f>IF(G19="","",IF(G19&lt;AsOf,"",G19))</f>
        <v/>
      </c>
      <c r="M19" s="79">
        <f>IF(L19="","",IF(L19&lt;=AsOf+AlertDays,2,IF(L19&lt;=AsOf+90,3,"")))</f>
        <v/>
      </c>
      <c r="N19" s="79">
        <f>IF(M19="","","Warranty expires in "&amp;H19&amp;" days: "&amp;B19&amp;IF(C19="",""," ("&amp;C19&amp;")")&amp;" — check for defects")</f>
        <v/>
      </c>
    </row>
    <row r="20" ht="20" customHeight="1">
      <c r="B20" s="72" t="n"/>
      <c r="C20" s="72" t="n"/>
      <c r="D20" s="72" t="n"/>
      <c r="E20" s="108" t="n"/>
      <c r="F20" s="74" t="n"/>
      <c r="G20" s="126">
        <f>IF(OR(E20="",F20=""),"",DATE(YEAR(E20),MONTH(E20)+ROUND(F20*12,0),DAY(E20)))</f>
        <v/>
      </c>
      <c r="H20" s="145">
        <f>IF(G20="","",G20-AsOf)</f>
        <v/>
      </c>
      <c r="I20" s="107">
        <f>IF(G20="","",IF(H20&lt;0,"Expired",IF(H20&lt;=90,"Expires soon","Active")))</f>
        <v/>
      </c>
      <c r="J20" s="72" t="n"/>
      <c r="K20" s="79">
        <f>IF(I20="","",IF(I20="Active",0,IF(I20="Expires soon",1,3)))</f>
        <v/>
      </c>
      <c r="L20" s="111">
        <f>IF(G20="","",IF(G20&lt;AsOf,"",G20))</f>
        <v/>
      </c>
      <c r="M20" s="79">
        <f>IF(L20="","",IF(L20&lt;=AsOf+AlertDays,2,IF(L20&lt;=AsOf+90,3,"")))</f>
        <v/>
      </c>
      <c r="N20" s="79">
        <f>IF(M20="","","Warranty expires in "&amp;H20&amp;" days: "&amp;B20&amp;IF(C20="",""," ("&amp;C20&amp;")")&amp;" — check for defects")</f>
        <v/>
      </c>
    </row>
    <row r="21" ht="20" customHeight="1">
      <c r="B21" s="72" t="n"/>
      <c r="C21" s="72" t="n"/>
      <c r="D21" s="72" t="n"/>
      <c r="E21" s="108" t="n"/>
      <c r="F21" s="74" t="n"/>
      <c r="G21" s="126">
        <f>IF(OR(E21="",F21=""),"",DATE(YEAR(E21),MONTH(E21)+ROUND(F21*12,0),DAY(E21)))</f>
        <v/>
      </c>
      <c r="H21" s="145">
        <f>IF(G21="","",G21-AsOf)</f>
        <v/>
      </c>
      <c r="I21" s="107">
        <f>IF(G21="","",IF(H21&lt;0,"Expired",IF(H21&lt;=90,"Expires soon","Active")))</f>
        <v/>
      </c>
      <c r="J21" s="72" t="n"/>
      <c r="K21" s="79">
        <f>IF(I21="","",IF(I21="Active",0,IF(I21="Expires soon",1,3)))</f>
        <v/>
      </c>
      <c r="L21" s="111">
        <f>IF(G21="","",IF(G21&lt;AsOf,"",G21))</f>
        <v/>
      </c>
      <c r="M21" s="79">
        <f>IF(L21="","",IF(L21&lt;=AsOf+AlertDays,2,IF(L21&lt;=AsOf+90,3,"")))</f>
        <v/>
      </c>
      <c r="N21" s="79">
        <f>IF(M21="","","Warranty expires in "&amp;H21&amp;" days: "&amp;B21&amp;IF(C21="",""," ("&amp;C21&amp;")")&amp;" — check for defects")</f>
        <v/>
      </c>
    </row>
    <row r="22" ht="20" customHeight="1">
      <c r="B22" s="72" t="n"/>
      <c r="C22" s="72" t="n"/>
      <c r="D22" s="72" t="n"/>
      <c r="E22" s="108" t="n"/>
      <c r="F22" s="74" t="n"/>
      <c r="G22" s="126">
        <f>IF(OR(E22="",F22=""),"",DATE(YEAR(E22),MONTH(E22)+ROUND(F22*12,0),DAY(E22)))</f>
        <v/>
      </c>
      <c r="H22" s="145">
        <f>IF(G22="","",G22-AsOf)</f>
        <v/>
      </c>
      <c r="I22" s="107">
        <f>IF(G22="","",IF(H22&lt;0,"Expired",IF(H22&lt;=90,"Expires soon","Active")))</f>
        <v/>
      </c>
      <c r="J22" s="72" t="n"/>
      <c r="K22" s="79">
        <f>IF(I22="","",IF(I22="Active",0,IF(I22="Expires soon",1,3)))</f>
        <v/>
      </c>
      <c r="L22" s="111">
        <f>IF(G22="","",IF(G22&lt;AsOf,"",G22))</f>
        <v/>
      </c>
      <c r="M22" s="79">
        <f>IF(L22="","",IF(L22&lt;=AsOf+AlertDays,2,IF(L22&lt;=AsOf+90,3,"")))</f>
        <v/>
      </c>
      <c r="N22" s="79">
        <f>IF(M22="","","Warranty expires in "&amp;H22&amp;" days: "&amp;B22&amp;IF(C22="",""," ("&amp;C22&amp;")")&amp;" — check for defects")</f>
        <v/>
      </c>
    </row>
    <row r="23" ht="20" customHeight="1">
      <c r="B23" s="72" t="n"/>
      <c r="C23" s="72" t="n"/>
      <c r="D23" s="72" t="n"/>
      <c r="E23" s="108" t="n"/>
      <c r="F23" s="74" t="n"/>
      <c r="G23" s="126">
        <f>IF(OR(E23="",F23=""),"",DATE(YEAR(E23),MONTH(E23)+ROUND(F23*12,0),DAY(E23)))</f>
        <v/>
      </c>
      <c r="H23" s="145">
        <f>IF(G23="","",G23-AsOf)</f>
        <v/>
      </c>
      <c r="I23" s="107">
        <f>IF(G23="","",IF(H23&lt;0,"Expired",IF(H23&lt;=90,"Expires soon","Active")))</f>
        <v/>
      </c>
      <c r="J23" s="72" t="n"/>
      <c r="K23" s="79">
        <f>IF(I23="","",IF(I23="Active",0,IF(I23="Expires soon",1,3)))</f>
        <v/>
      </c>
      <c r="L23" s="111">
        <f>IF(G23="","",IF(G23&lt;AsOf,"",G23))</f>
        <v/>
      </c>
      <c r="M23" s="79">
        <f>IF(L23="","",IF(L23&lt;=AsOf+AlertDays,2,IF(L23&lt;=AsOf+90,3,"")))</f>
        <v/>
      </c>
      <c r="N23" s="79">
        <f>IF(M23="","","Warranty expires in "&amp;H23&amp;" days: "&amp;B23&amp;IF(C23="",""," ("&amp;C23&amp;")")&amp;" — check for defects")</f>
        <v/>
      </c>
    </row>
    <row r="24" ht="20" customHeight="1">
      <c r="B24" s="72" t="n"/>
      <c r="C24" s="72" t="n"/>
      <c r="D24" s="72" t="n"/>
      <c r="E24" s="108" t="n"/>
      <c r="F24" s="74" t="n"/>
      <c r="G24" s="126">
        <f>IF(OR(E24="",F24=""),"",DATE(YEAR(E24),MONTH(E24)+ROUND(F24*12,0),DAY(E24)))</f>
        <v/>
      </c>
      <c r="H24" s="145">
        <f>IF(G24="","",G24-AsOf)</f>
        <v/>
      </c>
      <c r="I24" s="107">
        <f>IF(G24="","",IF(H24&lt;0,"Expired",IF(H24&lt;=90,"Expires soon","Active")))</f>
        <v/>
      </c>
      <c r="J24" s="72" t="n"/>
      <c r="K24" s="79">
        <f>IF(I24="","",IF(I24="Active",0,IF(I24="Expires soon",1,3)))</f>
        <v/>
      </c>
      <c r="L24" s="111">
        <f>IF(G24="","",IF(G24&lt;AsOf,"",G24))</f>
        <v/>
      </c>
      <c r="M24" s="79">
        <f>IF(L24="","",IF(L24&lt;=AsOf+AlertDays,2,IF(L24&lt;=AsOf+90,3,"")))</f>
        <v/>
      </c>
      <c r="N24" s="79">
        <f>IF(M24="","","Warranty expires in "&amp;H24&amp;" days: "&amp;B24&amp;IF(C24="",""," ("&amp;C24&amp;")")&amp;" — check for defects")</f>
        <v/>
      </c>
    </row>
    <row r="25" ht="20" customHeight="1">
      <c r="B25" s="72" t="n"/>
      <c r="C25" s="72" t="n"/>
      <c r="D25" s="72" t="n"/>
      <c r="E25" s="108" t="n"/>
      <c r="F25" s="74" t="n"/>
      <c r="G25" s="126">
        <f>IF(OR(E25="",F25=""),"",DATE(YEAR(E25),MONTH(E25)+ROUND(F25*12,0),DAY(E25)))</f>
        <v/>
      </c>
      <c r="H25" s="145">
        <f>IF(G25="","",G25-AsOf)</f>
        <v/>
      </c>
      <c r="I25" s="107">
        <f>IF(G25="","",IF(H25&lt;0,"Expired",IF(H25&lt;=90,"Expires soon","Active")))</f>
        <v/>
      </c>
      <c r="J25" s="72" t="n"/>
      <c r="K25" s="79">
        <f>IF(I25="","",IF(I25="Active",0,IF(I25="Expires soon",1,3)))</f>
        <v/>
      </c>
      <c r="L25" s="111">
        <f>IF(G25="","",IF(G25&lt;AsOf,"",G25))</f>
        <v/>
      </c>
      <c r="M25" s="79">
        <f>IF(L25="","",IF(L25&lt;=AsOf+AlertDays,2,IF(L25&lt;=AsOf+90,3,"")))</f>
        <v/>
      </c>
      <c r="N25" s="79">
        <f>IF(M25="","","Warranty expires in "&amp;H25&amp;" days: "&amp;B25&amp;IF(C25="",""," ("&amp;C25&amp;")")&amp;" — check for defects")</f>
        <v/>
      </c>
    </row>
    <row r="26" ht="20" customHeight="1">
      <c r="B26" s="72" t="n"/>
      <c r="C26" s="72" t="n"/>
      <c r="D26" s="72" t="n"/>
      <c r="E26" s="108" t="n"/>
      <c r="F26" s="74" t="n"/>
      <c r="G26" s="126">
        <f>IF(OR(E26="",F26=""),"",DATE(YEAR(E26),MONTH(E26)+ROUND(F26*12,0),DAY(E26)))</f>
        <v/>
      </c>
      <c r="H26" s="145">
        <f>IF(G26="","",G26-AsOf)</f>
        <v/>
      </c>
      <c r="I26" s="107">
        <f>IF(G26="","",IF(H26&lt;0,"Expired",IF(H26&lt;=90,"Expires soon","Active")))</f>
        <v/>
      </c>
      <c r="J26" s="72" t="n"/>
      <c r="K26" s="79">
        <f>IF(I26="","",IF(I26="Active",0,IF(I26="Expires soon",1,3)))</f>
        <v/>
      </c>
      <c r="L26" s="111">
        <f>IF(G26="","",IF(G26&lt;AsOf,"",G26))</f>
        <v/>
      </c>
      <c r="M26" s="79">
        <f>IF(L26="","",IF(L26&lt;=AsOf+AlertDays,2,IF(L26&lt;=AsOf+90,3,"")))</f>
        <v/>
      </c>
      <c r="N26" s="79">
        <f>IF(M26="","","Warranty expires in "&amp;H26&amp;" days: "&amp;B26&amp;IF(C26="",""," ("&amp;C26&amp;")")&amp;" — check for defects")</f>
        <v/>
      </c>
    </row>
    <row r="27" ht="20" customHeight="1">
      <c r="B27" s="72" t="n"/>
      <c r="C27" s="72" t="n"/>
      <c r="D27" s="72" t="n"/>
      <c r="E27" s="108" t="n"/>
      <c r="F27" s="74" t="n"/>
      <c r="G27" s="126">
        <f>IF(OR(E27="",F27=""),"",DATE(YEAR(E27),MONTH(E27)+ROUND(F27*12,0),DAY(E27)))</f>
        <v/>
      </c>
      <c r="H27" s="145">
        <f>IF(G27="","",G27-AsOf)</f>
        <v/>
      </c>
      <c r="I27" s="107">
        <f>IF(G27="","",IF(H27&lt;0,"Expired",IF(H27&lt;=90,"Expires soon","Active")))</f>
        <v/>
      </c>
      <c r="J27" s="72" t="n"/>
      <c r="K27" s="79">
        <f>IF(I27="","",IF(I27="Active",0,IF(I27="Expires soon",1,3)))</f>
        <v/>
      </c>
      <c r="L27" s="111">
        <f>IF(G27="","",IF(G27&lt;AsOf,"",G27))</f>
        <v/>
      </c>
      <c r="M27" s="79">
        <f>IF(L27="","",IF(L27&lt;=AsOf+AlertDays,2,IF(L27&lt;=AsOf+90,3,"")))</f>
        <v/>
      </c>
      <c r="N27" s="79">
        <f>IF(M27="","","Warranty expires in "&amp;H27&amp;" days: "&amp;B27&amp;IF(C27="",""," ("&amp;C27&amp;")")&amp;" — check for defects")</f>
        <v/>
      </c>
    </row>
    <row r="28" ht="20" customHeight="1">
      <c r="B28" s="72" t="n"/>
      <c r="C28" s="72" t="n"/>
      <c r="D28" s="72" t="n"/>
      <c r="E28" s="108" t="n"/>
      <c r="F28" s="74" t="n"/>
      <c r="G28" s="126">
        <f>IF(OR(E28="",F28=""),"",DATE(YEAR(E28),MONTH(E28)+ROUND(F28*12,0),DAY(E28)))</f>
        <v/>
      </c>
      <c r="H28" s="145">
        <f>IF(G28="","",G28-AsOf)</f>
        <v/>
      </c>
      <c r="I28" s="107">
        <f>IF(G28="","",IF(H28&lt;0,"Expired",IF(H28&lt;=90,"Expires soon","Active")))</f>
        <v/>
      </c>
      <c r="J28" s="72" t="n"/>
      <c r="K28" s="79">
        <f>IF(I28="","",IF(I28="Active",0,IF(I28="Expires soon",1,3)))</f>
        <v/>
      </c>
      <c r="L28" s="111">
        <f>IF(G28="","",IF(G28&lt;AsOf,"",G28))</f>
        <v/>
      </c>
      <c r="M28" s="79">
        <f>IF(L28="","",IF(L28&lt;=AsOf+AlertDays,2,IF(L28&lt;=AsOf+90,3,"")))</f>
        <v/>
      </c>
      <c r="N28" s="79">
        <f>IF(M28="","","Warranty expires in "&amp;H28&amp;" days: "&amp;B28&amp;IF(C28="",""," ("&amp;C28&amp;")")&amp;" — check for defects")</f>
        <v/>
      </c>
    </row>
    <row r="29" ht="20" customHeight="1">
      <c r="B29" s="72" t="n"/>
      <c r="C29" s="72" t="n"/>
      <c r="D29" s="72" t="n"/>
      <c r="E29" s="108" t="n"/>
      <c r="F29" s="74" t="n"/>
      <c r="G29" s="126">
        <f>IF(OR(E29="",F29=""),"",DATE(YEAR(E29),MONTH(E29)+ROUND(F29*12,0),DAY(E29)))</f>
        <v/>
      </c>
      <c r="H29" s="145">
        <f>IF(G29="","",G29-AsOf)</f>
        <v/>
      </c>
      <c r="I29" s="107">
        <f>IF(G29="","",IF(H29&lt;0,"Expired",IF(H29&lt;=90,"Expires soon","Active")))</f>
        <v/>
      </c>
      <c r="J29" s="72" t="n"/>
      <c r="K29" s="79">
        <f>IF(I29="","",IF(I29="Active",0,IF(I29="Expires soon",1,3)))</f>
        <v/>
      </c>
      <c r="L29" s="111">
        <f>IF(G29="","",IF(G29&lt;AsOf,"",G29))</f>
        <v/>
      </c>
      <c r="M29" s="79">
        <f>IF(L29="","",IF(L29&lt;=AsOf+AlertDays,2,IF(L29&lt;=AsOf+90,3,"")))</f>
        <v/>
      </c>
      <c r="N29" s="79">
        <f>IF(M29="","","Warranty expires in "&amp;H29&amp;" days: "&amp;B29&amp;IF(C29="",""," ("&amp;C29&amp;")")&amp;" — check for defects")</f>
        <v/>
      </c>
    </row>
    <row r="30" ht="20" customHeight="1">
      <c r="B30" s="72" t="n"/>
      <c r="C30" s="72" t="n"/>
      <c r="D30" s="72" t="n"/>
      <c r="E30" s="108" t="n"/>
      <c r="F30" s="74" t="n"/>
      <c r="G30" s="126">
        <f>IF(OR(E30="",F30=""),"",DATE(YEAR(E30),MONTH(E30)+ROUND(F30*12,0),DAY(E30)))</f>
        <v/>
      </c>
      <c r="H30" s="145">
        <f>IF(G30="","",G30-AsOf)</f>
        <v/>
      </c>
      <c r="I30" s="107">
        <f>IF(G30="","",IF(H30&lt;0,"Expired",IF(H30&lt;=90,"Expires soon","Active")))</f>
        <v/>
      </c>
      <c r="J30" s="72" t="n"/>
      <c r="K30" s="79">
        <f>IF(I30="","",IF(I30="Active",0,IF(I30="Expires soon",1,3)))</f>
        <v/>
      </c>
      <c r="L30" s="111">
        <f>IF(G30="","",IF(G30&lt;AsOf,"",G30))</f>
        <v/>
      </c>
      <c r="M30" s="79">
        <f>IF(L30="","",IF(L30&lt;=AsOf+AlertDays,2,IF(L30&lt;=AsOf+90,3,"")))</f>
        <v/>
      </c>
      <c r="N30" s="79">
        <f>IF(M30="","","Warranty expires in "&amp;H30&amp;" days: "&amp;B30&amp;IF(C30="",""," ("&amp;C30&amp;")")&amp;" — check for defects")</f>
        <v/>
      </c>
    </row>
    <row r="31" ht="20" customHeight="1">
      <c r="B31" s="72" t="n"/>
      <c r="C31" s="72" t="n"/>
      <c r="D31" s="72" t="n"/>
      <c r="E31" s="108" t="n"/>
      <c r="F31" s="74" t="n"/>
      <c r="G31" s="126">
        <f>IF(OR(E31="",F31=""),"",DATE(YEAR(E31),MONTH(E31)+ROUND(F31*12,0),DAY(E31)))</f>
        <v/>
      </c>
      <c r="H31" s="145">
        <f>IF(G31="","",G31-AsOf)</f>
        <v/>
      </c>
      <c r="I31" s="107">
        <f>IF(G31="","",IF(H31&lt;0,"Expired",IF(H31&lt;=90,"Expires soon","Active")))</f>
        <v/>
      </c>
      <c r="J31" s="72" t="n"/>
      <c r="K31" s="79">
        <f>IF(I31="","",IF(I31="Active",0,IF(I31="Expires soon",1,3)))</f>
        <v/>
      </c>
      <c r="L31" s="111">
        <f>IF(G31="","",IF(G31&lt;AsOf,"",G31))</f>
        <v/>
      </c>
      <c r="M31" s="79">
        <f>IF(L31="","",IF(L31&lt;=AsOf+AlertDays,2,IF(L31&lt;=AsOf+90,3,"")))</f>
        <v/>
      </c>
      <c r="N31" s="79">
        <f>IF(M31="","","Warranty expires in "&amp;H31&amp;" days: "&amp;B31&amp;IF(C31="",""," ("&amp;C31&amp;")")&amp;" — check for defects")</f>
        <v/>
      </c>
    </row>
    <row r="32" ht="20" customHeight="1">
      <c r="B32" s="72" t="n"/>
      <c r="C32" s="72" t="n"/>
      <c r="D32" s="72" t="n"/>
      <c r="E32" s="108" t="n"/>
      <c r="F32" s="74" t="n"/>
      <c r="G32" s="126">
        <f>IF(OR(E32="",F32=""),"",DATE(YEAR(E32),MONTH(E32)+ROUND(F32*12,0),DAY(E32)))</f>
        <v/>
      </c>
      <c r="H32" s="145">
        <f>IF(G32="","",G32-AsOf)</f>
        <v/>
      </c>
      <c r="I32" s="107">
        <f>IF(G32="","",IF(H32&lt;0,"Expired",IF(H32&lt;=90,"Expires soon","Active")))</f>
        <v/>
      </c>
      <c r="J32" s="72" t="n"/>
      <c r="K32" s="79">
        <f>IF(I32="","",IF(I32="Active",0,IF(I32="Expires soon",1,3)))</f>
        <v/>
      </c>
      <c r="L32" s="111">
        <f>IF(G32="","",IF(G32&lt;AsOf,"",G32))</f>
        <v/>
      </c>
      <c r="M32" s="79">
        <f>IF(L32="","",IF(L32&lt;=AsOf+AlertDays,2,IF(L32&lt;=AsOf+90,3,"")))</f>
        <v/>
      </c>
      <c r="N32" s="79">
        <f>IF(M32="","","Warranty expires in "&amp;H32&amp;" days: "&amp;B32&amp;IF(C32="",""," ("&amp;C32&amp;")")&amp;" — check for defects")</f>
        <v/>
      </c>
    </row>
    <row r="33" ht="20" customHeight="1">
      <c r="B33" s="72" t="n"/>
      <c r="C33" s="72" t="n"/>
      <c r="D33" s="72" t="n"/>
      <c r="E33" s="108" t="n"/>
      <c r="F33" s="74" t="n"/>
      <c r="G33" s="126">
        <f>IF(OR(E33="",F33=""),"",DATE(YEAR(E33),MONTH(E33)+ROUND(F33*12,0),DAY(E33)))</f>
        <v/>
      </c>
      <c r="H33" s="145">
        <f>IF(G33="","",G33-AsOf)</f>
        <v/>
      </c>
      <c r="I33" s="107">
        <f>IF(G33="","",IF(H33&lt;0,"Expired",IF(H33&lt;=90,"Expires soon","Active")))</f>
        <v/>
      </c>
      <c r="J33" s="72" t="n"/>
      <c r="K33" s="79">
        <f>IF(I33="","",IF(I33="Active",0,IF(I33="Expires soon",1,3)))</f>
        <v/>
      </c>
      <c r="L33" s="111">
        <f>IF(G33="","",IF(G33&lt;AsOf,"",G33))</f>
        <v/>
      </c>
      <c r="M33" s="79">
        <f>IF(L33="","",IF(L33&lt;=AsOf+AlertDays,2,IF(L33&lt;=AsOf+90,3,"")))</f>
        <v/>
      </c>
      <c r="N33" s="79">
        <f>IF(M33="","","Warranty expires in "&amp;H33&amp;" days: "&amp;B33&amp;IF(C33="",""," ("&amp;C33&amp;")")&amp;" — check for defects")</f>
        <v/>
      </c>
    </row>
    <row r="34" ht="20" customHeight="1">
      <c r="B34" s="72" t="n"/>
      <c r="C34" s="72" t="n"/>
      <c r="D34" s="72" t="n"/>
      <c r="E34" s="108" t="n"/>
      <c r="F34" s="74" t="n"/>
      <c r="G34" s="126">
        <f>IF(OR(E34="",F34=""),"",DATE(YEAR(E34),MONTH(E34)+ROUND(F34*12,0),DAY(E34)))</f>
        <v/>
      </c>
      <c r="H34" s="145">
        <f>IF(G34="","",G34-AsOf)</f>
        <v/>
      </c>
      <c r="I34" s="107">
        <f>IF(G34="","",IF(H34&lt;0,"Expired",IF(H34&lt;=90,"Expires soon","Active")))</f>
        <v/>
      </c>
      <c r="J34" s="72" t="n"/>
      <c r="K34" s="79">
        <f>IF(I34="","",IF(I34="Active",0,IF(I34="Expires soon",1,3)))</f>
        <v/>
      </c>
      <c r="L34" s="111">
        <f>IF(G34="","",IF(G34&lt;AsOf,"",G34))</f>
        <v/>
      </c>
      <c r="M34" s="79">
        <f>IF(L34="","",IF(L34&lt;=AsOf+AlertDays,2,IF(L34&lt;=AsOf+90,3,"")))</f>
        <v/>
      </c>
      <c r="N34" s="79">
        <f>IF(M34="","","Warranty expires in "&amp;H34&amp;" days: "&amp;B34&amp;IF(C34="",""," ("&amp;C34&amp;")")&amp;" — check for defects")</f>
        <v/>
      </c>
    </row>
    <row r="35" ht="20" customHeight="1">
      <c r="B35" s="72" t="n"/>
      <c r="C35" s="72" t="n"/>
      <c r="D35" s="72" t="n"/>
      <c r="E35" s="108" t="n"/>
      <c r="F35" s="74" t="n"/>
      <c r="G35" s="126">
        <f>IF(OR(E35="",F35=""),"",DATE(YEAR(E35),MONTH(E35)+ROUND(F35*12,0),DAY(E35)))</f>
        <v/>
      </c>
      <c r="H35" s="145">
        <f>IF(G35="","",G35-AsOf)</f>
        <v/>
      </c>
      <c r="I35" s="107">
        <f>IF(G35="","",IF(H35&lt;0,"Expired",IF(H35&lt;=90,"Expires soon","Active")))</f>
        <v/>
      </c>
      <c r="J35" s="72" t="n"/>
      <c r="K35" s="79">
        <f>IF(I35="","",IF(I35="Active",0,IF(I35="Expires soon",1,3)))</f>
        <v/>
      </c>
      <c r="L35" s="111">
        <f>IF(G35="","",IF(G35&lt;AsOf,"",G35))</f>
        <v/>
      </c>
      <c r="M35" s="79">
        <f>IF(L35="","",IF(L35&lt;=AsOf+AlertDays,2,IF(L35&lt;=AsOf+90,3,"")))</f>
        <v/>
      </c>
      <c r="N35" s="79">
        <f>IF(M35="","","Warranty expires in "&amp;H35&amp;" days: "&amp;B35&amp;IF(C35="",""," ("&amp;C35&amp;")")&amp;" — check for defects")</f>
        <v/>
      </c>
    </row>
    <row r="36" ht="20" customHeight="1">
      <c r="B36" s="72" t="n"/>
      <c r="C36" s="72" t="n"/>
      <c r="D36" s="72" t="n"/>
      <c r="E36" s="108" t="n"/>
      <c r="F36" s="74" t="n"/>
      <c r="G36" s="126">
        <f>IF(OR(E36="",F36=""),"",DATE(YEAR(E36),MONTH(E36)+ROUND(F36*12,0),DAY(E36)))</f>
        <v/>
      </c>
      <c r="H36" s="145">
        <f>IF(G36="","",G36-AsOf)</f>
        <v/>
      </c>
      <c r="I36" s="107">
        <f>IF(G36="","",IF(H36&lt;0,"Expired",IF(H36&lt;=90,"Expires soon","Active")))</f>
        <v/>
      </c>
      <c r="J36" s="72" t="n"/>
      <c r="K36" s="79">
        <f>IF(I36="","",IF(I36="Active",0,IF(I36="Expires soon",1,3)))</f>
        <v/>
      </c>
      <c r="L36" s="111">
        <f>IF(G36="","",IF(G36&lt;AsOf,"",G36))</f>
        <v/>
      </c>
      <c r="M36" s="79">
        <f>IF(L36="","",IF(L36&lt;=AsOf+AlertDays,2,IF(L36&lt;=AsOf+90,3,"")))</f>
        <v/>
      </c>
      <c r="N36" s="79">
        <f>IF(M36="","","Warranty expires in "&amp;H36&amp;" days: "&amp;B36&amp;IF(C36="",""," ("&amp;C36&amp;")")&amp;" — check for defects")</f>
        <v/>
      </c>
    </row>
    <row r="37" ht="20" customHeight="1">
      <c r="B37" s="72" t="n"/>
      <c r="C37" s="72" t="n"/>
      <c r="D37" s="72" t="n"/>
      <c r="E37" s="108" t="n"/>
      <c r="F37" s="74" t="n"/>
      <c r="G37" s="126">
        <f>IF(OR(E37="",F37=""),"",DATE(YEAR(E37),MONTH(E37)+ROUND(F37*12,0),DAY(E37)))</f>
        <v/>
      </c>
      <c r="H37" s="145">
        <f>IF(G37="","",G37-AsOf)</f>
        <v/>
      </c>
      <c r="I37" s="107">
        <f>IF(G37="","",IF(H37&lt;0,"Expired",IF(H37&lt;=90,"Expires soon","Active")))</f>
        <v/>
      </c>
      <c r="J37" s="72" t="n"/>
      <c r="K37" s="79">
        <f>IF(I37="","",IF(I37="Active",0,IF(I37="Expires soon",1,3)))</f>
        <v/>
      </c>
      <c r="L37" s="111">
        <f>IF(G37="","",IF(G37&lt;AsOf,"",G37))</f>
        <v/>
      </c>
      <c r="M37" s="79">
        <f>IF(L37="","",IF(L37&lt;=AsOf+AlertDays,2,IF(L37&lt;=AsOf+90,3,"")))</f>
        <v/>
      </c>
      <c r="N37" s="79">
        <f>IF(M37="","","Warranty expires in "&amp;H37&amp;" days: "&amp;B37&amp;IF(C37="",""," ("&amp;C37&amp;")")&amp;" — check for defects")</f>
        <v/>
      </c>
    </row>
    <row r="38" ht="20" customHeight="1">
      <c r="B38" s="72" t="n"/>
      <c r="C38" s="72" t="n"/>
      <c r="D38" s="72" t="n"/>
      <c r="E38" s="108" t="n"/>
      <c r="F38" s="74" t="n"/>
      <c r="G38" s="126">
        <f>IF(OR(E38="",F38=""),"",DATE(YEAR(E38),MONTH(E38)+ROUND(F38*12,0),DAY(E38)))</f>
        <v/>
      </c>
      <c r="H38" s="145">
        <f>IF(G38="","",G38-AsOf)</f>
        <v/>
      </c>
      <c r="I38" s="107">
        <f>IF(G38="","",IF(H38&lt;0,"Expired",IF(H38&lt;=90,"Expires soon","Active")))</f>
        <v/>
      </c>
      <c r="J38" s="72" t="n"/>
      <c r="K38" s="79">
        <f>IF(I38="","",IF(I38="Active",0,IF(I38="Expires soon",1,3)))</f>
        <v/>
      </c>
      <c r="L38" s="111">
        <f>IF(G38="","",IF(G38&lt;AsOf,"",G38))</f>
        <v/>
      </c>
      <c r="M38" s="79">
        <f>IF(L38="","",IF(L38&lt;=AsOf+AlertDays,2,IF(L38&lt;=AsOf+90,3,"")))</f>
        <v/>
      </c>
      <c r="N38" s="79">
        <f>IF(M38="","","Warranty expires in "&amp;H38&amp;" days: "&amp;B38&amp;IF(C38="",""," ("&amp;C38&amp;")")&amp;" — check for defects")</f>
        <v/>
      </c>
    </row>
    <row r="39" ht="20" customHeight="1">
      <c r="B39" s="72" t="n"/>
      <c r="C39" s="72" t="n"/>
      <c r="D39" s="72" t="n"/>
      <c r="E39" s="108" t="n"/>
      <c r="F39" s="74" t="n"/>
      <c r="G39" s="126">
        <f>IF(OR(E39="",F39=""),"",DATE(YEAR(E39),MONTH(E39)+ROUND(F39*12,0),DAY(E39)))</f>
        <v/>
      </c>
      <c r="H39" s="145">
        <f>IF(G39="","",G39-AsOf)</f>
        <v/>
      </c>
      <c r="I39" s="107">
        <f>IF(G39="","",IF(H39&lt;0,"Expired",IF(H39&lt;=90,"Expires soon","Active")))</f>
        <v/>
      </c>
      <c r="J39" s="72" t="n"/>
      <c r="K39" s="79">
        <f>IF(I39="","",IF(I39="Active",0,IF(I39="Expires soon",1,3)))</f>
        <v/>
      </c>
      <c r="L39" s="111">
        <f>IF(G39="","",IF(G39&lt;AsOf,"",G39))</f>
        <v/>
      </c>
      <c r="M39" s="79">
        <f>IF(L39="","",IF(L39&lt;=AsOf+AlertDays,2,IF(L39&lt;=AsOf+90,3,"")))</f>
        <v/>
      </c>
      <c r="N39" s="79">
        <f>IF(M39="","","Warranty expires in "&amp;H39&amp;" days: "&amp;B39&amp;IF(C39="",""," ("&amp;C39&amp;")")&amp;" — check for defects")</f>
        <v/>
      </c>
    </row>
    <row r="40" ht="20" customHeight="1">
      <c r="B40" s="72" t="n"/>
      <c r="C40" s="72" t="n"/>
      <c r="D40" s="72" t="n"/>
      <c r="E40" s="108" t="n"/>
      <c r="F40" s="74" t="n"/>
      <c r="G40" s="126">
        <f>IF(OR(E40="",F40=""),"",DATE(YEAR(E40),MONTH(E40)+ROUND(F40*12,0),DAY(E40)))</f>
        <v/>
      </c>
      <c r="H40" s="145">
        <f>IF(G40="","",G40-AsOf)</f>
        <v/>
      </c>
      <c r="I40" s="107">
        <f>IF(G40="","",IF(H40&lt;0,"Expired",IF(H40&lt;=90,"Expires soon","Active")))</f>
        <v/>
      </c>
      <c r="J40" s="72" t="n"/>
      <c r="K40" s="79">
        <f>IF(I40="","",IF(I40="Active",0,IF(I40="Expires soon",1,3)))</f>
        <v/>
      </c>
      <c r="L40" s="111">
        <f>IF(G40="","",IF(G40&lt;AsOf,"",G40))</f>
        <v/>
      </c>
      <c r="M40" s="79">
        <f>IF(L40="","",IF(L40&lt;=AsOf+AlertDays,2,IF(L40&lt;=AsOf+90,3,"")))</f>
        <v/>
      </c>
      <c r="N40" s="79">
        <f>IF(M40="","","Warranty expires in "&amp;H40&amp;" days: "&amp;B40&amp;IF(C40="",""," ("&amp;C40&amp;")")&amp;" — check for defects")</f>
        <v/>
      </c>
    </row>
    <row r="41" ht="20" customHeight="1">
      <c r="B41" s="72" t="n"/>
      <c r="C41" s="72" t="n"/>
      <c r="D41" s="72" t="n"/>
      <c r="E41" s="108" t="n"/>
      <c r="F41" s="74" t="n"/>
      <c r="G41" s="126">
        <f>IF(OR(E41="",F41=""),"",DATE(YEAR(E41),MONTH(E41)+ROUND(F41*12,0),DAY(E41)))</f>
        <v/>
      </c>
      <c r="H41" s="145">
        <f>IF(G41="","",G41-AsOf)</f>
        <v/>
      </c>
      <c r="I41" s="107">
        <f>IF(G41="","",IF(H41&lt;0,"Expired",IF(H41&lt;=90,"Expires soon","Active")))</f>
        <v/>
      </c>
      <c r="J41" s="72" t="n"/>
      <c r="K41" s="79">
        <f>IF(I41="","",IF(I41="Active",0,IF(I41="Expires soon",1,3)))</f>
        <v/>
      </c>
      <c r="L41" s="111">
        <f>IF(G41="","",IF(G41&lt;AsOf,"",G41))</f>
        <v/>
      </c>
      <c r="M41" s="79">
        <f>IF(L41="","",IF(L41&lt;=AsOf+AlertDays,2,IF(L41&lt;=AsOf+90,3,"")))</f>
        <v/>
      </c>
      <c r="N41" s="79">
        <f>IF(M41="","","Warranty expires in "&amp;H41&amp;" days: "&amp;B41&amp;IF(C41="",""," ("&amp;C41&amp;")")&amp;" — check for defects")</f>
        <v/>
      </c>
    </row>
    <row r="42" ht="20" customHeight="1">
      <c r="B42" s="72" t="n"/>
      <c r="C42" s="72" t="n"/>
      <c r="D42" s="72" t="n"/>
      <c r="E42" s="108" t="n"/>
      <c r="F42" s="74" t="n"/>
      <c r="G42" s="126">
        <f>IF(OR(E42="",F42=""),"",DATE(YEAR(E42),MONTH(E42)+ROUND(F42*12,0),DAY(E42)))</f>
        <v/>
      </c>
      <c r="H42" s="145">
        <f>IF(G42="","",G42-AsOf)</f>
        <v/>
      </c>
      <c r="I42" s="107">
        <f>IF(G42="","",IF(H42&lt;0,"Expired",IF(H42&lt;=90,"Expires soon","Active")))</f>
        <v/>
      </c>
      <c r="J42" s="72" t="n"/>
      <c r="K42" s="79">
        <f>IF(I42="","",IF(I42="Active",0,IF(I42="Expires soon",1,3)))</f>
        <v/>
      </c>
      <c r="L42" s="111">
        <f>IF(G42="","",IF(G42&lt;AsOf,"",G42))</f>
        <v/>
      </c>
      <c r="M42" s="79">
        <f>IF(L42="","",IF(L42&lt;=AsOf+AlertDays,2,IF(L42&lt;=AsOf+90,3,"")))</f>
        <v/>
      </c>
      <c r="N42" s="79">
        <f>IF(M42="","","Warranty expires in "&amp;H42&amp;" days: "&amp;B42&amp;IF(C42="",""," ("&amp;C42&amp;")")&amp;" — check for defects")</f>
        <v/>
      </c>
    </row>
    <row r="43" ht="20" customHeight="1">
      <c r="B43" s="72" t="n"/>
      <c r="C43" s="72" t="n"/>
      <c r="D43" s="72" t="n"/>
      <c r="E43" s="108" t="n"/>
      <c r="F43" s="74" t="n"/>
      <c r="G43" s="126">
        <f>IF(OR(E43="",F43=""),"",DATE(YEAR(E43),MONTH(E43)+ROUND(F43*12,0),DAY(E43)))</f>
        <v/>
      </c>
      <c r="H43" s="145">
        <f>IF(G43="","",G43-AsOf)</f>
        <v/>
      </c>
      <c r="I43" s="107">
        <f>IF(G43="","",IF(H43&lt;0,"Expired",IF(H43&lt;=90,"Expires soon","Active")))</f>
        <v/>
      </c>
      <c r="J43" s="72" t="n"/>
      <c r="K43" s="79">
        <f>IF(I43="","",IF(I43="Active",0,IF(I43="Expires soon",1,3)))</f>
        <v/>
      </c>
      <c r="L43" s="111">
        <f>IF(G43="","",IF(G43&lt;AsOf,"",G43))</f>
        <v/>
      </c>
      <c r="M43" s="79">
        <f>IF(L43="","",IF(L43&lt;=AsOf+AlertDays,2,IF(L43&lt;=AsOf+90,3,"")))</f>
        <v/>
      </c>
      <c r="N43" s="79">
        <f>IF(M43="","","Warranty expires in "&amp;H43&amp;" days: "&amp;B43&amp;IF(C43="",""," ("&amp;C43&amp;")")&amp;" — check for defects")</f>
        <v/>
      </c>
    </row>
    <row r="44" ht="20" customHeight="1">
      <c r="B44" s="72" t="n"/>
      <c r="C44" s="72" t="n"/>
      <c r="D44" s="72" t="n"/>
      <c r="E44" s="108" t="n"/>
      <c r="F44" s="74" t="n"/>
      <c r="G44" s="126">
        <f>IF(OR(E44="",F44=""),"",DATE(YEAR(E44),MONTH(E44)+ROUND(F44*12,0),DAY(E44)))</f>
        <v/>
      </c>
      <c r="H44" s="145">
        <f>IF(G44="","",G44-AsOf)</f>
        <v/>
      </c>
      <c r="I44" s="107">
        <f>IF(G44="","",IF(H44&lt;0,"Expired",IF(H44&lt;=90,"Expires soon","Active")))</f>
        <v/>
      </c>
      <c r="J44" s="72" t="n"/>
      <c r="K44" s="79">
        <f>IF(I44="","",IF(I44="Active",0,IF(I44="Expires soon",1,3)))</f>
        <v/>
      </c>
      <c r="L44" s="111">
        <f>IF(G44="","",IF(G44&lt;AsOf,"",G44))</f>
        <v/>
      </c>
      <c r="M44" s="79">
        <f>IF(L44="","",IF(L44&lt;=AsOf+AlertDays,2,IF(L44&lt;=AsOf+90,3,"")))</f>
        <v/>
      </c>
      <c r="N44" s="79">
        <f>IF(M44="","","Warranty expires in "&amp;H44&amp;" days: "&amp;B44&amp;IF(C44="",""," ("&amp;C44&amp;")")&amp;" — check for defects")</f>
        <v/>
      </c>
    </row>
    <row r="45" ht="20" customHeight="1">
      <c r="B45" s="72" t="n"/>
      <c r="C45" s="72" t="n"/>
      <c r="D45" s="72" t="n"/>
      <c r="E45" s="108" t="n"/>
      <c r="F45" s="74" t="n"/>
      <c r="G45" s="126">
        <f>IF(OR(E45="",F45=""),"",DATE(YEAR(E45),MONTH(E45)+ROUND(F45*12,0),DAY(E45)))</f>
        <v/>
      </c>
      <c r="H45" s="145">
        <f>IF(G45="","",G45-AsOf)</f>
        <v/>
      </c>
      <c r="I45" s="107">
        <f>IF(G45="","",IF(H45&lt;0,"Expired",IF(H45&lt;=90,"Expires soon","Active")))</f>
        <v/>
      </c>
      <c r="J45" s="72" t="n"/>
      <c r="K45" s="79">
        <f>IF(I45="","",IF(I45="Active",0,IF(I45="Expires soon",1,3)))</f>
        <v/>
      </c>
      <c r="L45" s="111">
        <f>IF(G45="","",IF(G45&lt;AsOf,"",G45))</f>
        <v/>
      </c>
      <c r="M45" s="79">
        <f>IF(L45="","",IF(L45&lt;=AsOf+AlertDays,2,IF(L45&lt;=AsOf+90,3,"")))</f>
        <v/>
      </c>
      <c r="N45" s="79">
        <f>IF(M45="","","Warranty expires in "&amp;H45&amp;" days: "&amp;B45&amp;IF(C45="",""," ("&amp;C45&amp;")")&amp;" — check for defects")</f>
        <v/>
      </c>
    </row>
    <row r="46" ht="20" customHeight="1">
      <c r="B46" s="72" t="n"/>
      <c r="C46" s="72" t="n"/>
      <c r="D46" s="72" t="n"/>
      <c r="E46" s="108" t="n"/>
      <c r="F46" s="74" t="n"/>
      <c r="G46" s="126">
        <f>IF(OR(E46="",F46=""),"",DATE(YEAR(E46),MONTH(E46)+ROUND(F46*12,0),DAY(E46)))</f>
        <v/>
      </c>
      <c r="H46" s="145">
        <f>IF(G46="","",G46-AsOf)</f>
        <v/>
      </c>
      <c r="I46" s="107">
        <f>IF(G46="","",IF(H46&lt;0,"Expired",IF(H46&lt;=90,"Expires soon","Active")))</f>
        <v/>
      </c>
      <c r="J46" s="72" t="n"/>
      <c r="K46" s="79">
        <f>IF(I46="","",IF(I46="Active",0,IF(I46="Expires soon",1,3)))</f>
        <v/>
      </c>
      <c r="L46" s="111">
        <f>IF(G46="","",IF(G46&lt;AsOf,"",G46))</f>
        <v/>
      </c>
      <c r="M46" s="79">
        <f>IF(L46="","",IF(L46&lt;=AsOf+AlertDays,2,IF(L46&lt;=AsOf+90,3,"")))</f>
        <v/>
      </c>
      <c r="N46" s="79">
        <f>IF(M46="","","Warranty expires in "&amp;H46&amp;" days: "&amp;B46&amp;IF(C46="",""," ("&amp;C46&amp;")")&amp;" — check for defects")</f>
        <v/>
      </c>
    </row>
    <row r="47" ht="20" customHeight="1">
      <c r="B47" s="72" t="n"/>
      <c r="C47" s="72" t="n"/>
      <c r="D47" s="72" t="n"/>
      <c r="E47" s="108" t="n"/>
      <c r="F47" s="74" t="n"/>
      <c r="G47" s="126">
        <f>IF(OR(E47="",F47=""),"",DATE(YEAR(E47),MONTH(E47)+ROUND(F47*12,0),DAY(E47)))</f>
        <v/>
      </c>
      <c r="H47" s="145">
        <f>IF(G47="","",G47-AsOf)</f>
        <v/>
      </c>
      <c r="I47" s="107">
        <f>IF(G47="","",IF(H47&lt;0,"Expired",IF(H47&lt;=90,"Expires soon","Active")))</f>
        <v/>
      </c>
      <c r="J47" s="72" t="n"/>
      <c r="K47" s="79">
        <f>IF(I47="","",IF(I47="Active",0,IF(I47="Expires soon",1,3)))</f>
        <v/>
      </c>
      <c r="L47" s="111">
        <f>IF(G47="","",IF(G47&lt;AsOf,"",G47))</f>
        <v/>
      </c>
      <c r="M47" s="79">
        <f>IF(L47="","",IF(L47&lt;=AsOf+AlertDays,2,IF(L47&lt;=AsOf+90,3,"")))</f>
        <v/>
      </c>
      <c r="N47" s="79">
        <f>IF(M47="","","Warranty expires in "&amp;H47&amp;" days: "&amp;B47&amp;IF(C47="",""," ("&amp;C47&amp;")")&amp;" — check for defects")</f>
        <v/>
      </c>
    </row>
    <row r="48" ht="20" customHeight="1">
      <c r="B48" s="72" t="n"/>
      <c r="C48" s="72" t="n"/>
      <c r="D48" s="72" t="n"/>
      <c r="E48" s="108" t="n"/>
      <c r="F48" s="74" t="n"/>
      <c r="G48" s="126">
        <f>IF(OR(E48="",F48=""),"",DATE(YEAR(E48),MONTH(E48)+ROUND(F48*12,0),DAY(E48)))</f>
        <v/>
      </c>
      <c r="H48" s="145">
        <f>IF(G48="","",G48-AsOf)</f>
        <v/>
      </c>
      <c r="I48" s="107">
        <f>IF(G48="","",IF(H48&lt;0,"Expired",IF(H48&lt;=90,"Expires soon","Active")))</f>
        <v/>
      </c>
      <c r="J48" s="72" t="n"/>
      <c r="K48" s="79">
        <f>IF(I48="","",IF(I48="Active",0,IF(I48="Expires soon",1,3)))</f>
        <v/>
      </c>
      <c r="L48" s="111">
        <f>IF(G48="","",IF(G48&lt;AsOf,"",G48))</f>
        <v/>
      </c>
      <c r="M48" s="79">
        <f>IF(L48="","",IF(L48&lt;=AsOf+AlertDays,2,IF(L48&lt;=AsOf+90,3,"")))</f>
        <v/>
      </c>
      <c r="N48" s="79">
        <f>IF(M48="","","Warranty expires in "&amp;H48&amp;" days: "&amp;B48&amp;IF(C48="",""," ("&amp;C48&amp;")")&amp;" — check for defects")</f>
        <v/>
      </c>
    </row>
    <row r="49" ht="20" customHeight="1">
      <c r="B49" s="72" t="n"/>
      <c r="C49" s="72" t="n"/>
      <c r="D49" s="72" t="n"/>
      <c r="E49" s="108" t="n"/>
      <c r="F49" s="74" t="n"/>
      <c r="G49" s="126">
        <f>IF(OR(E49="",F49=""),"",DATE(YEAR(E49),MONTH(E49)+ROUND(F49*12,0),DAY(E49)))</f>
        <v/>
      </c>
      <c r="H49" s="145">
        <f>IF(G49="","",G49-AsOf)</f>
        <v/>
      </c>
      <c r="I49" s="107">
        <f>IF(G49="","",IF(H49&lt;0,"Expired",IF(H49&lt;=90,"Expires soon","Active")))</f>
        <v/>
      </c>
      <c r="J49" s="72" t="n"/>
      <c r="K49" s="79">
        <f>IF(I49="","",IF(I49="Active",0,IF(I49="Expires soon",1,3)))</f>
        <v/>
      </c>
      <c r="L49" s="111">
        <f>IF(G49="","",IF(G49&lt;AsOf,"",G49))</f>
        <v/>
      </c>
      <c r="M49" s="79">
        <f>IF(L49="","",IF(L49&lt;=AsOf+AlertDays,2,IF(L49&lt;=AsOf+90,3,"")))</f>
        <v/>
      </c>
      <c r="N49" s="79">
        <f>IF(M49="","","Warranty expires in "&amp;H49&amp;" days: "&amp;B49&amp;IF(C49="",""," ("&amp;C49&amp;")")&amp;" — check for defects")</f>
        <v/>
      </c>
    </row>
    <row r="50" ht="20" customHeight="1">
      <c r="B50" s="72" t="n"/>
      <c r="C50" s="72" t="n"/>
      <c r="D50" s="72" t="n"/>
      <c r="E50" s="108" t="n"/>
      <c r="F50" s="74" t="n"/>
      <c r="G50" s="126">
        <f>IF(OR(E50="",F50=""),"",DATE(YEAR(E50),MONTH(E50)+ROUND(F50*12,0),DAY(E50)))</f>
        <v/>
      </c>
      <c r="H50" s="145">
        <f>IF(G50="","",G50-AsOf)</f>
        <v/>
      </c>
      <c r="I50" s="107">
        <f>IF(G50="","",IF(H50&lt;0,"Expired",IF(H50&lt;=90,"Expires soon","Active")))</f>
        <v/>
      </c>
      <c r="J50" s="72" t="n"/>
      <c r="K50" s="79">
        <f>IF(I50="","",IF(I50="Active",0,IF(I50="Expires soon",1,3)))</f>
        <v/>
      </c>
      <c r="L50" s="111">
        <f>IF(G50="","",IF(G50&lt;AsOf,"",G50))</f>
        <v/>
      </c>
      <c r="M50" s="79">
        <f>IF(L50="","",IF(L50&lt;=AsOf+AlertDays,2,IF(L50&lt;=AsOf+90,3,"")))</f>
        <v/>
      </c>
      <c r="N50" s="79">
        <f>IF(M50="","","Warranty expires in "&amp;H50&amp;" days: "&amp;B50&amp;IF(C50="",""," ("&amp;C50&amp;")")&amp;" — check for defects")</f>
        <v/>
      </c>
    </row>
    <row r="51" ht="20" customHeight="1">
      <c r="B51" s="72" t="n"/>
      <c r="C51" s="72" t="n"/>
      <c r="D51" s="72" t="n"/>
      <c r="E51" s="108" t="n"/>
      <c r="F51" s="74" t="n"/>
      <c r="G51" s="126">
        <f>IF(OR(E51="",F51=""),"",DATE(YEAR(E51),MONTH(E51)+ROUND(F51*12,0),DAY(E51)))</f>
        <v/>
      </c>
      <c r="H51" s="145">
        <f>IF(G51="","",G51-AsOf)</f>
        <v/>
      </c>
      <c r="I51" s="107">
        <f>IF(G51="","",IF(H51&lt;0,"Expired",IF(H51&lt;=90,"Expires soon","Active")))</f>
        <v/>
      </c>
      <c r="J51" s="72" t="n"/>
      <c r="K51" s="79">
        <f>IF(I51="","",IF(I51="Active",0,IF(I51="Expires soon",1,3)))</f>
        <v/>
      </c>
      <c r="L51" s="111">
        <f>IF(G51="","",IF(G51&lt;AsOf,"",G51))</f>
        <v/>
      </c>
      <c r="M51" s="79">
        <f>IF(L51="","",IF(L51&lt;=AsOf+AlertDays,2,IF(L51&lt;=AsOf+90,3,"")))</f>
        <v/>
      </c>
      <c r="N51" s="79">
        <f>IF(M51="","","Warranty expires in "&amp;H51&amp;" days: "&amp;B51&amp;IF(C51="",""," ("&amp;C51&amp;")")&amp;" — check for defects")</f>
        <v/>
      </c>
    </row>
    <row r="52" ht="20" customHeight="1">
      <c r="B52" s="72" t="n"/>
      <c r="C52" s="72" t="n"/>
      <c r="D52" s="72" t="n"/>
      <c r="E52" s="108" t="n"/>
      <c r="F52" s="74" t="n"/>
      <c r="G52" s="126">
        <f>IF(OR(E52="",F52=""),"",DATE(YEAR(E52),MONTH(E52)+ROUND(F52*12,0),DAY(E52)))</f>
        <v/>
      </c>
      <c r="H52" s="145">
        <f>IF(G52="","",G52-AsOf)</f>
        <v/>
      </c>
      <c r="I52" s="107">
        <f>IF(G52="","",IF(H52&lt;0,"Expired",IF(H52&lt;=90,"Expires soon","Active")))</f>
        <v/>
      </c>
      <c r="J52" s="72" t="n"/>
      <c r="K52" s="79">
        <f>IF(I52="","",IF(I52="Active",0,IF(I52="Expires soon",1,3)))</f>
        <v/>
      </c>
      <c r="L52" s="111">
        <f>IF(G52="","",IF(G52&lt;AsOf,"",G52))</f>
        <v/>
      </c>
      <c r="M52" s="79">
        <f>IF(L52="","",IF(L52&lt;=AsOf+AlertDays,2,IF(L52&lt;=AsOf+90,3,"")))</f>
        <v/>
      </c>
      <c r="N52" s="79">
        <f>IF(M52="","","Warranty expires in "&amp;H52&amp;" days: "&amp;B52&amp;IF(C52="",""," ("&amp;C52&amp;")")&amp;" — check for defects")</f>
        <v/>
      </c>
    </row>
    <row r="53" ht="20" customHeight="1">
      <c r="B53" s="72" t="n"/>
      <c r="C53" s="72" t="n"/>
      <c r="D53" s="72" t="n"/>
      <c r="E53" s="108" t="n"/>
      <c r="F53" s="74" t="n"/>
      <c r="G53" s="126">
        <f>IF(OR(E53="",F53=""),"",DATE(YEAR(E53),MONTH(E53)+ROUND(F53*12,0),DAY(E53)))</f>
        <v/>
      </c>
      <c r="H53" s="145">
        <f>IF(G53="","",G53-AsOf)</f>
        <v/>
      </c>
      <c r="I53" s="107">
        <f>IF(G53="","",IF(H53&lt;0,"Expired",IF(H53&lt;=90,"Expires soon","Active")))</f>
        <v/>
      </c>
      <c r="J53" s="72" t="n"/>
      <c r="K53" s="79">
        <f>IF(I53="","",IF(I53="Active",0,IF(I53="Expires soon",1,3)))</f>
        <v/>
      </c>
      <c r="L53" s="111">
        <f>IF(G53="","",IF(G53&lt;AsOf,"",G53))</f>
        <v/>
      </c>
      <c r="M53" s="79">
        <f>IF(L53="","",IF(L53&lt;=AsOf+AlertDays,2,IF(L53&lt;=AsOf+90,3,"")))</f>
        <v/>
      </c>
      <c r="N53" s="79">
        <f>IF(M53="","","Warranty expires in "&amp;H53&amp;" days: "&amp;B53&amp;IF(C53="",""," ("&amp;C53&amp;")")&amp;" — check for defects")</f>
        <v/>
      </c>
    </row>
    <row r="54" ht="20" customHeight="1">
      <c r="B54" s="72" t="n"/>
      <c r="C54" s="72" t="n"/>
      <c r="D54" s="72" t="n"/>
      <c r="E54" s="108" t="n"/>
      <c r="F54" s="74" t="n"/>
      <c r="G54" s="126">
        <f>IF(OR(E54="",F54=""),"",DATE(YEAR(E54),MONTH(E54)+ROUND(F54*12,0),DAY(E54)))</f>
        <v/>
      </c>
      <c r="H54" s="145">
        <f>IF(G54="","",G54-AsOf)</f>
        <v/>
      </c>
      <c r="I54" s="107">
        <f>IF(G54="","",IF(H54&lt;0,"Expired",IF(H54&lt;=90,"Expires soon","Active")))</f>
        <v/>
      </c>
      <c r="J54" s="72" t="n"/>
      <c r="K54" s="79">
        <f>IF(I54="","",IF(I54="Active",0,IF(I54="Expires soon",1,3)))</f>
        <v/>
      </c>
      <c r="L54" s="111">
        <f>IF(G54="","",IF(G54&lt;AsOf,"",G54))</f>
        <v/>
      </c>
      <c r="M54" s="79">
        <f>IF(L54="","",IF(L54&lt;=AsOf+AlertDays,2,IF(L54&lt;=AsOf+90,3,"")))</f>
        <v/>
      </c>
      <c r="N54" s="79">
        <f>IF(M54="","","Warranty expires in "&amp;H54&amp;" days: "&amp;B54&amp;IF(C54="",""," ("&amp;C54&amp;")")&amp;" — check for defects")</f>
        <v/>
      </c>
    </row>
    <row r="55" ht="20" customHeight="1">
      <c r="B55" s="72" t="n"/>
      <c r="C55" s="72" t="n"/>
      <c r="D55" s="72" t="n"/>
      <c r="E55" s="108" t="n"/>
      <c r="F55" s="74" t="n"/>
      <c r="G55" s="126">
        <f>IF(OR(E55="",F55=""),"",DATE(YEAR(E55),MONTH(E55)+ROUND(F55*12,0),DAY(E55)))</f>
        <v/>
      </c>
      <c r="H55" s="145">
        <f>IF(G55="","",G55-AsOf)</f>
        <v/>
      </c>
      <c r="I55" s="107">
        <f>IF(G55="","",IF(H55&lt;0,"Expired",IF(H55&lt;=90,"Expires soon","Active")))</f>
        <v/>
      </c>
      <c r="J55" s="72" t="n"/>
      <c r="K55" s="79">
        <f>IF(I55="","",IF(I55="Active",0,IF(I55="Expires soon",1,3)))</f>
        <v/>
      </c>
      <c r="L55" s="111">
        <f>IF(G55="","",IF(G55&lt;AsOf,"",G55))</f>
        <v/>
      </c>
      <c r="M55" s="79">
        <f>IF(L55="","",IF(L55&lt;=AsOf+AlertDays,2,IF(L55&lt;=AsOf+90,3,"")))</f>
        <v/>
      </c>
      <c r="N55" s="79">
        <f>IF(M55="","","Warranty expires in "&amp;H55&amp;" days: "&amp;B55&amp;IF(C55="",""," ("&amp;C55&amp;")")&amp;" — check for defects")</f>
        <v/>
      </c>
    </row>
    <row r="56" ht="20" customHeight="1">
      <c r="B56" s="72" t="n"/>
      <c r="C56" s="72" t="n"/>
      <c r="D56" s="72" t="n"/>
      <c r="E56" s="108" t="n"/>
      <c r="F56" s="74" t="n"/>
      <c r="G56" s="126">
        <f>IF(OR(E56="",F56=""),"",DATE(YEAR(E56),MONTH(E56)+ROUND(F56*12,0),DAY(E56)))</f>
        <v/>
      </c>
      <c r="H56" s="145">
        <f>IF(G56="","",G56-AsOf)</f>
        <v/>
      </c>
      <c r="I56" s="107">
        <f>IF(G56="","",IF(H56&lt;0,"Expired",IF(H56&lt;=90,"Expires soon","Active")))</f>
        <v/>
      </c>
      <c r="J56" s="72" t="n"/>
      <c r="K56" s="79">
        <f>IF(I56="","",IF(I56="Active",0,IF(I56="Expires soon",1,3)))</f>
        <v/>
      </c>
      <c r="L56" s="111">
        <f>IF(G56="","",IF(G56&lt;AsOf,"",G56))</f>
        <v/>
      </c>
      <c r="M56" s="79">
        <f>IF(L56="","",IF(L56&lt;=AsOf+AlertDays,2,IF(L56&lt;=AsOf+90,3,"")))</f>
        <v/>
      </c>
      <c r="N56" s="79">
        <f>IF(M56="","","Warranty expires in "&amp;H56&amp;" days: "&amp;B56&amp;IF(C56="",""," ("&amp;C56&amp;")")&amp;" — check for defects")</f>
        <v/>
      </c>
    </row>
    <row r="57" ht="20" customHeight="1">
      <c r="B57" s="72" t="n"/>
      <c r="C57" s="72" t="n"/>
      <c r="D57" s="72" t="n"/>
      <c r="E57" s="108" t="n"/>
      <c r="F57" s="74" t="n"/>
      <c r="G57" s="126">
        <f>IF(OR(E57="",F57=""),"",DATE(YEAR(E57),MONTH(E57)+ROUND(F57*12,0),DAY(E57)))</f>
        <v/>
      </c>
      <c r="H57" s="145">
        <f>IF(G57="","",G57-AsOf)</f>
        <v/>
      </c>
      <c r="I57" s="107">
        <f>IF(G57="","",IF(H57&lt;0,"Expired",IF(H57&lt;=90,"Expires soon","Active")))</f>
        <v/>
      </c>
      <c r="J57" s="72" t="n"/>
      <c r="K57" s="79">
        <f>IF(I57="","",IF(I57="Active",0,IF(I57="Expires soon",1,3)))</f>
        <v/>
      </c>
      <c r="L57" s="111">
        <f>IF(G57="","",IF(G57&lt;AsOf,"",G57))</f>
        <v/>
      </c>
      <c r="M57" s="79">
        <f>IF(L57="","",IF(L57&lt;=AsOf+AlertDays,2,IF(L57&lt;=AsOf+90,3,"")))</f>
        <v/>
      </c>
      <c r="N57" s="79">
        <f>IF(M57="","","Warranty expires in "&amp;H57&amp;" days: "&amp;B57&amp;IF(C57="",""," ("&amp;C57&amp;")")&amp;" — check for defects")</f>
        <v/>
      </c>
    </row>
    <row r="58" ht="20" customHeight="1">
      <c r="B58" s="72" t="n"/>
      <c r="C58" s="72" t="n"/>
      <c r="D58" s="72" t="n"/>
      <c r="E58" s="108" t="n"/>
      <c r="F58" s="74" t="n"/>
      <c r="G58" s="126">
        <f>IF(OR(E58="",F58=""),"",DATE(YEAR(E58),MONTH(E58)+ROUND(F58*12,0),DAY(E58)))</f>
        <v/>
      </c>
      <c r="H58" s="145">
        <f>IF(G58="","",G58-AsOf)</f>
        <v/>
      </c>
      <c r="I58" s="107">
        <f>IF(G58="","",IF(H58&lt;0,"Expired",IF(H58&lt;=90,"Expires soon","Active")))</f>
        <v/>
      </c>
      <c r="J58" s="72" t="n"/>
      <c r="K58" s="79">
        <f>IF(I58="","",IF(I58="Active",0,IF(I58="Expires soon",1,3)))</f>
        <v/>
      </c>
      <c r="L58" s="111">
        <f>IF(G58="","",IF(G58&lt;AsOf,"",G58))</f>
        <v/>
      </c>
      <c r="M58" s="79">
        <f>IF(L58="","",IF(L58&lt;=AsOf+AlertDays,2,IF(L58&lt;=AsOf+90,3,"")))</f>
        <v/>
      </c>
      <c r="N58" s="79">
        <f>IF(M58="","","Warranty expires in "&amp;H58&amp;" days: "&amp;B58&amp;IF(C58="",""," ("&amp;C58&amp;")")&amp;" — check for defects")</f>
        <v/>
      </c>
    </row>
    <row r="59" ht="20" customHeight="1">
      <c r="B59" s="72" t="n"/>
      <c r="C59" s="72" t="n"/>
      <c r="D59" s="72" t="n"/>
      <c r="E59" s="108" t="n"/>
      <c r="F59" s="74" t="n"/>
      <c r="G59" s="126">
        <f>IF(OR(E59="",F59=""),"",DATE(YEAR(E59),MONTH(E59)+ROUND(F59*12,0),DAY(E59)))</f>
        <v/>
      </c>
      <c r="H59" s="145">
        <f>IF(G59="","",G59-AsOf)</f>
        <v/>
      </c>
      <c r="I59" s="107">
        <f>IF(G59="","",IF(H59&lt;0,"Expired",IF(H59&lt;=90,"Expires soon","Active")))</f>
        <v/>
      </c>
      <c r="J59" s="72" t="n"/>
      <c r="K59" s="79">
        <f>IF(I59="","",IF(I59="Active",0,IF(I59="Expires soon",1,3)))</f>
        <v/>
      </c>
      <c r="L59" s="111">
        <f>IF(G59="","",IF(G59&lt;AsOf,"",G59))</f>
        <v/>
      </c>
      <c r="M59" s="79">
        <f>IF(L59="","",IF(L59&lt;=AsOf+AlertDays,2,IF(L59&lt;=AsOf+90,3,"")))</f>
        <v/>
      </c>
      <c r="N59" s="79">
        <f>IF(M59="","","Warranty expires in "&amp;H59&amp;" days: "&amp;B59&amp;IF(C59="",""," ("&amp;C59&amp;")")&amp;" — check for defects")</f>
        <v/>
      </c>
    </row>
    <row r="60" ht="20" customHeight="1">
      <c r="B60" s="72" t="n"/>
      <c r="C60" s="72" t="n"/>
      <c r="D60" s="72" t="n"/>
      <c r="E60" s="108" t="n"/>
      <c r="F60" s="74" t="n"/>
      <c r="G60" s="126">
        <f>IF(OR(E60="",F60=""),"",DATE(YEAR(E60),MONTH(E60)+ROUND(F60*12,0),DAY(E60)))</f>
        <v/>
      </c>
      <c r="H60" s="145">
        <f>IF(G60="","",G60-AsOf)</f>
        <v/>
      </c>
      <c r="I60" s="107">
        <f>IF(G60="","",IF(H60&lt;0,"Expired",IF(H60&lt;=90,"Expires soon","Active")))</f>
        <v/>
      </c>
      <c r="J60" s="72" t="n"/>
      <c r="K60" s="79">
        <f>IF(I60="","",IF(I60="Active",0,IF(I60="Expires soon",1,3)))</f>
        <v/>
      </c>
      <c r="L60" s="111">
        <f>IF(G60="","",IF(G60&lt;AsOf,"",G60))</f>
        <v/>
      </c>
      <c r="M60" s="79">
        <f>IF(L60="","",IF(L60&lt;=AsOf+AlertDays,2,IF(L60&lt;=AsOf+90,3,"")))</f>
        <v/>
      </c>
      <c r="N60" s="79">
        <f>IF(M60="","","Warranty expires in "&amp;H60&amp;" days: "&amp;B60&amp;IF(C60="",""," ("&amp;C60&amp;")")&amp;" — check for defects")</f>
        <v/>
      </c>
    </row>
    <row r="61" ht="20" customHeight="1">
      <c r="B61" s="72" t="n"/>
      <c r="C61" s="72" t="n"/>
      <c r="D61" s="72" t="n"/>
      <c r="E61" s="108" t="n"/>
      <c r="F61" s="74" t="n"/>
      <c r="G61" s="126">
        <f>IF(OR(E61="",F61=""),"",DATE(YEAR(E61),MONTH(E61)+ROUND(F61*12,0),DAY(E61)))</f>
        <v/>
      </c>
      <c r="H61" s="145">
        <f>IF(G61="","",G61-AsOf)</f>
        <v/>
      </c>
      <c r="I61" s="107">
        <f>IF(G61="","",IF(H61&lt;0,"Expired",IF(H61&lt;=90,"Expires soon","Active")))</f>
        <v/>
      </c>
      <c r="J61" s="72" t="n"/>
      <c r="K61" s="79">
        <f>IF(I61="","",IF(I61="Active",0,IF(I61="Expires soon",1,3)))</f>
        <v/>
      </c>
      <c r="L61" s="111">
        <f>IF(G61="","",IF(G61&lt;AsOf,"",G61))</f>
        <v/>
      </c>
      <c r="M61" s="79">
        <f>IF(L61="","",IF(L61&lt;=AsOf+AlertDays,2,IF(L61&lt;=AsOf+90,3,"")))</f>
        <v/>
      </c>
      <c r="N61" s="79">
        <f>IF(M61="","","Warranty expires in "&amp;H61&amp;" days: "&amp;B61&amp;IF(C61="",""," ("&amp;C61&amp;")")&amp;" — check for defects")</f>
        <v/>
      </c>
    </row>
    <row r="62" ht="20" customHeight="1">
      <c r="B62" s="72" t="n"/>
      <c r="C62" s="72" t="n"/>
      <c r="D62" s="72" t="n"/>
      <c r="E62" s="108" t="n"/>
      <c r="F62" s="74" t="n"/>
      <c r="G62" s="126">
        <f>IF(OR(E62="",F62=""),"",DATE(YEAR(E62),MONTH(E62)+ROUND(F62*12,0),DAY(E62)))</f>
        <v/>
      </c>
      <c r="H62" s="145">
        <f>IF(G62="","",G62-AsOf)</f>
        <v/>
      </c>
      <c r="I62" s="107">
        <f>IF(G62="","",IF(H62&lt;0,"Expired",IF(H62&lt;=90,"Expires soon","Active")))</f>
        <v/>
      </c>
      <c r="J62" s="72" t="n"/>
      <c r="K62" s="79">
        <f>IF(I62="","",IF(I62="Active",0,IF(I62="Expires soon",1,3)))</f>
        <v/>
      </c>
      <c r="L62" s="111">
        <f>IF(G62="","",IF(G62&lt;AsOf,"",G62))</f>
        <v/>
      </c>
      <c r="M62" s="79">
        <f>IF(L62="","",IF(L62&lt;=AsOf+AlertDays,2,IF(L62&lt;=AsOf+90,3,"")))</f>
        <v/>
      </c>
      <c r="N62" s="79">
        <f>IF(M62="","","Warranty expires in "&amp;H62&amp;" days: "&amp;B62&amp;IF(C62="",""," ("&amp;C62&amp;")")&amp;" — check for defects")</f>
        <v/>
      </c>
    </row>
    <row r="63" ht="20" customHeight="1">
      <c r="B63" s="72" t="n"/>
      <c r="C63" s="72" t="n"/>
      <c r="D63" s="72" t="n"/>
      <c r="E63" s="108" t="n"/>
      <c r="F63" s="74" t="n"/>
      <c r="G63" s="126">
        <f>IF(OR(E63="",F63=""),"",DATE(YEAR(E63),MONTH(E63)+ROUND(F63*12,0),DAY(E63)))</f>
        <v/>
      </c>
      <c r="H63" s="145">
        <f>IF(G63="","",G63-AsOf)</f>
        <v/>
      </c>
      <c r="I63" s="107">
        <f>IF(G63="","",IF(H63&lt;0,"Expired",IF(H63&lt;=90,"Expires soon","Active")))</f>
        <v/>
      </c>
      <c r="J63" s="72" t="n"/>
      <c r="K63" s="79">
        <f>IF(I63="","",IF(I63="Active",0,IF(I63="Expires soon",1,3)))</f>
        <v/>
      </c>
      <c r="L63" s="111">
        <f>IF(G63="","",IF(G63&lt;AsOf,"",G63))</f>
        <v/>
      </c>
      <c r="M63" s="79">
        <f>IF(L63="","",IF(L63&lt;=AsOf+AlertDays,2,IF(L63&lt;=AsOf+90,3,"")))</f>
        <v/>
      </c>
      <c r="N63" s="79">
        <f>IF(M63="","","Warranty expires in "&amp;H63&amp;" days: "&amp;B63&amp;IF(C63="",""," ("&amp;C63&amp;")")&amp;" — check for defects")</f>
        <v/>
      </c>
    </row>
    <row r="64" ht="20" customHeight="1">
      <c r="B64" s="72" t="n"/>
      <c r="C64" s="72" t="n"/>
      <c r="D64" s="72" t="n"/>
      <c r="E64" s="108" t="n"/>
      <c r="F64" s="74" t="n"/>
      <c r="G64" s="126">
        <f>IF(OR(E64="",F64=""),"",DATE(YEAR(E64),MONTH(E64)+ROUND(F64*12,0),DAY(E64)))</f>
        <v/>
      </c>
      <c r="H64" s="145">
        <f>IF(G64="","",G64-AsOf)</f>
        <v/>
      </c>
      <c r="I64" s="107">
        <f>IF(G64="","",IF(H64&lt;0,"Expired",IF(H64&lt;=90,"Expires soon","Active")))</f>
        <v/>
      </c>
      <c r="J64" s="72" t="n"/>
      <c r="K64" s="79">
        <f>IF(I64="","",IF(I64="Active",0,IF(I64="Expires soon",1,3)))</f>
        <v/>
      </c>
      <c r="L64" s="111">
        <f>IF(G64="","",IF(G64&lt;AsOf,"",G64))</f>
        <v/>
      </c>
      <c r="M64" s="79">
        <f>IF(L64="","",IF(L64&lt;=AsOf+AlertDays,2,IF(L64&lt;=AsOf+90,3,"")))</f>
        <v/>
      </c>
      <c r="N64" s="79">
        <f>IF(M64="","","Warranty expires in "&amp;H64&amp;" days: "&amp;B64&amp;IF(C64="",""," ("&amp;C64&amp;")")&amp;" — check for defects")</f>
        <v/>
      </c>
    </row>
    <row r="65" ht="20" customHeight="1">
      <c r="B65" s="72" t="n"/>
      <c r="C65" s="72" t="n"/>
      <c r="D65" s="72" t="n"/>
      <c r="E65" s="108" t="n"/>
      <c r="F65" s="74" t="n"/>
      <c r="G65" s="126">
        <f>IF(OR(E65="",F65=""),"",DATE(YEAR(E65),MONTH(E65)+ROUND(F65*12,0),DAY(E65)))</f>
        <v/>
      </c>
      <c r="H65" s="145">
        <f>IF(G65="","",G65-AsOf)</f>
        <v/>
      </c>
      <c r="I65" s="107">
        <f>IF(G65="","",IF(H65&lt;0,"Expired",IF(H65&lt;=90,"Expires soon","Active")))</f>
        <v/>
      </c>
      <c r="J65" s="72" t="n"/>
      <c r="K65" s="79">
        <f>IF(I65="","",IF(I65="Active",0,IF(I65="Expires soon",1,3)))</f>
        <v/>
      </c>
      <c r="L65" s="111">
        <f>IF(G65="","",IF(G65&lt;AsOf,"",G65))</f>
        <v/>
      </c>
      <c r="M65" s="79">
        <f>IF(L65="","",IF(L65&lt;=AsOf+AlertDays,2,IF(L65&lt;=AsOf+90,3,"")))</f>
        <v/>
      </c>
      <c r="N65" s="79">
        <f>IF(M65="","","Warranty expires in "&amp;H65&amp;" days: "&amp;B65&amp;IF(C65="",""," ("&amp;C65&amp;")")&amp;" — check for defects")</f>
        <v/>
      </c>
    </row>
    <row r="66" ht="20" customHeight="1">
      <c r="B66" s="72" t="n"/>
      <c r="C66" s="72" t="n"/>
      <c r="D66" s="72" t="n"/>
      <c r="E66" s="108" t="n"/>
      <c r="F66" s="74" t="n"/>
      <c r="G66" s="126">
        <f>IF(OR(E66="",F66=""),"",DATE(YEAR(E66),MONTH(E66)+ROUND(F66*12,0),DAY(E66)))</f>
        <v/>
      </c>
      <c r="H66" s="145">
        <f>IF(G66="","",G66-AsOf)</f>
        <v/>
      </c>
      <c r="I66" s="107">
        <f>IF(G66="","",IF(H66&lt;0,"Expired",IF(H66&lt;=90,"Expires soon","Active")))</f>
        <v/>
      </c>
      <c r="J66" s="72" t="n"/>
      <c r="K66" s="79">
        <f>IF(I66="","",IF(I66="Active",0,IF(I66="Expires soon",1,3)))</f>
        <v/>
      </c>
      <c r="L66" s="111">
        <f>IF(G66="","",IF(G66&lt;AsOf,"",G66))</f>
        <v/>
      </c>
      <c r="M66" s="79">
        <f>IF(L66="","",IF(L66&lt;=AsOf+AlertDays,2,IF(L66&lt;=AsOf+90,3,"")))</f>
        <v/>
      </c>
      <c r="N66" s="79">
        <f>IF(M66="","","Warranty expires in "&amp;H66&amp;" days: "&amp;B66&amp;IF(C66="",""," ("&amp;C66&amp;")")&amp;" — check for defects")</f>
        <v/>
      </c>
    </row>
    <row r="67"/>
    <row r="68"/>
    <row r="69">
      <c r="B69" s="4" t="inlineStr">
        <is>
          <t>HOME MAINTENANCE</t>
        </is>
      </c>
      <c r="C69" s="5" t="n"/>
      <c r="D69" s="5" t="n"/>
      <c r="E69" s="5" t="n"/>
      <c r="F69" s="5" t="n"/>
      <c r="G69" s="5" t="n"/>
      <c r="H69" s="5" t="n"/>
      <c r="I69" s="5" t="n"/>
      <c r="J69" s="5" t="n"/>
    </row>
    <row r="70"/>
    <row r="71" ht="32" customHeight="1">
      <c r="B71" s="52" t="inlineStr">
        <is>
          <t>Maintenance task</t>
        </is>
      </c>
      <c r="C71" s="52" t="inlineStr">
        <is>
          <t>Room</t>
        </is>
      </c>
      <c r="D71" s="52" t="inlineStr">
        <is>
          <t>Every (months)</t>
        </is>
      </c>
      <c r="E71" s="52" t="inlineStr">
        <is>
          <t>Last done</t>
        </is>
      </c>
      <c r="F71" s="52" t="inlineStr">
        <is>
          <t>Next due</t>
        </is>
      </c>
      <c r="G71" s="52" t="inlineStr">
        <is>
          <t>Days left</t>
        </is>
      </c>
      <c r="H71" s="52" t="inlineStr">
        <is>
          <t>Status</t>
        </is>
      </c>
      <c r="K71" s="71" t="inlineStr">
        <is>
          <t>lvl</t>
        </is>
      </c>
      <c r="L71" s="71" t="inlineStr">
        <is>
          <t>due</t>
        </is>
      </c>
      <c r="M71" s="71" t="inlineStr">
        <is>
          <t>pri</t>
        </is>
      </c>
      <c r="N71" s="71" t="inlineStr">
        <is>
          <t>text</t>
        </is>
      </c>
    </row>
    <row r="72" ht="20" customHeight="1">
      <c r="B72" s="72" t="inlineStr">
        <is>
          <t>Service heating system</t>
        </is>
      </c>
      <c r="C72" s="72" t="inlineStr">
        <is>
          <t>Whole house</t>
        </is>
      </c>
      <c r="D72" s="89" t="n">
        <v>12</v>
      </c>
      <c r="E72" s="108" t="n">
        <v>45818</v>
      </c>
      <c r="F72" s="126">
        <f>IF(OR(D72="",E72=""),"",DATE(YEAR(E72),MONTH(E72)+D72,DAY(E72)))</f>
        <v/>
      </c>
      <c r="G72" s="145">
        <f>IF(F72="","",F72-AsOf)</f>
        <v/>
      </c>
      <c r="H72" s="107">
        <f>IF(F72="",IF(B72="","","Enter last-done date"),IF(G72&lt;0,"Overdue",IF(G72&lt;=30,"Due soon","OK")))</f>
        <v/>
      </c>
      <c r="K72" s="79">
        <f>IF(F72="","",IF(G72&lt;0,2,IF(G72&lt;=30,1,0)))</f>
        <v/>
      </c>
      <c r="L72" s="111">
        <f>IF(F72="","",F72)</f>
        <v/>
      </c>
      <c r="M72" s="79">
        <f>IF(L72="","",IF(L72&lt;=AsOf+AlertDays,2,IF(L72&lt;=AsOf+30,3,"")))</f>
        <v/>
      </c>
      <c r="N72" s="79">
        <f>IF(M72="","",IF(G72&lt;0,"Maintenance overdue: ","Maintenance due: ")&amp;B72)</f>
        <v/>
      </c>
    </row>
    <row r="73" ht="20" customHeight="1">
      <c r="B73" s="72" t="inlineStr">
        <is>
          <t>Clean gutters</t>
        </is>
      </c>
      <c r="C73" s="72" t="inlineStr">
        <is>
          <t>Exterior</t>
        </is>
      </c>
      <c r="D73" s="89" t="n">
        <v>6</v>
      </c>
      <c r="E73" s="108" t="n">
        <v>46037</v>
      </c>
      <c r="F73" s="126">
        <f>IF(OR(D73="",E73=""),"",DATE(YEAR(E73),MONTH(E73)+D73,DAY(E73)))</f>
        <v/>
      </c>
      <c r="G73" s="145">
        <f>IF(F73="","",F73-AsOf)</f>
        <v/>
      </c>
      <c r="H73" s="107">
        <f>IF(F73="",IF(B73="","","Enter last-done date"),IF(G73&lt;0,"Overdue",IF(G73&lt;=30,"Due soon","OK")))</f>
        <v/>
      </c>
      <c r="K73" s="79">
        <f>IF(F73="","",IF(G73&lt;0,2,IF(G73&lt;=30,1,0)))</f>
        <v/>
      </c>
      <c r="L73" s="111">
        <f>IF(F73="","",F73)</f>
        <v/>
      </c>
      <c r="M73" s="79">
        <f>IF(L73="","",IF(L73&lt;=AsOf+AlertDays,2,IF(L73&lt;=AsOf+30,3,"")))</f>
        <v/>
      </c>
      <c r="N73" s="79">
        <f>IF(M73="","",IF(G73&lt;0,"Maintenance overdue: ","Maintenance due: ")&amp;B73)</f>
        <v/>
      </c>
    </row>
    <row r="74" ht="20" customHeight="1">
      <c r="B74" s="72" t="inlineStr">
        <is>
          <t>Test smoke alarms</t>
        </is>
      </c>
      <c r="C74" s="72" t="inlineStr">
        <is>
          <t>Whole house</t>
        </is>
      </c>
      <c r="D74" s="89" t="n">
        <v>6</v>
      </c>
      <c r="E74" s="108" t="n">
        <v>46082</v>
      </c>
      <c r="F74" s="126">
        <f>IF(OR(D74="",E74=""),"",DATE(YEAR(E74),MONTH(E74)+D74,DAY(E74)))</f>
        <v/>
      </c>
      <c r="G74" s="145">
        <f>IF(F74="","",F74-AsOf)</f>
        <v/>
      </c>
      <c r="H74" s="107">
        <f>IF(F74="",IF(B74="","","Enter last-done date"),IF(G74&lt;0,"Overdue",IF(G74&lt;=30,"Due soon","OK")))</f>
        <v/>
      </c>
      <c r="K74" s="79">
        <f>IF(F74="","",IF(G74&lt;0,2,IF(G74&lt;=30,1,0)))</f>
        <v/>
      </c>
      <c r="L74" s="111">
        <f>IF(F74="","",F74)</f>
        <v/>
      </c>
      <c r="M74" s="79">
        <f>IF(L74="","",IF(L74&lt;=AsOf+AlertDays,2,IF(L74&lt;=AsOf+30,3,"")))</f>
        <v/>
      </c>
      <c r="N74" s="79">
        <f>IF(M74="","",IF(G74&lt;0,"Maintenance overdue: ","Maintenance due: ")&amp;B74)</f>
        <v/>
      </c>
    </row>
    <row r="75" ht="20" customHeight="1">
      <c r="B75" s="72" t="inlineStr">
        <is>
          <t>Re-seal bathroom silicone</t>
        </is>
      </c>
      <c r="C75" s="72" t="inlineStr">
        <is>
          <t>Bathroom 1</t>
        </is>
      </c>
      <c r="D75" s="89" t="n">
        <v>24</v>
      </c>
      <c r="E75" s="108" t="n"/>
      <c r="F75" s="126">
        <f>IF(OR(D75="",E75=""),"",DATE(YEAR(E75),MONTH(E75)+D75,DAY(E75)))</f>
        <v/>
      </c>
      <c r="G75" s="145">
        <f>IF(F75="","",F75-AsOf)</f>
        <v/>
      </c>
      <c r="H75" s="107">
        <f>IF(F75="",IF(B75="","","Enter last-done date"),IF(G75&lt;0,"Overdue",IF(G75&lt;=30,"Due soon","OK")))</f>
        <v/>
      </c>
      <c r="K75" s="79">
        <f>IF(F75="","",IF(G75&lt;0,2,IF(G75&lt;=30,1,0)))</f>
        <v/>
      </c>
      <c r="L75" s="111">
        <f>IF(F75="","",F75)</f>
        <v/>
      </c>
      <c r="M75" s="79">
        <f>IF(L75="","",IF(L75&lt;=AsOf+AlertDays,2,IF(L75&lt;=AsOf+30,3,"")))</f>
        <v/>
      </c>
      <c r="N75" s="79">
        <f>IF(M75="","",IF(G75&lt;0,"Maintenance overdue: ","Maintenance due: ")&amp;B75)</f>
        <v/>
      </c>
    </row>
    <row r="76" ht="20" customHeight="1">
      <c r="B76" s="72" t="n"/>
      <c r="C76" s="72" t="n"/>
      <c r="D76" s="89" t="n"/>
      <c r="E76" s="108" t="n"/>
      <c r="F76" s="126">
        <f>IF(OR(D76="",E76=""),"",DATE(YEAR(E76),MONTH(E76)+D76,DAY(E76)))</f>
        <v/>
      </c>
      <c r="G76" s="145">
        <f>IF(F76="","",F76-AsOf)</f>
        <v/>
      </c>
      <c r="H76" s="107">
        <f>IF(F76="",IF(B76="","","Enter last-done date"),IF(G76&lt;0,"Overdue",IF(G76&lt;=30,"Due soon","OK")))</f>
        <v/>
      </c>
      <c r="K76" s="79">
        <f>IF(F76="","",IF(G76&lt;0,2,IF(G76&lt;=30,1,0)))</f>
        <v/>
      </c>
      <c r="L76" s="111">
        <f>IF(F76="","",F76)</f>
        <v/>
      </c>
      <c r="M76" s="79">
        <f>IF(L76="","",IF(L76&lt;=AsOf+AlertDays,2,IF(L76&lt;=AsOf+30,3,"")))</f>
        <v/>
      </c>
      <c r="N76" s="79">
        <f>IF(M76="","",IF(G76&lt;0,"Maintenance overdue: ","Maintenance due: ")&amp;B76)</f>
        <v/>
      </c>
    </row>
    <row r="77" ht="20" customHeight="1">
      <c r="B77" s="72" t="n"/>
      <c r="C77" s="72" t="n"/>
      <c r="D77" s="89" t="n"/>
      <c r="E77" s="108" t="n"/>
      <c r="F77" s="126">
        <f>IF(OR(D77="",E77=""),"",DATE(YEAR(E77),MONTH(E77)+D77,DAY(E77)))</f>
        <v/>
      </c>
      <c r="G77" s="145">
        <f>IF(F77="","",F77-AsOf)</f>
        <v/>
      </c>
      <c r="H77" s="107">
        <f>IF(F77="",IF(B77="","","Enter last-done date"),IF(G77&lt;0,"Overdue",IF(G77&lt;=30,"Due soon","OK")))</f>
        <v/>
      </c>
      <c r="K77" s="79">
        <f>IF(F77="","",IF(G77&lt;0,2,IF(G77&lt;=30,1,0)))</f>
        <v/>
      </c>
      <c r="L77" s="111">
        <f>IF(F77="","",F77)</f>
        <v/>
      </c>
      <c r="M77" s="79">
        <f>IF(L77="","",IF(L77&lt;=AsOf+AlertDays,2,IF(L77&lt;=AsOf+30,3,"")))</f>
        <v/>
      </c>
      <c r="N77" s="79">
        <f>IF(M77="","",IF(G77&lt;0,"Maintenance overdue: ","Maintenance due: ")&amp;B77)</f>
        <v/>
      </c>
    </row>
    <row r="78" ht="20" customHeight="1">
      <c r="B78" s="72" t="n"/>
      <c r="C78" s="72" t="n"/>
      <c r="D78" s="89" t="n"/>
      <c r="E78" s="108" t="n"/>
      <c r="F78" s="126">
        <f>IF(OR(D78="",E78=""),"",DATE(YEAR(E78),MONTH(E78)+D78,DAY(E78)))</f>
        <v/>
      </c>
      <c r="G78" s="145">
        <f>IF(F78="","",F78-AsOf)</f>
        <v/>
      </c>
      <c r="H78" s="107">
        <f>IF(F78="",IF(B78="","","Enter last-done date"),IF(G78&lt;0,"Overdue",IF(G78&lt;=30,"Due soon","OK")))</f>
        <v/>
      </c>
      <c r="K78" s="79">
        <f>IF(F78="","",IF(G78&lt;0,2,IF(G78&lt;=30,1,0)))</f>
        <v/>
      </c>
      <c r="L78" s="111">
        <f>IF(F78="","",F78)</f>
        <v/>
      </c>
      <c r="M78" s="79">
        <f>IF(L78="","",IF(L78&lt;=AsOf+AlertDays,2,IF(L78&lt;=AsOf+30,3,"")))</f>
        <v/>
      </c>
      <c r="N78" s="79">
        <f>IF(M78="","",IF(G78&lt;0,"Maintenance overdue: ","Maintenance due: ")&amp;B78)</f>
        <v/>
      </c>
    </row>
    <row r="79" ht="20" customHeight="1">
      <c r="B79" s="72" t="n"/>
      <c r="C79" s="72" t="n"/>
      <c r="D79" s="89" t="n"/>
      <c r="E79" s="108" t="n"/>
      <c r="F79" s="126">
        <f>IF(OR(D79="",E79=""),"",DATE(YEAR(E79),MONTH(E79)+D79,DAY(E79)))</f>
        <v/>
      </c>
      <c r="G79" s="145">
        <f>IF(F79="","",F79-AsOf)</f>
        <v/>
      </c>
      <c r="H79" s="107">
        <f>IF(F79="",IF(B79="","","Enter last-done date"),IF(G79&lt;0,"Overdue",IF(G79&lt;=30,"Due soon","OK")))</f>
        <v/>
      </c>
      <c r="K79" s="79">
        <f>IF(F79="","",IF(G79&lt;0,2,IF(G79&lt;=30,1,0)))</f>
        <v/>
      </c>
      <c r="L79" s="111">
        <f>IF(F79="","",F79)</f>
        <v/>
      </c>
      <c r="M79" s="79">
        <f>IF(L79="","",IF(L79&lt;=AsOf+AlertDays,2,IF(L79&lt;=AsOf+30,3,"")))</f>
        <v/>
      </c>
      <c r="N79" s="79">
        <f>IF(M79="","",IF(G79&lt;0,"Maintenance overdue: ","Maintenance due: ")&amp;B79)</f>
        <v/>
      </c>
    </row>
    <row r="80" ht="20" customHeight="1">
      <c r="B80" s="72" t="n"/>
      <c r="C80" s="72" t="n"/>
      <c r="D80" s="89" t="n"/>
      <c r="E80" s="108" t="n"/>
      <c r="F80" s="126">
        <f>IF(OR(D80="",E80=""),"",DATE(YEAR(E80),MONTH(E80)+D80,DAY(E80)))</f>
        <v/>
      </c>
      <c r="G80" s="145">
        <f>IF(F80="","",F80-AsOf)</f>
        <v/>
      </c>
      <c r="H80" s="107">
        <f>IF(F80="",IF(B80="","","Enter last-done date"),IF(G80&lt;0,"Overdue",IF(G80&lt;=30,"Due soon","OK")))</f>
        <v/>
      </c>
      <c r="K80" s="79">
        <f>IF(F80="","",IF(G80&lt;0,2,IF(G80&lt;=30,1,0)))</f>
        <v/>
      </c>
      <c r="L80" s="111">
        <f>IF(F80="","",F80)</f>
        <v/>
      </c>
      <c r="M80" s="79">
        <f>IF(L80="","",IF(L80&lt;=AsOf+AlertDays,2,IF(L80&lt;=AsOf+30,3,"")))</f>
        <v/>
      </c>
      <c r="N80" s="79">
        <f>IF(M80="","",IF(G80&lt;0,"Maintenance overdue: ","Maintenance due: ")&amp;B80)</f>
        <v/>
      </c>
    </row>
    <row r="81" ht="20" customHeight="1">
      <c r="B81" s="72" t="n"/>
      <c r="C81" s="72" t="n"/>
      <c r="D81" s="89" t="n"/>
      <c r="E81" s="108" t="n"/>
      <c r="F81" s="126">
        <f>IF(OR(D81="",E81=""),"",DATE(YEAR(E81),MONTH(E81)+D81,DAY(E81)))</f>
        <v/>
      </c>
      <c r="G81" s="145">
        <f>IF(F81="","",F81-AsOf)</f>
        <v/>
      </c>
      <c r="H81" s="107">
        <f>IF(F81="",IF(B81="","","Enter last-done date"),IF(G81&lt;0,"Overdue",IF(G81&lt;=30,"Due soon","OK")))</f>
        <v/>
      </c>
      <c r="K81" s="79">
        <f>IF(F81="","",IF(G81&lt;0,2,IF(G81&lt;=30,1,0)))</f>
        <v/>
      </c>
      <c r="L81" s="111">
        <f>IF(F81="","",F81)</f>
        <v/>
      </c>
      <c r="M81" s="79">
        <f>IF(L81="","",IF(L81&lt;=AsOf+AlertDays,2,IF(L81&lt;=AsOf+30,3,"")))</f>
        <v/>
      </c>
      <c r="N81" s="79">
        <f>IF(M81="","",IF(G81&lt;0,"Maintenance overdue: ","Maintenance due: ")&amp;B81)</f>
        <v/>
      </c>
    </row>
    <row r="82" ht="20" customHeight="1">
      <c r="B82" s="72" t="n"/>
      <c r="C82" s="72" t="n"/>
      <c r="D82" s="89" t="n"/>
      <c r="E82" s="108" t="n"/>
      <c r="F82" s="126">
        <f>IF(OR(D82="",E82=""),"",DATE(YEAR(E82),MONTH(E82)+D82,DAY(E82)))</f>
        <v/>
      </c>
      <c r="G82" s="145">
        <f>IF(F82="","",F82-AsOf)</f>
        <v/>
      </c>
      <c r="H82" s="107">
        <f>IF(F82="",IF(B82="","","Enter last-done date"),IF(G82&lt;0,"Overdue",IF(G82&lt;=30,"Due soon","OK")))</f>
        <v/>
      </c>
      <c r="K82" s="79">
        <f>IF(F82="","",IF(G82&lt;0,2,IF(G82&lt;=30,1,0)))</f>
        <v/>
      </c>
      <c r="L82" s="111">
        <f>IF(F82="","",F82)</f>
        <v/>
      </c>
      <c r="M82" s="79">
        <f>IF(L82="","",IF(L82&lt;=AsOf+AlertDays,2,IF(L82&lt;=AsOf+30,3,"")))</f>
        <v/>
      </c>
      <c r="N82" s="79">
        <f>IF(M82="","",IF(G82&lt;0,"Maintenance overdue: ","Maintenance due: ")&amp;B82)</f>
        <v/>
      </c>
    </row>
    <row r="83" ht="20" customHeight="1">
      <c r="B83" s="72" t="n"/>
      <c r="C83" s="72" t="n"/>
      <c r="D83" s="89" t="n"/>
      <c r="E83" s="108" t="n"/>
      <c r="F83" s="126">
        <f>IF(OR(D83="",E83=""),"",DATE(YEAR(E83),MONTH(E83)+D83,DAY(E83)))</f>
        <v/>
      </c>
      <c r="G83" s="145">
        <f>IF(F83="","",F83-AsOf)</f>
        <v/>
      </c>
      <c r="H83" s="107">
        <f>IF(F83="",IF(B83="","","Enter last-done date"),IF(G83&lt;0,"Overdue",IF(G83&lt;=30,"Due soon","OK")))</f>
        <v/>
      </c>
      <c r="K83" s="79">
        <f>IF(F83="","",IF(G83&lt;0,2,IF(G83&lt;=30,1,0)))</f>
        <v/>
      </c>
      <c r="L83" s="111">
        <f>IF(F83="","",F83)</f>
        <v/>
      </c>
      <c r="M83" s="79">
        <f>IF(L83="","",IF(L83&lt;=AsOf+AlertDays,2,IF(L83&lt;=AsOf+30,3,"")))</f>
        <v/>
      </c>
      <c r="N83" s="79">
        <f>IF(M83="","",IF(G83&lt;0,"Maintenance overdue: ","Maintenance due: ")&amp;B83)</f>
        <v/>
      </c>
    </row>
    <row r="84" ht="20" customHeight="1">
      <c r="B84" s="72" t="n"/>
      <c r="C84" s="72" t="n"/>
      <c r="D84" s="89" t="n"/>
      <c r="E84" s="108" t="n"/>
      <c r="F84" s="126">
        <f>IF(OR(D84="",E84=""),"",DATE(YEAR(E84),MONTH(E84)+D84,DAY(E84)))</f>
        <v/>
      </c>
      <c r="G84" s="145">
        <f>IF(F84="","",F84-AsOf)</f>
        <v/>
      </c>
      <c r="H84" s="107">
        <f>IF(F84="",IF(B84="","","Enter last-done date"),IF(G84&lt;0,"Overdue",IF(G84&lt;=30,"Due soon","OK")))</f>
        <v/>
      </c>
      <c r="K84" s="79">
        <f>IF(F84="","",IF(G84&lt;0,2,IF(G84&lt;=30,1,0)))</f>
        <v/>
      </c>
      <c r="L84" s="111">
        <f>IF(F84="","",F84)</f>
        <v/>
      </c>
      <c r="M84" s="79">
        <f>IF(L84="","",IF(L84&lt;=AsOf+AlertDays,2,IF(L84&lt;=AsOf+30,3,"")))</f>
        <v/>
      </c>
      <c r="N84" s="79">
        <f>IF(M84="","",IF(G84&lt;0,"Maintenance overdue: ","Maintenance due: ")&amp;B84)</f>
        <v/>
      </c>
    </row>
    <row r="85" ht="20" customHeight="1">
      <c r="B85" s="72" t="n"/>
      <c r="C85" s="72" t="n"/>
      <c r="D85" s="89" t="n"/>
      <c r="E85" s="108" t="n"/>
      <c r="F85" s="126">
        <f>IF(OR(D85="",E85=""),"",DATE(YEAR(E85),MONTH(E85)+D85,DAY(E85)))</f>
        <v/>
      </c>
      <c r="G85" s="145">
        <f>IF(F85="","",F85-AsOf)</f>
        <v/>
      </c>
      <c r="H85" s="107">
        <f>IF(F85="",IF(B85="","","Enter last-done date"),IF(G85&lt;0,"Overdue",IF(G85&lt;=30,"Due soon","OK")))</f>
        <v/>
      </c>
      <c r="K85" s="79">
        <f>IF(F85="","",IF(G85&lt;0,2,IF(G85&lt;=30,1,0)))</f>
        <v/>
      </c>
      <c r="L85" s="111">
        <f>IF(F85="","",F85)</f>
        <v/>
      </c>
      <c r="M85" s="79">
        <f>IF(L85="","",IF(L85&lt;=AsOf+AlertDays,2,IF(L85&lt;=AsOf+30,3,"")))</f>
        <v/>
      </c>
      <c r="N85" s="79">
        <f>IF(M85="","",IF(G85&lt;0,"Maintenance overdue: ","Maintenance due: ")&amp;B85)</f>
        <v/>
      </c>
    </row>
    <row r="86" ht="20" customHeight="1">
      <c r="B86" s="72" t="n"/>
      <c r="C86" s="72" t="n"/>
      <c r="D86" s="89" t="n"/>
      <c r="E86" s="108" t="n"/>
      <c r="F86" s="126">
        <f>IF(OR(D86="",E86=""),"",DATE(YEAR(E86),MONTH(E86)+D86,DAY(E86)))</f>
        <v/>
      </c>
      <c r="G86" s="145">
        <f>IF(F86="","",F86-AsOf)</f>
        <v/>
      </c>
      <c r="H86" s="107">
        <f>IF(F86="",IF(B86="","","Enter last-done date"),IF(G86&lt;0,"Overdue",IF(G86&lt;=30,"Due soon","OK")))</f>
        <v/>
      </c>
      <c r="K86" s="79">
        <f>IF(F86="","",IF(G86&lt;0,2,IF(G86&lt;=30,1,0)))</f>
        <v/>
      </c>
      <c r="L86" s="111">
        <f>IF(F86="","",F86)</f>
        <v/>
      </c>
      <c r="M86" s="79">
        <f>IF(L86="","",IF(L86&lt;=AsOf+AlertDays,2,IF(L86&lt;=AsOf+30,3,"")))</f>
        <v/>
      </c>
      <c r="N86" s="79">
        <f>IF(M86="","",IF(G86&lt;0,"Maintenance overdue: ","Maintenance due: ")&amp;B86)</f>
        <v/>
      </c>
    </row>
    <row r="87" ht="20" customHeight="1">
      <c r="B87" s="72" t="n"/>
      <c r="C87" s="72" t="n"/>
      <c r="D87" s="89" t="n"/>
      <c r="E87" s="108" t="n"/>
      <c r="F87" s="126">
        <f>IF(OR(D87="",E87=""),"",DATE(YEAR(E87),MONTH(E87)+D87,DAY(E87)))</f>
        <v/>
      </c>
      <c r="G87" s="145">
        <f>IF(F87="","",F87-AsOf)</f>
        <v/>
      </c>
      <c r="H87" s="107">
        <f>IF(F87="",IF(B87="","","Enter last-done date"),IF(G87&lt;0,"Overdue",IF(G87&lt;=30,"Due soon","OK")))</f>
        <v/>
      </c>
      <c r="K87" s="79">
        <f>IF(F87="","",IF(G87&lt;0,2,IF(G87&lt;=30,1,0)))</f>
        <v/>
      </c>
      <c r="L87" s="111">
        <f>IF(F87="","",F87)</f>
        <v/>
      </c>
      <c r="M87" s="79">
        <f>IF(L87="","",IF(L87&lt;=AsOf+AlertDays,2,IF(L87&lt;=AsOf+30,3,"")))</f>
        <v/>
      </c>
      <c r="N87" s="79">
        <f>IF(M87="","",IF(G87&lt;0,"Maintenance overdue: ","Maintenance due: ")&amp;B87)</f>
        <v/>
      </c>
    </row>
    <row r="88" ht="20" customHeight="1">
      <c r="B88" s="72" t="n"/>
      <c r="C88" s="72" t="n"/>
      <c r="D88" s="89" t="n"/>
      <c r="E88" s="108" t="n"/>
      <c r="F88" s="126">
        <f>IF(OR(D88="",E88=""),"",DATE(YEAR(E88),MONTH(E88)+D88,DAY(E88)))</f>
        <v/>
      </c>
      <c r="G88" s="145">
        <f>IF(F88="","",F88-AsOf)</f>
        <v/>
      </c>
      <c r="H88" s="107">
        <f>IF(F88="",IF(B88="","","Enter last-done date"),IF(G88&lt;0,"Overdue",IF(G88&lt;=30,"Due soon","OK")))</f>
        <v/>
      </c>
      <c r="K88" s="79">
        <f>IF(F88="","",IF(G88&lt;0,2,IF(G88&lt;=30,1,0)))</f>
        <v/>
      </c>
      <c r="L88" s="111">
        <f>IF(F88="","",F88)</f>
        <v/>
      </c>
      <c r="M88" s="79">
        <f>IF(L88="","",IF(L88&lt;=AsOf+AlertDays,2,IF(L88&lt;=AsOf+30,3,"")))</f>
        <v/>
      </c>
      <c r="N88" s="79">
        <f>IF(M88="","",IF(G88&lt;0,"Maintenance overdue: ","Maintenance due: ")&amp;B88)</f>
        <v/>
      </c>
    </row>
    <row r="89" ht="20" customHeight="1">
      <c r="B89" s="72" t="n"/>
      <c r="C89" s="72" t="n"/>
      <c r="D89" s="89" t="n"/>
      <c r="E89" s="108" t="n"/>
      <c r="F89" s="126">
        <f>IF(OR(D89="",E89=""),"",DATE(YEAR(E89),MONTH(E89)+D89,DAY(E89)))</f>
        <v/>
      </c>
      <c r="G89" s="145">
        <f>IF(F89="","",F89-AsOf)</f>
        <v/>
      </c>
      <c r="H89" s="107">
        <f>IF(F89="",IF(B89="","","Enter last-done date"),IF(G89&lt;0,"Overdue",IF(G89&lt;=30,"Due soon","OK")))</f>
        <v/>
      </c>
      <c r="K89" s="79">
        <f>IF(F89="","",IF(G89&lt;0,2,IF(G89&lt;=30,1,0)))</f>
        <v/>
      </c>
      <c r="L89" s="111">
        <f>IF(F89="","",F89)</f>
        <v/>
      </c>
      <c r="M89" s="79">
        <f>IF(L89="","",IF(L89&lt;=AsOf+AlertDays,2,IF(L89&lt;=AsOf+30,3,"")))</f>
        <v/>
      </c>
      <c r="N89" s="79">
        <f>IF(M89="","",IF(G89&lt;0,"Maintenance overdue: ","Maintenance due: ")&amp;B89)</f>
        <v/>
      </c>
    </row>
    <row r="90" ht="20" customHeight="1">
      <c r="B90" s="72" t="n"/>
      <c r="C90" s="72" t="n"/>
      <c r="D90" s="89" t="n"/>
      <c r="E90" s="108" t="n"/>
      <c r="F90" s="126">
        <f>IF(OR(D90="",E90=""),"",DATE(YEAR(E90),MONTH(E90)+D90,DAY(E90)))</f>
        <v/>
      </c>
      <c r="G90" s="145">
        <f>IF(F90="","",F90-AsOf)</f>
        <v/>
      </c>
      <c r="H90" s="107">
        <f>IF(F90="",IF(B90="","","Enter last-done date"),IF(G90&lt;0,"Overdue",IF(G90&lt;=30,"Due soon","OK")))</f>
        <v/>
      </c>
      <c r="K90" s="79">
        <f>IF(F90="","",IF(G90&lt;0,2,IF(G90&lt;=30,1,0)))</f>
        <v/>
      </c>
      <c r="L90" s="111">
        <f>IF(F90="","",F90)</f>
        <v/>
      </c>
      <c r="M90" s="79">
        <f>IF(L90="","",IF(L90&lt;=AsOf+AlertDays,2,IF(L90&lt;=AsOf+30,3,"")))</f>
        <v/>
      </c>
      <c r="N90" s="79">
        <f>IF(M90="","",IF(G90&lt;0,"Maintenance overdue: ","Maintenance due: ")&amp;B90)</f>
        <v/>
      </c>
    </row>
    <row r="91" ht="20" customHeight="1">
      <c r="B91" s="72" t="n"/>
      <c r="C91" s="72" t="n"/>
      <c r="D91" s="89" t="n"/>
      <c r="E91" s="108" t="n"/>
      <c r="F91" s="126">
        <f>IF(OR(D91="",E91=""),"",DATE(YEAR(E91),MONTH(E91)+D91,DAY(E91)))</f>
        <v/>
      </c>
      <c r="G91" s="145">
        <f>IF(F91="","",F91-AsOf)</f>
        <v/>
      </c>
      <c r="H91" s="107">
        <f>IF(F91="",IF(B91="","","Enter last-done date"),IF(G91&lt;0,"Overdue",IF(G91&lt;=30,"Due soon","OK")))</f>
        <v/>
      </c>
      <c r="K91" s="79">
        <f>IF(F91="","",IF(G91&lt;0,2,IF(G91&lt;=30,1,0)))</f>
        <v/>
      </c>
      <c r="L91" s="111">
        <f>IF(F91="","",F91)</f>
        <v/>
      </c>
      <c r="M91" s="79">
        <f>IF(L91="","",IF(L91&lt;=AsOf+AlertDays,2,IF(L91&lt;=AsOf+30,3,"")))</f>
        <v/>
      </c>
      <c r="N91" s="79">
        <f>IF(M91="","",IF(G91&lt;0,"Maintenance overdue: ","Maintenance due: ")&amp;B91)</f>
        <v/>
      </c>
    </row>
    <row r="92" ht="20" customHeight="1">
      <c r="B92" s="72" t="n"/>
      <c r="C92" s="72" t="n"/>
      <c r="D92" s="89" t="n"/>
      <c r="E92" s="108" t="n"/>
      <c r="F92" s="126">
        <f>IF(OR(D92="",E92=""),"",DATE(YEAR(E92),MONTH(E92)+D92,DAY(E92)))</f>
        <v/>
      </c>
      <c r="G92" s="145">
        <f>IF(F92="","",F92-AsOf)</f>
        <v/>
      </c>
      <c r="H92" s="107">
        <f>IF(F92="",IF(B92="","","Enter last-done date"),IF(G92&lt;0,"Overdue",IF(G92&lt;=30,"Due soon","OK")))</f>
        <v/>
      </c>
      <c r="K92" s="79">
        <f>IF(F92="","",IF(G92&lt;0,2,IF(G92&lt;=30,1,0)))</f>
        <v/>
      </c>
      <c r="L92" s="111">
        <f>IF(F92="","",F92)</f>
        <v/>
      </c>
      <c r="M92" s="79">
        <f>IF(L92="","",IF(L92&lt;=AsOf+AlertDays,2,IF(L92&lt;=AsOf+30,3,"")))</f>
        <v/>
      </c>
      <c r="N92" s="79">
        <f>IF(M92="","",IF(G92&lt;0,"Maintenance overdue: ","Maintenance due: ")&amp;B92)</f>
        <v/>
      </c>
    </row>
    <row r="93" ht="20" customHeight="1">
      <c r="B93" s="72" t="n"/>
      <c r="C93" s="72" t="n"/>
      <c r="D93" s="89" t="n"/>
      <c r="E93" s="108" t="n"/>
      <c r="F93" s="126">
        <f>IF(OR(D93="",E93=""),"",DATE(YEAR(E93),MONTH(E93)+D93,DAY(E93)))</f>
        <v/>
      </c>
      <c r="G93" s="145">
        <f>IF(F93="","",F93-AsOf)</f>
        <v/>
      </c>
      <c r="H93" s="107">
        <f>IF(F93="",IF(B93="","","Enter last-done date"),IF(G93&lt;0,"Overdue",IF(G93&lt;=30,"Due soon","OK")))</f>
        <v/>
      </c>
      <c r="K93" s="79">
        <f>IF(F93="","",IF(G93&lt;0,2,IF(G93&lt;=30,1,0)))</f>
        <v/>
      </c>
      <c r="L93" s="111">
        <f>IF(F93="","",F93)</f>
        <v/>
      </c>
      <c r="M93" s="79">
        <f>IF(L93="","",IF(L93&lt;=AsOf+AlertDays,2,IF(L93&lt;=AsOf+30,3,"")))</f>
        <v/>
      </c>
      <c r="N93" s="79">
        <f>IF(M93="","",IF(G93&lt;0,"Maintenance overdue: ","Maintenance due: ")&amp;B93)</f>
        <v/>
      </c>
    </row>
    <row r="94" ht="20" customHeight="1">
      <c r="B94" s="72" t="n"/>
      <c r="C94" s="72" t="n"/>
      <c r="D94" s="89" t="n"/>
      <c r="E94" s="108" t="n"/>
      <c r="F94" s="126">
        <f>IF(OR(D94="",E94=""),"",DATE(YEAR(E94),MONTH(E94)+D94,DAY(E94)))</f>
        <v/>
      </c>
      <c r="G94" s="145">
        <f>IF(F94="","",F94-AsOf)</f>
        <v/>
      </c>
      <c r="H94" s="107">
        <f>IF(F94="",IF(B94="","","Enter last-done date"),IF(G94&lt;0,"Overdue",IF(G94&lt;=30,"Due soon","OK")))</f>
        <v/>
      </c>
      <c r="K94" s="79">
        <f>IF(F94="","",IF(G94&lt;0,2,IF(G94&lt;=30,1,0)))</f>
        <v/>
      </c>
      <c r="L94" s="111">
        <f>IF(F94="","",F94)</f>
        <v/>
      </c>
      <c r="M94" s="79">
        <f>IF(L94="","",IF(L94&lt;=AsOf+AlertDays,2,IF(L94&lt;=AsOf+30,3,"")))</f>
        <v/>
      </c>
      <c r="N94" s="79">
        <f>IF(M94="","",IF(G94&lt;0,"Maintenance overdue: ","Maintenance due: ")&amp;B94)</f>
        <v/>
      </c>
    </row>
    <row r="95" ht="20" customHeight="1">
      <c r="B95" s="72" t="n"/>
      <c r="C95" s="72" t="n"/>
      <c r="D95" s="89" t="n"/>
      <c r="E95" s="108" t="n"/>
      <c r="F95" s="126">
        <f>IF(OR(D95="",E95=""),"",DATE(YEAR(E95),MONTH(E95)+D95,DAY(E95)))</f>
        <v/>
      </c>
      <c r="G95" s="145">
        <f>IF(F95="","",F95-AsOf)</f>
        <v/>
      </c>
      <c r="H95" s="107">
        <f>IF(F95="",IF(B95="","","Enter last-done date"),IF(G95&lt;0,"Overdue",IF(G95&lt;=30,"Due soon","OK")))</f>
        <v/>
      </c>
      <c r="K95" s="79">
        <f>IF(F95="","",IF(G95&lt;0,2,IF(G95&lt;=30,1,0)))</f>
        <v/>
      </c>
      <c r="L95" s="111">
        <f>IF(F95="","",F95)</f>
        <v/>
      </c>
      <c r="M95" s="79">
        <f>IF(L95="","",IF(L95&lt;=AsOf+AlertDays,2,IF(L95&lt;=AsOf+30,3,"")))</f>
        <v/>
      </c>
      <c r="N95" s="79">
        <f>IF(M95="","",IF(G95&lt;0,"Maintenance overdue: ","Maintenance due: ")&amp;B95)</f>
        <v/>
      </c>
    </row>
    <row r="96" ht="20" customHeight="1">
      <c r="B96" s="72" t="n"/>
      <c r="C96" s="72" t="n"/>
      <c r="D96" s="89" t="n"/>
      <c r="E96" s="108" t="n"/>
      <c r="F96" s="126">
        <f>IF(OR(D96="",E96=""),"",DATE(YEAR(E96),MONTH(E96)+D96,DAY(E96)))</f>
        <v/>
      </c>
      <c r="G96" s="145">
        <f>IF(F96="","",F96-AsOf)</f>
        <v/>
      </c>
      <c r="H96" s="107">
        <f>IF(F96="",IF(B96="","","Enter last-done date"),IF(G96&lt;0,"Overdue",IF(G96&lt;=30,"Due soon","OK")))</f>
        <v/>
      </c>
      <c r="K96" s="79">
        <f>IF(F96="","",IF(G96&lt;0,2,IF(G96&lt;=30,1,0)))</f>
        <v/>
      </c>
      <c r="L96" s="111">
        <f>IF(F96="","",F96)</f>
        <v/>
      </c>
      <c r="M96" s="79">
        <f>IF(L96="","",IF(L96&lt;=AsOf+AlertDays,2,IF(L96&lt;=AsOf+30,3,"")))</f>
        <v/>
      </c>
      <c r="N96" s="79">
        <f>IF(M96="","",IF(G96&lt;0,"Maintenance overdue: ","Maintenance due: ")&amp;B96)</f>
        <v/>
      </c>
    </row>
    <row r="97" ht="20" customHeight="1">
      <c r="B97" s="72" t="n"/>
      <c r="C97" s="72" t="n"/>
      <c r="D97" s="89" t="n"/>
      <c r="E97" s="108" t="n"/>
      <c r="F97" s="126">
        <f>IF(OR(D97="",E97=""),"",DATE(YEAR(E97),MONTH(E97)+D97,DAY(E97)))</f>
        <v/>
      </c>
      <c r="G97" s="145">
        <f>IF(F97="","",F97-AsOf)</f>
        <v/>
      </c>
      <c r="H97" s="107">
        <f>IF(F97="",IF(B97="","","Enter last-done date"),IF(G97&lt;0,"Overdue",IF(G97&lt;=30,"Due soon","OK")))</f>
        <v/>
      </c>
      <c r="K97" s="79">
        <f>IF(F97="","",IF(G97&lt;0,2,IF(G97&lt;=30,1,0)))</f>
        <v/>
      </c>
      <c r="L97" s="111">
        <f>IF(F97="","",F97)</f>
        <v/>
      </c>
      <c r="M97" s="79">
        <f>IF(L97="","",IF(L97&lt;=AsOf+AlertDays,2,IF(L97&lt;=AsOf+30,3,"")))</f>
        <v/>
      </c>
      <c r="N97" s="79">
        <f>IF(M97="","",IF(G97&lt;0,"Maintenance overdue: ","Maintenance due: ")&amp;B97)</f>
        <v/>
      </c>
    </row>
    <row r="98" ht="20" customHeight="1">
      <c r="B98" s="72" t="n"/>
      <c r="C98" s="72" t="n"/>
      <c r="D98" s="89" t="n"/>
      <c r="E98" s="108" t="n"/>
      <c r="F98" s="126">
        <f>IF(OR(D98="",E98=""),"",DATE(YEAR(E98),MONTH(E98)+D98,DAY(E98)))</f>
        <v/>
      </c>
      <c r="G98" s="145">
        <f>IF(F98="","",F98-AsOf)</f>
        <v/>
      </c>
      <c r="H98" s="107">
        <f>IF(F98="",IF(B98="","","Enter last-done date"),IF(G98&lt;0,"Overdue",IF(G98&lt;=30,"Due soon","OK")))</f>
        <v/>
      </c>
      <c r="K98" s="79">
        <f>IF(F98="","",IF(G98&lt;0,2,IF(G98&lt;=30,1,0)))</f>
        <v/>
      </c>
      <c r="L98" s="111">
        <f>IF(F98="","",F98)</f>
        <v/>
      </c>
      <c r="M98" s="79">
        <f>IF(L98="","",IF(L98&lt;=AsOf+AlertDays,2,IF(L98&lt;=AsOf+30,3,"")))</f>
        <v/>
      </c>
      <c r="N98" s="79">
        <f>IF(M98="","",IF(G98&lt;0,"Maintenance overdue: ","Maintenance due: ")&amp;B98)</f>
        <v/>
      </c>
    </row>
    <row r="99" ht="20" customHeight="1">
      <c r="B99" s="72" t="n"/>
      <c r="C99" s="72" t="n"/>
      <c r="D99" s="89" t="n"/>
      <c r="E99" s="108" t="n"/>
      <c r="F99" s="126">
        <f>IF(OR(D99="",E99=""),"",DATE(YEAR(E99),MONTH(E99)+D99,DAY(E99)))</f>
        <v/>
      </c>
      <c r="G99" s="145">
        <f>IF(F99="","",F99-AsOf)</f>
        <v/>
      </c>
      <c r="H99" s="107">
        <f>IF(F99="",IF(B99="","","Enter last-done date"),IF(G99&lt;0,"Overdue",IF(G99&lt;=30,"Due soon","OK")))</f>
        <v/>
      </c>
      <c r="K99" s="79">
        <f>IF(F99="","",IF(G99&lt;0,2,IF(G99&lt;=30,1,0)))</f>
        <v/>
      </c>
      <c r="L99" s="111">
        <f>IF(F99="","",F99)</f>
        <v/>
      </c>
      <c r="M99" s="79">
        <f>IF(L99="","",IF(L99&lt;=AsOf+AlertDays,2,IF(L99&lt;=AsOf+30,3,"")))</f>
        <v/>
      </c>
      <c r="N99" s="79">
        <f>IF(M99="","",IF(G99&lt;0,"Maintenance overdue: ","Maintenance due: ")&amp;B99)</f>
        <v/>
      </c>
    </row>
    <row r="100" ht="20" customHeight="1">
      <c r="B100" s="72" t="n"/>
      <c r="C100" s="72" t="n"/>
      <c r="D100" s="89" t="n"/>
      <c r="E100" s="108" t="n"/>
      <c r="F100" s="126">
        <f>IF(OR(D100="",E100=""),"",DATE(YEAR(E100),MONTH(E100)+D100,DAY(E100)))</f>
        <v/>
      </c>
      <c r="G100" s="145">
        <f>IF(F100="","",F100-AsOf)</f>
        <v/>
      </c>
      <c r="H100" s="107">
        <f>IF(F100="",IF(B100="","","Enter last-done date"),IF(G100&lt;0,"Overdue",IF(G100&lt;=30,"Due soon","OK")))</f>
        <v/>
      </c>
      <c r="K100" s="79">
        <f>IF(F100="","",IF(G100&lt;0,2,IF(G100&lt;=30,1,0)))</f>
        <v/>
      </c>
      <c r="L100" s="111">
        <f>IF(F100="","",F100)</f>
        <v/>
      </c>
      <c r="M100" s="79">
        <f>IF(L100="","",IF(L100&lt;=AsOf+AlertDays,2,IF(L100&lt;=AsOf+30,3,"")))</f>
        <v/>
      </c>
      <c r="N100" s="79">
        <f>IF(M100="","",IF(G100&lt;0,"Maintenance overdue: ","Maintenance due: ")&amp;B100)</f>
        <v/>
      </c>
    </row>
    <row r="101" ht="20" customHeight="1">
      <c r="B101" s="72" t="n"/>
      <c r="C101" s="72" t="n"/>
      <c r="D101" s="89" t="n"/>
      <c r="E101" s="108" t="n"/>
      <c r="F101" s="126">
        <f>IF(OR(D101="",E101=""),"",DATE(YEAR(E101),MONTH(E101)+D101,DAY(E101)))</f>
        <v/>
      </c>
      <c r="G101" s="145">
        <f>IF(F101="","",F101-AsOf)</f>
        <v/>
      </c>
      <c r="H101" s="107">
        <f>IF(F101="",IF(B101="","","Enter last-done date"),IF(G101&lt;0,"Overdue",IF(G101&lt;=30,"Due soon","OK")))</f>
        <v/>
      </c>
      <c r="K101" s="79">
        <f>IF(F101="","",IF(G101&lt;0,2,IF(G101&lt;=30,1,0)))</f>
        <v/>
      </c>
      <c r="L101" s="111">
        <f>IF(F101="","",F101)</f>
        <v/>
      </c>
      <c r="M101" s="79">
        <f>IF(L101="","",IF(L101&lt;=AsOf+AlertDays,2,IF(L101&lt;=AsOf+30,3,"")))</f>
        <v/>
      </c>
      <c r="N101" s="79">
        <f>IF(M101="","",IF(G101&lt;0,"Maintenance overdue: ","Maintenance due: ")&amp;B101)</f>
        <v/>
      </c>
    </row>
    <row r="102" ht="20" customHeight="1">
      <c r="B102" s="72" t="n"/>
      <c r="C102" s="72" t="n"/>
      <c r="D102" s="89" t="n"/>
      <c r="E102" s="108" t="n"/>
      <c r="F102" s="126">
        <f>IF(OR(D102="",E102=""),"",DATE(YEAR(E102),MONTH(E102)+D102,DAY(E102)))</f>
        <v/>
      </c>
      <c r="G102" s="145">
        <f>IF(F102="","",F102-AsOf)</f>
        <v/>
      </c>
      <c r="H102" s="107">
        <f>IF(F102="",IF(B102="","","Enter last-done date"),IF(G102&lt;0,"Overdue",IF(G102&lt;=30,"Due soon","OK")))</f>
        <v/>
      </c>
      <c r="K102" s="79">
        <f>IF(F102="","",IF(G102&lt;0,2,IF(G102&lt;=30,1,0)))</f>
        <v/>
      </c>
      <c r="L102" s="111">
        <f>IF(F102="","",F102)</f>
        <v/>
      </c>
      <c r="M102" s="79">
        <f>IF(L102="","",IF(L102&lt;=AsOf+AlertDays,2,IF(L102&lt;=AsOf+30,3,"")))</f>
        <v/>
      </c>
      <c r="N102" s="79">
        <f>IF(M102="","",IF(G102&lt;0,"Maintenance overdue: ","Maintenance due: ")&amp;B102)</f>
        <v/>
      </c>
    </row>
    <row r="103" ht="20" customHeight="1">
      <c r="B103" s="72" t="n"/>
      <c r="C103" s="72" t="n"/>
      <c r="D103" s="89" t="n"/>
      <c r="E103" s="108" t="n"/>
      <c r="F103" s="126">
        <f>IF(OR(D103="",E103=""),"",DATE(YEAR(E103),MONTH(E103)+D103,DAY(E103)))</f>
        <v/>
      </c>
      <c r="G103" s="145">
        <f>IF(F103="","",F103-AsOf)</f>
        <v/>
      </c>
      <c r="H103" s="107">
        <f>IF(F103="",IF(B103="","","Enter last-done date"),IF(G103&lt;0,"Overdue",IF(G103&lt;=30,"Due soon","OK")))</f>
        <v/>
      </c>
      <c r="K103" s="79">
        <f>IF(F103="","",IF(G103&lt;0,2,IF(G103&lt;=30,1,0)))</f>
        <v/>
      </c>
      <c r="L103" s="111">
        <f>IF(F103="","",F103)</f>
        <v/>
      </c>
      <c r="M103" s="79">
        <f>IF(L103="","",IF(L103&lt;=AsOf+AlertDays,2,IF(L103&lt;=AsOf+30,3,"")))</f>
        <v/>
      </c>
      <c r="N103" s="79">
        <f>IF(M103="","",IF(G103&lt;0,"Maintenance overdue: ","Maintenance due: ")&amp;B103)</f>
        <v/>
      </c>
    </row>
    <row r="104" ht="20" customHeight="1">
      <c r="B104" s="72" t="n"/>
      <c r="C104" s="72" t="n"/>
      <c r="D104" s="89" t="n"/>
      <c r="E104" s="108" t="n"/>
      <c r="F104" s="126">
        <f>IF(OR(D104="",E104=""),"",DATE(YEAR(E104),MONTH(E104)+D104,DAY(E104)))</f>
        <v/>
      </c>
      <c r="G104" s="145">
        <f>IF(F104="","",F104-AsOf)</f>
        <v/>
      </c>
      <c r="H104" s="107">
        <f>IF(F104="",IF(B104="","","Enter last-done date"),IF(G104&lt;0,"Overdue",IF(G104&lt;=30,"Due soon","OK")))</f>
        <v/>
      </c>
      <c r="K104" s="79">
        <f>IF(F104="","",IF(G104&lt;0,2,IF(G104&lt;=30,1,0)))</f>
        <v/>
      </c>
      <c r="L104" s="111">
        <f>IF(F104="","",F104)</f>
        <v/>
      </c>
      <c r="M104" s="79">
        <f>IF(L104="","",IF(L104&lt;=AsOf+AlertDays,2,IF(L104&lt;=AsOf+30,3,"")))</f>
        <v/>
      </c>
      <c r="N104" s="79">
        <f>IF(M104="","",IF(G104&lt;0,"Maintenance overdue: ","Maintenance due: ")&amp;B104)</f>
        <v/>
      </c>
    </row>
    <row r="105" ht="20" customHeight="1">
      <c r="B105" s="72" t="n"/>
      <c r="C105" s="72" t="n"/>
      <c r="D105" s="89" t="n"/>
      <c r="E105" s="108" t="n"/>
      <c r="F105" s="126">
        <f>IF(OR(D105="",E105=""),"",DATE(YEAR(E105),MONTH(E105)+D105,DAY(E105)))</f>
        <v/>
      </c>
      <c r="G105" s="145">
        <f>IF(F105="","",F105-AsOf)</f>
        <v/>
      </c>
      <c r="H105" s="107">
        <f>IF(F105="",IF(B105="","","Enter last-done date"),IF(G105&lt;0,"Overdue",IF(G105&lt;=30,"Due soon","OK")))</f>
        <v/>
      </c>
      <c r="K105" s="79">
        <f>IF(F105="","",IF(G105&lt;0,2,IF(G105&lt;=30,1,0)))</f>
        <v/>
      </c>
      <c r="L105" s="111">
        <f>IF(F105="","",F105)</f>
        <v/>
      </c>
      <c r="M105" s="79">
        <f>IF(L105="","",IF(L105&lt;=AsOf+AlertDays,2,IF(L105&lt;=AsOf+30,3,"")))</f>
        <v/>
      </c>
      <c r="N105" s="79">
        <f>IF(M105="","",IF(G105&lt;0,"Maintenance overdue: ","Maintenance due: ")&amp;B105)</f>
        <v/>
      </c>
    </row>
    <row r="106" ht="20" customHeight="1">
      <c r="B106" s="72" t="n"/>
      <c r="C106" s="72" t="n"/>
      <c r="D106" s="89" t="n"/>
      <c r="E106" s="108" t="n"/>
      <c r="F106" s="126">
        <f>IF(OR(D106="",E106=""),"",DATE(YEAR(E106),MONTH(E106)+D106,DAY(E106)))</f>
        <v/>
      </c>
      <c r="G106" s="145">
        <f>IF(F106="","",F106-AsOf)</f>
        <v/>
      </c>
      <c r="H106" s="107">
        <f>IF(F106="",IF(B106="","","Enter last-done date"),IF(G106&lt;0,"Overdue",IF(G106&lt;=30,"Due soon","OK")))</f>
        <v/>
      </c>
      <c r="K106" s="79">
        <f>IF(F106="","",IF(G106&lt;0,2,IF(G106&lt;=30,1,0)))</f>
        <v/>
      </c>
      <c r="L106" s="111">
        <f>IF(F106="","",F106)</f>
        <v/>
      </c>
      <c r="M106" s="79">
        <f>IF(L106="","",IF(L106&lt;=AsOf+AlertDays,2,IF(L106&lt;=AsOf+30,3,"")))</f>
        <v/>
      </c>
      <c r="N106" s="79">
        <f>IF(M106="","",IF(G106&lt;0,"Maintenance overdue: ","Maintenance due: ")&amp;B106)</f>
        <v/>
      </c>
    </row>
    <row r="107" ht="20" customHeight="1">
      <c r="B107" s="72" t="n"/>
      <c r="C107" s="72" t="n"/>
      <c r="D107" s="89" t="n"/>
      <c r="E107" s="108" t="n"/>
      <c r="F107" s="126">
        <f>IF(OR(D107="",E107=""),"",DATE(YEAR(E107),MONTH(E107)+D107,DAY(E107)))</f>
        <v/>
      </c>
      <c r="G107" s="145">
        <f>IF(F107="","",F107-AsOf)</f>
        <v/>
      </c>
      <c r="H107" s="107">
        <f>IF(F107="",IF(B107="","","Enter last-done date"),IF(G107&lt;0,"Overdue",IF(G107&lt;=30,"Due soon","OK")))</f>
        <v/>
      </c>
      <c r="K107" s="79">
        <f>IF(F107="","",IF(G107&lt;0,2,IF(G107&lt;=30,1,0)))</f>
        <v/>
      </c>
      <c r="L107" s="111">
        <f>IF(F107="","",F107)</f>
        <v/>
      </c>
      <c r="M107" s="79">
        <f>IF(L107="","",IF(L107&lt;=AsOf+AlertDays,2,IF(L107&lt;=AsOf+30,3,"")))</f>
        <v/>
      </c>
      <c r="N107" s="79">
        <f>IF(M107="","",IF(G107&lt;0,"Maintenance overdue: ","Maintenance due: ")&amp;B107)</f>
        <v/>
      </c>
    </row>
    <row r="108" ht="20" customHeight="1">
      <c r="B108" s="72" t="n"/>
      <c r="C108" s="72" t="n"/>
      <c r="D108" s="89" t="n"/>
      <c r="E108" s="108" t="n"/>
      <c r="F108" s="126">
        <f>IF(OR(D108="",E108=""),"",DATE(YEAR(E108),MONTH(E108)+D108,DAY(E108)))</f>
        <v/>
      </c>
      <c r="G108" s="145">
        <f>IF(F108="","",F108-AsOf)</f>
        <v/>
      </c>
      <c r="H108" s="107">
        <f>IF(F108="",IF(B108="","","Enter last-done date"),IF(G108&lt;0,"Overdue",IF(G108&lt;=30,"Due soon","OK")))</f>
        <v/>
      </c>
      <c r="K108" s="79">
        <f>IF(F108="","",IF(G108&lt;0,2,IF(G108&lt;=30,1,0)))</f>
        <v/>
      </c>
      <c r="L108" s="111">
        <f>IF(F108="","",F108)</f>
        <v/>
      </c>
      <c r="M108" s="79">
        <f>IF(L108="","",IF(L108&lt;=AsOf+AlertDays,2,IF(L108&lt;=AsOf+30,3,"")))</f>
        <v/>
      </c>
      <c r="N108" s="79">
        <f>IF(M108="","",IF(G108&lt;0,"Maintenance overdue: ","Maintenance due: ")&amp;B108)</f>
        <v/>
      </c>
    </row>
    <row r="109" ht="20" customHeight="1">
      <c r="B109" s="72" t="n"/>
      <c r="C109" s="72" t="n"/>
      <c r="D109" s="89" t="n"/>
      <c r="E109" s="108" t="n"/>
      <c r="F109" s="126">
        <f>IF(OR(D109="",E109=""),"",DATE(YEAR(E109),MONTH(E109)+D109,DAY(E109)))</f>
        <v/>
      </c>
      <c r="G109" s="145">
        <f>IF(F109="","",F109-AsOf)</f>
        <v/>
      </c>
      <c r="H109" s="107">
        <f>IF(F109="",IF(B109="","","Enter last-done date"),IF(G109&lt;0,"Overdue",IF(G109&lt;=30,"Due soon","OK")))</f>
        <v/>
      </c>
      <c r="K109" s="79">
        <f>IF(F109="","",IF(G109&lt;0,2,IF(G109&lt;=30,1,0)))</f>
        <v/>
      </c>
      <c r="L109" s="111">
        <f>IF(F109="","",F109)</f>
        <v/>
      </c>
      <c r="M109" s="79">
        <f>IF(L109="","",IF(L109&lt;=AsOf+AlertDays,2,IF(L109&lt;=AsOf+30,3,"")))</f>
        <v/>
      </c>
      <c r="N109" s="79">
        <f>IF(M109="","",IF(G109&lt;0,"Maintenance overdue: ","Maintenance due: ")&amp;B109)</f>
        <v/>
      </c>
    </row>
    <row r="110" ht="20" customHeight="1">
      <c r="B110" s="72" t="n"/>
      <c r="C110" s="72" t="n"/>
      <c r="D110" s="89" t="n"/>
      <c r="E110" s="108" t="n"/>
      <c r="F110" s="126">
        <f>IF(OR(D110="",E110=""),"",DATE(YEAR(E110),MONTH(E110)+D110,DAY(E110)))</f>
        <v/>
      </c>
      <c r="G110" s="145">
        <f>IF(F110="","",F110-AsOf)</f>
        <v/>
      </c>
      <c r="H110" s="107">
        <f>IF(F110="",IF(B110="","","Enter last-done date"),IF(G110&lt;0,"Overdue",IF(G110&lt;=30,"Due soon","OK")))</f>
        <v/>
      </c>
      <c r="K110" s="79">
        <f>IF(F110="","",IF(G110&lt;0,2,IF(G110&lt;=30,1,0)))</f>
        <v/>
      </c>
      <c r="L110" s="111">
        <f>IF(F110="","",F110)</f>
        <v/>
      </c>
      <c r="M110" s="79">
        <f>IF(L110="","",IF(L110&lt;=AsOf+AlertDays,2,IF(L110&lt;=AsOf+30,3,"")))</f>
        <v/>
      </c>
      <c r="N110" s="79">
        <f>IF(M110="","",IF(G110&lt;0,"Maintenance overdue: ","Maintenance due: ")&amp;B110)</f>
        <v/>
      </c>
    </row>
    <row r="111" ht="20" customHeight="1">
      <c r="B111" s="72" t="n"/>
      <c r="C111" s="72" t="n"/>
      <c r="D111" s="89" t="n"/>
      <c r="E111" s="108" t="n"/>
      <c r="F111" s="126">
        <f>IF(OR(D111="",E111=""),"",DATE(YEAR(E111),MONTH(E111)+D111,DAY(E111)))</f>
        <v/>
      </c>
      <c r="G111" s="145">
        <f>IF(F111="","",F111-AsOf)</f>
        <v/>
      </c>
      <c r="H111" s="107">
        <f>IF(F111="",IF(B111="","","Enter last-done date"),IF(G111&lt;0,"Overdue",IF(G111&lt;=30,"Due soon","OK")))</f>
        <v/>
      </c>
      <c r="K111" s="79">
        <f>IF(F111="","",IF(G111&lt;0,2,IF(G111&lt;=30,1,0)))</f>
        <v/>
      </c>
      <c r="L111" s="111">
        <f>IF(F111="","",F111)</f>
        <v/>
      </c>
      <c r="M111" s="79">
        <f>IF(L111="","",IF(L111&lt;=AsOf+AlertDays,2,IF(L111&lt;=AsOf+30,3,"")))</f>
        <v/>
      </c>
      <c r="N111" s="79">
        <f>IF(M111="","",IF(G111&lt;0,"Maintenance overdue: ","Maintenance due: ")&amp;B111)</f>
        <v/>
      </c>
    </row>
  </sheetData>
  <sheetProtection selectLockedCells="1" selectUnlockedCells="0" sheet="1" objects="0" insertRows="1" insertHyperlinks="1" autoFilter="1" scenarios="0" formatColumns="0" deleteColumns="1" insertColumns="1" pivotTables="1" deleteRows="1" formatCells="1" formatRows="0" sort="1" password="CD61"/>
  <conditionalFormatting sqref="I7:I66">
    <cfRule type="expression" priority="1" dxfId="0" stopIfTrue="0">
      <formula>$K7=2</formula>
    </cfRule>
    <cfRule type="expression" priority="2" dxfId="2" stopIfTrue="0">
      <formula>$K7=1</formula>
    </cfRule>
    <cfRule type="expression" priority="3" dxfId="3" stopIfTrue="0">
      <formula>$K7=0</formula>
    </cfRule>
    <cfRule type="expression" priority="4" dxfId="7" stopIfTrue="0">
      <formula>$K7=3</formula>
    </cfRule>
  </conditionalFormatting>
  <conditionalFormatting sqref="H72:H111">
    <cfRule type="expression" priority="5" dxfId="0" stopIfTrue="0">
      <formula>$K72=2</formula>
    </cfRule>
    <cfRule type="expression" priority="6" dxfId="2" stopIfTrue="0">
      <formula>$K72=1</formula>
    </cfRule>
    <cfRule type="expression" priority="7" dxfId="3" stopIfTrue="0">
      <formula>$K72=0</formula>
    </cfRule>
  </conditionalFormatting>
  <dataValidations count="2">
    <dataValidation sqref="C7:C66" showDropDown="0" showInputMessage="0" showErrorMessage="1" allowBlank="1" errorTitle="Renovation OS" error="This name is not in the list. Keep it anyway?" type="list" errorStyle="warning">
      <formula1>='Lists'!$X$2:$X$31</formula1>
    </dataValidation>
    <dataValidation sqref="C72:C111 D7:D66" showDropDown="0" showInputMessage="0" showErrorMessage="1" allowBlank="1" errorTitle="Renovation OS" error="Please pick a value from the dropdown list." type="list">
      <formula1>='Lists'!$W$2:$W$12</formula1>
    </dataValidation>
  </dataValidations>
  <pageMargins left="0.75" right="0.75" top="1" bottom="1" header="0.5" footer="0.5"/>
  <headerFooter>
    <oddHeader/>
    <oddFooter>&amp;L&amp;8 © 2026 Hang Nguyen · Renovation OS&amp;R&amp;8 Personal licence — do not share or resell</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9CA3AF"/>
    <outlinePr summaryBelow="1" summaryRight="1"/>
    <pageSetUpPr/>
  </sheetPr>
  <dimension ref="A1:AD1123"/>
  <sheetViews>
    <sheetView workbookViewId="0">
      <selection activeCell="A1" sqref="A1"/>
    </sheetView>
  </sheetViews>
  <sheetFormatPr baseColWidth="8" defaultRowHeight="15"/>
  <sheetData>
    <row r="1">
      <c r="A1" s="146" t="inlineStr">
        <is>
          <t>Source tab</t>
        </is>
      </c>
      <c r="B1" s="146" t="inlineStr">
        <is>
          <t>Alert</t>
        </is>
      </c>
      <c r="C1" s="146" t="inlineStr">
        <is>
          <t>Due</t>
        </is>
      </c>
      <c r="D1" s="146" t="inlineStr">
        <is>
          <t>Priority</t>
        </is>
      </c>
      <c r="E1" s="146" t="inlineStr">
        <is>
          <t>Sort key</t>
        </is>
      </c>
      <c r="F1" s="146" t="inlineStr">
        <is>
          <t>Week key</t>
        </is>
      </c>
      <c r="H1" s="146" t="inlineStr">
        <is>
          <t>Rank</t>
        </is>
      </c>
      <c r="I1" s="146" t="inlineStr">
        <is>
          <t>Key</t>
        </is>
      </c>
      <c r="J1" s="146" t="inlineStr">
        <is>
          <t>Row</t>
        </is>
      </c>
      <c r="K1" s="146" t="inlineStr">
        <is>
          <t>Tab</t>
        </is>
      </c>
      <c r="L1" s="146" t="inlineStr">
        <is>
          <t>Alert</t>
        </is>
      </c>
      <c r="M1" s="146" t="inlineStr">
        <is>
          <t>Due</t>
        </is>
      </c>
      <c r="N1" s="146" t="inlineStr">
        <is>
          <t>Priority</t>
        </is>
      </c>
      <c r="P1" s="146" t="inlineStr">
        <is>
          <t>Rank</t>
        </is>
      </c>
      <c r="Q1" s="146" t="inlineStr">
        <is>
          <t>Key</t>
        </is>
      </c>
      <c r="R1" s="146" t="inlineStr">
        <is>
          <t>Row</t>
        </is>
      </c>
      <c r="S1" s="146" t="inlineStr">
        <is>
          <t>Tab</t>
        </is>
      </c>
      <c r="T1" s="146" t="inlineStr">
        <is>
          <t>Alert</t>
        </is>
      </c>
      <c r="U1" s="146" t="inlineStr">
        <is>
          <t>Due</t>
        </is>
      </c>
      <c r="V1" s="146" t="inlineStr">
        <is>
          <t>Priority</t>
        </is>
      </c>
      <c r="AA1" t="inlineStr">
        <is>
          <t>Rank</t>
        </is>
      </c>
      <c r="AB1" t="inlineStr">
        <is>
          <t>Category</t>
        </is>
      </c>
      <c r="AC1" t="inlineStr">
        <is>
          <t>Budget</t>
        </is>
      </c>
      <c r="AD1" t="inlineStr">
        <is>
          <t>Forecast</t>
        </is>
      </c>
    </row>
    <row r="2">
      <c r="A2" t="inlineStr">
        <is>
          <t>Selections &amp; Orders</t>
        </is>
      </c>
      <c r="B2" s="46">
        <f>'Selections &amp; Orders'!AC8</f>
        <v/>
      </c>
      <c r="C2" s="84">
        <f>'Selections &amp; Orders'!AA8</f>
        <v/>
      </c>
      <c r="D2" s="46">
        <f>'Selections &amp; Orders'!AB8</f>
        <v/>
      </c>
      <c r="E2" s="46">
        <f>IF(OR(B2="",C2="",D2=""),"",D2*100000+(C2-DATE(2000,1,1))+ROW()/100000)</f>
        <v/>
      </c>
      <c r="F2" s="46">
        <f>IF(E2="","",IF(C2&gt;WeekEndDate,"",E2))</f>
        <v/>
      </c>
      <c r="H2" t="n">
        <v>1</v>
      </c>
      <c r="I2" s="46">
        <f>IFERROR(SMALL($E$2:$E$1123,H2),"")</f>
        <v/>
      </c>
      <c r="J2" s="46">
        <f>IF(I2="","",MATCH(I2,$E$2:$E$1123,0))</f>
        <v/>
      </c>
      <c r="K2" s="46">
        <f>IF(J2="","",INDEX($A$2:$A$1123,J2))</f>
        <v/>
      </c>
      <c r="L2" s="46">
        <f>IF(J2="","",INDEX($B$2:$B$1123,J2))</f>
        <v/>
      </c>
      <c r="M2" s="84">
        <f>IF(J2="","",INDEX($C$2:$C$1123,J2))</f>
        <v/>
      </c>
      <c r="N2" s="46">
        <f>IF(J2="","",INDEX($D$2:$D$1123,J2))</f>
        <v/>
      </c>
      <c r="P2" t="n">
        <v>1</v>
      </c>
      <c r="Q2" s="46">
        <f>IFERROR(SMALL($F$2:$F$1123,P2),"")</f>
        <v/>
      </c>
      <c r="R2" s="46">
        <f>IF(Q2="","",MATCH(Q2,$F$2:$F$1123,0))</f>
        <v/>
      </c>
      <c r="S2" s="46">
        <f>IF(R2="","",INDEX($A$2:$A$1123,R2))</f>
        <v/>
      </c>
      <c r="T2" s="46">
        <f>IF(R2="","",INDEX($B$2:$B$1123,R2))</f>
        <v/>
      </c>
      <c r="U2" s="84">
        <f>IF(R2="","",INDEX($C$2:$C$1123,R2))</f>
        <v/>
      </c>
      <c r="V2" s="46">
        <f>IF(R2="","",INDEX($D$2:$D$1123,R2))</f>
        <v/>
      </c>
      <c r="X2" t="inlineStr">
        <is>
          <t>AlertCount</t>
        </is>
      </c>
      <c r="Y2" s="46">
        <f>COUNT($E$2:$E$1123)</f>
        <v/>
      </c>
      <c r="AA2" t="n">
        <v>1</v>
      </c>
      <c r="AB2" s="46">
        <f>IFERROR(INDEX('Budget'!$B$8:$B$37,MATCH(LARGE('Budget'!$P$8:$P$37,AA2),'Budget'!$P$8:$P$37,0)),"")</f>
        <v/>
      </c>
      <c r="AC2" s="46">
        <f>IF(AB2="","",SUMIFS('Budget'!$C$8:$C$37,'Budget'!$B$8:$B$37,AB2))</f>
        <v/>
      </c>
      <c r="AD2" s="46">
        <f>IF(AB2="","",SUMIFS('Budget'!$L$8:$L$37,'Budget'!$B$8:$B$37,AB2))</f>
        <v/>
      </c>
    </row>
    <row r="3">
      <c r="A3" t="inlineStr">
        <is>
          <t>Selections &amp; Orders</t>
        </is>
      </c>
      <c r="B3" s="46">
        <f>'Selections &amp; Orders'!AC9</f>
        <v/>
      </c>
      <c r="C3" s="84">
        <f>'Selections &amp; Orders'!AA9</f>
        <v/>
      </c>
      <c r="D3" s="46">
        <f>'Selections &amp; Orders'!AB9</f>
        <v/>
      </c>
      <c r="E3" s="46">
        <f>IF(OR(B3="",C3="",D3=""),"",D3*100000+(C3-DATE(2000,1,1))+ROW()/100000)</f>
        <v/>
      </c>
      <c r="F3" s="46">
        <f>IF(E3="","",IF(C3&gt;WeekEndDate,"",E3))</f>
        <v/>
      </c>
      <c r="H3" t="n">
        <v>2</v>
      </c>
      <c r="I3" s="46">
        <f>IFERROR(SMALL($E$2:$E$1123,H3),"")</f>
        <v/>
      </c>
      <c r="J3" s="46">
        <f>IF(I3="","",MATCH(I3,$E$2:$E$1123,0))</f>
        <v/>
      </c>
      <c r="K3" s="46">
        <f>IF(J3="","",INDEX($A$2:$A$1123,J3))</f>
        <v/>
      </c>
      <c r="L3" s="46">
        <f>IF(J3="","",INDEX($B$2:$B$1123,J3))</f>
        <v/>
      </c>
      <c r="M3" s="84">
        <f>IF(J3="","",INDEX($C$2:$C$1123,J3))</f>
        <v/>
      </c>
      <c r="N3" s="46">
        <f>IF(J3="","",INDEX($D$2:$D$1123,J3))</f>
        <v/>
      </c>
      <c r="P3" t="n">
        <v>2</v>
      </c>
      <c r="Q3" s="46">
        <f>IFERROR(SMALL($F$2:$F$1123,P3),"")</f>
        <v/>
      </c>
      <c r="R3" s="46">
        <f>IF(Q3="","",MATCH(Q3,$F$2:$F$1123,0))</f>
        <v/>
      </c>
      <c r="S3" s="46">
        <f>IF(R3="","",INDEX($A$2:$A$1123,R3))</f>
        <v/>
      </c>
      <c r="T3" s="46">
        <f>IF(R3="","",INDEX($B$2:$B$1123,R3))</f>
        <v/>
      </c>
      <c r="U3" s="84">
        <f>IF(R3="","",INDEX($C$2:$C$1123,R3))</f>
        <v/>
      </c>
      <c r="V3" s="46">
        <f>IF(R3="","",INDEX($D$2:$D$1123,R3))</f>
        <v/>
      </c>
      <c r="X3" t="inlineStr">
        <is>
          <t>OverdueCount</t>
        </is>
      </c>
      <c r="Y3" s="46">
        <f>COUNTIFS($C$2:$C$1123,"&lt;"&amp;AsOf,$D$2:$D$1123,"&gt;=1")</f>
        <v/>
      </c>
      <c r="AA3" t="n">
        <v>2</v>
      </c>
      <c r="AB3" s="46">
        <f>IFERROR(INDEX('Budget'!$B$8:$B$37,MATCH(LARGE('Budget'!$P$8:$P$37,AA3),'Budget'!$P$8:$P$37,0)),"")</f>
        <v/>
      </c>
      <c r="AC3" s="46">
        <f>IF(AB3="","",SUMIFS('Budget'!$C$8:$C$37,'Budget'!$B$8:$B$37,AB3))</f>
        <v/>
      </c>
      <c r="AD3" s="46">
        <f>IF(AB3="","",SUMIFS('Budget'!$L$8:$L$37,'Budget'!$B$8:$B$37,AB3))</f>
        <v/>
      </c>
    </row>
    <row r="4">
      <c r="A4" t="inlineStr">
        <is>
          <t>Selections &amp; Orders</t>
        </is>
      </c>
      <c r="B4" s="46">
        <f>'Selections &amp; Orders'!AC10</f>
        <v/>
      </c>
      <c r="C4" s="84">
        <f>'Selections &amp; Orders'!AA10</f>
        <v/>
      </c>
      <c r="D4" s="46">
        <f>'Selections &amp; Orders'!AB10</f>
        <v/>
      </c>
      <c r="E4" s="46">
        <f>IF(OR(B4="",C4="",D4=""),"",D4*100000+(C4-DATE(2000,1,1))+ROW()/100000)</f>
        <v/>
      </c>
      <c r="F4" s="46">
        <f>IF(E4="","",IF(C4&gt;WeekEndDate,"",E4))</f>
        <v/>
      </c>
      <c r="H4" t="n">
        <v>3</v>
      </c>
      <c r="I4" s="46">
        <f>IFERROR(SMALL($E$2:$E$1123,H4),"")</f>
        <v/>
      </c>
      <c r="J4" s="46">
        <f>IF(I4="","",MATCH(I4,$E$2:$E$1123,0))</f>
        <v/>
      </c>
      <c r="K4" s="46">
        <f>IF(J4="","",INDEX($A$2:$A$1123,J4))</f>
        <v/>
      </c>
      <c r="L4" s="46">
        <f>IF(J4="","",INDEX($B$2:$B$1123,J4))</f>
        <v/>
      </c>
      <c r="M4" s="84">
        <f>IF(J4="","",INDEX($C$2:$C$1123,J4))</f>
        <v/>
      </c>
      <c r="N4" s="46">
        <f>IF(J4="","",INDEX($D$2:$D$1123,J4))</f>
        <v/>
      </c>
      <c r="P4" t="n">
        <v>3</v>
      </c>
      <c r="Q4" s="46">
        <f>IFERROR(SMALL($F$2:$F$1123,P4),"")</f>
        <v/>
      </c>
      <c r="R4" s="46">
        <f>IF(Q4="","",MATCH(Q4,$F$2:$F$1123,0))</f>
        <v/>
      </c>
      <c r="S4" s="46">
        <f>IF(R4="","",INDEX($A$2:$A$1123,R4))</f>
        <v/>
      </c>
      <c r="T4" s="46">
        <f>IF(R4="","",INDEX($B$2:$B$1123,R4))</f>
        <v/>
      </c>
      <c r="U4" s="84">
        <f>IF(R4="","",INDEX($C$2:$C$1123,R4))</f>
        <v/>
      </c>
      <c r="V4" s="46">
        <f>IF(R4="","",INDEX($D$2:$D$1123,R4))</f>
        <v/>
      </c>
      <c r="X4" t="inlineStr">
        <is>
          <t>UrgentCount</t>
        </is>
      </c>
      <c r="Y4" s="46">
        <f>COUNTIF($D$2:$D$1123,1)</f>
        <v/>
      </c>
      <c r="AA4" t="n">
        <v>3</v>
      </c>
      <c r="AB4" s="46">
        <f>IFERROR(INDEX('Budget'!$B$8:$B$37,MATCH(LARGE('Budget'!$P$8:$P$37,AA4),'Budget'!$P$8:$P$37,0)),"")</f>
        <v/>
      </c>
      <c r="AC4" s="46">
        <f>IF(AB4="","",SUMIFS('Budget'!$C$8:$C$37,'Budget'!$B$8:$B$37,AB4))</f>
        <v/>
      </c>
      <c r="AD4" s="46">
        <f>IF(AB4="","",SUMIFS('Budget'!$L$8:$L$37,'Budget'!$B$8:$B$37,AB4))</f>
        <v/>
      </c>
    </row>
    <row r="5">
      <c r="A5" t="inlineStr">
        <is>
          <t>Selections &amp; Orders</t>
        </is>
      </c>
      <c r="B5" s="46">
        <f>'Selections &amp; Orders'!AC11</f>
        <v/>
      </c>
      <c r="C5" s="84">
        <f>'Selections &amp; Orders'!AA11</f>
        <v/>
      </c>
      <c r="D5" s="46">
        <f>'Selections &amp; Orders'!AB11</f>
        <v/>
      </c>
      <c r="E5" s="46">
        <f>IF(OR(B5="",C5="",D5=""),"",D5*100000+(C5-DATE(2000,1,1))+ROW()/100000)</f>
        <v/>
      </c>
      <c r="F5" s="46">
        <f>IF(E5="","",IF(C5&gt;WeekEndDate,"",E5))</f>
        <v/>
      </c>
      <c r="H5" t="n">
        <v>4</v>
      </c>
      <c r="I5" s="46">
        <f>IFERROR(SMALL($E$2:$E$1123,H5),"")</f>
        <v/>
      </c>
      <c r="J5" s="46">
        <f>IF(I5="","",MATCH(I5,$E$2:$E$1123,0))</f>
        <v/>
      </c>
      <c r="K5" s="46">
        <f>IF(J5="","",INDEX($A$2:$A$1123,J5))</f>
        <v/>
      </c>
      <c r="L5" s="46">
        <f>IF(J5="","",INDEX($B$2:$B$1123,J5))</f>
        <v/>
      </c>
      <c r="M5" s="84">
        <f>IF(J5="","",INDEX($C$2:$C$1123,J5))</f>
        <v/>
      </c>
      <c r="N5" s="46">
        <f>IF(J5="","",INDEX($D$2:$D$1123,J5))</f>
        <v/>
      </c>
      <c r="P5" t="n">
        <v>4</v>
      </c>
      <c r="Q5" s="46">
        <f>IFERROR(SMALL($F$2:$F$1123,P5),"")</f>
        <v/>
      </c>
      <c r="R5" s="46">
        <f>IF(Q5="","",MATCH(Q5,$F$2:$F$1123,0))</f>
        <v/>
      </c>
      <c r="S5" s="46">
        <f>IF(R5="","",INDEX($A$2:$A$1123,R5))</f>
        <v/>
      </c>
      <c r="T5" s="46">
        <f>IF(R5="","",INDEX($B$2:$B$1123,R5))</f>
        <v/>
      </c>
      <c r="U5" s="84">
        <f>IF(R5="","",INDEX($C$2:$C$1123,R5))</f>
        <v/>
      </c>
      <c r="V5" s="46">
        <f>IF(R5="","",INDEX($D$2:$D$1123,R5))</f>
        <v/>
      </c>
      <c r="X5" t="inlineStr">
        <is>
          <t>WeekAlertCount</t>
        </is>
      </c>
      <c r="Y5" s="46">
        <f>COUNT($F$2:$F$1123)</f>
        <v/>
      </c>
      <c r="AA5" t="n">
        <v>4</v>
      </c>
      <c r="AB5" s="46">
        <f>IFERROR(INDEX('Budget'!$B$8:$B$37,MATCH(LARGE('Budget'!$P$8:$P$37,AA5),'Budget'!$P$8:$P$37,0)),"")</f>
        <v/>
      </c>
      <c r="AC5" s="46">
        <f>IF(AB5="","",SUMIFS('Budget'!$C$8:$C$37,'Budget'!$B$8:$B$37,AB5))</f>
        <v/>
      </c>
      <c r="AD5" s="46">
        <f>IF(AB5="","",SUMIFS('Budget'!$L$8:$L$37,'Budget'!$B$8:$B$37,AB5))</f>
        <v/>
      </c>
    </row>
    <row r="6">
      <c r="A6" t="inlineStr">
        <is>
          <t>Selections &amp; Orders</t>
        </is>
      </c>
      <c r="B6" s="46">
        <f>'Selections &amp; Orders'!AC12</f>
        <v/>
      </c>
      <c r="C6" s="84">
        <f>'Selections &amp; Orders'!AA12</f>
        <v/>
      </c>
      <c r="D6" s="46">
        <f>'Selections &amp; Orders'!AB12</f>
        <v/>
      </c>
      <c r="E6" s="46">
        <f>IF(OR(B6="",C6="",D6=""),"",D6*100000+(C6-DATE(2000,1,1))+ROW()/100000)</f>
        <v/>
      </c>
      <c r="F6" s="46">
        <f>IF(E6="","",IF(C6&gt;WeekEndDate,"",E6))</f>
        <v/>
      </c>
      <c r="H6" t="n">
        <v>5</v>
      </c>
      <c r="I6" s="46">
        <f>IFERROR(SMALL($E$2:$E$1123,H6),"")</f>
        <v/>
      </c>
      <c r="J6" s="46">
        <f>IF(I6="","",MATCH(I6,$E$2:$E$1123,0))</f>
        <v/>
      </c>
      <c r="K6" s="46">
        <f>IF(J6="","",INDEX($A$2:$A$1123,J6))</f>
        <v/>
      </c>
      <c r="L6" s="46">
        <f>IF(J6="","",INDEX($B$2:$B$1123,J6))</f>
        <v/>
      </c>
      <c r="M6" s="84">
        <f>IF(J6="","",INDEX($C$2:$C$1123,J6))</f>
        <v/>
      </c>
      <c r="N6" s="46">
        <f>IF(J6="","",INDEX($D$2:$D$1123,J6))</f>
        <v/>
      </c>
      <c r="P6" t="n">
        <v>5</v>
      </c>
      <c r="Q6" s="46">
        <f>IFERROR(SMALL($F$2:$F$1123,P6),"")</f>
        <v/>
      </c>
      <c r="R6" s="46">
        <f>IF(Q6="","",MATCH(Q6,$F$2:$F$1123,0))</f>
        <v/>
      </c>
      <c r="S6" s="46">
        <f>IF(R6="","",INDEX($A$2:$A$1123,R6))</f>
        <v/>
      </c>
      <c r="T6" s="46">
        <f>IF(R6="","",INDEX($B$2:$B$1123,R6))</f>
        <v/>
      </c>
      <c r="U6" s="84">
        <f>IF(R6="","",INDEX($C$2:$C$1123,R6))</f>
        <v/>
      </c>
      <c r="V6" s="46">
        <f>IF(R6="","",INDEX($D$2:$D$1123,R6))</f>
        <v/>
      </c>
      <c r="AA6" t="n">
        <v>5</v>
      </c>
      <c r="AB6" s="46">
        <f>IFERROR(INDEX('Budget'!$B$8:$B$37,MATCH(LARGE('Budget'!$P$8:$P$37,AA6),'Budget'!$P$8:$P$37,0)),"")</f>
        <v/>
      </c>
      <c r="AC6" s="46">
        <f>IF(AB6="","",SUMIFS('Budget'!$C$8:$C$37,'Budget'!$B$8:$B$37,AB6))</f>
        <v/>
      </c>
      <c r="AD6" s="46">
        <f>IF(AB6="","",SUMIFS('Budget'!$L$8:$L$37,'Budget'!$B$8:$B$37,AB6))</f>
        <v/>
      </c>
    </row>
    <row r="7">
      <c r="A7" t="inlineStr">
        <is>
          <t>Selections &amp; Orders</t>
        </is>
      </c>
      <c r="B7" s="46">
        <f>'Selections &amp; Orders'!AC13</f>
        <v/>
      </c>
      <c r="C7" s="84">
        <f>'Selections &amp; Orders'!AA13</f>
        <v/>
      </c>
      <c r="D7" s="46">
        <f>'Selections &amp; Orders'!AB13</f>
        <v/>
      </c>
      <c r="E7" s="46">
        <f>IF(OR(B7="",C7="",D7=""),"",D7*100000+(C7-DATE(2000,1,1))+ROW()/100000)</f>
        <v/>
      </c>
      <c r="F7" s="46">
        <f>IF(E7="","",IF(C7&gt;WeekEndDate,"",E7))</f>
        <v/>
      </c>
      <c r="H7" t="n">
        <v>6</v>
      </c>
      <c r="I7" s="46">
        <f>IFERROR(SMALL($E$2:$E$1123,H7),"")</f>
        <v/>
      </c>
      <c r="J7" s="46">
        <f>IF(I7="","",MATCH(I7,$E$2:$E$1123,0))</f>
        <v/>
      </c>
      <c r="K7" s="46">
        <f>IF(J7="","",INDEX($A$2:$A$1123,J7))</f>
        <v/>
      </c>
      <c r="L7" s="46">
        <f>IF(J7="","",INDEX($B$2:$B$1123,J7))</f>
        <v/>
      </c>
      <c r="M7" s="84">
        <f>IF(J7="","",INDEX($C$2:$C$1123,J7))</f>
        <v/>
      </c>
      <c r="N7" s="46">
        <f>IF(J7="","",INDEX($D$2:$D$1123,J7))</f>
        <v/>
      </c>
      <c r="P7" t="n">
        <v>6</v>
      </c>
      <c r="Q7" s="46">
        <f>IFERROR(SMALL($F$2:$F$1123,P7),"")</f>
        <v/>
      </c>
      <c r="R7" s="46">
        <f>IF(Q7="","",MATCH(Q7,$F$2:$F$1123,0))</f>
        <v/>
      </c>
      <c r="S7" s="46">
        <f>IF(R7="","",INDEX($A$2:$A$1123,R7))</f>
        <v/>
      </c>
      <c r="T7" s="46">
        <f>IF(R7="","",INDEX($B$2:$B$1123,R7))</f>
        <v/>
      </c>
      <c r="U7" s="84">
        <f>IF(R7="","",INDEX($C$2:$C$1123,R7))</f>
        <v/>
      </c>
      <c r="V7" s="46">
        <f>IF(R7="","",INDEX($D$2:$D$1123,R7))</f>
        <v/>
      </c>
      <c r="AA7" t="n">
        <v>6</v>
      </c>
      <c r="AB7" s="46">
        <f>IFERROR(INDEX('Budget'!$B$8:$B$37,MATCH(LARGE('Budget'!$P$8:$P$37,AA7),'Budget'!$P$8:$P$37,0)),"")</f>
        <v/>
      </c>
      <c r="AC7" s="46">
        <f>IF(AB7="","",SUMIFS('Budget'!$C$8:$C$37,'Budget'!$B$8:$B$37,AB7))</f>
        <v/>
      </c>
      <c r="AD7" s="46">
        <f>IF(AB7="","",SUMIFS('Budget'!$L$8:$L$37,'Budget'!$B$8:$B$37,AB7))</f>
        <v/>
      </c>
    </row>
    <row r="8">
      <c r="A8" t="inlineStr">
        <is>
          <t>Selections &amp; Orders</t>
        </is>
      </c>
      <c r="B8" s="46">
        <f>'Selections &amp; Orders'!AC14</f>
        <v/>
      </c>
      <c r="C8" s="84">
        <f>'Selections &amp; Orders'!AA14</f>
        <v/>
      </c>
      <c r="D8" s="46">
        <f>'Selections &amp; Orders'!AB14</f>
        <v/>
      </c>
      <c r="E8" s="46">
        <f>IF(OR(B8="",C8="",D8=""),"",D8*100000+(C8-DATE(2000,1,1))+ROW()/100000)</f>
        <v/>
      </c>
      <c r="F8" s="46">
        <f>IF(E8="","",IF(C8&gt;WeekEndDate,"",E8))</f>
        <v/>
      </c>
      <c r="H8" t="n">
        <v>7</v>
      </c>
      <c r="I8" s="46">
        <f>IFERROR(SMALL($E$2:$E$1123,H8),"")</f>
        <v/>
      </c>
      <c r="J8" s="46">
        <f>IF(I8="","",MATCH(I8,$E$2:$E$1123,0))</f>
        <v/>
      </c>
      <c r="K8" s="46">
        <f>IF(J8="","",INDEX($A$2:$A$1123,J8))</f>
        <v/>
      </c>
      <c r="L8" s="46">
        <f>IF(J8="","",INDEX($B$2:$B$1123,J8))</f>
        <v/>
      </c>
      <c r="M8" s="84">
        <f>IF(J8="","",INDEX($C$2:$C$1123,J8))</f>
        <v/>
      </c>
      <c r="N8" s="46">
        <f>IF(J8="","",INDEX($D$2:$D$1123,J8))</f>
        <v/>
      </c>
      <c r="P8" t="n">
        <v>7</v>
      </c>
      <c r="Q8" s="46">
        <f>IFERROR(SMALL($F$2:$F$1123,P8),"")</f>
        <v/>
      </c>
      <c r="R8" s="46">
        <f>IF(Q8="","",MATCH(Q8,$F$2:$F$1123,0))</f>
        <v/>
      </c>
      <c r="S8" s="46">
        <f>IF(R8="","",INDEX($A$2:$A$1123,R8))</f>
        <v/>
      </c>
      <c r="T8" s="46">
        <f>IF(R8="","",INDEX($B$2:$B$1123,R8))</f>
        <v/>
      </c>
      <c r="U8" s="84">
        <f>IF(R8="","",INDEX($C$2:$C$1123,R8))</f>
        <v/>
      </c>
      <c r="V8" s="46">
        <f>IF(R8="","",INDEX($D$2:$D$1123,R8))</f>
        <v/>
      </c>
      <c r="AA8" t="n">
        <v>7</v>
      </c>
      <c r="AB8" s="46">
        <f>IFERROR(INDEX('Budget'!$B$8:$B$37,MATCH(LARGE('Budget'!$P$8:$P$37,AA8),'Budget'!$P$8:$P$37,0)),"")</f>
        <v/>
      </c>
      <c r="AC8" s="46">
        <f>IF(AB8="","",SUMIFS('Budget'!$C$8:$C$37,'Budget'!$B$8:$B$37,AB8))</f>
        <v/>
      </c>
      <c r="AD8" s="46">
        <f>IF(AB8="","",SUMIFS('Budget'!$L$8:$L$37,'Budget'!$B$8:$B$37,AB8))</f>
        <v/>
      </c>
    </row>
    <row r="9">
      <c r="A9" t="inlineStr">
        <is>
          <t>Selections &amp; Orders</t>
        </is>
      </c>
      <c r="B9" s="46">
        <f>'Selections &amp; Orders'!AC15</f>
        <v/>
      </c>
      <c r="C9" s="84">
        <f>'Selections &amp; Orders'!AA15</f>
        <v/>
      </c>
      <c r="D9" s="46">
        <f>'Selections &amp; Orders'!AB15</f>
        <v/>
      </c>
      <c r="E9" s="46">
        <f>IF(OR(B9="",C9="",D9=""),"",D9*100000+(C9-DATE(2000,1,1))+ROW()/100000)</f>
        <v/>
      </c>
      <c r="F9" s="46">
        <f>IF(E9="","",IF(C9&gt;WeekEndDate,"",E9))</f>
        <v/>
      </c>
      <c r="H9" t="n">
        <v>8</v>
      </c>
      <c r="I9" s="46">
        <f>IFERROR(SMALL($E$2:$E$1123,H9),"")</f>
        <v/>
      </c>
      <c r="J9" s="46">
        <f>IF(I9="","",MATCH(I9,$E$2:$E$1123,0))</f>
        <v/>
      </c>
      <c r="K9" s="46">
        <f>IF(J9="","",INDEX($A$2:$A$1123,J9))</f>
        <v/>
      </c>
      <c r="L9" s="46">
        <f>IF(J9="","",INDEX($B$2:$B$1123,J9))</f>
        <v/>
      </c>
      <c r="M9" s="84">
        <f>IF(J9="","",INDEX($C$2:$C$1123,J9))</f>
        <v/>
      </c>
      <c r="N9" s="46">
        <f>IF(J9="","",INDEX($D$2:$D$1123,J9))</f>
        <v/>
      </c>
      <c r="P9" t="n">
        <v>8</v>
      </c>
      <c r="Q9" s="46">
        <f>IFERROR(SMALL($F$2:$F$1123,P9),"")</f>
        <v/>
      </c>
      <c r="R9" s="46">
        <f>IF(Q9="","",MATCH(Q9,$F$2:$F$1123,0))</f>
        <v/>
      </c>
      <c r="S9" s="46">
        <f>IF(R9="","",INDEX($A$2:$A$1123,R9))</f>
        <v/>
      </c>
      <c r="T9" s="46">
        <f>IF(R9="","",INDEX($B$2:$B$1123,R9))</f>
        <v/>
      </c>
      <c r="U9" s="84">
        <f>IF(R9="","",INDEX($C$2:$C$1123,R9))</f>
        <v/>
      </c>
      <c r="V9" s="46">
        <f>IF(R9="","",INDEX($D$2:$D$1123,R9))</f>
        <v/>
      </c>
      <c r="AA9" t="n">
        <v>8</v>
      </c>
      <c r="AB9" s="46">
        <f>IFERROR(INDEX('Budget'!$B$8:$B$37,MATCH(LARGE('Budget'!$P$8:$P$37,AA9),'Budget'!$P$8:$P$37,0)),"")</f>
        <v/>
      </c>
      <c r="AC9" s="46">
        <f>IF(AB9="","",SUMIFS('Budget'!$C$8:$C$37,'Budget'!$B$8:$B$37,AB9))</f>
        <v/>
      </c>
      <c r="AD9" s="46">
        <f>IF(AB9="","",SUMIFS('Budget'!$L$8:$L$37,'Budget'!$B$8:$B$37,AB9))</f>
        <v/>
      </c>
    </row>
    <row r="10">
      <c r="A10" t="inlineStr">
        <is>
          <t>Selections &amp; Orders</t>
        </is>
      </c>
      <c r="B10" s="46">
        <f>'Selections &amp; Orders'!AC16</f>
        <v/>
      </c>
      <c r="C10" s="84">
        <f>'Selections &amp; Orders'!AA16</f>
        <v/>
      </c>
      <c r="D10" s="46">
        <f>'Selections &amp; Orders'!AB16</f>
        <v/>
      </c>
      <c r="E10" s="46">
        <f>IF(OR(B10="",C10="",D10=""),"",D10*100000+(C10-DATE(2000,1,1))+ROW()/100000)</f>
        <v/>
      </c>
      <c r="F10" s="46">
        <f>IF(E10="","",IF(C10&gt;WeekEndDate,"",E10))</f>
        <v/>
      </c>
      <c r="H10" t="n">
        <v>9</v>
      </c>
      <c r="I10" s="46">
        <f>IFERROR(SMALL($E$2:$E$1123,H10),"")</f>
        <v/>
      </c>
      <c r="J10" s="46">
        <f>IF(I10="","",MATCH(I10,$E$2:$E$1123,0))</f>
        <v/>
      </c>
      <c r="K10" s="46">
        <f>IF(J10="","",INDEX($A$2:$A$1123,J10))</f>
        <v/>
      </c>
      <c r="L10" s="46">
        <f>IF(J10="","",INDEX($B$2:$B$1123,J10))</f>
        <v/>
      </c>
      <c r="M10" s="84">
        <f>IF(J10="","",INDEX($C$2:$C$1123,J10))</f>
        <v/>
      </c>
      <c r="N10" s="46">
        <f>IF(J10="","",INDEX($D$2:$D$1123,J10))</f>
        <v/>
      </c>
      <c r="P10" t="n">
        <v>9</v>
      </c>
      <c r="Q10" s="46">
        <f>IFERROR(SMALL($F$2:$F$1123,P10),"")</f>
        <v/>
      </c>
      <c r="R10" s="46">
        <f>IF(Q10="","",MATCH(Q10,$F$2:$F$1123,0))</f>
        <v/>
      </c>
      <c r="S10" s="46">
        <f>IF(R10="","",INDEX($A$2:$A$1123,R10))</f>
        <v/>
      </c>
      <c r="T10" s="46">
        <f>IF(R10="","",INDEX($B$2:$B$1123,R10))</f>
        <v/>
      </c>
      <c r="U10" s="84">
        <f>IF(R10="","",INDEX($C$2:$C$1123,R10))</f>
        <v/>
      </c>
      <c r="V10" s="46">
        <f>IF(R10="","",INDEX($D$2:$D$1123,R10))</f>
        <v/>
      </c>
      <c r="AA10" t="n">
        <v>9</v>
      </c>
      <c r="AB10" s="46">
        <f>IFERROR(INDEX('Budget'!$B$8:$B$37,MATCH(LARGE('Budget'!$P$8:$P$37,AA10),'Budget'!$P$8:$P$37,0)),"")</f>
        <v/>
      </c>
      <c r="AC10" s="46">
        <f>IF(AB10="","",SUMIFS('Budget'!$C$8:$C$37,'Budget'!$B$8:$B$37,AB10))</f>
        <v/>
      </c>
      <c r="AD10" s="46">
        <f>IF(AB10="","",SUMIFS('Budget'!$L$8:$L$37,'Budget'!$B$8:$B$37,AB10))</f>
        <v/>
      </c>
    </row>
    <row r="11">
      <c r="A11" t="inlineStr">
        <is>
          <t>Selections &amp; Orders</t>
        </is>
      </c>
      <c r="B11" s="46">
        <f>'Selections &amp; Orders'!AC17</f>
        <v/>
      </c>
      <c r="C11" s="84">
        <f>'Selections &amp; Orders'!AA17</f>
        <v/>
      </c>
      <c r="D11" s="46">
        <f>'Selections &amp; Orders'!AB17</f>
        <v/>
      </c>
      <c r="E11" s="46">
        <f>IF(OR(B11="",C11="",D11=""),"",D11*100000+(C11-DATE(2000,1,1))+ROW()/100000)</f>
        <v/>
      </c>
      <c r="F11" s="46">
        <f>IF(E11="","",IF(C11&gt;WeekEndDate,"",E11))</f>
        <v/>
      </c>
      <c r="H11" t="n">
        <v>10</v>
      </c>
      <c r="I11" s="46">
        <f>IFERROR(SMALL($E$2:$E$1123,H11),"")</f>
        <v/>
      </c>
      <c r="J11" s="46">
        <f>IF(I11="","",MATCH(I11,$E$2:$E$1123,0))</f>
        <v/>
      </c>
      <c r="K11" s="46">
        <f>IF(J11="","",INDEX($A$2:$A$1123,J11))</f>
        <v/>
      </c>
      <c r="L11" s="46">
        <f>IF(J11="","",INDEX($B$2:$B$1123,J11))</f>
        <v/>
      </c>
      <c r="M11" s="84">
        <f>IF(J11="","",INDEX($C$2:$C$1123,J11))</f>
        <v/>
      </c>
      <c r="N11" s="46">
        <f>IF(J11="","",INDEX($D$2:$D$1123,J11))</f>
        <v/>
      </c>
      <c r="P11" t="n">
        <v>10</v>
      </c>
      <c r="Q11" s="46">
        <f>IFERROR(SMALL($F$2:$F$1123,P11),"")</f>
        <v/>
      </c>
      <c r="R11" s="46">
        <f>IF(Q11="","",MATCH(Q11,$F$2:$F$1123,0))</f>
        <v/>
      </c>
      <c r="S11" s="46">
        <f>IF(R11="","",INDEX($A$2:$A$1123,R11))</f>
        <v/>
      </c>
      <c r="T11" s="46">
        <f>IF(R11="","",INDEX($B$2:$B$1123,R11))</f>
        <v/>
      </c>
      <c r="U11" s="84">
        <f>IF(R11="","",INDEX($C$2:$C$1123,R11))</f>
        <v/>
      </c>
      <c r="V11" s="46">
        <f>IF(R11="","",INDEX($D$2:$D$1123,R11))</f>
        <v/>
      </c>
      <c r="AA11" t="n">
        <v>10</v>
      </c>
      <c r="AB11" s="46">
        <f>IFERROR(INDEX('Budget'!$B$8:$B$37,MATCH(LARGE('Budget'!$P$8:$P$37,AA11),'Budget'!$P$8:$P$37,0)),"")</f>
        <v/>
      </c>
      <c r="AC11" s="46">
        <f>IF(AB11="","",SUMIFS('Budget'!$C$8:$C$37,'Budget'!$B$8:$B$37,AB11))</f>
        <v/>
      </c>
      <c r="AD11" s="46">
        <f>IF(AB11="","",SUMIFS('Budget'!$L$8:$L$37,'Budget'!$B$8:$B$37,AB11))</f>
        <v/>
      </c>
    </row>
    <row r="12">
      <c r="A12" t="inlineStr">
        <is>
          <t>Selections &amp; Orders</t>
        </is>
      </c>
      <c r="B12" s="46">
        <f>'Selections &amp; Orders'!AC18</f>
        <v/>
      </c>
      <c r="C12" s="84">
        <f>'Selections &amp; Orders'!AA18</f>
        <v/>
      </c>
      <c r="D12" s="46">
        <f>'Selections &amp; Orders'!AB18</f>
        <v/>
      </c>
      <c r="E12" s="46">
        <f>IF(OR(B12="",C12="",D12=""),"",D12*100000+(C12-DATE(2000,1,1))+ROW()/100000)</f>
        <v/>
      </c>
      <c r="F12" s="46">
        <f>IF(E12="","",IF(C12&gt;WeekEndDate,"",E12))</f>
        <v/>
      </c>
      <c r="H12" t="n">
        <v>11</v>
      </c>
      <c r="I12" s="46">
        <f>IFERROR(SMALL($E$2:$E$1123,H12),"")</f>
        <v/>
      </c>
      <c r="J12" s="46">
        <f>IF(I12="","",MATCH(I12,$E$2:$E$1123,0))</f>
        <v/>
      </c>
      <c r="K12" s="46">
        <f>IF(J12="","",INDEX($A$2:$A$1123,J12))</f>
        <v/>
      </c>
      <c r="L12" s="46">
        <f>IF(J12="","",INDEX($B$2:$B$1123,J12))</f>
        <v/>
      </c>
      <c r="M12" s="84">
        <f>IF(J12="","",INDEX($C$2:$C$1123,J12))</f>
        <v/>
      </c>
      <c r="N12" s="46">
        <f>IF(J12="","",INDEX($D$2:$D$1123,J12))</f>
        <v/>
      </c>
      <c r="P12" t="n">
        <v>11</v>
      </c>
      <c r="Q12" s="46">
        <f>IFERROR(SMALL($F$2:$F$1123,P12),"")</f>
        <v/>
      </c>
      <c r="R12" s="46">
        <f>IF(Q12="","",MATCH(Q12,$F$2:$F$1123,0))</f>
        <v/>
      </c>
      <c r="S12" s="46">
        <f>IF(R12="","",INDEX($A$2:$A$1123,R12))</f>
        <v/>
      </c>
      <c r="T12" s="46">
        <f>IF(R12="","",INDEX($B$2:$B$1123,R12))</f>
        <v/>
      </c>
      <c r="U12" s="84">
        <f>IF(R12="","",INDEX($C$2:$C$1123,R12))</f>
        <v/>
      </c>
      <c r="V12" s="46">
        <f>IF(R12="","",INDEX($D$2:$D$1123,R12))</f>
        <v/>
      </c>
      <c r="AA12" t="n">
        <v>11</v>
      </c>
      <c r="AB12" s="46">
        <f>IFERROR(INDEX('Budget'!$B$8:$B$37,MATCH(LARGE('Budget'!$P$8:$P$37,AA12),'Budget'!$P$8:$P$37,0)),"")</f>
        <v/>
      </c>
      <c r="AC12" s="46">
        <f>IF(AB12="","",SUMIFS('Budget'!$C$8:$C$37,'Budget'!$B$8:$B$37,AB12))</f>
        <v/>
      </c>
      <c r="AD12" s="46">
        <f>IF(AB12="","",SUMIFS('Budget'!$L$8:$L$37,'Budget'!$B$8:$B$37,AB12))</f>
        <v/>
      </c>
    </row>
    <row r="13">
      <c r="A13" t="inlineStr">
        <is>
          <t>Selections &amp; Orders</t>
        </is>
      </c>
      <c r="B13" s="46">
        <f>'Selections &amp; Orders'!AC19</f>
        <v/>
      </c>
      <c r="C13" s="84">
        <f>'Selections &amp; Orders'!AA19</f>
        <v/>
      </c>
      <c r="D13" s="46">
        <f>'Selections &amp; Orders'!AB19</f>
        <v/>
      </c>
      <c r="E13" s="46">
        <f>IF(OR(B13="",C13="",D13=""),"",D13*100000+(C13-DATE(2000,1,1))+ROW()/100000)</f>
        <v/>
      </c>
      <c r="F13" s="46">
        <f>IF(E13="","",IF(C13&gt;WeekEndDate,"",E13))</f>
        <v/>
      </c>
      <c r="H13" t="n">
        <v>12</v>
      </c>
      <c r="I13" s="46">
        <f>IFERROR(SMALL($E$2:$E$1123,H13),"")</f>
        <v/>
      </c>
      <c r="J13" s="46">
        <f>IF(I13="","",MATCH(I13,$E$2:$E$1123,0))</f>
        <v/>
      </c>
      <c r="K13" s="46">
        <f>IF(J13="","",INDEX($A$2:$A$1123,J13))</f>
        <v/>
      </c>
      <c r="L13" s="46">
        <f>IF(J13="","",INDEX($B$2:$B$1123,J13))</f>
        <v/>
      </c>
      <c r="M13" s="84">
        <f>IF(J13="","",INDEX($C$2:$C$1123,J13))</f>
        <v/>
      </c>
      <c r="N13" s="46">
        <f>IF(J13="","",INDEX($D$2:$D$1123,J13))</f>
        <v/>
      </c>
      <c r="P13" t="n">
        <v>12</v>
      </c>
      <c r="Q13" s="46">
        <f>IFERROR(SMALL($F$2:$F$1123,P13),"")</f>
        <v/>
      </c>
      <c r="R13" s="46">
        <f>IF(Q13="","",MATCH(Q13,$F$2:$F$1123,0))</f>
        <v/>
      </c>
      <c r="S13" s="46">
        <f>IF(R13="","",INDEX($A$2:$A$1123,R13))</f>
        <v/>
      </c>
      <c r="T13" s="46">
        <f>IF(R13="","",INDEX($B$2:$B$1123,R13))</f>
        <v/>
      </c>
      <c r="U13" s="84">
        <f>IF(R13="","",INDEX($C$2:$C$1123,R13))</f>
        <v/>
      </c>
      <c r="V13" s="46">
        <f>IF(R13="","",INDEX($D$2:$D$1123,R13))</f>
        <v/>
      </c>
      <c r="AA13" t="n">
        <v>12</v>
      </c>
      <c r="AB13" s="46">
        <f>IFERROR(INDEX('Budget'!$B$8:$B$37,MATCH(LARGE('Budget'!$P$8:$P$37,AA13),'Budget'!$P$8:$P$37,0)),"")</f>
        <v/>
      </c>
      <c r="AC13" s="46">
        <f>IF(AB13="","",SUMIFS('Budget'!$C$8:$C$37,'Budget'!$B$8:$B$37,AB13))</f>
        <v/>
      </c>
      <c r="AD13" s="46">
        <f>IF(AB13="","",SUMIFS('Budget'!$L$8:$L$37,'Budget'!$B$8:$B$37,AB13))</f>
        <v/>
      </c>
    </row>
    <row r="14">
      <c r="A14" t="inlineStr">
        <is>
          <t>Selections &amp; Orders</t>
        </is>
      </c>
      <c r="B14" s="46">
        <f>'Selections &amp; Orders'!AC20</f>
        <v/>
      </c>
      <c r="C14" s="84">
        <f>'Selections &amp; Orders'!AA20</f>
        <v/>
      </c>
      <c r="D14" s="46">
        <f>'Selections &amp; Orders'!AB20</f>
        <v/>
      </c>
      <c r="E14" s="46">
        <f>IF(OR(B14="",C14="",D14=""),"",D14*100000+(C14-DATE(2000,1,1))+ROW()/100000)</f>
        <v/>
      </c>
      <c r="F14" s="46">
        <f>IF(E14="","",IF(C14&gt;WeekEndDate,"",E14))</f>
        <v/>
      </c>
      <c r="H14" t="n">
        <v>13</v>
      </c>
      <c r="I14" s="46">
        <f>IFERROR(SMALL($E$2:$E$1123,H14),"")</f>
        <v/>
      </c>
      <c r="J14" s="46">
        <f>IF(I14="","",MATCH(I14,$E$2:$E$1123,0))</f>
        <v/>
      </c>
      <c r="K14" s="46">
        <f>IF(J14="","",INDEX($A$2:$A$1123,J14))</f>
        <v/>
      </c>
      <c r="L14" s="46">
        <f>IF(J14="","",INDEX($B$2:$B$1123,J14))</f>
        <v/>
      </c>
      <c r="M14" s="84">
        <f>IF(J14="","",INDEX($C$2:$C$1123,J14))</f>
        <v/>
      </c>
      <c r="N14" s="46">
        <f>IF(J14="","",INDEX($D$2:$D$1123,J14))</f>
        <v/>
      </c>
      <c r="P14" t="n">
        <v>13</v>
      </c>
      <c r="Q14" s="46">
        <f>IFERROR(SMALL($F$2:$F$1123,P14),"")</f>
        <v/>
      </c>
      <c r="R14" s="46">
        <f>IF(Q14="","",MATCH(Q14,$F$2:$F$1123,0))</f>
        <v/>
      </c>
      <c r="S14" s="46">
        <f>IF(R14="","",INDEX($A$2:$A$1123,R14))</f>
        <v/>
      </c>
      <c r="T14" s="46">
        <f>IF(R14="","",INDEX($B$2:$B$1123,R14))</f>
        <v/>
      </c>
      <c r="U14" s="84">
        <f>IF(R14="","",INDEX($C$2:$C$1123,R14))</f>
        <v/>
      </c>
      <c r="V14" s="46">
        <f>IF(R14="","",INDEX($D$2:$D$1123,R14))</f>
        <v/>
      </c>
    </row>
    <row r="15">
      <c r="A15" t="inlineStr">
        <is>
          <t>Selections &amp; Orders</t>
        </is>
      </c>
      <c r="B15" s="46">
        <f>'Selections &amp; Orders'!AC21</f>
        <v/>
      </c>
      <c r="C15" s="84">
        <f>'Selections &amp; Orders'!AA21</f>
        <v/>
      </c>
      <c r="D15" s="46">
        <f>'Selections &amp; Orders'!AB21</f>
        <v/>
      </c>
      <c r="E15" s="46">
        <f>IF(OR(B15="",C15="",D15=""),"",D15*100000+(C15-DATE(2000,1,1))+ROW()/100000)</f>
        <v/>
      </c>
      <c r="F15" s="46">
        <f>IF(E15="","",IF(C15&gt;WeekEndDate,"",E15))</f>
        <v/>
      </c>
      <c r="H15" t="n">
        <v>14</v>
      </c>
      <c r="I15" s="46">
        <f>IFERROR(SMALL($E$2:$E$1123,H15),"")</f>
        <v/>
      </c>
      <c r="J15" s="46">
        <f>IF(I15="","",MATCH(I15,$E$2:$E$1123,0))</f>
        <v/>
      </c>
      <c r="K15" s="46">
        <f>IF(J15="","",INDEX($A$2:$A$1123,J15))</f>
        <v/>
      </c>
      <c r="L15" s="46">
        <f>IF(J15="","",INDEX($B$2:$B$1123,J15))</f>
        <v/>
      </c>
      <c r="M15" s="84">
        <f>IF(J15="","",INDEX($C$2:$C$1123,J15))</f>
        <v/>
      </c>
      <c r="N15" s="46">
        <f>IF(J15="","",INDEX($D$2:$D$1123,J15))</f>
        <v/>
      </c>
      <c r="P15" t="n">
        <v>14</v>
      </c>
      <c r="Q15" s="46">
        <f>IFERROR(SMALL($F$2:$F$1123,P15),"")</f>
        <v/>
      </c>
      <c r="R15" s="46">
        <f>IF(Q15="","",MATCH(Q15,$F$2:$F$1123,0))</f>
        <v/>
      </c>
      <c r="S15" s="46">
        <f>IF(R15="","",INDEX($A$2:$A$1123,R15))</f>
        <v/>
      </c>
      <c r="T15" s="46">
        <f>IF(R15="","",INDEX($B$2:$B$1123,R15))</f>
        <v/>
      </c>
      <c r="U15" s="84">
        <f>IF(R15="","",INDEX($C$2:$C$1123,R15))</f>
        <v/>
      </c>
      <c r="V15" s="46">
        <f>IF(R15="","",INDEX($D$2:$D$1123,R15))</f>
        <v/>
      </c>
    </row>
    <row r="16">
      <c r="A16" t="inlineStr">
        <is>
          <t>Selections &amp; Orders</t>
        </is>
      </c>
      <c r="B16" s="46">
        <f>'Selections &amp; Orders'!AC22</f>
        <v/>
      </c>
      <c r="C16" s="84">
        <f>'Selections &amp; Orders'!AA22</f>
        <v/>
      </c>
      <c r="D16" s="46">
        <f>'Selections &amp; Orders'!AB22</f>
        <v/>
      </c>
      <c r="E16" s="46">
        <f>IF(OR(B16="",C16="",D16=""),"",D16*100000+(C16-DATE(2000,1,1))+ROW()/100000)</f>
        <v/>
      </c>
      <c r="F16" s="46">
        <f>IF(E16="","",IF(C16&gt;WeekEndDate,"",E16))</f>
        <v/>
      </c>
      <c r="H16" t="n">
        <v>15</v>
      </c>
      <c r="I16" s="46">
        <f>IFERROR(SMALL($E$2:$E$1123,H16),"")</f>
        <v/>
      </c>
      <c r="J16" s="46">
        <f>IF(I16="","",MATCH(I16,$E$2:$E$1123,0))</f>
        <v/>
      </c>
      <c r="K16" s="46">
        <f>IF(J16="","",INDEX($A$2:$A$1123,J16))</f>
        <v/>
      </c>
      <c r="L16" s="46">
        <f>IF(J16="","",INDEX($B$2:$B$1123,J16))</f>
        <v/>
      </c>
      <c r="M16" s="84">
        <f>IF(J16="","",INDEX($C$2:$C$1123,J16))</f>
        <v/>
      </c>
      <c r="N16" s="46">
        <f>IF(J16="","",INDEX($D$2:$D$1123,J16))</f>
        <v/>
      </c>
      <c r="P16" t="n">
        <v>15</v>
      </c>
      <c r="Q16" s="46">
        <f>IFERROR(SMALL($F$2:$F$1123,P16),"")</f>
        <v/>
      </c>
      <c r="R16" s="46">
        <f>IF(Q16="","",MATCH(Q16,$F$2:$F$1123,0))</f>
        <v/>
      </c>
      <c r="S16" s="46">
        <f>IF(R16="","",INDEX($A$2:$A$1123,R16))</f>
        <v/>
      </c>
      <c r="T16" s="46">
        <f>IF(R16="","",INDEX($B$2:$B$1123,R16))</f>
        <v/>
      </c>
      <c r="U16" s="84">
        <f>IF(R16="","",INDEX($C$2:$C$1123,R16))</f>
        <v/>
      </c>
      <c r="V16" s="46">
        <f>IF(R16="","",INDEX($D$2:$D$1123,R16))</f>
        <v/>
      </c>
    </row>
    <row r="17">
      <c r="A17" t="inlineStr">
        <is>
          <t>Selections &amp; Orders</t>
        </is>
      </c>
      <c r="B17" s="46">
        <f>'Selections &amp; Orders'!AC23</f>
        <v/>
      </c>
      <c r="C17" s="84">
        <f>'Selections &amp; Orders'!AA23</f>
        <v/>
      </c>
      <c r="D17" s="46">
        <f>'Selections &amp; Orders'!AB23</f>
        <v/>
      </c>
      <c r="E17" s="46">
        <f>IF(OR(B17="",C17="",D17=""),"",D17*100000+(C17-DATE(2000,1,1))+ROW()/100000)</f>
        <v/>
      </c>
      <c r="F17" s="46">
        <f>IF(E17="","",IF(C17&gt;WeekEndDate,"",E17))</f>
        <v/>
      </c>
      <c r="H17" t="n">
        <v>16</v>
      </c>
      <c r="I17" s="46">
        <f>IFERROR(SMALL($E$2:$E$1123,H17),"")</f>
        <v/>
      </c>
      <c r="J17" s="46">
        <f>IF(I17="","",MATCH(I17,$E$2:$E$1123,0))</f>
        <v/>
      </c>
      <c r="K17" s="46">
        <f>IF(J17="","",INDEX($A$2:$A$1123,J17))</f>
        <v/>
      </c>
      <c r="L17" s="46">
        <f>IF(J17="","",INDEX($B$2:$B$1123,J17))</f>
        <v/>
      </c>
      <c r="M17" s="84">
        <f>IF(J17="","",INDEX($C$2:$C$1123,J17))</f>
        <v/>
      </c>
      <c r="N17" s="46">
        <f>IF(J17="","",INDEX($D$2:$D$1123,J17))</f>
        <v/>
      </c>
      <c r="P17" t="n">
        <v>16</v>
      </c>
      <c r="Q17" s="46">
        <f>IFERROR(SMALL($F$2:$F$1123,P17),"")</f>
        <v/>
      </c>
      <c r="R17" s="46">
        <f>IF(Q17="","",MATCH(Q17,$F$2:$F$1123,0))</f>
        <v/>
      </c>
      <c r="S17" s="46">
        <f>IF(R17="","",INDEX($A$2:$A$1123,R17))</f>
        <v/>
      </c>
      <c r="T17" s="46">
        <f>IF(R17="","",INDEX($B$2:$B$1123,R17))</f>
        <v/>
      </c>
      <c r="U17" s="84">
        <f>IF(R17="","",INDEX($C$2:$C$1123,R17))</f>
        <v/>
      </c>
      <c r="V17" s="46">
        <f>IF(R17="","",INDEX($D$2:$D$1123,R17))</f>
        <v/>
      </c>
    </row>
    <row r="18">
      <c r="A18" t="inlineStr">
        <is>
          <t>Selections &amp; Orders</t>
        </is>
      </c>
      <c r="B18" s="46">
        <f>'Selections &amp; Orders'!AC24</f>
        <v/>
      </c>
      <c r="C18" s="84">
        <f>'Selections &amp; Orders'!AA24</f>
        <v/>
      </c>
      <c r="D18" s="46">
        <f>'Selections &amp; Orders'!AB24</f>
        <v/>
      </c>
      <c r="E18" s="46">
        <f>IF(OR(B18="",C18="",D18=""),"",D18*100000+(C18-DATE(2000,1,1))+ROW()/100000)</f>
        <v/>
      </c>
      <c r="F18" s="46">
        <f>IF(E18="","",IF(C18&gt;WeekEndDate,"",E18))</f>
        <v/>
      </c>
      <c r="H18" t="n">
        <v>17</v>
      </c>
      <c r="I18" s="46">
        <f>IFERROR(SMALL($E$2:$E$1123,H18),"")</f>
        <v/>
      </c>
      <c r="J18" s="46">
        <f>IF(I18="","",MATCH(I18,$E$2:$E$1123,0))</f>
        <v/>
      </c>
      <c r="K18" s="46">
        <f>IF(J18="","",INDEX($A$2:$A$1123,J18))</f>
        <v/>
      </c>
      <c r="L18" s="46">
        <f>IF(J18="","",INDEX($B$2:$B$1123,J18))</f>
        <v/>
      </c>
      <c r="M18" s="84">
        <f>IF(J18="","",INDEX($C$2:$C$1123,J18))</f>
        <v/>
      </c>
      <c r="N18" s="46">
        <f>IF(J18="","",INDEX($D$2:$D$1123,J18))</f>
        <v/>
      </c>
      <c r="P18" t="n">
        <v>17</v>
      </c>
      <c r="Q18" s="46">
        <f>IFERROR(SMALL($F$2:$F$1123,P18),"")</f>
        <v/>
      </c>
      <c r="R18" s="46">
        <f>IF(Q18="","",MATCH(Q18,$F$2:$F$1123,0))</f>
        <v/>
      </c>
      <c r="S18" s="46">
        <f>IF(R18="","",INDEX($A$2:$A$1123,R18))</f>
        <v/>
      </c>
      <c r="T18" s="46">
        <f>IF(R18="","",INDEX($B$2:$B$1123,R18))</f>
        <v/>
      </c>
      <c r="U18" s="84">
        <f>IF(R18="","",INDEX($C$2:$C$1123,R18))</f>
        <v/>
      </c>
      <c r="V18" s="46">
        <f>IF(R18="","",INDEX($D$2:$D$1123,R18))</f>
        <v/>
      </c>
    </row>
    <row r="19">
      <c r="A19" t="inlineStr">
        <is>
          <t>Selections &amp; Orders</t>
        </is>
      </c>
      <c r="B19" s="46">
        <f>'Selections &amp; Orders'!AC25</f>
        <v/>
      </c>
      <c r="C19" s="84">
        <f>'Selections &amp; Orders'!AA25</f>
        <v/>
      </c>
      <c r="D19" s="46">
        <f>'Selections &amp; Orders'!AB25</f>
        <v/>
      </c>
      <c r="E19" s="46">
        <f>IF(OR(B19="",C19="",D19=""),"",D19*100000+(C19-DATE(2000,1,1))+ROW()/100000)</f>
        <v/>
      </c>
      <c r="F19" s="46">
        <f>IF(E19="","",IF(C19&gt;WeekEndDate,"",E19))</f>
        <v/>
      </c>
      <c r="H19" t="n">
        <v>18</v>
      </c>
      <c r="I19" s="46">
        <f>IFERROR(SMALL($E$2:$E$1123,H19),"")</f>
        <v/>
      </c>
      <c r="J19" s="46">
        <f>IF(I19="","",MATCH(I19,$E$2:$E$1123,0))</f>
        <v/>
      </c>
      <c r="K19" s="46">
        <f>IF(J19="","",INDEX($A$2:$A$1123,J19))</f>
        <v/>
      </c>
      <c r="L19" s="46">
        <f>IF(J19="","",INDEX($B$2:$B$1123,J19))</f>
        <v/>
      </c>
      <c r="M19" s="84">
        <f>IF(J19="","",INDEX($C$2:$C$1123,J19))</f>
        <v/>
      </c>
      <c r="N19" s="46">
        <f>IF(J19="","",INDEX($D$2:$D$1123,J19))</f>
        <v/>
      </c>
      <c r="P19" t="n">
        <v>18</v>
      </c>
      <c r="Q19" s="46">
        <f>IFERROR(SMALL($F$2:$F$1123,P19),"")</f>
        <v/>
      </c>
      <c r="R19" s="46">
        <f>IF(Q19="","",MATCH(Q19,$F$2:$F$1123,0))</f>
        <v/>
      </c>
      <c r="S19" s="46">
        <f>IF(R19="","",INDEX($A$2:$A$1123,R19))</f>
        <v/>
      </c>
      <c r="T19" s="46">
        <f>IF(R19="","",INDEX($B$2:$B$1123,R19))</f>
        <v/>
      </c>
      <c r="U19" s="84">
        <f>IF(R19="","",INDEX($C$2:$C$1123,R19))</f>
        <v/>
      </c>
      <c r="V19" s="46">
        <f>IF(R19="","",INDEX($D$2:$D$1123,R19))</f>
        <v/>
      </c>
    </row>
    <row r="20">
      <c r="A20" t="inlineStr">
        <is>
          <t>Selections &amp; Orders</t>
        </is>
      </c>
      <c r="B20" s="46">
        <f>'Selections &amp; Orders'!AC26</f>
        <v/>
      </c>
      <c r="C20" s="84">
        <f>'Selections &amp; Orders'!AA26</f>
        <v/>
      </c>
      <c r="D20" s="46">
        <f>'Selections &amp; Orders'!AB26</f>
        <v/>
      </c>
      <c r="E20" s="46">
        <f>IF(OR(B20="",C20="",D20=""),"",D20*100000+(C20-DATE(2000,1,1))+ROW()/100000)</f>
        <v/>
      </c>
      <c r="F20" s="46">
        <f>IF(E20="","",IF(C20&gt;WeekEndDate,"",E20))</f>
        <v/>
      </c>
      <c r="H20" t="n">
        <v>19</v>
      </c>
      <c r="I20" s="46">
        <f>IFERROR(SMALL($E$2:$E$1123,H20),"")</f>
        <v/>
      </c>
      <c r="J20" s="46">
        <f>IF(I20="","",MATCH(I20,$E$2:$E$1123,0))</f>
        <v/>
      </c>
      <c r="K20" s="46">
        <f>IF(J20="","",INDEX($A$2:$A$1123,J20))</f>
        <v/>
      </c>
      <c r="L20" s="46">
        <f>IF(J20="","",INDEX($B$2:$B$1123,J20))</f>
        <v/>
      </c>
      <c r="M20" s="84">
        <f>IF(J20="","",INDEX($C$2:$C$1123,J20))</f>
        <v/>
      </c>
      <c r="N20" s="46">
        <f>IF(J20="","",INDEX($D$2:$D$1123,J20))</f>
        <v/>
      </c>
      <c r="P20" t="n">
        <v>19</v>
      </c>
      <c r="Q20" s="46">
        <f>IFERROR(SMALL($F$2:$F$1123,P20),"")</f>
        <v/>
      </c>
      <c r="R20" s="46">
        <f>IF(Q20="","",MATCH(Q20,$F$2:$F$1123,0))</f>
        <v/>
      </c>
      <c r="S20" s="46">
        <f>IF(R20="","",INDEX($A$2:$A$1123,R20))</f>
        <v/>
      </c>
      <c r="T20" s="46">
        <f>IF(R20="","",INDEX($B$2:$B$1123,R20))</f>
        <v/>
      </c>
      <c r="U20" s="84">
        <f>IF(R20="","",INDEX($C$2:$C$1123,R20))</f>
        <v/>
      </c>
      <c r="V20" s="46">
        <f>IF(R20="","",INDEX($D$2:$D$1123,R20))</f>
        <v/>
      </c>
    </row>
    <row r="21">
      <c r="A21" t="inlineStr">
        <is>
          <t>Selections &amp; Orders</t>
        </is>
      </c>
      <c r="B21" s="46">
        <f>'Selections &amp; Orders'!AC27</f>
        <v/>
      </c>
      <c r="C21" s="84">
        <f>'Selections &amp; Orders'!AA27</f>
        <v/>
      </c>
      <c r="D21" s="46">
        <f>'Selections &amp; Orders'!AB27</f>
        <v/>
      </c>
      <c r="E21" s="46">
        <f>IF(OR(B21="",C21="",D21=""),"",D21*100000+(C21-DATE(2000,1,1))+ROW()/100000)</f>
        <v/>
      </c>
      <c r="F21" s="46">
        <f>IF(E21="","",IF(C21&gt;WeekEndDate,"",E21))</f>
        <v/>
      </c>
      <c r="H21" t="n">
        <v>20</v>
      </c>
      <c r="I21" s="46">
        <f>IFERROR(SMALL($E$2:$E$1123,H21),"")</f>
        <v/>
      </c>
      <c r="J21" s="46">
        <f>IF(I21="","",MATCH(I21,$E$2:$E$1123,0))</f>
        <v/>
      </c>
      <c r="K21" s="46">
        <f>IF(J21="","",INDEX($A$2:$A$1123,J21))</f>
        <v/>
      </c>
      <c r="L21" s="46">
        <f>IF(J21="","",INDEX($B$2:$B$1123,J21))</f>
        <v/>
      </c>
      <c r="M21" s="84">
        <f>IF(J21="","",INDEX($C$2:$C$1123,J21))</f>
        <v/>
      </c>
      <c r="N21" s="46">
        <f>IF(J21="","",INDEX($D$2:$D$1123,J21))</f>
        <v/>
      </c>
      <c r="P21" t="n">
        <v>20</v>
      </c>
      <c r="Q21" s="46">
        <f>IFERROR(SMALL($F$2:$F$1123,P21),"")</f>
        <v/>
      </c>
      <c r="R21" s="46">
        <f>IF(Q21="","",MATCH(Q21,$F$2:$F$1123,0))</f>
        <v/>
      </c>
      <c r="S21" s="46">
        <f>IF(R21="","",INDEX($A$2:$A$1123,R21))</f>
        <v/>
      </c>
      <c r="T21" s="46">
        <f>IF(R21="","",INDEX($B$2:$B$1123,R21))</f>
        <v/>
      </c>
      <c r="U21" s="84">
        <f>IF(R21="","",INDEX($C$2:$C$1123,R21))</f>
        <v/>
      </c>
      <c r="V21" s="46">
        <f>IF(R21="","",INDEX($D$2:$D$1123,R21))</f>
        <v/>
      </c>
    </row>
    <row r="22">
      <c r="A22" t="inlineStr">
        <is>
          <t>Selections &amp; Orders</t>
        </is>
      </c>
      <c r="B22" s="46">
        <f>'Selections &amp; Orders'!AC28</f>
        <v/>
      </c>
      <c r="C22" s="84">
        <f>'Selections &amp; Orders'!AA28</f>
        <v/>
      </c>
      <c r="D22" s="46">
        <f>'Selections &amp; Orders'!AB28</f>
        <v/>
      </c>
      <c r="E22" s="46">
        <f>IF(OR(B22="",C22="",D22=""),"",D22*100000+(C22-DATE(2000,1,1))+ROW()/100000)</f>
        <v/>
      </c>
      <c r="F22" s="46">
        <f>IF(E22="","",IF(C22&gt;WeekEndDate,"",E22))</f>
        <v/>
      </c>
      <c r="H22" t="n">
        <v>21</v>
      </c>
      <c r="I22" s="46">
        <f>IFERROR(SMALL($E$2:$E$1123,H22),"")</f>
        <v/>
      </c>
      <c r="J22" s="46">
        <f>IF(I22="","",MATCH(I22,$E$2:$E$1123,0))</f>
        <v/>
      </c>
      <c r="K22" s="46">
        <f>IF(J22="","",INDEX($A$2:$A$1123,J22))</f>
        <v/>
      </c>
      <c r="L22" s="46">
        <f>IF(J22="","",INDEX($B$2:$B$1123,J22))</f>
        <v/>
      </c>
      <c r="M22" s="84">
        <f>IF(J22="","",INDEX($C$2:$C$1123,J22))</f>
        <v/>
      </c>
      <c r="N22" s="46">
        <f>IF(J22="","",INDEX($D$2:$D$1123,J22))</f>
        <v/>
      </c>
      <c r="P22" t="n">
        <v>21</v>
      </c>
      <c r="Q22" s="46">
        <f>IFERROR(SMALL($F$2:$F$1123,P22),"")</f>
        <v/>
      </c>
      <c r="R22" s="46">
        <f>IF(Q22="","",MATCH(Q22,$F$2:$F$1123,0))</f>
        <v/>
      </c>
      <c r="S22" s="46">
        <f>IF(R22="","",INDEX($A$2:$A$1123,R22))</f>
        <v/>
      </c>
      <c r="T22" s="46">
        <f>IF(R22="","",INDEX($B$2:$B$1123,R22))</f>
        <v/>
      </c>
      <c r="U22" s="84">
        <f>IF(R22="","",INDEX($C$2:$C$1123,R22))</f>
        <v/>
      </c>
      <c r="V22" s="46">
        <f>IF(R22="","",INDEX($D$2:$D$1123,R22))</f>
        <v/>
      </c>
    </row>
    <row r="23">
      <c r="A23" t="inlineStr">
        <is>
          <t>Selections &amp; Orders</t>
        </is>
      </c>
      <c r="B23" s="46">
        <f>'Selections &amp; Orders'!AC29</f>
        <v/>
      </c>
      <c r="C23" s="84">
        <f>'Selections &amp; Orders'!AA29</f>
        <v/>
      </c>
      <c r="D23" s="46">
        <f>'Selections &amp; Orders'!AB29</f>
        <v/>
      </c>
      <c r="E23" s="46">
        <f>IF(OR(B23="",C23="",D23=""),"",D23*100000+(C23-DATE(2000,1,1))+ROW()/100000)</f>
        <v/>
      </c>
      <c r="F23" s="46">
        <f>IF(E23="","",IF(C23&gt;WeekEndDate,"",E23))</f>
        <v/>
      </c>
      <c r="H23" t="n">
        <v>22</v>
      </c>
      <c r="I23" s="46">
        <f>IFERROR(SMALL($E$2:$E$1123,H23),"")</f>
        <v/>
      </c>
      <c r="J23" s="46">
        <f>IF(I23="","",MATCH(I23,$E$2:$E$1123,0))</f>
        <v/>
      </c>
      <c r="K23" s="46">
        <f>IF(J23="","",INDEX($A$2:$A$1123,J23))</f>
        <v/>
      </c>
      <c r="L23" s="46">
        <f>IF(J23="","",INDEX($B$2:$B$1123,J23))</f>
        <v/>
      </c>
      <c r="M23" s="84">
        <f>IF(J23="","",INDEX($C$2:$C$1123,J23))</f>
        <v/>
      </c>
      <c r="N23" s="46">
        <f>IF(J23="","",INDEX($D$2:$D$1123,J23))</f>
        <v/>
      </c>
      <c r="P23" t="n">
        <v>22</v>
      </c>
      <c r="Q23" s="46">
        <f>IFERROR(SMALL($F$2:$F$1123,P23),"")</f>
        <v/>
      </c>
      <c r="R23" s="46">
        <f>IF(Q23="","",MATCH(Q23,$F$2:$F$1123,0))</f>
        <v/>
      </c>
      <c r="S23" s="46">
        <f>IF(R23="","",INDEX($A$2:$A$1123,R23))</f>
        <v/>
      </c>
      <c r="T23" s="46">
        <f>IF(R23="","",INDEX($B$2:$B$1123,R23))</f>
        <v/>
      </c>
      <c r="U23" s="84">
        <f>IF(R23="","",INDEX($C$2:$C$1123,R23))</f>
        <v/>
      </c>
      <c r="V23" s="46">
        <f>IF(R23="","",INDEX($D$2:$D$1123,R23))</f>
        <v/>
      </c>
    </row>
    <row r="24">
      <c r="A24" t="inlineStr">
        <is>
          <t>Selections &amp; Orders</t>
        </is>
      </c>
      <c r="B24" s="46">
        <f>'Selections &amp; Orders'!AC30</f>
        <v/>
      </c>
      <c r="C24" s="84">
        <f>'Selections &amp; Orders'!AA30</f>
        <v/>
      </c>
      <c r="D24" s="46">
        <f>'Selections &amp; Orders'!AB30</f>
        <v/>
      </c>
      <c r="E24" s="46">
        <f>IF(OR(B24="",C24="",D24=""),"",D24*100000+(C24-DATE(2000,1,1))+ROW()/100000)</f>
        <v/>
      </c>
      <c r="F24" s="46">
        <f>IF(E24="","",IF(C24&gt;WeekEndDate,"",E24))</f>
        <v/>
      </c>
      <c r="H24" t="n">
        <v>23</v>
      </c>
      <c r="I24" s="46">
        <f>IFERROR(SMALL($E$2:$E$1123,H24),"")</f>
        <v/>
      </c>
      <c r="J24" s="46">
        <f>IF(I24="","",MATCH(I24,$E$2:$E$1123,0))</f>
        <v/>
      </c>
      <c r="K24" s="46">
        <f>IF(J24="","",INDEX($A$2:$A$1123,J24))</f>
        <v/>
      </c>
      <c r="L24" s="46">
        <f>IF(J24="","",INDEX($B$2:$B$1123,J24))</f>
        <v/>
      </c>
      <c r="M24" s="84">
        <f>IF(J24="","",INDEX($C$2:$C$1123,J24))</f>
        <v/>
      </c>
      <c r="N24" s="46">
        <f>IF(J24="","",INDEX($D$2:$D$1123,J24))</f>
        <v/>
      </c>
      <c r="P24" t="n">
        <v>23</v>
      </c>
      <c r="Q24" s="46">
        <f>IFERROR(SMALL($F$2:$F$1123,P24),"")</f>
        <v/>
      </c>
      <c r="R24" s="46">
        <f>IF(Q24="","",MATCH(Q24,$F$2:$F$1123,0))</f>
        <v/>
      </c>
      <c r="S24" s="46">
        <f>IF(R24="","",INDEX($A$2:$A$1123,R24))</f>
        <v/>
      </c>
      <c r="T24" s="46">
        <f>IF(R24="","",INDEX($B$2:$B$1123,R24))</f>
        <v/>
      </c>
      <c r="U24" s="84">
        <f>IF(R24="","",INDEX($C$2:$C$1123,R24))</f>
        <v/>
      </c>
      <c r="V24" s="46">
        <f>IF(R24="","",INDEX($D$2:$D$1123,R24))</f>
        <v/>
      </c>
    </row>
    <row r="25">
      <c r="A25" t="inlineStr">
        <is>
          <t>Selections &amp; Orders</t>
        </is>
      </c>
      <c r="B25" s="46">
        <f>'Selections &amp; Orders'!AC31</f>
        <v/>
      </c>
      <c r="C25" s="84">
        <f>'Selections &amp; Orders'!AA31</f>
        <v/>
      </c>
      <c r="D25" s="46">
        <f>'Selections &amp; Orders'!AB31</f>
        <v/>
      </c>
      <c r="E25" s="46">
        <f>IF(OR(B25="",C25="",D25=""),"",D25*100000+(C25-DATE(2000,1,1))+ROW()/100000)</f>
        <v/>
      </c>
      <c r="F25" s="46">
        <f>IF(E25="","",IF(C25&gt;WeekEndDate,"",E25))</f>
        <v/>
      </c>
      <c r="H25" t="n">
        <v>24</v>
      </c>
      <c r="I25" s="46">
        <f>IFERROR(SMALL($E$2:$E$1123,H25),"")</f>
        <v/>
      </c>
      <c r="J25" s="46">
        <f>IF(I25="","",MATCH(I25,$E$2:$E$1123,0))</f>
        <v/>
      </c>
      <c r="K25" s="46">
        <f>IF(J25="","",INDEX($A$2:$A$1123,J25))</f>
        <v/>
      </c>
      <c r="L25" s="46">
        <f>IF(J25="","",INDEX($B$2:$B$1123,J25))</f>
        <v/>
      </c>
      <c r="M25" s="84">
        <f>IF(J25="","",INDEX($C$2:$C$1123,J25))</f>
        <v/>
      </c>
      <c r="N25" s="46">
        <f>IF(J25="","",INDEX($D$2:$D$1123,J25))</f>
        <v/>
      </c>
      <c r="P25" t="n">
        <v>24</v>
      </c>
      <c r="Q25" s="46">
        <f>IFERROR(SMALL($F$2:$F$1123,P25),"")</f>
        <v/>
      </c>
      <c r="R25" s="46">
        <f>IF(Q25="","",MATCH(Q25,$F$2:$F$1123,0))</f>
        <v/>
      </c>
      <c r="S25" s="46">
        <f>IF(R25="","",INDEX($A$2:$A$1123,R25))</f>
        <v/>
      </c>
      <c r="T25" s="46">
        <f>IF(R25="","",INDEX($B$2:$B$1123,R25))</f>
        <v/>
      </c>
      <c r="U25" s="84">
        <f>IF(R25="","",INDEX($C$2:$C$1123,R25))</f>
        <v/>
      </c>
      <c r="V25" s="46">
        <f>IF(R25="","",INDEX($D$2:$D$1123,R25))</f>
        <v/>
      </c>
    </row>
    <row r="26">
      <c r="A26" t="inlineStr">
        <is>
          <t>Selections &amp; Orders</t>
        </is>
      </c>
      <c r="B26" s="46">
        <f>'Selections &amp; Orders'!AC32</f>
        <v/>
      </c>
      <c r="C26" s="84">
        <f>'Selections &amp; Orders'!AA32</f>
        <v/>
      </c>
      <c r="D26" s="46">
        <f>'Selections &amp; Orders'!AB32</f>
        <v/>
      </c>
      <c r="E26" s="46">
        <f>IF(OR(B26="",C26="",D26=""),"",D26*100000+(C26-DATE(2000,1,1))+ROW()/100000)</f>
        <v/>
      </c>
      <c r="F26" s="46">
        <f>IF(E26="","",IF(C26&gt;WeekEndDate,"",E26))</f>
        <v/>
      </c>
      <c r="H26" t="n">
        <v>25</v>
      </c>
      <c r="I26" s="46">
        <f>IFERROR(SMALL($E$2:$E$1123,H26),"")</f>
        <v/>
      </c>
      <c r="J26" s="46">
        <f>IF(I26="","",MATCH(I26,$E$2:$E$1123,0))</f>
        <v/>
      </c>
      <c r="K26" s="46">
        <f>IF(J26="","",INDEX($A$2:$A$1123,J26))</f>
        <v/>
      </c>
      <c r="L26" s="46">
        <f>IF(J26="","",INDEX($B$2:$B$1123,J26))</f>
        <v/>
      </c>
      <c r="M26" s="84">
        <f>IF(J26="","",INDEX($C$2:$C$1123,J26))</f>
        <v/>
      </c>
      <c r="N26" s="46">
        <f>IF(J26="","",INDEX($D$2:$D$1123,J26))</f>
        <v/>
      </c>
      <c r="P26" t="n">
        <v>25</v>
      </c>
      <c r="Q26" s="46">
        <f>IFERROR(SMALL($F$2:$F$1123,P26),"")</f>
        <v/>
      </c>
      <c r="R26" s="46">
        <f>IF(Q26="","",MATCH(Q26,$F$2:$F$1123,0))</f>
        <v/>
      </c>
      <c r="S26" s="46">
        <f>IF(R26="","",INDEX($A$2:$A$1123,R26))</f>
        <v/>
      </c>
      <c r="T26" s="46">
        <f>IF(R26="","",INDEX($B$2:$B$1123,R26))</f>
        <v/>
      </c>
      <c r="U26" s="84">
        <f>IF(R26="","",INDEX($C$2:$C$1123,R26))</f>
        <v/>
      </c>
      <c r="V26" s="46">
        <f>IF(R26="","",INDEX($D$2:$D$1123,R26))</f>
        <v/>
      </c>
    </row>
    <row r="27">
      <c r="A27" t="inlineStr">
        <is>
          <t>Selections &amp; Orders</t>
        </is>
      </c>
      <c r="B27" s="46">
        <f>'Selections &amp; Orders'!AC33</f>
        <v/>
      </c>
      <c r="C27" s="84">
        <f>'Selections &amp; Orders'!AA33</f>
        <v/>
      </c>
      <c r="D27" s="46">
        <f>'Selections &amp; Orders'!AB33</f>
        <v/>
      </c>
      <c r="E27" s="46">
        <f>IF(OR(B27="",C27="",D27=""),"",D27*100000+(C27-DATE(2000,1,1))+ROW()/100000)</f>
        <v/>
      </c>
      <c r="F27" s="46">
        <f>IF(E27="","",IF(C27&gt;WeekEndDate,"",E27))</f>
        <v/>
      </c>
    </row>
    <row r="28">
      <c r="A28" t="inlineStr">
        <is>
          <t>Selections &amp; Orders</t>
        </is>
      </c>
      <c r="B28" s="46">
        <f>'Selections &amp; Orders'!AC34</f>
        <v/>
      </c>
      <c r="C28" s="84">
        <f>'Selections &amp; Orders'!AA34</f>
        <v/>
      </c>
      <c r="D28" s="46">
        <f>'Selections &amp; Orders'!AB34</f>
        <v/>
      </c>
      <c r="E28" s="46">
        <f>IF(OR(B28="",C28="",D28=""),"",D28*100000+(C28-DATE(2000,1,1))+ROW()/100000)</f>
        <v/>
      </c>
      <c r="F28" s="46">
        <f>IF(E28="","",IF(C28&gt;WeekEndDate,"",E28))</f>
        <v/>
      </c>
      <c r="H28" t="inlineStr">
        <is>
          <t>TOP 25 (all)</t>
        </is>
      </c>
      <c r="P28" t="inlineStr">
        <is>
          <t>TOP 25 (due by week end)</t>
        </is>
      </c>
    </row>
    <row r="29">
      <c r="A29" t="inlineStr">
        <is>
          <t>Selections &amp; Orders</t>
        </is>
      </c>
      <c r="B29" s="46">
        <f>'Selections &amp; Orders'!AC35</f>
        <v/>
      </c>
      <c r="C29" s="84">
        <f>'Selections &amp; Orders'!AA35</f>
        <v/>
      </c>
      <c r="D29" s="46">
        <f>'Selections &amp; Orders'!AB35</f>
        <v/>
      </c>
      <c r="E29" s="46">
        <f>IF(OR(B29="",C29="",D29=""),"",D29*100000+(C29-DATE(2000,1,1))+ROW()/100000)</f>
        <v/>
      </c>
      <c r="F29" s="46">
        <f>IF(E29="","",IF(C29&gt;WeekEndDate,"",E29))</f>
        <v/>
      </c>
    </row>
    <row r="30">
      <c r="A30" t="inlineStr">
        <is>
          <t>Selections &amp; Orders</t>
        </is>
      </c>
      <c r="B30" s="46">
        <f>'Selections &amp; Orders'!AC36</f>
        <v/>
      </c>
      <c r="C30" s="84">
        <f>'Selections &amp; Orders'!AA36</f>
        <v/>
      </c>
      <c r="D30" s="46">
        <f>'Selections &amp; Orders'!AB36</f>
        <v/>
      </c>
      <c r="E30" s="46">
        <f>IF(OR(B30="",C30="",D30=""),"",D30*100000+(C30-DATE(2000,1,1))+ROW()/100000)</f>
        <v/>
      </c>
      <c r="F30" s="46">
        <f>IF(E30="","",IF(C30&gt;WeekEndDate,"",E30))</f>
        <v/>
      </c>
    </row>
    <row r="31">
      <c r="A31" t="inlineStr">
        <is>
          <t>Selections &amp; Orders</t>
        </is>
      </c>
      <c r="B31" s="46">
        <f>'Selections &amp; Orders'!AC37</f>
        <v/>
      </c>
      <c r="C31" s="84">
        <f>'Selections &amp; Orders'!AA37</f>
        <v/>
      </c>
      <c r="D31" s="46">
        <f>'Selections &amp; Orders'!AB37</f>
        <v/>
      </c>
      <c r="E31" s="46">
        <f>IF(OR(B31="",C31="",D31=""),"",D31*100000+(C31-DATE(2000,1,1))+ROW()/100000)</f>
        <v/>
      </c>
      <c r="F31" s="46">
        <f>IF(E31="","",IF(C31&gt;WeekEndDate,"",E31))</f>
        <v/>
      </c>
    </row>
    <row r="32">
      <c r="A32" t="inlineStr">
        <is>
          <t>Selections &amp; Orders</t>
        </is>
      </c>
      <c r="B32" s="46">
        <f>'Selections &amp; Orders'!AC38</f>
        <v/>
      </c>
      <c r="C32" s="84">
        <f>'Selections &amp; Orders'!AA38</f>
        <v/>
      </c>
      <c r="D32" s="46">
        <f>'Selections &amp; Orders'!AB38</f>
        <v/>
      </c>
      <c r="E32" s="46">
        <f>IF(OR(B32="",C32="",D32=""),"",D32*100000+(C32-DATE(2000,1,1))+ROW()/100000)</f>
        <v/>
      </c>
      <c r="F32" s="46">
        <f>IF(E32="","",IF(C32&gt;WeekEndDate,"",E32))</f>
        <v/>
      </c>
    </row>
    <row r="33">
      <c r="A33" t="inlineStr">
        <is>
          <t>Selections &amp; Orders</t>
        </is>
      </c>
      <c r="B33" s="46">
        <f>'Selections &amp; Orders'!AC39</f>
        <v/>
      </c>
      <c r="C33" s="84">
        <f>'Selections &amp; Orders'!AA39</f>
        <v/>
      </c>
      <c r="D33" s="46">
        <f>'Selections &amp; Orders'!AB39</f>
        <v/>
      </c>
      <c r="E33" s="46">
        <f>IF(OR(B33="",C33="",D33=""),"",D33*100000+(C33-DATE(2000,1,1))+ROW()/100000)</f>
        <v/>
      </c>
      <c r="F33" s="46">
        <f>IF(E33="","",IF(C33&gt;WeekEndDate,"",E33))</f>
        <v/>
      </c>
    </row>
    <row r="34">
      <c r="A34" t="inlineStr">
        <is>
          <t>Selections &amp; Orders</t>
        </is>
      </c>
      <c r="B34" s="46">
        <f>'Selections &amp; Orders'!AC40</f>
        <v/>
      </c>
      <c r="C34" s="84">
        <f>'Selections &amp; Orders'!AA40</f>
        <v/>
      </c>
      <c r="D34" s="46">
        <f>'Selections &amp; Orders'!AB40</f>
        <v/>
      </c>
      <c r="E34" s="46">
        <f>IF(OR(B34="",C34="",D34=""),"",D34*100000+(C34-DATE(2000,1,1))+ROW()/100000)</f>
        <v/>
      </c>
      <c r="F34" s="46">
        <f>IF(E34="","",IF(C34&gt;WeekEndDate,"",E34))</f>
        <v/>
      </c>
    </row>
    <row r="35">
      <c r="A35" t="inlineStr">
        <is>
          <t>Selections &amp; Orders</t>
        </is>
      </c>
      <c r="B35" s="46">
        <f>'Selections &amp; Orders'!AC41</f>
        <v/>
      </c>
      <c r="C35" s="84">
        <f>'Selections &amp; Orders'!AA41</f>
        <v/>
      </c>
      <c r="D35" s="46">
        <f>'Selections &amp; Orders'!AB41</f>
        <v/>
      </c>
      <c r="E35" s="46">
        <f>IF(OR(B35="",C35="",D35=""),"",D35*100000+(C35-DATE(2000,1,1))+ROW()/100000)</f>
        <v/>
      </c>
      <c r="F35" s="46">
        <f>IF(E35="","",IF(C35&gt;WeekEndDate,"",E35))</f>
        <v/>
      </c>
    </row>
    <row r="36">
      <c r="A36" t="inlineStr">
        <is>
          <t>Selections &amp; Orders</t>
        </is>
      </c>
      <c r="B36" s="46">
        <f>'Selections &amp; Orders'!AC42</f>
        <v/>
      </c>
      <c r="C36" s="84">
        <f>'Selections &amp; Orders'!AA42</f>
        <v/>
      </c>
      <c r="D36" s="46">
        <f>'Selections &amp; Orders'!AB42</f>
        <v/>
      </c>
      <c r="E36" s="46">
        <f>IF(OR(B36="",C36="",D36=""),"",D36*100000+(C36-DATE(2000,1,1))+ROW()/100000)</f>
        <v/>
      </c>
      <c r="F36" s="46">
        <f>IF(E36="","",IF(C36&gt;WeekEndDate,"",E36))</f>
        <v/>
      </c>
    </row>
    <row r="37">
      <c r="A37" t="inlineStr">
        <is>
          <t>Selections &amp; Orders</t>
        </is>
      </c>
      <c r="B37" s="46">
        <f>'Selections &amp; Orders'!AC43</f>
        <v/>
      </c>
      <c r="C37" s="84">
        <f>'Selections &amp; Orders'!AA43</f>
        <v/>
      </c>
      <c r="D37" s="46">
        <f>'Selections &amp; Orders'!AB43</f>
        <v/>
      </c>
      <c r="E37" s="46">
        <f>IF(OR(B37="",C37="",D37=""),"",D37*100000+(C37-DATE(2000,1,1))+ROW()/100000)</f>
        <v/>
      </c>
      <c r="F37" s="46">
        <f>IF(E37="","",IF(C37&gt;WeekEndDate,"",E37))</f>
        <v/>
      </c>
    </row>
    <row r="38">
      <c r="A38" t="inlineStr">
        <is>
          <t>Selections &amp; Orders</t>
        </is>
      </c>
      <c r="B38" s="46">
        <f>'Selections &amp; Orders'!AC44</f>
        <v/>
      </c>
      <c r="C38" s="84">
        <f>'Selections &amp; Orders'!AA44</f>
        <v/>
      </c>
      <c r="D38" s="46">
        <f>'Selections &amp; Orders'!AB44</f>
        <v/>
      </c>
      <c r="E38" s="46">
        <f>IF(OR(B38="",C38="",D38=""),"",D38*100000+(C38-DATE(2000,1,1))+ROW()/100000)</f>
        <v/>
      </c>
      <c r="F38" s="46">
        <f>IF(E38="","",IF(C38&gt;WeekEndDate,"",E38))</f>
        <v/>
      </c>
    </row>
    <row r="39">
      <c r="A39" t="inlineStr">
        <is>
          <t>Selections &amp; Orders</t>
        </is>
      </c>
      <c r="B39" s="46">
        <f>'Selections &amp; Orders'!AC45</f>
        <v/>
      </c>
      <c r="C39" s="84">
        <f>'Selections &amp; Orders'!AA45</f>
        <v/>
      </c>
      <c r="D39" s="46">
        <f>'Selections &amp; Orders'!AB45</f>
        <v/>
      </c>
      <c r="E39" s="46">
        <f>IF(OR(B39="",C39="",D39=""),"",D39*100000+(C39-DATE(2000,1,1))+ROW()/100000)</f>
        <v/>
      </c>
      <c r="F39" s="46">
        <f>IF(E39="","",IF(C39&gt;WeekEndDate,"",E39))</f>
        <v/>
      </c>
    </row>
    <row r="40">
      <c r="A40" t="inlineStr">
        <is>
          <t>Selections &amp; Orders</t>
        </is>
      </c>
      <c r="B40" s="46">
        <f>'Selections &amp; Orders'!AC46</f>
        <v/>
      </c>
      <c r="C40" s="84">
        <f>'Selections &amp; Orders'!AA46</f>
        <v/>
      </c>
      <c r="D40" s="46">
        <f>'Selections &amp; Orders'!AB46</f>
        <v/>
      </c>
      <c r="E40" s="46">
        <f>IF(OR(B40="",C40="",D40=""),"",D40*100000+(C40-DATE(2000,1,1))+ROW()/100000)</f>
        <v/>
      </c>
      <c r="F40" s="46">
        <f>IF(E40="","",IF(C40&gt;WeekEndDate,"",E40))</f>
        <v/>
      </c>
    </row>
    <row r="41">
      <c r="A41" t="inlineStr">
        <is>
          <t>Selections &amp; Orders</t>
        </is>
      </c>
      <c r="B41" s="46">
        <f>'Selections &amp; Orders'!AC47</f>
        <v/>
      </c>
      <c r="C41" s="84">
        <f>'Selections &amp; Orders'!AA47</f>
        <v/>
      </c>
      <c r="D41" s="46">
        <f>'Selections &amp; Orders'!AB47</f>
        <v/>
      </c>
      <c r="E41" s="46">
        <f>IF(OR(B41="",C41="",D41=""),"",D41*100000+(C41-DATE(2000,1,1))+ROW()/100000)</f>
        <v/>
      </c>
      <c r="F41" s="46">
        <f>IF(E41="","",IF(C41&gt;WeekEndDate,"",E41))</f>
        <v/>
      </c>
    </row>
    <row r="42">
      <c r="A42" t="inlineStr">
        <is>
          <t>Selections &amp; Orders</t>
        </is>
      </c>
      <c r="B42" s="46">
        <f>'Selections &amp; Orders'!AC48</f>
        <v/>
      </c>
      <c r="C42" s="84">
        <f>'Selections &amp; Orders'!AA48</f>
        <v/>
      </c>
      <c r="D42" s="46">
        <f>'Selections &amp; Orders'!AB48</f>
        <v/>
      </c>
      <c r="E42" s="46">
        <f>IF(OR(B42="",C42="",D42=""),"",D42*100000+(C42-DATE(2000,1,1))+ROW()/100000)</f>
        <v/>
      </c>
      <c r="F42" s="46">
        <f>IF(E42="","",IF(C42&gt;WeekEndDate,"",E42))</f>
        <v/>
      </c>
    </row>
    <row r="43">
      <c r="A43" t="inlineStr">
        <is>
          <t>Selections &amp; Orders</t>
        </is>
      </c>
      <c r="B43" s="46">
        <f>'Selections &amp; Orders'!AC49</f>
        <v/>
      </c>
      <c r="C43" s="84">
        <f>'Selections &amp; Orders'!AA49</f>
        <v/>
      </c>
      <c r="D43" s="46">
        <f>'Selections &amp; Orders'!AB49</f>
        <v/>
      </c>
      <c r="E43" s="46">
        <f>IF(OR(B43="",C43="",D43=""),"",D43*100000+(C43-DATE(2000,1,1))+ROW()/100000)</f>
        <v/>
      </c>
      <c r="F43" s="46">
        <f>IF(E43="","",IF(C43&gt;WeekEndDate,"",E43))</f>
        <v/>
      </c>
    </row>
    <row r="44">
      <c r="A44" t="inlineStr">
        <is>
          <t>Selections &amp; Orders</t>
        </is>
      </c>
      <c r="B44" s="46">
        <f>'Selections &amp; Orders'!AC50</f>
        <v/>
      </c>
      <c r="C44" s="84">
        <f>'Selections &amp; Orders'!AA50</f>
        <v/>
      </c>
      <c r="D44" s="46">
        <f>'Selections &amp; Orders'!AB50</f>
        <v/>
      </c>
      <c r="E44" s="46">
        <f>IF(OR(B44="",C44="",D44=""),"",D44*100000+(C44-DATE(2000,1,1))+ROW()/100000)</f>
        <v/>
      </c>
      <c r="F44" s="46">
        <f>IF(E44="","",IF(C44&gt;WeekEndDate,"",E44))</f>
        <v/>
      </c>
    </row>
    <row r="45">
      <c r="A45" t="inlineStr">
        <is>
          <t>Selections &amp; Orders</t>
        </is>
      </c>
      <c r="B45" s="46">
        <f>'Selections &amp; Orders'!AC51</f>
        <v/>
      </c>
      <c r="C45" s="84">
        <f>'Selections &amp; Orders'!AA51</f>
        <v/>
      </c>
      <c r="D45" s="46">
        <f>'Selections &amp; Orders'!AB51</f>
        <v/>
      </c>
      <c r="E45" s="46">
        <f>IF(OR(B45="",C45="",D45=""),"",D45*100000+(C45-DATE(2000,1,1))+ROW()/100000)</f>
        <v/>
      </c>
      <c r="F45" s="46">
        <f>IF(E45="","",IF(C45&gt;WeekEndDate,"",E45))</f>
        <v/>
      </c>
    </row>
    <row r="46">
      <c r="A46" t="inlineStr">
        <is>
          <t>Selections &amp; Orders</t>
        </is>
      </c>
      <c r="B46" s="46">
        <f>'Selections &amp; Orders'!AC52</f>
        <v/>
      </c>
      <c r="C46" s="84">
        <f>'Selections &amp; Orders'!AA52</f>
        <v/>
      </c>
      <c r="D46" s="46">
        <f>'Selections &amp; Orders'!AB52</f>
        <v/>
      </c>
      <c r="E46" s="46">
        <f>IF(OR(B46="",C46="",D46=""),"",D46*100000+(C46-DATE(2000,1,1))+ROW()/100000)</f>
        <v/>
      </c>
      <c r="F46" s="46">
        <f>IF(E46="","",IF(C46&gt;WeekEndDate,"",E46))</f>
        <v/>
      </c>
    </row>
    <row r="47">
      <c r="A47" t="inlineStr">
        <is>
          <t>Selections &amp; Orders</t>
        </is>
      </c>
      <c r="B47" s="46">
        <f>'Selections &amp; Orders'!AC53</f>
        <v/>
      </c>
      <c r="C47" s="84">
        <f>'Selections &amp; Orders'!AA53</f>
        <v/>
      </c>
      <c r="D47" s="46">
        <f>'Selections &amp; Orders'!AB53</f>
        <v/>
      </c>
      <c r="E47" s="46">
        <f>IF(OR(B47="",C47="",D47=""),"",D47*100000+(C47-DATE(2000,1,1))+ROW()/100000)</f>
        <v/>
      </c>
      <c r="F47" s="46">
        <f>IF(E47="","",IF(C47&gt;WeekEndDate,"",E47))</f>
        <v/>
      </c>
    </row>
    <row r="48">
      <c r="A48" t="inlineStr">
        <is>
          <t>Selections &amp; Orders</t>
        </is>
      </c>
      <c r="B48" s="46">
        <f>'Selections &amp; Orders'!AC54</f>
        <v/>
      </c>
      <c r="C48" s="84">
        <f>'Selections &amp; Orders'!AA54</f>
        <v/>
      </c>
      <c r="D48" s="46">
        <f>'Selections &amp; Orders'!AB54</f>
        <v/>
      </c>
      <c r="E48" s="46">
        <f>IF(OR(B48="",C48="",D48=""),"",D48*100000+(C48-DATE(2000,1,1))+ROW()/100000)</f>
        <v/>
      </c>
      <c r="F48" s="46">
        <f>IF(E48="","",IF(C48&gt;WeekEndDate,"",E48))</f>
        <v/>
      </c>
    </row>
    <row r="49">
      <c r="A49" t="inlineStr">
        <is>
          <t>Selections &amp; Orders</t>
        </is>
      </c>
      <c r="B49" s="46">
        <f>'Selections &amp; Orders'!AC55</f>
        <v/>
      </c>
      <c r="C49" s="84">
        <f>'Selections &amp; Orders'!AA55</f>
        <v/>
      </c>
      <c r="D49" s="46">
        <f>'Selections &amp; Orders'!AB55</f>
        <v/>
      </c>
      <c r="E49" s="46">
        <f>IF(OR(B49="",C49="",D49=""),"",D49*100000+(C49-DATE(2000,1,1))+ROW()/100000)</f>
        <v/>
      </c>
      <c r="F49" s="46">
        <f>IF(E49="","",IF(C49&gt;WeekEndDate,"",E49))</f>
        <v/>
      </c>
    </row>
    <row r="50">
      <c r="A50" t="inlineStr">
        <is>
          <t>Selections &amp; Orders</t>
        </is>
      </c>
      <c r="B50" s="46">
        <f>'Selections &amp; Orders'!AC56</f>
        <v/>
      </c>
      <c r="C50" s="84">
        <f>'Selections &amp; Orders'!AA56</f>
        <v/>
      </c>
      <c r="D50" s="46">
        <f>'Selections &amp; Orders'!AB56</f>
        <v/>
      </c>
      <c r="E50" s="46">
        <f>IF(OR(B50="",C50="",D50=""),"",D50*100000+(C50-DATE(2000,1,1))+ROW()/100000)</f>
        <v/>
      </c>
      <c r="F50" s="46">
        <f>IF(E50="","",IF(C50&gt;WeekEndDate,"",E50))</f>
        <v/>
      </c>
    </row>
    <row r="51">
      <c r="A51" t="inlineStr">
        <is>
          <t>Selections &amp; Orders</t>
        </is>
      </c>
      <c r="B51" s="46">
        <f>'Selections &amp; Orders'!AC57</f>
        <v/>
      </c>
      <c r="C51" s="84">
        <f>'Selections &amp; Orders'!AA57</f>
        <v/>
      </c>
      <c r="D51" s="46">
        <f>'Selections &amp; Orders'!AB57</f>
        <v/>
      </c>
      <c r="E51" s="46">
        <f>IF(OR(B51="",C51="",D51=""),"",D51*100000+(C51-DATE(2000,1,1))+ROW()/100000)</f>
        <v/>
      </c>
      <c r="F51" s="46">
        <f>IF(E51="","",IF(C51&gt;WeekEndDate,"",E51))</f>
        <v/>
      </c>
    </row>
    <row r="52">
      <c r="A52" t="inlineStr">
        <is>
          <t>Selections &amp; Orders</t>
        </is>
      </c>
      <c r="B52" s="46">
        <f>'Selections &amp; Orders'!AC58</f>
        <v/>
      </c>
      <c r="C52" s="84">
        <f>'Selections &amp; Orders'!AA58</f>
        <v/>
      </c>
      <c r="D52" s="46">
        <f>'Selections &amp; Orders'!AB58</f>
        <v/>
      </c>
      <c r="E52" s="46">
        <f>IF(OR(B52="",C52="",D52=""),"",D52*100000+(C52-DATE(2000,1,1))+ROW()/100000)</f>
        <v/>
      </c>
      <c r="F52" s="46">
        <f>IF(E52="","",IF(C52&gt;WeekEndDate,"",E52))</f>
        <v/>
      </c>
    </row>
    <row r="53">
      <c r="A53" t="inlineStr">
        <is>
          <t>Selections &amp; Orders</t>
        </is>
      </c>
      <c r="B53" s="46">
        <f>'Selections &amp; Orders'!AC59</f>
        <v/>
      </c>
      <c r="C53" s="84">
        <f>'Selections &amp; Orders'!AA59</f>
        <v/>
      </c>
      <c r="D53" s="46">
        <f>'Selections &amp; Orders'!AB59</f>
        <v/>
      </c>
      <c r="E53" s="46">
        <f>IF(OR(B53="",C53="",D53=""),"",D53*100000+(C53-DATE(2000,1,1))+ROW()/100000)</f>
        <v/>
      </c>
      <c r="F53" s="46">
        <f>IF(E53="","",IF(C53&gt;WeekEndDate,"",E53))</f>
        <v/>
      </c>
    </row>
    <row r="54">
      <c r="A54" t="inlineStr">
        <is>
          <t>Selections &amp; Orders</t>
        </is>
      </c>
      <c r="B54" s="46">
        <f>'Selections &amp; Orders'!AC60</f>
        <v/>
      </c>
      <c r="C54" s="84">
        <f>'Selections &amp; Orders'!AA60</f>
        <v/>
      </c>
      <c r="D54" s="46">
        <f>'Selections &amp; Orders'!AB60</f>
        <v/>
      </c>
      <c r="E54" s="46">
        <f>IF(OR(B54="",C54="",D54=""),"",D54*100000+(C54-DATE(2000,1,1))+ROW()/100000)</f>
        <v/>
      </c>
      <c r="F54" s="46">
        <f>IF(E54="","",IF(C54&gt;WeekEndDate,"",E54))</f>
        <v/>
      </c>
    </row>
    <row r="55">
      <c r="A55" t="inlineStr">
        <is>
          <t>Selections &amp; Orders</t>
        </is>
      </c>
      <c r="B55" s="46">
        <f>'Selections &amp; Orders'!AC61</f>
        <v/>
      </c>
      <c r="C55" s="84">
        <f>'Selections &amp; Orders'!AA61</f>
        <v/>
      </c>
      <c r="D55" s="46">
        <f>'Selections &amp; Orders'!AB61</f>
        <v/>
      </c>
      <c r="E55" s="46">
        <f>IF(OR(B55="",C55="",D55=""),"",D55*100000+(C55-DATE(2000,1,1))+ROW()/100000)</f>
        <v/>
      </c>
      <c r="F55" s="46">
        <f>IF(E55="","",IF(C55&gt;WeekEndDate,"",E55))</f>
        <v/>
      </c>
    </row>
    <row r="56">
      <c r="A56" t="inlineStr">
        <is>
          <t>Selections &amp; Orders</t>
        </is>
      </c>
      <c r="B56" s="46">
        <f>'Selections &amp; Orders'!AC62</f>
        <v/>
      </c>
      <c r="C56" s="84">
        <f>'Selections &amp; Orders'!AA62</f>
        <v/>
      </c>
      <c r="D56" s="46">
        <f>'Selections &amp; Orders'!AB62</f>
        <v/>
      </c>
      <c r="E56" s="46">
        <f>IF(OR(B56="",C56="",D56=""),"",D56*100000+(C56-DATE(2000,1,1))+ROW()/100000)</f>
        <v/>
      </c>
      <c r="F56" s="46">
        <f>IF(E56="","",IF(C56&gt;WeekEndDate,"",E56))</f>
        <v/>
      </c>
    </row>
    <row r="57">
      <c r="A57" t="inlineStr">
        <is>
          <t>Selections &amp; Orders</t>
        </is>
      </c>
      <c r="B57" s="46">
        <f>'Selections &amp; Orders'!AC63</f>
        <v/>
      </c>
      <c r="C57" s="84">
        <f>'Selections &amp; Orders'!AA63</f>
        <v/>
      </c>
      <c r="D57" s="46">
        <f>'Selections &amp; Orders'!AB63</f>
        <v/>
      </c>
      <c r="E57" s="46">
        <f>IF(OR(B57="",C57="",D57=""),"",D57*100000+(C57-DATE(2000,1,1))+ROW()/100000)</f>
        <v/>
      </c>
      <c r="F57" s="46">
        <f>IF(E57="","",IF(C57&gt;WeekEndDate,"",E57))</f>
        <v/>
      </c>
    </row>
    <row r="58">
      <c r="A58" t="inlineStr">
        <is>
          <t>Selections &amp; Orders</t>
        </is>
      </c>
      <c r="B58" s="46">
        <f>'Selections &amp; Orders'!AC64</f>
        <v/>
      </c>
      <c r="C58" s="84">
        <f>'Selections &amp; Orders'!AA64</f>
        <v/>
      </c>
      <c r="D58" s="46">
        <f>'Selections &amp; Orders'!AB64</f>
        <v/>
      </c>
      <c r="E58" s="46">
        <f>IF(OR(B58="",C58="",D58=""),"",D58*100000+(C58-DATE(2000,1,1))+ROW()/100000)</f>
        <v/>
      </c>
      <c r="F58" s="46">
        <f>IF(E58="","",IF(C58&gt;WeekEndDate,"",E58))</f>
        <v/>
      </c>
    </row>
    <row r="59">
      <c r="A59" t="inlineStr">
        <is>
          <t>Selections &amp; Orders</t>
        </is>
      </c>
      <c r="B59" s="46">
        <f>'Selections &amp; Orders'!AC65</f>
        <v/>
      </c>
      <c r="C59" s="84">
        <f>'Selections &amp; Orders'!AA65</f>
        <v/>
      </c>
      <c r="D59" s="46">
        <f>'Selections &amp; Orders'!AB65</f>
        <v/>
      </c>
      <c r="E59" s="46">
        <f>IF(OR(B59="",C59="",D59=""),"",D59*100000+(C59-DATE(2000,1,1))+ROW()/100000)</f>
        <v/>
      </c>
      <c r="F59" s="46">
        <f>IF(E59="","",IF(C59&gt;WeekEndDate,"",E59))</f>
        <v/>
      </c>
    </row>
    <row r="60">
      <c r="A60" t="inlineStr">
        <is>
          <t>Selections &amp; Orders</t>
        </is>
      </c>
      <c r="B60" s="46">
        <f>'Selections &amp; Orders'!AC66</f>
        <v/>
      </c>
      <c r="C60" s="84">
        <f>'Selections &amp; Orders'!AA66</f>
        <v/>
      </c>
      <c r="D60" s="46">
        <f>'Selections &amp; Orders'!AB66</f>
        <v/>
      </c>
      <c r="E60" s="46">
        <f>IF(OR(B60="",C60="",D60=""),"",D60*100000+(C60-DATE(2000,1,1))+ROW()/100000)</f>
        <v/>
      </c>
      <c r="F60" s="46">
        <f>IF(E60="","",IF(C60&gt;WeekEndDate,"",E60))</f>
        <v/>
      </c>
    </row>
    <row r="61">
      <c r="A61" t="inlineStr">
        <is>
          <t>Selections &amp; Orders</t>
        </is>
      </c>
      <c r="B61" s="46">
        <f>'Selections &amp; Orders'!AC67</f>
        <v/>
      </c>
      <c r="C61" s="84">
        <f>'Selections &amp; Orders'!AA67</f>
        <v/>
      </c>
      <c r="D61" s="46">
        <f>'Selections &amp; Orders'!AB67</f>
        <v/>
      </c>
      <c r="E61" s="46">
        <f>IF(OR(B61="",C61="",D61=""),"",D61*100000+(C61-DATE(2000,1,1))+ROW()/100000)</f>
        <v/>
      </c>
      <c r="F61" s="46">
        <f>IF(E61="","",IF(C61&gt;WeekEndDate,"",E61))</f>
        <v/>
      </c>
    </row>
    <row r="62">
      <c r="A62" t="inlineStr">
        <is>
          <t>Selections &amp; Orders</t>
        </is>
      </c>
      <c r="B62" s="46">
        <f>'Selections &amp; Orders'!AC68</f>
        <v/>
      </c>
      <c r="C62" s="84">
        <f>'Selections &amp; Orders'!AA68</f>
        <v/>
      </c>
      <c r="D62" s="46">
        <f>'Selections &amp; Orders'!AB68</f>
        <v/>
      </c>
      <c r="E62" s="46">
        <f>IF(OR(B62="",C62="",D62=""),"",D62*100000+(C62-DATE(2000,1,1))+ROW()/100000)</f>
        <v/>
      </c>
      <c r="F62" s="46">
        <f>IF(E62="","",IF(C62&gt;WeekEndDate,"",E62))</f>
        <v/>
      </c>
    </row>
    <row r="63">
      <c r="A63" t="inlineStr">
        <is>
          <t>Selections &amp; Orders</t>
        </is>
      </c>
      <c r="B63" s="46">
        <f>'Selections &amp; Orders'!AC69</f>
        <v/>
      </c>
      <c r="C63" s="84">
        <f>'Selections &amp; Orders'!AA69</f>
        <v/>
      </c>
      <c r="D63" s="46">
        <f>'Selections &amp; Orders'!AB69</f>
        <v/>
      </c>
      <c r="E63" s="46">
        <f>IF(OR(B63="",C63="",D63=""),"",D63*100000+(C63-DATE(2000,1,1))+ROW()/100000)</f>
        <v/>
      </c>
      <c r="F63" s="46">
        <f>IF(E63="","",IF(C63&gt;WeekEndDate,"",E63))</f>
        <v/>
      </c>
    </row>
    <row r="64">
      <c r="A64" t="inlineStr">
        <is>
          <t>Selections &amp; Orders</t>
        </is>
      </c>
      <c r="B64" s="46">
        <f>'Selections &amp; Orders'!AC70</f>
        <v/>
      </c>
      <c r="C64" s="84">
        <f>'Selections &amp; Orders'!AA70</f>
        <v/>
      </c>
      <c r="D64" s="46">
        <f>'Selections &amp; Orders'!AB70</f>
        <v/>
      </c>
      <c r="E64" s="46">
        <f>IF(OR(B64="",C64="",D64=""),"",D64*100000+(C64-DATE(2000,1,1))+ROW()/100000)</f>
        <v/>
      </c>
      <c r="F64" s="46">
        <f>IF(E64="","",IF(C64&gt;WeekEndDate,"",E64))</f>
        <v/>
      </c>
    </row>
    <row r="65">
      <c r="A65" t="inlineStr">
        <is>
          <t>Selections &amp; Orders</t>
        </is>
      </c>
      <c r="B65" s="46">
        <f>'Selections &amp; Orders'!AC71</f>
        <v/>
      </c>
      <c r="C65" s="84">
        <f>'Selections &amp; Orders'!AA71</f>
        <v/>
      </c>
      <c r="D65" s="46">
        <f>'Selections &amp; Orders'!AB71</f>
        <v/>
      </c>
      <c r="E65" s="46">
        <f>IF(OR(B65="",C65="",D65=""),"",D65*100000+(C65-DATE(2000,1,1))+ROW()/100000)</f>
        <v/>
      </c>
      <c r="F65" s="46">
        <f>IF(E65="","",IF(C65&gt;WeekEndDate,"",E65))</f>
        <v/>
      </c>
    </row>
    <row r="66">
      <c r="A66" t="inlineStr">
        <is>
          <t>Selections &amp; Orders</t>
        </is>
      </c>
      <c r="B66" s="46">
        <f>'Selections &amp; Orders'!AC72</f>
        <v/>
      </c>
      <c r="C66" s="84">
        <f>'Selections &amp; Orders'!AA72</f>
        <v/>
      </c>
      <c r="D66" s="46">
        <f>'Selections &amp; Orders'!AB72</f>
        <v/>
      </c>
      <c r="E66" s="46">
        <f>IF(OR(B66="",C66="",D66=""),"",D66*100000+(C66-DATE(2000,1,1))+ROW()/100000)</f>
        <v/>
      </c>
      <c r="F66" s="46">
        <f>IF(E66="","",IF(C66&gt;WeekEndDate,"",E66))</f>
        <v/>
      </c>
    </row>
    <row r="67">
      <c r="A67" t="inlineStr">
        <is>
          <t>Selections &amp; Orders</t>
        </is>
      </c>
      <c r="B67" s="46">
        <f>'Selections &amp; Orders'!AC73</f>
        <v/>
      </c>
      <c r="C67" s="84">
        <f>'Selections &amp; Orders'!AA73</f>
        <v/>
      </c>
      <c r="D67" s="46">
        <f>'Selections &amp; Orders'!AB73</f>
        <v/>
      </c>
      <c r="E67" s="46">
        <f>IF(OR(B67="",C67="",D67=""),"",D67*100000+(C67-DATE(2000,1,1))+ROW()/100000)</f>
        <v/>
      </c>
      <c r="F67" s="46">
        <f>IF(E67="","",IF(C67&gt;WeekEndDate,"",E67))</f>
        <v/>
      </c>
    </row>
    <row r="68">
      <c r="A68" t="inlineStr">
        <is>
          <t>Selections &amp; Orders</t>
        </is>
      </c>
      <c r="B68" s="46">
        <f>'Selections &amp; Orders'!AC74</f>
        <v/>
      </c>
      <c r="C68" s="84">
        <f>'Selections &amp; Orders'!AA74</f>
        <v/>
      </c>
      <c r="D68" s="46">
        <f>'Selections &amp; Orders'!AB74</f>
        <v/>
      </c>
      <c r="E68" s="46">
        <f>IF(OR(B68="",C68="",D68=""),"",D68*100000+(C68-DATE(2000,1,1))+ROW()/100000)</f>
        <v/>
      </c>
      <c r="F68" s="46">
        <f>IF(E68="","",IF(C68&gt;WeekEndDate,"",E68))</f>
        <v/>
      </c>
    </row>
    <row r="69">
      <c r="A69" t="inlineStr">
        <is>
          <t>Selections &amp; Orders</t>
        </is>
      </c>
      <c r="B69" s="46">
        <f>'Selections &amp; Orders'!AC75</f>
        <v/>
      </c>
      <c r="C69" s="84">
        <f>'Selections &amp; Orders'!AA75</f>
        <v/>
      </c>
      <c r="D69" s="46">
        <f>'Selections &amp; Orders'!AB75</f>
        <v/>
      </c>
      <c r="E69" s="46">
        <f>IF(OR(B69="",C69="",D69=""),"",D69*100000+(C69-DATE(2000,1,1))+ROW()/100000)</f>
        <v/>
      </c>
      <c r="F69" s="46">
        <f>IF(E69="","",IF(C69&gt;WeekEndDate,"",E69))</f>
        <v/>
      </c>
    </row>
    <row r="70">
      <c r="A70" t="inlineStr">
        <is>
          <t>Selections &amp; Orders</t>
        </is>
      </c>
      <c r="B70" s="46">
        <f>'Selections &amp; Orders'!AC76</f>
        <v/>
      </c>
      <c r="C70" s="84">
        <f>'Selections &amp; Orders'!AA76</f>
        <v/>
      </c>
      <c r="D70" s="46">
        <f>'Selections &amp; Orders'!AB76</f>
        <v/>
      </c>
      <c r="E70" s="46">
        <f>IF(OR(B70="",C70="",D70=""),"",D70*100000+(C70-DATE(2000,1,1))+ROW()/100000)</f>
        <v/>
      </c>
      <c r="F70" s="46">
        <f>IF(E70="","",IF(C70&gt;WeekEndDate,"",E70))</f>
        <v/>
      </c>
    </row>
    <row r="71">
      <c r="A71" t="inlineStr">
        <is>
          <t>Selections &amp; Orders</t>
        </is>
      </c>
      <c r="B71" s="46">
        <f>'Selections &amp; Orders'!AC77</f>
        <v/>
      </c>
      <c r="C71" s="84">
        <f>'Selections &amp; Orders'!AA77</f>
        <v/>
      </c>
      <c r="D71" s="46">
        <f>'Selections &amp; Orders'!AB77</f>
        <v/>
      </c>
      <c r="E71" s="46">
        <f>IF(OR(B71="",C71="",D71=""),"",D71*100000+(C71-DATE(2000,1,1))+ROW()/100000)</f>
        <v/>
      </c>
      <c r="F71" s="46">
        <f>IF(E71="","",IF(C71&gt;WeekEndDate,"",E71))</f>
        <v/>
      </c>
    </row>
    <row r="72">
      <c r="A72" t="inlineStr">
        <is>
          <t>Selections &amp; Orders</t>
        </is>
      </c>
      <c r="B72" s="46">
        <f>'Selections &amp; Orders'!AC78</f>
        <v/>
      </c>
      <c r="C72" s="84">
        <f>'Selections &amp; Orders'!AA78</f>
        <v/>
      </c>
      <c r="D72" s="46">
        <f>'Selections &amp; Orders'!AB78</f>
        <v/>
      </c>
      <c r="E72" s="46">
        <f>IF(OR(B72="",C72="",D72=""),"",D72*100000+(C72-DATE(2000,1,1))+ROW()/100000)</f>
        <v/>
      </c>
      <c r="F72" s="46">
        <f>IF(E72="","",IF(C72&gt;WeekEndDate,"",E72))</f>
        <v/>
      </c>
    </row>
    <row r="73">
      <c r="A73" t="inlineStr">
        <is>
          <t>Selections &amp; Orders</t>
        </is>
      </c>
      <c r="B73" s="46">
        <f>'Selections &amp; Orders'!AC79</f>
        <v/>
      </c>
      <c r="C73" s="84">
        <f>'Selections &amp; Orders'!AA79</f>
        <v/>
      </c>
      <c r="D73" s="46">
        <f>'Selections &amp; Orders'!AB79</f>
        <v/>
      </c>
      <c r="E73" s="46">
        <f>IF(OR(B73="",C73="",D73=""),"",D73*100000+(C73-DATE(2000,1,1))+ROW()/100000)</f>
        <v/>
      </c>
      <c r="F73" s="46">
        <f>IF(E73="","",IF(C73&gt;WeekEndDate,"",E73))</f>
        <v/>
      </c>
    </row>
    <row r="74">
      <c r="A74" t="inlineStr">
        <is>
          <t>Selections &amp; Orders</t>
        </is>
      </c>
      <c r="B74" s="46">
        <f>'Selections &amp; Orders'!AC80</f>
        <v/>
      </c>
      <c r="C74" s="84">
        <f>'Selections &amp; Orders'!AA80</f>
        <v/>
      </c>
      <c r="D74" s="46">
        <f>'Selections &amp; Orders'!AB80</f>
        <v/>
      </c>
      <c r="E74" s="46">
        <f>IF(OR(B74="",C74="",D74=""),"",D74*100000+(C74-DATE(2000,1,1))+ROW()/100000)</f>
        <v/>
      </c>
      <c r="F74" s="46">
        <f>IF(E74="","",IF(C74&gt;WeekEndDate,"",E74))</f>
        <v/>
      </c>
    </row>
    <row r="75">
      <c r="A75" t="inlineStr">
        <is>
          <t>Selections &amp; Orders</t>
        </is>
      </c>
      <c r="B75" s="46">
        <f>'Selections &amp; Orders'!AC81</f>
        <v/>
      </c>
      <c r="C75" s="84">
        <f>'Selections &amp; Orders'!AA81</f>
        <v/>
      </c>
      <c r="D75" s="46">
        <f>'Selections &amp; Orders'!AB81</f>
        <v/>
      </c>
      <c r="E75" s="46">
        <f>IF(OR(B75="",C75="",D75=""),"",D75*100000+(C75-DATE(2000,1,1))+ROW()/100000)</f>
        <v/>
      </c>
      <c r="F75" s="46">
        <f>IF(E75="","",IF(C75&gt;WeekEndDate,"",E75))</f>
        <v/>
      </c>
    </row>
    <row r="76">
      <c r="A76" t="inlineStr">
        <is>
          <t>Selections &amp; Orders</t>
        </is>
      </c>
      <c r="B76" s="46">
        <f>'Selections &amp; Orders'!AC82</f>
        <v/>
      </c>
      <c r="C76" s="84">
        <f>'Selections &amp; Orders'!AA82</f>
        <v/>
      </c>
      <c r="D76" s="46">
        <f>'Selections &amp; Orders'!AB82</f>
        <v/>
      </c>
      <c r="E76" s="46">
        <f>IF(OR(B76="",C76="",D76=""),"",D76*100000+(C76-DATE(2000,1,1))+ROW()/100000)</f>
        <v/>
      </c>
      <c r="F76" s="46">
        <f>IF(E76="","",IF(C76&gt;WeekEndDate,"",E76))</f>
        <v/>
      </c>
    </row>
    <row r="77">
      <c r="A77" t="inlineStr">
        <is>
          <t>Selections &amp; Orders</t>
        </is>
      </c>
      <c r="B77" s="46">
        <f>'Selections &amp; Orders'!AC83</f>
        <v/>
      </c>
      <c r="C77" s="84">
        <f>'Selections &amp; Orders'!AA83</f>
        <v/>
      </c>
      <c r="D77" s="46">
        <f>'Selections &amp; Orders'!AB83</f>
        <v/>
      </c>
      <c r="E77" s="46">
        <f>IF(OR(B77="",C77="",D77=""),"",D77*100000+(C77-DATE(2000,1,1))+ROW()/100000)</f>
        <v/>
      </c>
      <c r="F77" s="46">
        <f>IF(E77="","",IF(C77&gt;WeekEndDate,"",E77))</f>
        <v/>
      </c>
    </row>
    <row r="78">
      <c r="A78" t="inlineStr">
        <is>
          <t>Selections &amp; Orders</t>
        </is>
      </c>
      <c r="B78" s="46">
        <f>'Selections &amp; Orders'!AC84</f>
        <v/>
      </c>
      <c r="C78" s="84">
        <f>'Selections &amp; Orders'!AA84</f>
        <v/>
      </c>
      <c r="D78" s="46">
        <f>'Selections &amp; Orders'!AB84</f>
        <v/>
      </c>
      <c r="E78" s="46">
        <f>IF(OR(B78="",C78="",D78=""),"",D78*100000+(C78-DATE(2000,1,1))+ROW()/100000)</f>
        <v/>
      </c>
      <c r="F78" s="46">
        <f>IF(E78="","",IF(C78&gt;WeekEndDate,"",E78))</f>
        <v/>
      </c>
    </row>
    <row r="79">
      <c r="A79" t="inlineStr">
        <is>
          <t>Selections &amp; Orders</t>
        </is>
      </c>
      <c r="B79" s="46">
        <f>'Selections &amp; Orders'!AC85</f>
        <v/>
      </c>
      <c r="C79" s="84">
        <f>'Selections &amp; Orders'!AA85</f>
        <v/>
      </c>
      <c r="D79" s="46">
        <f>'Selections &amp; Orders'!AB85</f>
        <v/>
      </c>
      <c r="E79" s="46">
        <f>IF(OR(B79="",C79="",D79=""),"",D79*100000+(C79-DATE(2000,1,1))+ROW()/100000)</f>
        <v/>
      </c>
      <c r="F79" s="46">
        <f>IF(E79="","",IF(C79&gt;WeekEndDate,"",E79))</f>
        <v/>
      </c>
    </row>
    <row r="80">
      <c r="A80" t="inlineStr">
        <is>
          <t>Selections &amp; Orders</t>
        </is>
      </c>
      <c r="B80" s="46">
        <f>'Selections &amp; Orders'!AC86</f>
        <v/>
      </c>
      <c r="C80" s="84">
        <f>'Selections &amp; Orders'!AA86</f>
        <v/>
      </c>
      <c r="D80" s="46">
        <f>'Selections &amp; Orders'!AB86</f>
        <v/>
      </c>
      <c r="E80" s="46">
        <f>IF(OR(B80="",C80="",D80=""),"",D80*100000+(C80-DATE(2000,1,1))+ROW()/100000)</f>
        <v/>
      </c>
      <c r="F80" s="46">
        <f>IF(E80="","",IF(C80&gt;WeekEndDate,"",E80))</f>
        <v/>
      </c>
    </row>
    <row r="81">
      <c r="A81" t="inlineStr">
        <is>
          <t>Selections &amp; Orders</t>
        </is>
      </c>
      <c r="B81" s="46">
        <f>'Selections &amp; Orders'!AC87</f>
        <v/>
      </c>
      <c r="C81" s="84">
        <f>'Selections &amp; Orders'!AA87</f>
        <v/>
      </c>
      <c r="D81" s="46">
        <f>'Selections &amp; Orders'!AB87</f>
        <v/>
      </c>
      <c r="E81" s="46">
        <f>IF(OR(B81="",C81="",D81=""),"",D81*100000+(C81-DATE(2000,1,1))+ROW()/100000)</f>
        <v/>
      </c>
      <c r="F81" s="46">
        <f>IF(E81="","",IF(C81&gt;WeekEndDate,"",E81))</f>
        <v/>
      </c>
    </row>
    <row r="82">
      <c r="A82" t="inlineStr">
        <is>
          <t>Selections &amp; Orders</t>
        </is>
      </c>
      <c r="B82" s="46">
        <f>'Selections &amp; Orders'!AC88</f>
        <v/>
      </c>
      <c r="C82" s="84">
        <f>'Selections &amp; Orders'!AA88</f>
        <v/>
      </c>
      <c r="D82" s="46">
        <f>'Selections &amp; Orders'!AB88</f>
        <v/>
      </c>
      <c r="E82" s="46">
        <f>IF(OR(B82="",C82="",D82=""),"",D82*100000+(C82-DATE(2000,1,1))+ROW()/100000)</f>
        <v/>
      </c>
      <c r="F82" s="46">
        <f>IF(E82="","",IF(C82&gt;WeekEndDate,"",E82))</f>
        <v/>
      </c>
    </row>
    <row r="83">
      <c r="A83" t="inlineStr">
        <is>
          <t>Selections &amp; Orders</t>
        </is>
      </c>
      <c r="B83" s="46">
        <f>'Selections &amp; Orders'!AC89</f>
        <v/>
      </c>
      <c r="C83" s="84">
        <f>'Selections &amp; Orders'!AA89</f>
        <v/>
      </c>
      <c r="D83" s="46">
        <f>'Selections &amp; Orders'!AB89</f>
        <v/>
      </c>
      <c r="E83" s="46">
        <f>IF(OR(B83="",C83="",D83=""),"",D83*100000+(C83-DATE(2000,1,1))+ROW()/100000)</f>
        <v/>
      </c>
      <c r="F83" s="46">
        <f>IF(E83="","",IF(C83&gt;WeekEndDate,"",E83))</f>
        <v/>
      </c>
    </row>
    <row r="84">
      <c r="A84" t="inlineStr">
        <is>
          <t>Selections &amp; Orders</t>
        </is>
      </c>
      <c r="B84" s="46">
        <f>'Selections &amp; Orders'!AC90</f>
        <v/>
      </c>
      <c r="C84" s="84">
        <f>'Selections &amp; Orders'!AA90</f>
        <v/>
      </c>
      <c r="D84" s="46">
        <f>'Selections &amp; Orders'!AB90</f>
        <v/>
      </c>
      <c r="E84" s="46">
        <f>IF(OR(B84="",C84="",D84=""),"",D84*100000+(C84-DATE(2000,1,1))+ROW()/100000)</f>
        <v/>
      </c>
      <c r="F84" s="46">
        <f>IF(E84="","",IF(C84&gt;WeekEndDate,"",E84))</f>
        <v/>
      </c>
    </row>
    <row r="85">
      <c r="A85" t="inlineStr">
        <is>
          <t>Selections &amp; Orders</t>
        </is>
      </c>
      <c r="B85" s="46">
        <f>'Selections &amp; Orders'!AC91</f>
        <v/>
      </c>
      <c r="C85" s="84">
        <f>'Selections &amp; Orders'!AA91</f>
        <v/>
      </c>
      <c r="D85" s="46">
        <f>'Selections &amp; Orders'!AB91</f>
        <v/>
      </c>
      <c r="E85" s="46">
        <f>IF(OR(B85="",C85="",D85=""),"",D85*100000+(C85-DATE(2000,1,1))+ROW()/100000)</f>
        <v/>
      </c>
      <c r="F85" s="46">
        <f>IF(E85="","",IF(C85&gt;WeekEndDate,"",E85))</f>
        <v/>
      </c>
    </row>
    <row r="86">
      <c r="A86" t="inlineStr">
        <is>
          <t>Selections &amp; Orders</t>
        </is>
      </c>
      <c r="B86" s="46">
        <f>'Selections &amp; Orders'!AC92</f>
        <v/>
      </c>
      <c r="C86" s="84">
        <f>'Selections &amp; Orders'!AA92</f>
        <v/>
      </c>
      <c r="D86" s="46">
        <f>'Selections &amp; Orders'!AB92</f>
        <v/>
      </c>
      <c r="E86" s="46">
        <f>IF(OR(B86="",C86="",D86=""),"",D86*100000+(C86-DATE(2000,1,1))+ROW()/100000)</f>
        <v/>
      </c>
      <c r="F86" s="46">
        <f>IF(E86="","",IF(C86&gt;WeekEndDate,"",E86))</f>
        <v/>
      </c>
    </row>
    <row r="87">
      <c r="A87" t="inlineStr">
        <is>
          <t>Selections &amp; Orders</t>
        </is>
      </c>
      <c r="B87" s="46">
        <f>'Selections &amp; Orders'!AC93</f>
        <v/>
      </c>
      <c r="C87" s="84">
        <f>'Selections &amp; Orders'!AA93</f>
        <v/>
      </c>
      <c r="D87" s="46">
        <f>'Selections &amp; Orders'!AB93</f>
        <v/>
      </c>
      <c r="E87" s="46">
        <f>IF(OR(B87="",C87="",D87=""),"",D87*100000+(C87-DATE(2000,1,1))+ROW()/100000)</f>
        <v/>
      </c>
      <c r="F87" s="46">
        <f>IF(E87="","",IF(C87&gt;WeekEndDate,"",E87))</f>
        <v/>
      </c>
    </row>
    <row r="88">
      <c r="A88" t="inlineStr">
        <is>
          <t>Selections &amp; Orders</t>
        </is>
      </c>
      <c r="B88" s="46">
        <f>'Selections &amp; Orders'!AC94</f>
        <v/>
      </c>
      <c r="C88" s="84">
        <f>'Selections &amp; Orders'!AA94</f>
        <v/>
      </c>
      <c r="D88" s="46">
        <f>'Selections &amp; Orders'!AB94</f>
        <v/>
      </c>
      <c r="E88" s="46">
        <f>IF(OR(B88="",C88="",D88=""),"",D88*100000+(C88-DATE(2000,1,1))+ROW()/100000)</f>
        <v/>
      </c>
      <c r="F88" s="46">
        <f>IF(E88="","",IF(C88&gt;WeekEndDate,"",E88))</f>
        <v/>
      </c>
    </row>
    <row r="89">
      <c r="A89" t="inlineStr">
        <is>
          <t>Selections &amp; Orders</t>
        </is>
      </c>
      <c r="B89" s="46">
        <f>'Selections &amp; Orders'!AC95</f>
        <v/>
      </c>
      <c r="C89" s="84">
        <f>'Selections &amp; Orders'!AA95</f>
        <v/>
      </c>
      <c r="D89" s="46">
        <f>'Selections &amp; Orders'!AB95</f>
        <v/>
      </c>
      <c r="E89" s="46">
        <f>IF(OR(B89="",C89="",D89=""),"",D89*100000+(C89-DATE(2000,1,1))+ROW()/100000)</f>
        <v/>
      </c>
      <c r="F89" s="46">
        <f>IF(E89="","",IF(C89&gt;WeekEndDate,"",E89))</f>
        <v/>
      </c>
    </row>
    <row r="90">
      <c r="A90" t="inlineStr">
        <is>
          <t>Selections &amp; Orders</t>
        </is>
      </c>
      <c r="B90" s="46">
        <f>'Selections &amp; Orders'!AC96</f>
        <v/>
      </c>
      <c r="C90" s="84">
        <f>'Selections &amp; Orders'!AA96</f>
        <v/>
      </c>
      <c r="D90" s="46">
        <f>'Selections &amp; Orders'!AB96</f>
        <v/>
      </c>
      <c r="E90" s="46">
        <f>IF(OR(B90="",C90="",D90=""),"",D90*100000+(C90-DATE(2000,1,1))+ROW()/100000)</f>
        <v/>
      </c>
      <c r="F90" s="46">
        <f>IF(E90="","",IF(C90&gt;WeekEndDate,"",E90))</f>
        <v/>
      </c>
    </row>
    <row r="91">
      <c r="A91" t="inlineStr">
        <is>
          <t>Selections &amp; Orders</t>
        </is>
      </c>
      <c r="B91" s="46">
        <f>'Selections &amp; Orders'!AC97</f>
        <v/>
      </c>
      <c r="C91" s="84">
        <f>'Selections &amp; Orders'!AA97</f>
        <v/>
      </c>
      <c r="D91" s="46">
        <f>'Selections &amp; Orders'!AB97</f>
        <v/>
      </c>
      <c r="E91" s="46">
        <f>IF(OR(B91="",C91="",D91=""),"",D91*100000+(C91-DATE(2000,1,1))+ROW()/100000)</f>
        <v/>
      </c>
      <c r="F91" s="46">
        <f>IF(E91="","",IF(C91&gt;WeekEndDate,"",E91))</f>
        <v/>
      </c>
    </row>
    <row r="92">
      <c r="A92" t="inlineStr">
        <is>
          <t>Selections &amp; Orders</t>
        </is>
      </c>
      <c r="B92" s="46">
        <f>'Selections &amp; Orders'!AC98</f>
        <v/>
      </c>
      <c r="C92" s="84">
        <f>'Selections &amp; Orders'!AA98</f>
        <v/>
      </c>
      <c r="D92" s="46">
        <f>'Selections &amp; Orders'!AB98</f>
        <v/>
      </c>
      <c r="E92" s="46">
        <f>IF(OR(B92="",C92="",D92=""),"",D92*100000+(C92-DATE(2000,1,1))+ROW()/100000)</f>
        <v/>
      </c>
      <c r="F92" s="46">
        <f>IF(E92="","",IF(C92&gt;WeekEndDate,"",E92))</f>
        <v/>
      </c>
    </row>
    <row r="93">
      <c r="A93" t="inlineStr">
        <is>
          <t>Selections &amp; Orders</t>
        </is>
      </c>
      <c r="B93" s="46">
        <f>'Selections &amp; Orders'!AC99</f>
        <v/>
      </c>
      <c r="C93" s="84">
        <f>'Selections &amp; Orders'!AA99</f>
        <v/>
      </c>
      <c r="D93" s="46">
        <f>'Selections &amp; Orders'!AB99</f>
        <v/>
      </c>
      <c r="E93" s="46">
        <f>IF(OR(B93="",C93="",D93=""),"",D93*100000+(C93-DATE(2000,1,1))+ROW()/100000)</f>
        <v/>
      </c>
      <c r="F93" s="46">
        <f>IF(E93="","",IF(C93&gt;WeekEndDate,"",E93))</f>
        <v/>
      </c>
    </row>
    <row r="94">
      <c r="A94" t="inlineStr">
        <is>
          <t>Selections &amp; Orders</t>
        </is>
      </c>
      <c r="B94" s="46">
        <f>'Selections &amp; Orders'!AC100</f>
        <v/>
      </c>
      <c r="C94" s="84">
        <f>'Selections &amp; Orders'!AA100</f>
        <v/>
      </c>
      <c r="D94" s="46">
        <f>'Selections &amp; Orders'!AB100</f>
        <v/>
      </c>
      <c r="E94" s="46">
        <f>IF(OR(B94="",C94="",D94=""),"",D94*100000+(C94-DATE(2000,1,1))+ROW()/100000)</f>
        <v/>
      </c>
      <c r="F94" s="46">
        <f>IF(E94="","",IF(C94&gt;WeekEndDate,"",E94))</f>
        <v/>
      </c>
    </row>
    <row r="95">
      <c r="A95" t="inlineStr">
        <is>
          <t>Selections &amp; Orders</t>
        </is>
      </c>
      <c r="B95" s="46">
        <f>'Selections &amp; Orders'!AC101</f>
        <v/>
      </c>
      <c r="C95" s="84">
        <f>'Selections &amp; Orders'!AA101</f>
        <v/>
      </c>
      <c r="D95" s="46">
        <f>'Selections &amp; Orders'!AB101</f>
        <v/>
      </c>
      <c r="E95" s="46">
        <f>IF(OR(B95="",C95="",D95=""),"",D95*100000+(C95-DATE(2000,1,1))+ROW()/100000)</f>
        <v/>
      </c>
      <c r="F95" s="46">
        <f>IF(E95="","",IF(C95&gt;WeekEndDate,"",E95))</f>
        <v/>
      </c>
    </row>
    <row r="96">
      <c r="A96" t="inlineStr">
        <is>
          <t>Selections &amp; Orders</t>
        </is>
      </c>
      <c r="B96" s="46">
        <f>'Selections &amp; Orders'!AC102</f>
        <v/>
      </c>
      <c r="C96" s="84">
        <f>'Selections &amp; Orders'!AA102</f>
        <v/>
      </c>
      <c r="D96" s="46">
        <f>'Selections &amp; Orders'!AB102</f>
        <v/>
      </c>
      <c r="E96" s="46">
        <f>IF(OR(B96="",C96="",D96=""),"",D96*100000+(C96-DATE(2000,1,1))+ROW()/100000)</f>
        <v/>
      </c>
      <c r="F96" s="46">
        <f>IF(E96="","",IF(C96&gt;WeekEndDate,"",E96))</f>
        <v/>
      </c>
    </row>
    <row r="97">
      <c r="A97" t="inlineStr">
        <is>
          <t>Selections &amp; Orders</t>
        </is>
      </c>
      <c r="B97" s="46">
        <f>'Selections &amp; Orders'!AC103</f>
        <v/>
      </c>
      <c r="C97" s="84">
        <f>'Selections &amp; Orders'!AA103</f>
        <v/>
      </c>
      <c r="D97" s="46">
        <f>'Selections &amp; Orders'!AB103</f>
        <v/>
      </c>
      <c r="E97" s="46">
        <f>IF(OR(B97="",C97="",D97=""),"",D97*100000+(C97-DATE(2000,1,1))+ROW()/100000)</f>
        <v/>
      </c>
      <c r="F97" s="46">
        <f>IF(E97="","",IF(C97&gt;WeekEndDate,"",E97))</f>
        <v/>
      </c>
    </row>
    <row r="98">
      <c r="A98" t="inlineStr">
        <is>
          <t>Selections &amp; Orders</t>
        </is>
      </c>
      <c r="B98" s="46">
        <f>'Selections &amp; Orders'!AC104</f>
        <v/>
      </c>
      <c r="C98" s="84">
        <f>'Selections &amp; Orders'!AA104</f>
        <v/>
      </c>
      <c r="D98" s="46">
        <f>'Selections &amp; Orders'!AB104</f>
        <v/>
      </c>
      <c r="E98" s="46">
        <f>IF(OR(B98="",C98="",D98=""),"",D98*100000+(C98-DATE(2000,1,1))+ROW()/100000)</f>
        <v/>
      </c>
      <c r="F98" s="46">
        <f>IF(E98="","",IF(C98&gt;WeekEndDate,"",E98))</f>
        <v/>
      </c>
    </row>
    <row r="99">
      <c r="A99" t="inlineStr">
        <is>
          <t>Selections &amp; Orders</t>
        </is>
      </c>
      <c r="B99" s="46">
        <f>'Selections &amp; Orders'!AC105</f>
        <v/>
      </c>
      <c r="C99" s="84">
        <f>'Selections &amp; Orders'!AA105</f>
        <v/>
      </c>
      <c r="D99" s="46">
        <f>'Selections &amp; Orders'!AB105</f>
        <v/>
      </c>
      <c r="E99" s="46">
        <f>IF(OR(B99="",C99="",D99=""),"",D99*100000+(C99-DATE(2000,1,1))+ROW()/100000)</f>
        <v/>
      </c>
      <c r="F99" s="46">
        <f>IF(E99="","",IF(C99&gt;WeekEndDate,"",E99))</f>
        <v/>
      </c>
    </row>
    <row r="100">
      <c r="A100" t="inlineStr">
        <is>
          <t>Selections &amp; Orders</t>
        </is>
      </c>
      <c r="B100" s="46">
        <f>'Selections &amp; Orders'!AC106</f>
        <v/>
      </c>
      <c r="C100" s="84">
        <f>'Selections &amp; Orders'!AA106</f>
        <v/>
      </c>
      <c r="D100" s="46">
        <f>'Selections &amp; Orders'!AB106</f>
        <v/>
      </c>
      <c r="E100" s="46">
        <f>IF(OR(B100="",C100="",D100=""),"",D100*100000+(C100-DATE(2000,1,1))+ROW()/100000)</f>
        <v/>
      </c>
      <c r="F100" s="46">
        <f>IF(E100="","",IF(C100&gt;WeekEndDate,"",E100))</f>
        <v/>
      </c>
    </row>
    <row r="101">
      <c r="A101" t="inlineStr">
        <is>
          <t>Selections &amp; Orders</t>
        </is>
      </c>
      <c r="B101" s="46">
        <f>'Selections &amp; Orders'!AC107</f>
        <v/>
      </c>
      <c r="C101" s="84">
        <f>'Selections &amp; Orders'!AA107</f>
        <v/>
      </c>
      <c r="D101" s="46">
        <f>'Selections &amp; Orders'!AB107</f>
        <v/>
      </c>
      <c r="E101" s="46">
        <f>IF(OR(B101="",C101="",D101=""),"",D101*100000+(C101-DATE(2000,1,1))+ROW()/100000)</f>
        <v/>
      </c>
      <c r="F101" s="46">
        <f>IF(E101="","",IF(C101&gt;WeekEndDate,"",E101))</f>
        <v/>
      </c>
    </row>
    <row r="102">
      <c r="A102" t="inlineStr">
        <is>
          <t>Selections &amp; Orders</t>
        </is>
      </c>
      <c r="B102" s="46">
        <f>'Selections &amp; Orders'!AC108</f>
        <v/>
      </c>
      <c r="C102" s="84">
        <f>'Selections &amp; Orders'!AA108</f>
        <v/>
      </c>
      <c r="D102" s="46">
        <f>'Selections &amp; Orders'!AB108</f>
        <v/>
      </c>
      <c r="E102" s="46">
        <f>IF(OR(B102="",C102="",D102=""),"",D102*100000+(C102-DATE(2000,1,1))+ROW()/100000)</f>
        <v/>
      </c>
      <c r="F102" s="46">
        <f>IF(E102="","",IF(C102&gt;WeekEndDate,"",E102))</f>
        <v/>
      </c>
    </row>
    <row r="103">
      <c r="A103" t="inlineStr">
        <is>
          <t>Selections &amp; Orders</t>
        </is>
      </c>
      <c r="B103" s="46">
        <f>'Selections &amp; Orders'!AC109</f>
        <v/>
      </c>
      <c r="C103" s="84">
        <f>'Selections &amp; Orders'!AA109</f>
        <v/>
      </c>
      <c r="D103" s="46">
        <f>'Selections &amp; Orders'!AB109</f>
        <v/>
      </c>
      <c r="E103" s="46">
        <f>IF(OR(B103="",C103="",D103=""),"",D103*100000+(C103-DATE(2000,1,1))+ROW()/100000)</f>
        <v/>
      </c>
      <c r="F103" s="46">
        <f>IF(E103="","",IF(C103&gt;WeekEndDate,"",E103))</f>
        <v/>
      </c>
    </row>
    <row r="104">
      <c r="A104" t="inlineStr">
        <is>
          <t>Selections &amp; Orders</t>
        </is>
      </c>
      <c r="B104" s="46">
        <f>'Selections &amp; Orders'!AC110</f>
        <v/>
      </c>
      <c r="C104" s="84">
        <f>'Selections &amp; Orders'!AA110</f>
        <v/>
      </c>
      <c r="D104" s="46">
        <f>'Selections &amp; Orders'!AB110</f>
        <v/>
      </c>
      <c r="E104" s="46">
        <f>IF(OR(B104="",C104="",D104=""),"",D104*100000+(C104-DATE(2000,1,1))+ROW()/100000)</f>
        <v/>
      </c>
      <c r="F104" s="46">
        <f>IF(E104="","",IF(C104&gt;WeekEndDate,"",E104))</f>
        <v/>
      </c>
    </row>
    <row r="105">
      <c r="A105" t="inlineStr">
        <is>
          <t>Selections &amp; Orders</t>
        </is>
      </c>
      <c r="B105" s="46">
        <f>'Selections &amp; Orders'!AC111</f>
        <v/>
      </c>
      <c r="C105" s="84">
        <f>'Selections &amp; Orders'!AA111</f>
        <v/>
      </c>
      <c r="D105" s="46">
        <f>'Selections &amp; Orders'!AB111</f>
        <v/>
      </c>
      <c r="E105" s="46">
        <f>IF(OR(B105="",C105="",D105=""),"",D105*100000+(C105-DATE(2000,1,1))+ROW()/100000)</f>
        <v/>
      </c>
      <c r="F105" s="46">
        <f>IF(E105="","",IF(C105&gt;WeekEndDate,"",E105))</f>
        <v/>
      </c>
    </row>
    <row r="106">
      <c r="A106" t="inlineStr">
        <is>
          <t>Selections &amp; Orders</t>
        </is>
      </c>
      <c r="B106" s="46">
        <f>'Selections &amp; Orders'!AC112</f>
        <v/>
      </c>
      <c r="C106" s="84">
        <f>'Selections &amp; Orders'!AA112</f>
        <v/>
      </c>
      <c r="D106" s="46">
        <f>'Selections &amp; Orders'!AB112</f>
        <v/>
      </c>
      <c r="E106" s="46">
        <f>IF(OR(B106="",C106="",D106=""),"",D106*100000+(C106-DATE(2000,1,1))+ROW()/100000)</f>
        <v/>
      </c>
      <c r="F106" s="46">
        <f>IF(E106="","",IF(C106&gt;WeekEndDate,"",E106))</f>
        <v/>
      </c>
    </row>
    <row r="107">
      <c r="A107" t="inlineStr">
        <is>
          <t>Selections &amp; Orders</t>
        </is>
      </c>
      <c r="B107" s="46">
        <f>'Selections &amp; Orders'!AC113</f>
        <v/>
      </c>
      <c r="C107" s="84">
        <f>'Selections &amp; Orders'!AA113</f>
        <v/>
      </c>
      <c r="D107" s="46">
        <f>'Selections &amp; Orders'!AB113</f>
        <v/>
      </c>
      <c r="E107" s="46">
        <f>IF(OR(B107="",C107="",D107=""),"",D107*100000+(C107-DATE(2000,1,1))+ROW()/100000)</f>
        <v/>
      </c>
      <c r="F107" s="46">
        <f>IF(E107="","",IF(C107&gt;WeekEndDate,"",E107))</f>
        <v/>
      </c>
    </row>
    <row r="108">
      <c r="A108" t="inlineStr">
        <is>
          <t>Selections &amp; Orders</t>
        </is>
      </c>
      <c r="B108" s="46">
        <f>'Selections &amp; Orders'!AC114</f>
        <v/>
      </c>
      <c r="C108" s="84">
        <f>'Selections &amp; Orders'!AA114</f>
        <v/>
      </c>
      <c r="D108" s="46">
        <f>'Selections &amp; Orders'!AB114</f>
        <v/>
      </c>
      <c r="E108" s="46">
        <f>IF(OR(B108="",C108="",D108=""),"",D108*100000+(C108-DATE(2000,1,1))+ROW()/100000)</f>
        <v/>
      </c>
      <c r="F108" s="46">
        <f>IF(E108="","",IF(C108&gt;WeekEndDate,"",E108))</f>
        <v/>
      </c>
    </row>
    <row r="109">
      <c r="A109" t="inlineStr">
        <is>
          <t>Selections &amp; Orders</t>
        </is>
      </c>
      <c r="B109" s="46">
        <f>'Selections &amp; Orders'!AC115</f>
        <v/>
      </c>
      <c r="C109" s="84">
        <f>'Selections &amp; Orders'!AA115</f>
        <v/>
      </c>
      <c r="D109" s="46">
        <f>'Selections &amp; Orders'!AB115</f>
        <v/>
      </c>
      <c r="E109" s="46">
        <f>IF(OR(B109="",C109="",D109=""),"",D109*100000+(C109-DATE(2000,1,1))+ROW()/100000)</f>
        <v/>
      </c>
      <c r="F109" s="46">
        <f>IF(E109="","",IF(C109&gt;WeekEndDate,"",E109))</f>
        <v/>
      </c>
    </row>
    <row r="110">
      <c r="A110" t="inlineStr">
        <is>
          <t>Selections &amp; Orders</t>
        </is>
      </c>
      <c r="B110" s="46">
        <f>'Selections &amp; Orders'!AC116</f>
        <v/>
      </c>
      <c r="C110" s="84">
        <f>'Selections &amp; Orders'!AA116</f>
        <v/>
      </c>
      <c r="D110" s="46">
        <f>'Selections &amp; Orders'!AB116</f>
        <v/>
      </c>
      <c r="E110" s="46">
        <f>IF(OR(B110="",C110="",D110=""),"",D110*100000+(C110-DATE(2000,1,1))+ROW()/100000)</f>
        <v/>
      </c>
      <c r="F110" s="46">
        <f>IF(E110="","",IF(C110&gt;WeekEndDate,"",E110))</f>
        <v/>
      </c>
    </row>
    <row r="111">
      <c r="A111" t="inlineStr">
        <is>
          <t>Selections &amp; Orders</t>
        </is>
      </c>
      <c r="B111" s="46">
        <f>'Selections &amp; Orders'!AC117</f>
        <v/>
      </c>
      <c r="C111" s="84">
        <f>'Selections &amp; Orders'!AA117</f>
        <v/>
      </c>
      <c r="D111" s="46">
        <f>'Selections &amp; Orders'!AB117</f>
        <v/>
      </c>
      <c r="E111" s="46">
        <f>IF(OR(B111="",C111="",D111=""),"",D111*100000+(C111-DATE(2000,1,1))+ROW()/100000)</f>
        <v/>
      </c>
      <c r="F111" s="46">
        <f>IF(E111="","",IF(C111&gt;WeekEndDate,"",E111))</f>
        <v/>
      </c>
    </row>
    <row r="112">
      <c r="A112" t="inlineStr">
        <is>
          <t>Selections &amp; Orders</t>
        </is>
      </c>
      <c r="B112" s="46">
        <f>'Selections &amp; Orders'!AC118</f>
        <v/>
      </c>
      <c r="C112" s="84">
        <f>'Selections &amp; Orders'!AA118</f>
        <v/>
      </c>
      <c r="D112" s="46">
        <f>'Selections &amp; Orders'!AB118</f>
        <v/>
      </c>
      <c r="E112" s="46">
        <f>IF(OR(B112="",C112="",D112=""),"",D112*100000+(C112-DATE(2000,1,1))+ROW()/100000)</f>
        <v/>
      </c>
      <c r="F112" s="46">
        <f>IF(E112="","",IF(C112&gt;WeekEndDate,"",E112))</f>
        <v/>
      </c>
    </row>
    <row r="113">
      <c r="A113" t="inlineStr">
        <is>
          <t>Selections &amp; Orders</t>
        </is>
      </c>
      <c r="B113" s="46">
        <f>'Selections &amp; Orders'!AC119</f>
        <v/>
      </c>
      <c r="C113" s="84">
        <f>'Selections &amp; Orders'!AA119</f>
        <v/>
      </c>
      <c r="D113" s="46">
        <f>'Selections &amp; Orders'!AB119</f>
        <v/>
      </c>
      <c r="E113" s="46">
        <f>IF(OR(B113="",C113="",D113=""),"",D113*100000+(C113-DATE(2000,1,1))+ROW()/100000)</f>
        <v/>
      </c>
      <c r="F113" s="46">
        <f>IF(E113="","",IF(C113&gt;WeekEndDate,"",E113))</f>
        <v/>
      </c>
    </row>
    <row r="114">
      <c r="A114" t="inlineStr">
        <is>
          <t>Selections &amp; Orders</t>
        </is>
      </c>
      <c r="B114" s="46">
        <f>'Selections &amp; Orders'!AC120</f>
        <v/>
      </c>
      <c r="C114" s="84">
        <f>'Selections &amp; Orders'!AA120</f>
        <v/>
      </c>
      <c r="D114" s="46">
        <f>'Selections &amp; Orders'!AB120</f>
        <v/>
      </c>
      <c r="E114" s="46">
        <f>IF(OR(B114="",C114="",D114=""),"",D114*100000+(C114-DATE(2000,1,1))+ROW()/100000)</f>
        <v/>
      </c>
      <c r="F114" s="46">
        <f>IF(E114="","",IF(C114&gt;WeekEndDate,"",E114))</f>
        <v/>
      </c>
    </row>
    <row r="115">
      <c r="A115" t="inlineStr">
        <is>
          <t>Selections &amp; Orders</t>
        </is>
      </c>
      <c r="B115" s="46">
        <f>'Selections &amp; Orders'!AC121</f>
        <v/>
      </c>
      <c r="C115" s="84">
        <f>'Selections &amp; Orders'!AA121</f>
        <v/>
      </c>
      <c r="D115" s="46">
        <f>'Selections &amp; Orders'!AB121</f>
        <v/>
      </c>
      <c r="E115" s="46">
        <f>IF(OR(B115="",C115="",D115=""),"",D115*100000+(C115-DATE(2000,1,1))+ROW()/100000)</f>
        <v/>
      </c>
      <c r="F115" s="46">
        <f>IF(E115="","",IF(C115&gt;WeekEndDate,"",E115))</f>
        <v/>
      </c>
    </row>
    <row r="116">
      <c r="A116" t="inlineStr">
        <is>
          <t>Selections &amp; Orders</t>
        </is>
      </c>
      <c r="B116" s="46">
        <f>'Selections &amp; Orders'!AC122</f>
        <v/>
      </c>
      <c r="C116" s="84">
        <f>'Selections &amp; Orders'!AA122</f>
        <v/>
      </c>
      <c r="D116" s="46">
        <f>'Selections &amp; Orders'!AB122</f>
        <v/>
      </c>
      <c r="E116" s="46">
        <f>IF(OR(B116="",C116="",D116=""),"",D116*100000+(C116-DATE(2000,1,1))+ROW()/100000)</f>
        <v/>
      </c>
      <c r="F116" s="46">
        <f>IF(E116="","",IF(C116&gt;WeekEndDate,"",E116))</f>
        <v/>
      </c>
    </row>
    <row r="117">
      <c r="A117" t="inlineStr">
        <is>
          <t>Selections &amp; Orders</t>
        </is>
      </c>
      <c r="B117" s="46">
        <f>'Selections &amp; Orders'!AC123</f>
        <v/>
      </c>
      <c r="C117" s="84">
        <f>'Selections &amp; Orders'!AA123</f>
        <v/>
      </c>
      <c r="D117" s="46">
        <f>'Selections &amp; Orders'!AB123</f>
        <v/>
      </c>
      <c r="E117" s="46">
        <f>IF(OR(B117="",C117="",D117=""),"",D117*100000+(C117-DATE(2000,1,1))+ROW()/100000)</f>
        <v/>
      </c>
      <c r="F117" s="46">
        <f>IF(E117="","",IF(C117&gt;WeekEndDate,"",E117))</f>
        <v/>
      </c>
    </row>
    <row r="118">
      <c r="A118" t="inlineStr">
        <is>
          <t>Selections &amp; Orders</t>
        </is>
      </c>
      <c r="B118" s="46">
        <f>'Selections &amp; Orders'!AC124</f>
        <v/>
      </c>
      <c r="C118" s="84">
        <f>'Selections &amp; Orders'!AA124</f>
        <v/>
      </c>
      <c r="D118" s="46">
        <f>'Selections &amp; Orders'!AB124</f>
        <v/>
      </c>
      <c r="E118" s="46">
        <f>IF(OR(B118="",C118="",D118=""),"",D118*100000+(C118-DATE(2000,1,1))+ROW()/100000)</f>
        <v/>
      </c>
      <c r="F118" s="46">
        <f>IF(E118="","",IF(C118&gt;WeekEndDate,"",E118))</f>
        <v/>
      </c>
    </row>
    <row r="119">
      <c r="A119" t="inlineStr">
        <is>
          <t>Selections &amp; Orders</t>
        </is>
      </c>
      <c r="B119" s="46">
        <f>'Selections &amp; Orders'!AC125</f>
        <v/>
      </c>
      <c r="C119" s="84">
        <f>'Selections &amp; Orders'!AA125</f>
        <v/>
      </c>
      <c r="D119" s="46">
        <f>'Selections &amp; Orders'!AB125</f>
        <v/>
      </c>
      <c r="E119" s="46">
        <f>IF(OR(B119="",C119="",D119=""),"",D119*100000+(C119-DATE(2000,1,1))+ROW()/100000)</f>
        <v/>
      </c>
      <c r="F119" s="46">
        <f>IF(E119="","",IF(C119&gt;WeekEndDate,"",E119))</f>
        <v/>
      </c>
    </row>
    <row r="120">
      <c r="A120" t="inlineStr">
        <is>
          <t>Selections &amp; Orders</t>
        </is>
      </c>
      <c r="B120" s="46">
        <f>'Selections &amp; Orders'!AC126</f>
        <v/>
      </c>
      <c r="C120" s="84">
        <f>'Selections &amp; Orders'!AA126</f>
        <v/>
      </c>
      <c r="D120" s="46">
        <f>'Selections &amp; Orders'!AB126</f>
        <v/>
      </c>
      <c r="E120" s="46">
        <f>IF(OR(B120="",C120="",D120=""),"",D120*100000+(C120-DATE(2000,1,1))+ROW()/100000)</f>
        <v/>
      </c>
      <c r="F120" s="46">
        <f>IF(E120="","",IF(C120&gt;WeekEndDate,"",E120))</f>
        <v/>
      </c>
    </row>
    <row r="121">
      <c r="A121" t="inlineStr">
        <is>
          <t>Selections &amp; Orders</t>
        </is>
      </c>
      <c r="B121" s="46">
        <f>'Selections &amp; Orders'!AC127</f>
        <v/>
      </c>
      <c r="C121" s="84">
        <f>'Selections &amp; Orders'!AA127</f>
        <v/>
      </c>
      <c r="D121" s="46">
        <f>'Selections &amp; Orders'!AB127</f>
        <v/>
      </c>
      <c r="E121" s="46">
        <f>IF(OR(B121="",C121="",D121=""),"",D121*100000+(C121-DATE(2000,1,1))+ROW()/100000)</f>
        <v/>
      </c>
      <c r="F121" s="46">
        <f>IF(E121="","",IF(C121&gt;WeekEndDate,"",E121))</f>
        <v/>
      </c>
    </row>
    <row r="122">
      <c r="A122" t="inlineStr">
        <is>
          <t>Selections &amp; Orders</t>
        </is>
      </c>
      <c r="B122" s="46">
        <f>'Selections &amp; Orders'!AC128</f>
        <v/>
      </c>
      <c r="C122" s="84">
        <f>'Selections &amp; Orders'!AA128</f>
        <v/>
      </c>
      <c r="D122" s="46">
        <f>'Selections &amp; Orders'!AB128</f>
        <v/>
      </c>
      <c r="E122" s="46">
        <f>IF(OR(B122="",C122="",D122=""),"",D122*100000+(C122-DATE(2000,1,1))+ROW()/100000)</f>
        <v/>
      </c>
      <c r="F122" s="46">
        <f>IF(E122="","",IF(C122&gt;WeekEndDate,"",E122))</f>
        <v/>
      </c>
    </row>
    <row r="123">
      <c r="A123" t="inlineStr">
        <is>
          <t>Selections &amp; Orders</t>
        </is>
      </c>
      <c r="B123" s="46">
        <f>'Selections &amp; Orders'!AC129</f>
        <v/>
      </c>
      <c r="C123" s="84">
        <f>'Selections &amp; Orders'!AA129</f>
        <v/>
      </c>
      <c r="D123" s="46">
        <f>'Selections &amp; Orders'!AB129</f>
        <v/>
      </c>
      <c r="E123" s="46">
        <f>IF(OR(B123="",C123="",D123=""),"",D123*100000+(C123-DATE(2000,1,1))+ROW()/100000)</f>
        <v/>
      </c>
      <c r="F123" s="46">
        <f>IF(E123="","",IF(C123&gt;WeekEndDate,"",E123))</f>
        <v/>
      </c>
    </row>
    <row r="124">
      <c r="A124" t="inlineStr">
        <is>
          <t>Selections &amp; Orders</t>
        </is>
      </c>
      <c r="B124" s="46">
        <f>'Selections &amp; Orders'!AC130</f>
        <v/>
      </c>
      <c r="C124" s="84">
        <f>'Selections &amp; Orders'!AA130</f>
        <v/>
      </c>
      <c r="D124" s="46">
        <f>'Selections &amp; Orders'!AB130</f>
        <v/>
      </c>
      <c r="E124" s="46">
        <f>IF(OR(B124="",C124="",D124=""),"",D124*100000+(C124-DATE(2000,1,1))+ROW()/100000)</f>
        <v/>
      </c>
      <c r="F124" s="46">
        <f>IF(E124="","",IF(C124&gt;WeekEndDate,"",E124))</f>
        <v/>
      </c>
    </row>
    <row r="125">
      <c r="A125" t="inlineStr">
        <is>
          <t>Selections &amp; Orders</t>
        </is>
      </c>
      <c r="B125" s="46">
        <f>'Selections &amp; Orders'!AC131</f>
        <v/>
      </c>
      <c r="C125" s="84">
        <f>'Selections &amp; Orders'!AA131</f>
        <v/>
      </c>
      <c r="D125" s="46">
        <f>'Selections &amp; Orders'!AB131</f>
        <v/>
      </c>
      <c r="E125" s="46">
        <f>IF(OR(B125="",C125="",D125=""),"",D125*100000+(C125-DATE(2000,1,1))+ROW()/100000)</f>
        <v/>
      </c>
      <c r="F125" s="46">
        <f>IF(E125="","",IF(C125&gt;WeekEndDate,"",E125))</f>
        <v/>
      </c>
    </row>
    <row r="126">
      <c r="A126" t="inlineStr">
        <is>
          <t>Selections &amp; Orders</t>
        </is>
      </c>
      <c r="B126" s="46">
        <f>'Selections &amp; Orders'!AC132</f>
        <v/>
      </c>
      <c r="C126" s="84">
        <f>'Selections &amp; Orders'!AA132</f>
        <v/>
      </c>
      <c r="D126" s="46">
        <f>'Selections &amp; Orders'!AB132</f>
        <v/>
      </c>
      <c r="E126" s="46">
        <f>IF(OR(B126="",C126="",D126=""),"",D126*100000+(C126-DATE(2000,1,1))+ROW()/100000)</f>
        <v/>
      </c>
      <c r="F126" s="46">
        <f>IF(E126="","",IF(C126&gt;WeekEndDate,"",E126))</f>
        <v/>
      </c>
    </row>
    <row r="127">
      <c r="A127" t="inlineStr">
        <is>
          <t>Selections &amp; Orders</t>
        </is>
      </c>
      <c r="B127" s="46">
        <f>'Selections &amp; Orders'!AC133</f>
        <v/>
      </c>
      <c r="C127" s="84">
        <f>'Selections &amp; Orders'!AA133</f>
        <v/>
      </c>
      <c r="D127" s="46">
        <f>'Selections &amp; Orders'!AB133</f>
        <v/>
      </c>
      <c r="E127" s="46">
        <f>IF(OR(B127="",C127="",D127=""),"",D127*100000+(C127-DATE(2000,1,1))+ROW()/100000)</f>
        <v/>
      </c>
      <c r="F127" s="46">
        <f>IF(E127="","",IF(C127&gt;WeekEndDate,"",E127))</f>
        <v/>
      </c>
    </row>
    <row r="128">
      <c r="A128" t="inlineStr">
        <is>
          <t>Selections &amp; Orders</t>
        </is>
      </c>
      <c r="B128" s="46">
        <f>'Selections &amp; Orders'!AC134</f>
        <v/>
      </c>
      <c r="C128" s="84">
        <f>'Selections &amp; Orders'!AA134</f>
        <v/>
      </c>
      <c r="D128" s="46">
        <f>'Selections &amp; Orders'!AB134</f>
        <v/>
      </c>
      <c r="E128" s="46">
        <f>IF(OR(B128="",C128="",D128=""),"",D128*100000+(C128-DATE(2000,1,1))+ROW()/100000)</f>
        <v/>
      </c>
      <c r="F128" s="46">
        <f>IF(E128="","",IF(C128&gt;WeekEndDate,"",E128))</f>
        <v/>
      </c>
    </row>
    <row r="129">
      <c r="A129" t="inlineStr">
        <is>
          <t>Selections &amp; Orders</t>
        </is>
      </c>
      <c r="B129" s="46">
        <f>'Selections &amp; Orders'!AC135</f>
        <v/>
      </c>
      <c r="C129" s="84">
        <f>'Selections &amp; Orders'!AA135</f>
        <v/>
      </c>
      <c r="D129" s="46">
        <f>'Selections &amp; Orders'!AB135</f>
        <v/>
      </c>
      <c r="E129" s="46">
        <f>IF(OR(B129="",C129="",D129=""),"",D129*100000+(C129-DATE(2000,1,1))+ROW()/100000)</f>
        <v/>
      </c>
      <c r="F129" s="46">
        <f>IF(E129="","",IF(C129&gt;WeekEndDate,"",E129))</f>
        <v/>
      </c>
    </row>
    <row r="130">
      <c r="A130" t="inlineStr">
        <is>
          <t>Selections &amp; Orders</t>
        </is>
      </c>
      <c r="B130" s="46">
        <f>'Selections &amp; Orders'!AC136</f>
        <v/>
      </c>
      <c r="C130" s="84">
        <f>'Selections &amp; Orders'!AA136</f>
        <v/>
      </c>
      <c r="D130" s="46">
        <f>'Selections &amp; Orders'!AB136</f>
        <v/>
      </c>
      <c r="E130" s="46">
        <f>IF(OR(B130="",C130="",D130=""),"",D130*100000+(C130-DATE(2000,1,1))+ROW()/100000)</f>
        <v/>
      </c>
      <c r="F130" s="46">
        <f>IF(E130="","",IF(C130&gt;WeekEndDate,"",E130))</f>
        <v/>
      </c>
    </row>
    <row r="131">
      <c r="A131" t="inlineStr">
        <is>
          <t>Selections &amp; Orders</t>
        </is>
      </c>
      <c r="B131" s="46">
        <f>'Selections &amp; Orders'!AC137</f>
        <v/>
      </c>
      <c r="C131" s="84">
        <f>'Selections &amp; Orders'!AA137</f>
        <v/>
      </c>
      <c r="D131" s="46">
        <f>'Selections &amp; Orders'!AB137</f>
        <v/>
      </c>
      <c r="E131" s="46">
        <f>IF(OR(B131="",C131="",D131=""),"",D131*100000+(C131-DATE(2000,1,1))+ROW()/100000)</f>
        <v/>
      </c>
      <c r="F131" s="46">
        <f>IF(E131="","",IF(C131&gt;WeekEndDate,"",E131))</f>
        <v/>
      </c>
    </row>
    <row r="132">
      <c r="A132" t="inlineStr">
        <is>
          <t>Selections &amp; Orders</t>
        </is>
      </c>
      <c r="B132" s="46">
        <f>'Selections &amp; Orders'!AC138</f>
        <v/>
      </c>
      <c r="C132" s="84">
        <f>'Selections &amp; Orders'!AA138</f>
        <v/>
      </c>
      <c r="D132" s="46">
        <f>'Selections &amp; Orders'!AB138</f>
        <v/>
      </c>
      <c r="E132" s="46">
        <f>IF(OR(B132="",C132="",D132=""),"",D132*100000+(C132-DATE(2000,1,1))+ROW()/100000)</f>
        <v/>
      </c>
      <c r="F132" s="46">
        <f>IF(E132="","",IF(C132&gt;WeekEndDate,"",E132))</f>
        <v/>
      </c>
    </row>
    <row r="133">
      <c r="A133" t="inlineStr">
        <is>
          <t>Selections &amp; Orders</t>
        </is>
      </c>
      <c r="B133" s="46">
        <f>'Selections &amp; Orders'!AC139</f>
        <v/>
      </c>
      <c r="C133" s="84">
        <f>'Selections &amp; Orders'!AA139</f>
        <v/>
      </c>
      <c r="D133" s="46">
        <f>'Selections &amp; Orders'!AB139</f>
        <v/>
      </c>
      <c r="E133" s="46">
        <f>IF(OR(B133="",C133="",D133=""),"",D133*100000+(C133-DATE(2000,1,1))+ROW()/100000)</f>
        <v/>
      </c>
      <c r="F133" s="46">
        <f>IF(E133="","",IF(C133&gt;WeekEndDate,"",E133))</f>
        <v/>
      </c>
    </row>
    <row r="134">
      <c r="A134" t="inlineStr">
        <is>
          <t>Selections &amp; Orders</t>
        </is>
      </c>
      <c r="B134" s="46">
        <f>'Selections &amp; Orders'!AC140</f>
        <v/>
      </c>
      <c r="C134" s="84">
        <f>'Selections &amp; Orders'!AA140</f>
        <v/>
      </c>
      <c r="D134" s="46">
        <f>'Selections &amp; Orders'!AB140</f>
        <v/>
      </c>
      <c r="E134" s="46">
        <f>IF(OR(B134="",C134="",D134=""),"",D134*100000+(C134-DATE(2000,1,1))+ROW()/100000)</f>
        <v/>
      </c>
      <c r="F134" s="46">
        <f>IF(E134="","",IF(C134&gt;WeekEndDate,"",E134))</f>
        <v/>
      </c>
    </row>
    <row r="135">
      <c r="A135" t="inlineStr">
        <is>
          <t>Selections &amp; Orders</t>
        </is>
      </c>
      <c r="B135" s="46">
        <f>'Selections &amp; Orders'!AC141</f>
        <v/>
      </c>
      <c r="C135" s="84">
        <f>'Selections &amp; Orders'!AA141</f>
        <v/>
      </c>
      <c r="D135" s="46">
        <f>'Selections &amp; Orders'!AB141</f>
        <v/>
      </c>
      <c r="E135" s="46">
        <f>IF(OR(B135="",C135="",D135=""),"",D135*100000+(C135-DATE(2000,1,1))+ROW()/100000)</f>
        <v/>
      </c>
      <c r="F135" s="46">
        <f>IF(E135="","",IF(C135&gt;WeekEndDate,"",E135))</f>
        <v/>
      </c>
    </row>
    <row r="136">
      <c r="A136" t="inlineStr">
        <is>
          <t>Selections &amp; Orders</t>
        </is>
      </c>
      <c r="B136" s="46">
        <f>'Selections &amp; Orders'!AC142</f>
        <v/>
      </c>
      <c r="C136" s="84">
        <f>'Selections &amp; Orders'!AA142</f>
        <v/>
      </c>
      <c r="D136" s="46">
        <f>'Selections &amp; Orders'!AB142</f>
        <v/>
      </c>
      <c r="E136" s="46">
        <f>IF(OR(B136="",C136="",D136=""),"",D136*100000+(C136-DATE(2000,1,1))+ROW()/100000)</f>
        <v/>
      </c>
      <c r="F136" s="46">
        <f>IF(E136="","",IF(C136&gt;WeekEndDate,"",E136))</f>
        <v/>
      </c>
    </row>
    <row r="137">
      <c r="A137" t="inlineStr">
        <is>
          <t>Selections &amp; Orders</t>
        </is>
      </c>
      <c r="B137" s="46">
        <f>'Selections &amp; Orders'!AC143</f>
        <v/>
      </c>
      <c r="C137" s="84">
        <f>'Selections &amp; Orders'!AA143</f>
        <v/>
      </c>
      <c r="D137" s="46">
        <f>'Selections &amp; Orders'!AB143</f>
        <v/>
      </c>
      <c r="E137" s="46">
        <f>IF(OR(B137="",C137="",D137=""),"",D137*100000+(C137-DATE(2000,1,1))+ROW()/100000)</f>
        <v/>
      </c>
      <c r="F137" s="46">
        <f>IF(E137="","",IF(C137&gt;WeekEndDate,"",E137))</f>
        <v/>
      </c>
    </row>
    <row r="138">
      <c r="A138" t="inlineStr">
        <is>
          <t>Selections &amp; Orders</t>
        </is>
      </c>
      <c r="B138" s="46">
        <f>'Selections &amp; Orders'!AC144</f>
        <v/>
      </c>
      <c r="C138" s="84">
        <f>'Selections &amp; Orders'!AA144</f>
        <v/>
      </c>
      <c r="D138" s="46">
        <f>'Selections &amp; Orders'!AB144</f>
        <v/>
      </c>
      <c r="E138" s="46">
        <f>IF(OR(B138="",C138="",D138=""),"",D138*100000+(C138-DATE(2000,1,1))+ROW()/100000)</f>
        <v/>
      </c>
      <c r="F138" s="46">
        <f>IF(E138="","",IF(C138&gt;WeekEndDate,"",E138))</f>
        <v/>
      </c>
    </row>
    <row r="139">
      <c r="A139" t="inlineStr">
        <is>
          <t>Selections &amp; Orders</t>
        </is>
      </c>
      <c r="B139" s="46">
        <f>'Selections &amp; Orders'!AC145</f>
        <v/>
      </c>
      <c r="C139" s="84">
        <f>'Selections &amp; Orders'!AA145</f>
        <v/>
      </c>
      <c r="D139" s="46">
        <f>'Selections &amp; Orders'!AB145</f>
        <v/>
      </c>
      <c r="E139" s="46">
        <f>IF(OR(B139="",C139="",D139=""),"",D139*100000+(C139-DATE(2000,1,1))+ROW()/100000)</f>
        <v/>
      </c>
      <c r="F139" s="46">
        <f>IF(E139="","",IF(C139&gt;WeekEndDate,"",E139))</f>
        <v/>
      </c>
    </row>
    <row r="140">
      <c r="A140" t="inlineStr">
        <is>
          <t>Selections &amp; Orders</t>
        </is>
      </c>
      <c r="B140" s="46">
        <f>'Selections &amp; Orders'!AC146</f>
        <v/>
      </c>
      <c r="C140" s="84">
        <f>'Selections &amp; Orders'!AA146</f>
        <v/>
      </c>
      <c r="D140" s="46">
        <f>'Selections &amp; Orders'!AB146</f>
        <v/>
      </c>
      <c r="E140" s="46">
        <f>IF(OR(B140="",C140="",D140=""),"",D140*100000+(C140-DATE(2000,1,1))+ROW()/100000)</f>
        <v/>
      </c>
      <c r="F140" s="46">
        <f>IF(E140="","",IF(C140&gt;WeekEndDate,"",E140))</f>
        <v/>
      </c>
    </row>
    <row r="141">
      <c r="A141" t="inlineStr">
        <is>
          <t>Selections &amp; Orders</t>
        </is>
      </c>
      <c r="B141" s="46">
        <f>'Selections &amp; Orders'!AC147</f>
        <v/>
      </c>
      <c r="C141" s="84">
        <f>'Selections &amp; Orders'!AA147</f>
        <v/>
      </c>
      <c r="D141" s="46">
        <f>'Selections &amp; Orders'!AB147</f>
        <v/>
      </c>
      <c r="E141" s="46">
        <f>IF(OR(B141="",C141="",D141=""),"",D141*100000+(C141-DATE(2000,1,1))+ROW()/100000)</f>
        <v/>
      </c>
      <c r="F141" s="46">
        <f>IF(E141="","",IF(C141&gt;WeekEndDate,"",E141))</f>
        <v/>
      </c>
    </row>
    <row r="142">
      <c r="A142" t="inlineStr">
        <is>
          <t>Selections &amp; Orders</t>
        </is>
      </c>
      <c r="B142" s="46">
        <f>'Selections &amp; Orders'!AC148</f>
        <v/>
      </c>
      <c r="C142" s="84">
        <f>'Selections &amp; Orders'!AA148</f>
        <v/>
      </c>
      <c r="D142" s="46">
        <f>'Selections &amp; Orders'!AB148</f>
        <v/>
      </c>
      <c r="E142" s="46">
        <f>IF(OR(B142="",C142="",D142=""),"",D142*100000+(C142-DATE(2000,1,1))+ROW()/100000)</f>
        <v/>
      </c>
      <c r="F142" s="46">
        <f>IF(E142="","",IF(C142&gt;WeekEndDate,"",E142))</f>
        <v/>
      </c>
    </row>
    <row r="143">
      <c r="A143" t="inlineStr">
        <is>
          <t>Selections &amp; Orders</t>
        </is>
      </c>
      <c r="B143" s="46">
        <f>'Selections &amp; Orders'!AC149</f>
        <v/>
      </c>
      <c r="C143" s="84">
        <f>'Selections &amp; Orders'!AA149</f>
        <v/>
      </c>
      <c r="D143" s="46">
        <f>'Selections &amp; Orders'!AB149</f>
        <v/>
      </c>
      <c r="E143" s="46">
        <f>IF(OR(B143="",C143="",D143=""),"",D143*100000+(C143-DATE(2000,1,1))+ROW()/100000)</f>
        <v/>
      </c>
      <c r="F143" s="46">
        <f>IF(E143="","",IF(C143&gt;WeekEndDate,"",E143))</f>
        <v/>
      </c>
    </row>
    <row r="144">
      <c r="A144" t="inlineStr">
        <is>
          <t>Selections &amp; Orders</t>
        </is>
      </c>
      <c r="B144" s="46">
        <f>'Selections &amp; Orders'!AC150</f>
        <v/>
      </c>
      <c r="C144" s="84">
        <f>'Selections &amp; Orders'!AA150</f>
        <v/>
      </c>
      <c r="D144" s="46">
        <f>'Selections &amp; Orders'!AB150</f>
        <v/>
      </c>
      <c r="E144" s="46">
        <f>IF(OR(B144="",C144="",D144=""),"",D144*100000+(C144-DATE(2000,1,1))+ROW()/100000)</f>
        <v/>
      </c>
      <c r="F144" s="46">
        <f>IF(E144="","",IF(C144&gt;WeekEndDate,"",E144))</f>
        <v/>
      </c>
    </row>
    <row r="145">
      <c r="A145" t="inlineStr">
        <is>
          <t>Selections &amp; Orders</t>
        </is>
      </c>
      <c r="B145" s="46">
        <f>'Selections &amp; Orders'!AC151</f>
        <v/>
      </c>
      <c r="C145" s="84">
        <f>'Selections &amp; Orders'!AA151</f>
        <v/>
      </c>
      <c r="D145" s="46">
        <f>'Selections &amp; Orders'!AB151</f>
        <v/>
      </c>
      <c r="E145" s="46">
        <f>IF(OR(B145="",C145="",D145=""),"",D145*100000+(C145-DATE(2000,1,1))+ROW()/100000)</f>
        <v/>
      </c>
      <c r="F145" s="46">
        <f>IF(E145="","",IF(C145&gt;WeekEndDate,"",E145))</f>
        <v/>
      </c>
    </row>
    <row r="146">
      <c r="A146" t="inlineStr">
        <is>
          <t>Selections &amp; Orders</t>
        </is>
      </c>
      <c r="B146" s="46">
        <f>'Selections &amp; Orders'!AC152</f>
        <v/>
      </c>
      <c r="C146" s="84">
        <f>'Selections &amp; Orders'!AA152</f>
        <v/>
      </c>
      <c r="D146" s="46">
        <f>'Selections &amp; Orders'!AB152</f>
        <v/>
      </c>
      <c r="E146" s="46">
        <f>IF(OR(B146="",C146="",D146=""),"",D146*100000+(C146-DATE(2000,1,1))+ROW()/100000)</f>
        <v/>
      </c>
      <c r="F146" s="46">
        <f>IF(E146="","",IF(C146&gt;WeekEndDate,"",E146))</f>
        <v/>
      </c>
    </row>
    <row r="147">
      <c r="A147" t="inlineStr">
        <is>
          <t>Selections &amp; Orders</t>
        </is>
      </c>
      <c r="B147" s="46">
        <f>'Selections &amp; Orders'!AC153</f>
        <v/>
      </c>
      <c r="C147" s="84">
        <f>'Selections &amp; Orders'!AA153</f>
        <v/>
      </c>
      <c r="D147" s="46">
        <f>'Selections &amp; Orders'!AB153</f>
        <v/>
      </c>
      <c r="E147" s="46">
        <f>IF(OR(B147="",C147="",D147=""),"",D147*100000+(C147-DATE(2000,1,1))+ROW()/100000)</f>
        <v/>
      </c>
      <c r="F147" s="46">
        <f>IF(E147="","",IF(C147&gt;WeekEndDate,"",E147))</f>
        <v/>
      </c>
    </row>
    <row r="148">
      <c r="A148" t="inlineStr">
        <is>
          <t>Selections &amp; Orders</t>
        </is>
      </c>
      <c r="B148" s="46">
        <f>'Selections &amp; Orders'!AC154</f>
        <v/>
      </c>
      <c r="C148" s="84">
        <f>'Selections &amp; Orders'!AA154</f>
        <v/>
      </c>
      <c r="D148" s="46">
        <f>'Selections &amp; Orders'!AB154</f>
        <v/>
      </c>
      <c r="E148" s="46">
        <f>IF(OR(B148="",C148="",D148=""),"",D148*100000+(C148-DATE(2000,1,1))+ROW()/100000)</f>
        <v/>
      </c>
      <c r="F148" s="46">
        <f>IF(E148="","",IF(C148&gt;WeekEndDate,"",E148))</f>
        <v/>
      </c>
    </row>
    <row r="149">
      <c r="A149" t="inlineStr">
        <is>
          <t>Selections &amp; Orders</t>
        </is>
      </c>
      <c r="B149" s="46">
        <f>'Selections &amp; Orders'!AC155</f>
        <v/>
      </c>
      <c r="C149" s="84">
        <f>'Selections &amp; Orders'!AA155</f>
        <v/>
      </c>
      <c r="D149" s="46">
        <f>'Selections &amp; Orders'!AB155</f>
        <v/>
      </c>
      <c r="E149" s="46">
        <f>IF(OR(B149="",C149="",D149=""),"",D149*100000+(C149-DATE(2000,1,1))+ROW()/100000)</f>
        <v/>
      </c>
      <c r="F149" s="46">
        <f>IF(E149="","",IF(C149&gt;WeekEndDate,"",E149))</f>
        <v/>
      </c>
    </row>
    <row r="150">
      <c r="A150" t="inlineStr">
        <is>
          <t>Selections &amp; Orders</t>
        </is>
      </c>
      <c r="B150" s="46">
        <f>'Selections &amp; Orders'!AC156</f>
        <v/>
      </c>
      <c r="C150" s="84">
        <f>'Selections &amp; Orders'!AA156</f>
        <v/>
      </c>
      <c r="D150" s="46">
        <f>'Selections &amp; Orders'!AB156</f>
        <v/>
      </c>
      <c r="E150" s="46">
        <f>IF(OR(B150="",C150="",D150=""),"",D150*100000+(C150-DATE(2000,1,1))+ROW()/100000)</f>
        <v/>
      </c>
      <c r="F150" s="46">
        <f>IF(E150="","",IF(C150&gt;WeekEndDate,"",E150))</f>
        <v/>
      </c>
    </row>
    <row r="151">
      <c r="A151" t="inlineStr">
        <is>
          <t>Selections &amp; Orders</t>
        </is>
      </c>
      <c r="B151" s="46">
        <f>'Selections &amp; Orders'!AC157</f>
        <v/>
      </c>
      <c r="C151" s="84">
        <f>'Selections &amp; Orders'!AA157</f>
        <v/>
      </c>
      <c r="D151" s="46">
        <f>'Selections &amp; Orders'!AB157</f>
        <v/>
      </c>
      <c r="E151" s="46">
        <f>IF(OR(B151="",C151="",D151=""),"",D151*100000+(C151-DATE(2000,1,1))+ROW()/100000)</f>
        <v/>
      </c>
      <c r="F151" s="46">
        <f>IF(E151="","",IF(C151&gt;WeekEndDate,"",E151))</f>
        <v/>
      </c>
    </row>
    <row r="152">
      <c r="A152" t="inlineStr">
        <is>
          <t>Payments</t>
        </is>
      </c>
      <c r="B152" s="46">
        <f>'Payments'!W6</f>
        <v/>
      </c>
      <c r="C152" s="84">
        <f>'Payments'!U6</f>
        <v/>
      </c>
      <c r="D152" s="46">
        <f>'Payments'!V6</f>
        <v/>
      </c>
      <c r="E152" s="46">
        <f>IF(OR(B152="",C152="",D152=""),"",D152*100000+(C152-DATE(2000,1,1))+ROW()/100000)</f>
        <v/>
      </c>
      <c r="F152" s="46">
        <f>IF(E152="","",IF(C152&gt;WeekEndDate,"",E152))</f>
        <v/>
      </c>
    </row>
    <row r="153">
      <c r="A153" t="inlineStr">
        <is>
          <t>Payments</t>
        </is>
      </c>
      <c r="B153" s="46">
        <f>'Payments'!W7</f>
        <v/>
      </c>
      <c r="C153" s="84">
        <f>'Payments'!U7</f>
        <v/>
      </c>
      <c r="D153" s="46">
        <f>'Payments'!V7</f>
        <v/>
      </c>
      <c r="E153" s="46">
        <f>IF(OR(B153="",C153="",D153=""),"",D153*100000+(C153-DATE(2000,1,1))+ROW()/100000)</f>
        <v/>
      </c>
      <c r="F153" s="46">
        <f>IF(E153="","",IF(C153&gt;WeekEndDate,"",E153))</f>
        <v/>
      </c>
    </row>
    <row r="154">
      <c r="A154" t="inlineStr">
        <is>
          <t>Payments</t>
        </is>
      </c>
      <c r="B154" s="46">
        <f>'Payments'!W8</f>
        <v/>
      </c>
      <c r="C154" s="84">
        <f>'Payments'!U8</f>
        <v/>
      </c>
      <c r="D154" s="46">
        <f>'Payments'!V8</f>
        <v/>
      </c>
      <c r="E154" s="46">
        <f>IF(OR(B154="",C154="",D154=""),"",D154*100000+(C154-DATE(2000,1,1))+ROW()/100000)</f>
        <v/>
      </c>
      <c r="F154" s="46">
        <f>IF(E154="","",IF(C154&gt;WeekEndDate,"",E154))</f>
        <v/>
      </c>
    </row>
    <row r="155">
      <c r="A155" t="inlineStr">
        <is>
          <t>Payments</t>
        </is>
      </c>
      <c r="B155" s="46">
        <f>'Payments'!W9</f>
        <v/>
      </c>
      <c r="C155" s="84">
        <f>'Payments'!U9</f>
        <v/>
      </c>
      <c r="D155" s="46">
        <f>'Payments'!V9</f>
        <v/>
      </c>
      <c r="E155" s="46">
        <f>IF(OR(B155="",C155="",D155=""),"",D155*100000+(C155-DATE(2000,1,1))+ROW()/100000)</f>
        <v/>
      </c>
      <c r="F155" s="46">
        <f>IF(E155="","",IF(C155&gt;WeekEndDate,"",E155))</f>
        <v/>
      </c>
    </row>
    <row r="156">
      <c r="A156" t="inlineStr">
        <is>
          <t>Payments</t>
        </is>
      </c>
      <c r="B156" s="46">
        <f>'Payments'!W10</f>
        <v/>
      </c>
      <c r="C156" s="84">
        <f>'Payments'!U10</f>
        <v/>
      </c>
      <c r="D156" s="46">
        <f>'Payments'!V10</f>
        <v/>
      </c>
      <c r="E156" s="46">
        <f>IF(OR(B156="",C156="",D156=""),"",D156*100000+(C156-DATE(2000,1,1))+ROW()/100000)</f>
        <v/>
      </c>
      <c r="F156" s="46">
        <f>IF(E156="","",IF(C156&gt;WeekEndDate,"",E156))</f>
        <v/>
      </c>
    </row>
    <row r="157">
      <c r="A157" t="inlineStr">
        <is>
          <t>Payments</t>
        </is>
      </c>
      <c r="B157" s="46">
        <f>'Payments'!W11</f>
        <v/>
      </c>
      <c r="C157" s="84">
        <f>'Payments'!U11</f>
        <v/>
      </c>
      <c r="D157" s="46">
        <f>'Payments'!V11</f>
        <v/>
      </c>
      <c r="E157" s="46">
        <f>IF(OR(B157="",C157="",D157=""),"",D157*100000+(C157-DATE(2000,1,1))+ROW()/100000)</f>
        <v/>
      </c>
      <c r="F157" s="46">
        <f>IF(E157="","",IF(C157&gt;WeekEndDate,"",E157))</f>
        <v/>
      </c>
    </row>
    <row r="158">
      <c r="A158" t="inlineStr">
        <is>
          <t>Payments</t>
        </is>
      </c>
      <c r="B158" s="46">
        <f>'Payments'!W12</f>
        <v/>
      </c>
      <c r="C158" s="84">
        <f>'Payments'!U12</f>
        <v/>
      </c>
      <c r="D158" s="46">
        <f>'Payments'!V12</f>
        <v/>
      </c>
      <c r="E158" s="46">
        <f>IF(OR(B158="",C158="",D158=""),"",D158*100000+(C158-DATE(2000,1,1))+ROW()/100000)</f>
        <v/>
      </c>
      <c r="F158" s="46">
        <f>IF(E158="","",IF(C158&gt;WeekEndDate,"",E158))</f>
        <v/>
      </c>
    </row>
    <row r="159">
      <c r="A159" t="inlineStr">
        <is>
          <t>Payments</t>
        </is>
      </c>
      <c r="B159" s="46">
        <f>'Payments'!W13</f>
        <v/>
      </c>
      <c r="C159" s="84">
        <f>'Payments'!U13</f>
        <v/>
      </c>
      <c r="D159" s="46">
        <f>'Payments'!V13</f>
        <v/>
      </c>
      <c r="E159" s="46">
        <f>IF(OR(B159="",C159="",D159=""),"",D159*100000+(C159-DATE(2000,1,1))+ROW()/100000)</f>
        <v/>
      </c>
      <c r="F159" s="46">
        <f>IF(E159="","",IF(C159&gt;WeekEndDate,"",E159))</f>
        <v/>
      </c>
    </row>
    <row r="160">
      <c r="A160" t="inlineStr">
        <is>
          <t>Payments</t>
        </is>
      </c>
      <c r="B160" s="46">
        <f>'Payments'!W14</f>
        <v/>
      </c>
      <c r="C160" s="84">
        <f>'Payments'!U14</f>
        <v/>
      </c>
      <c r="D160" s="46">
        <f>'Payments'!V14</f>
        <v/>
      </c>
      <c r="E160" s="46">
        <f>IF(OR(B160="",C160="",D160=""),"",D160*100000+(C160-DATE(2000,1,1))+ROW()/100000)</f>
        <v/>
      </c>
      <c r="F160" s="46">
        <f>IF(E160="","",IF(C160&gt;WeekEndDate,"",E160))</f>
        <v/>
      </c>
    </row>
    <row r="161">
      <c r="A161" t="inlineStr">
        <is>
          <t>Payments</t>
        </is>
      </c>
      <c r="B161" s="46">
        <f>'Payments'!W15</f>
        <v/>
      </c>
      <c r="C161" s="84">
        <f>'Payments'!U15</f>
        <v/>
      </c>
      <c r="D161" s="46">
        <f>'Payments'!V15</f>
        <v/>
      </c>
      <c r="E161" s="46">
        <f>IF(OR(B161="",C161="",D161=""),"",D161*100000+(C161-DATE(2000,1,1))+ROW()/100000)</f>
        <v/>
      </c>
      <c r="F161" s="46">
        <f>IF(E161="","",IF(C161&gt;WeekEndDate,"",E161))</f>
        <v/>
      </c>
    </row>
    <row r="162">
      <c r="A162" t="inlineStr">
        <is>
          <t>Payments</t>
        </is>
      </c>
      <c r="B162" s="46">
        <f>'Payments'!W16</f>
        <v/>
      </c>
      <c r="C162" s="84">
        <f>'Payments'!U16</f>
        <v/>
      </c>
      <c r="D162" s="46">
        <f>'Payments'!V16</f>
        <v/>
      </c>
      <c r="E162" s="46">
        <f>IF(OR(B162="",C162="",D162=""),"",D162*100000+(C162-DATE(2000,1,1))+ROW()/100000)</f>
        <v/>
      </c>
      <c r="F162" s="46">
        <f>IF(E162="","",IF(C162&gt;WeekEndDate,"",E162))</f>
        <v/>
      </c>
    </row>
    <row r="163">
      <c r="A163" t="inlineStr">
        <is>
          <t>Payments</t>
        </is>
      </c>
      <c r="B163" s="46">
        <f>'Payments'!W17</f>
        <v/>
      </c>
      <c r="C163" s="84">
        <f>'Payments'!U17</f>
        <v/>
      </c>
      <c r="D163" s="46">
        <f>'Payments'!V17</f>
        <v/>
      </c>
      <c r="E163" s="46">
        <f>IF(OR(B163="",C163="",D163=""),"",D163*100000+(C163-DATE(2000,1,1))+ROW()/100000)</f>
        <v/>
      </c>
      <c r="F163" s="46">
        <f>IF(E163="","",IF(C163&gt;WeekEndDate,"",E163))</f>
        <v/>
      </c>
    </row>
    <row r="164">
      <c r="A164" t="inlineStr">
        <is>
          <t>Payments</t>
        </is>
      </c>
      <c r="B164" s="46">
        <f>'Payments'!W18</f>
        <v/>
      </c>
      <c r="C164" s="84">
        <f>'Payments'!U18</f>
        <v/>
      </c>
      <c r="D164" s="46">
        <f>'Payments'!V18</f>
        <v/>
      </c>
      <c r="E164" s="46">
        <f>IF(OR(B164="",C164="",D164=""),"",D164*100000+(C164-DATE(2000,1,1))+ROW()/100000)</f>
        <v/>
      </c>
      <c r="F164" s="46">
        <f>IF(E164="","",IF(C164&gt;WeekEndDate,"",E164))</f>
        <v/>
      </c>
    </row>
    <row r="165">
      <c r="A165" t="inlineStr">
        <is>
          <t>Payments</t>
        </is>
      </c>
      <c r="B165" s="46">
        <f>'Payments'!W19</f>
        <v/>
      </c>
      <c r="C165" s="84">
        <f>'Payments'!U19</f>
        <v/>
      </c>
      <c r="D165" s="46">
        <f>'Payments'!V19</f>
        <v/>
      </c>
      <c r="E165" s="46">
        <f>IF(OR(B165="",C165="",D165=""),"",D165*100000+(C165-DATE(2000,1,1))+ROW()/100000)</f>
        <v/>
      </c>
      <c r="F165" s="46">
        <f>IF(E165="","",IF(C165&gt;WeekEndDate,"",E165))</f>
        <v/>
      </c>
    </row>
    <row r="166">
      <c r="A166" t="inlineStr">
        <is>
          <t>Payments</t>
        </is>
      </c>
      <c r="B166" s="46">
        <f>'Payments'!W20</f>
        <v/>
      </c>
      <c r="C166" s="84">
        <f>'Payments'!U20</f>
        <v/>
      </c>
      <c r="D166" s="46">
        <f>'Payments'!V20</f>
        <v/>
      </c>
      <c r="E166" s="46">
        <f>IF(OR(B166="",C166="",D166=""),"",D166*100000+(C166-DATE(2000,1,1))+ROW()/100000)</f>
        <v/>
      </c>
      <c r="F166" s="46">
        <f>IF(E166="","",IF(C166&gt;WeekEndDate,"",E166))</f>
        <v/>
      </c>
    </row>
    <row r="167">
      <c r="A167" t="inlineStr">
        <is>
          <t>Payments</t>
        </is>
      </c>
      <c r="B167" s="46">
        <f>'Payments'!W21</f>
        <v/>
      </c>
      <c r="C167" s="84">
        <f>'Payments'!U21</f>
        <v/>
      </c>
      <c r="D167" s="46">
        <f>'Payments'!V21</f>
        <v/>
      </c>
      <c r="E167" s="46">
        <f>IF(OR(B167="",C167="",D167=""),"",D167*100000+(C167-DATE(2000,1,1))+ROW()/100000)</f>
        <v/>
      </c>
      <c r="F167" s="46">
        <f>IF(E167="","",IF(C167&gt;WeekEndDate,"",E167))</f>
        <v/>
      </c>
    </row>
    <row r="168">
      <c r="A168" t="inlineStr">
        <is>
          <t>Payments</t>
        </is>
      </c>
      <c r="B168" s="46">
        <f>'Payments'!W22</f>
        <v/>
      </c>
      <c r="C168" s="84">
        <f>'Payments'!U22</f>
        <v/>
      </c>
      <c r="D168" s="46">
        <f>'Payments'!V22</f>
        <v/>
      </c>
      <c r="E168" s="46">
        <f>IF(OR(B168="",C168="",D168=""),"",D168*100000+(C168-DATE(2000,1,1))+ROW()/100000)</f>
        <v/>
      </c>
      <c r="F168" s="46">
        <f>IF(E168="","",IF(C168&gt;WeekEndDate,"",E168))</f>
        <v/>
      </c>
    </row>
    <row r="169">
      <c r="A169" t="inlineStr">
        <is>
          <t>Payments</t>
        </is>
      </c>
      <c r="B169" s="46">
        <f>'Payments'!W23</f>
        <v/>
      </c>
      <c r="C169" s="84">
        <f>'Payments'!U23</f>
        <v/>
      </c>
      <c r="D169" s="46">
        <f>'Payments'!V23</f>
        <v/>
      </c>
      <c r="E169" s="46">
        <f>IF(OR(B169="",C169="",D169=""),"",D169*100000+(C169-DATE(2000,1,1))+ROW()/100000)</f>
        <v/>
      </c>
      <c r="F169" s="46">
        <f>IF(E169="","",IF(C169&gt;WeekEndDate,"",E169))</f>
        <v/>
      </c>
    </row>
    <row r="170">
      <c r="A170" t="inlineStr">
        <is>
          <t>Payments</t>
        </is>
      </c>
      <c r="B170" s="46">
        <f>'Payments'!W24</f>
        <v/>
      </c>
      <c r="C170" s="84">
        <f>'Payments'!U24</f>
        <v/>
      </c>
      <c r="D170" s="46">
        <f>'Payments'!V24</f>
        <v/>
      </c>
      <c r="E170" s="46">
        <f>IF(OR(B170="",C170="",D170=""),"",D170*100000+(C170-DATE(2000,1,1))+ROW()/100000)</f>
        <v/>
      </c>
      <c r="F170" s="46">
        <f>IF(E170="","",IF(C170&gt;WeekEndDate,"",E170))</f>
        <v/>
      </c>
    </row>
    <row r="171">
      <c r="A171" t="inlineStr">
        <is>
          <t>Payments</t>
        </is>
      </c>
      <c r="B171" s="46">
        <f>'Payments'!W25</f>
        <v/>
      </c>
      <c r="C171" s="84">
        <f>'Payments'!U25</f>
        <v/>
      </c>
      <c r="D171" s="46">
        <f>'Payments'!V25</f>
        <v/>
      </c>
      <c r="E171" s="46">
        <f>IF(OR(B171="",C171="",D171=""),"",D171*100000+(C171-DATE(2000,1,1))+ROW()/100000)</f>
        <v/>
      </c>
      <c r="F171" s="46">
        <f>IF(E171="","",IF(C171&gt;WeekEndDate,"",E171))</f>
        <v/>
      </c>
    </row>
    <row r="172">
      <c r="A172" t="inlineStr">
        <is>
          <t>Payments</t>
        </is>
      </c>
      <c r="B172" s="46">
        <f>'Payments'!W26</f>
        <v/>
      </c>
      <c r="C172" s="84">
        <f>'Payments'!U26</f>
        <v/>
      </c>
      <c r="D172" s="46">
        <f>'Payments'!V26</f>
        <v/>
      </c>
      <c r="E172" s="46">
        <f>IF(OR(B172="",C172="",D172=""),"",D172*100000+(C172-DATE(2000,1,1))+ROW()/100000)</f>
        <v/>
      </c>
      <c r="F172" s="46">
        <f>IF(E172="","",IF(C172&gt;WeekEndDate,"",E172))</f>
        <v/>
      </c>
    </row>
    <row r="173">
      <c r="A173" t="inlineStr">
        <is>
          <t>Payments</t>
        </is>
      </c>
      <c r="B173" s="46">
        <f>'Payments'!W27</f>
        <v/>
      </c>
      <c r="C173" s="84">
        <f>'Payments'!U27</f>
        <v/>
      </c>
      <c r="D173" s="46">
        <f>'Payments'!V27</f>
        <v/>
      </c>
      <c r="E173" s="46">
        <f>IF(OR(B173="",C173="",D173=""),"",D173*100000+(C173-DATE(2000,1,1))+ROW()/100000)</f>
        <v/>
      </c>
      <c r="F173" s="46">
        <f>IF(E173="","",IF(C173&gt;WeekEndDate,"",E173))</f>
        <v/>
      </c>
    </row>
    <row r="174">
      <c r="A174" t="inlineStr">
        <is>
          <t>Payments</t>
        </is>
      </c>
      <c r="B174" s="46">
        <f>'Payments'!W28</f>
        <v/>
      </c>
      <c r="C174" s="84">
        <f>'Payments'!U28</f>
        <v/>
      </c>
      <c r="D174" s="46">
        <f>'Payments'!V28</f>
        <v/>
      </c>
      <c r="E174" s="46">
        <f>IF(OR(B174="",C174="",D174=""),"",D174*100000+(C174-DATE(2000,1,1))+ROW()/100000)</f>
        <v/>
      </c>
      <c r="F174" s="46">
        <f>IF(E174="","",IF(C174&gt;WeekEndDate,"",E174))</f>
        <v/>
      </c>
    </row>
    <row r="175">
      <c r="A175" t="inlineStr">
        <is>
          <t>Payments</t>
        </is>
      </c>
      <c r="B175" s="46">
        <f>'Payments'!W29</f>
        <v/>
      </c>
      <c r="C175" s="84">
        <f>'Payments'!U29</f>
        <v/>
      </c>
      <c r="D175" s="46">
        <f>'Payments'!V29</f>
        <v/>
      </c>
      <c r="E175" s="46">
        <f>IF(OR(B175="",C175="",D175=""),"",D175*100000+(C175-DATE(2000,1,1))+ROW()/100000)</f>
        <v/>
      </c>
      <c r="F175" s="46">
        <f>IF(E175="","",IF(C175&gt;WeekEndDate,"",E175))</f>
        <v/>
      </c>
    </row>
    <row r="176">
      <c r="A176" t="inlineStr">
        <is>
          <t>Payments</t>
        </is>
      </c>
      <c r="B176" s="46">
        <f>'Payments'!W30</f>
        <v/>
      </c>
      <c r="C176" s="84">
        <f>'Payments'!U30</f>
        <v/>
      </c>
      <c r="D176" s="46">
        <f>'Payments'!V30</f>
        <v/>
      </c>
      <c r="E176" s="46">
        <f>IF(OR(B176="",C176="",D176=""),"",D176*100000+(C176-DATE(2000,1,1))+ROW()/100000)</f>
        <v/>
      </c>
      <c r="F176" s="46">
        <f>IF(E176="","",IF(C176&gt;WeekEndDate,"",E176))</f>
        <v/>
      </c>
    </row>
    <row r="177">
      <c r="A177" t="inlineStr">
        <is>
          <t>Payments</t>
        </is>
      </c>
      <c r="B177" s="46">
        <f>'Payments'!W31</f>
        <v/>
      </c>
      <c r="C177" s="84">
        <f>'Payments'!U31</f>
        <v/>
      </c>
      <c r="D177" s="46">
        <f>'Payments'!V31</f>
        <v/>
      </c>
      <c r="E177" s="46">
        <f>IF(OR(B177="",C177="",D177=""),"",D177*100000+(C177-DATE(2000,1,1))+ROW()/100000)</f>
        <v/>
      </c>
      <c r="F177" s="46">
        <f>IF(E177="","",IF(C177&gt;WeekEndDate,"",E177))</f>
        <v/>
      </c>
    </row>
    <row r="178">
      <c r="A178" t="inlineStr">
        <is>
          <t>Payments</t>
        </is>
      </c>
      <c r="B178" s="46">
        <f>'Payments'!W32</f>
        <v/>
      </c>
      <c r="C178" s="84">
        <f>'Payments'!U32</f>
        <v/>
      </c>
      <c r="D178" s="46">
        <f>'Payments'!V32</f>
        <v/>
      </c>
      <c r="E178" s="46">
        <f>IF(OR(B178="",C178="",D178=""),"",D178*100000+(C178-DATE(2000,1,1))+ROW()/100000)</f>
        <v/>
      </c>
      <c r="F178" s="46">
        <f>IF(E178="","",IF(C178&gt;WeekEndDate,"",E178))</f>
        <v/>
      </c>
    </row>
    <row r="179">
      <c r="A179" t="inlineStr">
        <is>
          <t>Payments</t>
        </is>
      </c>
      <c r="B179" s="46">
        <f>'Payments'!W33</f>
        <v/>
      </c>
      <c r="C179" s="84">
        <f>'Payments'!U33</f>
        <v/>
      </c>
      <c r="D179" s="46">
        <f>'Payments'!V33</f>
        <v/>
      </c>
      <c r="E179" s="46">
        <f>IF(OR(B179="",C179="",D179=""),"",D179*100000+(C179-DATE(2000,1,1))+ROW()/100000)</f>
        <v/>
      </c>
      <c r="F179" s="46">
        <f>IF(E179="","",IF(C179&gt;WeekEndDate,"",E179))</f>
        <v/>
      </c>
    </row>
    <row r="180">
      <c r="A180" t="inlineStr">
        <is>
          <t>Payments</t>
        </is>
      </c>
      <c r="B180" s="46">
        <f>'Payments'!W34</f>
        <v/>
      </c>
      <c r="C180" s="84">
        <f>'Payments'!U34</f>
        <v/>
      </c>
      <c r="D180" s="46">
        <f>'Payments'!V34</f>
        <v/>
      </c>
      <c r="E180" s="46">
        <f>IF(OR(B180="",C180="",D180=""),"",D180*100000+(C180-DATE(2000,1,1))+ROW()/100000)</f>
        <v/>
      </c>
      <c r="F180" s="46">
        <f>IF(E180="","",IF(C180&gt;WeekEndDate,"",E180))</f>
        <v/>
      </c>
    </row>
    <row r="181">
      <c r="A181" t="inlineStr">
        <is>
          <t>Payments</t>
        </is>
      </c>
      <c r="B181" s="46">
        <f>'Payments'!W35</f>
        <v/>
      </c>
      <c r="C181" s="84">
        <f>'Payments'!U35</f>
        <v/>
      </c>
      <c r="D181" s="46">
        <f>'Payments'!V35</f>
        <v/>
      </c>
      <c r="E181" s="46">
        <f>IF(OR(B181="",C181="",D181=""),"",D181*100000+(C181-DATE(2000,1,1))+ROW()/100000)</f>
        <v/>
      </c>
      <c r="F181" s="46">
        <f>IF(E181="","",IF(C181&gt;WeekEndDate,"",E181))</f>
        <v/>
      </c>
    </row>
    <row r="182">
      <c r="A182" t="inlineStr">
        <is>
          <t>Payments</t>
        </is>
      </c>
      <c r="B182" s="46">
        <f>'Payments'!W36</f>
        <v/>
      </c>
      <c r="C182" s="84">
        <f>'Payments'!U36</f>
        <v/>
      </c>
      <c r="D182" s="46">
        <f>'Payments'!V36</f>
        <v/>
      </c>
      <c r="E182" s="46">
        <f>IF(OR(B182="",C182="",D182=""),"",D182*100000+(C182-DATE(2000,1,1))+ROW()/100000)</f>
        <v/>
      </c>
      <c r="F182" s="46">
        <f>IF(E182="","",IF(C182&gt;WeekEndDate,"",E182))</f>
        <v/>
      </c>
    </row>
    <row r="183">
      <c r="A183" t="inlineStr">
        <is>
          <t>Payments</t>
        </is>
      </c>
      <c r="B183" s="46">
        <f>'Payments'!W37</f>
        <v/>
      </c>
      <c r="C183" s="84">
        <f>'Payments'!U37</f>
        <v/>
      </c>
      <c r="D183" s="46">
        <f>'Payments'!V37</f>
        <v/>
      </c>
      <c r="E183" s="46">
        <f>IF(OR(B183="",C183="",D183=""),"",D183*100000+(C183-DATE(2000,1,1))+ROW()/100000)</f>
        <v/>
      </c>
      <c r="F183" s="46">
        <f>IF(E183="","",IF(C183&gt;WeekEndDate,"",E183))</f>
        <v/>
      </c>
    </row>
    <row r="184">
      <c r="A184" t="inlineStr">
        <is>
          <t>Payments</t>
        </is>
      </c>
      <c r="B184" s="46">
        <f>'Payments'!W38</f>
        <v/>
      </c>
      <c r="C184" s="84">
        <f>'Payments'!U38</f>
        <v/>
      </c>
      <c r="D184" s="46">
        <f>'Payments'!V38</f>
        <v/>
      </c>
      <c r="E184" s="46">
        <f>IF(OR(B184="",C184="",D184=""),"",D184*100000+(C184-DATE(2000,1,1))+ROW()/100000)</f>
        <v/>
      </c>
      <c r="F184" s="46">
        <f>IF(E184="","",IF(C184&gt;WeekEndDate,"",E184))</f>
        <v/>
      </c>
    </row>
    <row r="185">
      <c r="A185" t="inlineStr">
        <is>
          <t>Payments</t>
        </is>
      </c>
      <c r="B185" s="46">
        <f>'Payments'!W39</f>
        <v/>
      </c>
      <c r="C185" s="84">
        <f>'Payments'!U39</f>
        <v/>
      </c>
      <c r="D185" s="46">
        <f>'Payments'!V39</f>
        <v/>
      </c>
      <c r="E185" s="46">
        <f>IF(OR(B185="",C185="",D185=""),"",D185*100000+(C185-DATE(2000,1,1))+ROW()/100000)</f>
        <v/>
      </c>
      <c r="F185" s="46">
        <f>IF(E185="","",IF(C185&gt;WeekEndDate,"",E185))</f>
        <v/>
      </c>
    </row>
    <row r="186">
      <c r="A186" t="inlineStr">
        <is>
          <t>Payments</t>
        </is>
      </c>
      <c r="B186" s="46">
        <f>'Payments'!W40</f>
        <v/>
      </c>
      <c r="C186" s="84">
        <f>'Payments'!U40</f>
        <v/>
      </c>
      <c r="D186" s="46">
        <f>'Payments'!V40</f>
        <v/>
      </c>
      <c r="E186" s="46">
        <f>IF(OR(B186="",C186="",D186=""),"",D186*100000+(C186-DATE(2000,1,1))+ROW()/100000)</f>
        <v/>
      </c>
      <c r="F186" s="46">
        <f>IF(E186="","",IF(C186&gt;WeekEndDate,"",E186))</f>
        <v/>
      </c>
    </row>
    <row r="187">
      <c r="A187" t="inlineStr">
        <is>
          <t>Payments</t>
        </is>
      </c>
      <c r="B187" s="46">
        <f>'Payments'!W41</f>
        <v/>
      </c>
      <c r="C187" s="84">
        <f>'Payments'!U41</f>
        <v/>
      </c>
      <c r="D187" s="46">
        <f>'Payments'!V41</f>
        <v/>
      </c>
      <c r="E187" s="46">
        <f>IF(OR(B187="",C187="",D187=""),"",D187*100000+(C187-DATE(2000,1,1))+ROW()/100000)</f>
        <v/>
      </c>
      <c r="F187" s="46">
        <f>IF(E187="","",IF(C187&gt;WeekEndDate,"",E187))</f>
        <v/>
      </c>
    </row>
    <row r="188">
      <c r="A188" t="inlineStr">
        <is>
          <t>Payments</t>
        </is>
      </c>
      <c r="B188" s="46">
        <f>'Payments'!W42</f>
        <v/>
      </c>
      <c r="C188" s="84">
        <f>'Payments'!U42</f>
        <v/>
      </c>
      <c r="D188" s="46">
        <f>'Payments'!V42</f>
        <v/>
      </c>
      <c r="E188" s="46">
        <f>IF(OR(B188="",C188="",D188=""),"",D188*100000+(C188-DATE(2000,1,1))+ROW()/100000)</f>
        <v/>
      </c>
      <c r="F188" s="46">
        <f>IF(E188="","",IF(C188&gt;WeekEndDate,"",E188))</f>
        <v/>
      </c>
    </row>
    <row r="189">
      <c r="A189" t="inlineStr">
        <is>
          <t>Payments</t>
        </is>
      </c>
      <c r="B189" s="46">
        <f>'Payments'!W43</f>
        <v/>
      </c>
      <c r="C189" s="84">
        <f>'Payments'!U43</f>
        <v/>
      </c>
      <c r="D189" s="46">
        <f>'Payments'!V43</f>
        <v/>
      </c>
      <c r="E189" s="46">
        <f>IF(OR(B189="",C189="",D189=""),"",D189*100000+(C189-DATE(2000,1,1))+ROW()/100000)</f>
        <v/>
      </c>
      <c r="F189" s="46">
        <f>IF(E189="","",IF(C189&gt;WeekEndDate,"",E189))</f>
        <v/>
      </c>
    </row>
    <row r="190">
      <c r="A190" t="inlineStr">
        <is>
          <t>Payments</t>
        </is>
      </c>
      <c r="B190" s="46">
        <f>'Payments'!W44</f>
        <v/>
      </c>
      <c r="C190" s="84">
        <f>'Payments'!U44</f>
        <v/>
      </c>
      <c r="D190" s="46">
        <f>'Payments'!V44</f>
        <v/>
      </c>
      <c r="E190" s="46">
        <f>IF(OR(B190="",C190="",D190=""),"",D190*100000+(C190-DATE(2000,1,1))+ROW()/100000)</f>
        <v/>
      </c>
      <c r="F190" s="46">
        <f>IF(E190="","",IF(C190&gt;WeekEndDate,"",E190))</f>
        <v/>
      </c>
    </row>
    <row r="191">
      <c r="A191" t="inlineStr">
        <is>
          <t>Payments</t>
        </is>
      </c>
      <c r="B191" s="46">
        <f>'Payments'!W45</f>
        <v/>
      </c>
      <c r="C191" s="84">
        <f>'Payments'!U45</f>
        <v/>
      </c>
      <c r="D191" s="46">
        <f>'Payments'!V45</f>
        <v/>
      </c>
      <c r="E191" s="46">
        <f>IF(OR(B191="",C191="",D191=""),"",D191*100000+(C191-DATE(2000,1,1))+ROW()/100000)</f>
        <v/>
      </c>
      <c r="F191" s="46">
        <f>IF(E191="","",IF(C191&gt;WeekEndDate,"",E191))</f>
        <v/>
      </c>
    </row>
    <row r="192">
      <c r="A192" t="inlineStr">
        <is>
          <t>Payments</t>
        </is>
      </c>
      <c r="B192" s="46">
        <f>'Payments'!W46</f>
        <v/>
      </c>
      <c r="C192" s="84">
        <f>'Payments'!U46</f>
        <v/>
      </c>
      <c r="D192" s="46">
        <f>'Payments'!V46</f>
        <v/>
      </c>
      <c r="E192" s="46">
        <f>IF(OR(B192="",C192="",D192=""),"",D192*100000+(C192-DATE(2000,1,1))+ROW()/100000)</f>
        <v/>
      </c>
      <c r="F192" s="46">
        <f>IF(E192="","",IF(C192&gt;WeekEndDate,"",E192))</f>
        <v/>
      </c>
    </row>
    <row r="193">
      <c r="A193" t="inlineStr">
        <is>
          <t>Payments</t>
        </is>
      </c>
      <c r="B193" s="46">
        <f>'Payments'!W47</f>
        <v/>
      </c>
      <c r="C193" s="84">
        <f>'Payments'!U47</f>
        <v/>
      </c>
      <c r="D193" s="46">
        <f>'Payments'!V47</f>
        <v/>
      </c>
      <c r="E193" s="46">
        <f>IF(OR(B193="",C193="",D193=""),"",D193*100000+(C193-DATE(2000,1,1))+ROW()/100000)</f>
        <v/>
      </c>
      <c r="F193" s="46">
        <f>IF(E193="","",IF(C193&gt;WeekEndDate,"",E193))</f>
        <v/>
      </c>
    </row>
    <row r="194">
      <c r="A194" t="inlineStr">
        <is>
          <t>Payments</t>
        </is>
      </c>
      <c r="B194" s="46">
        <f>'Payments'!W48</f>
        <v/>
      </c>
      <c r="C194" s="84">
        <f>'Payments'!U48</f>
        <v/>
      </c>
      <c r="D194" s="46">
        <f>'Payments'!V48</f>
        <v/>
      </c>
      <c r="E194" s="46">
        <f>IF(OR(B194="",C194="",D194=""),"",D194*100000+(C194-DATE(2000,1,1))+ROW()/100000)</f>
        <v/>
      </c>
      <c r="F194" s="46">
        <f>IF(E194="","",IF(C194&gt;WeekEndDate,"",E194))</f>
        <v/>
      </c>
    </row>
    <row r="195">
      <c r="A195" t="inlineStr">
        <is>
          <t>Payments</t>
        </is>
      </c>
      <c r="B195" s="46">
        <f>'Payments'!W49</f>
        <v/>
      </c>
      <c r="C195" s="84">
        <f>'Payments'!U49</f>
        <v/>
      </c>
      <c r="D195" s="46">
        <f>'Payments'!V49</f>
        <v/>
      </c>
      <c r="E195" s="46">
        <f>IF(OR(B195="",C195="",D195=""),"",D195*100000+(C195-DATE(2000,1,1))+ROW()/100000)</f>
        <v/>
      </c>
      <c r="F195" s="46">
        <f>IF(E195="","",IF(C195&gt;WeekEndDate,"",E195))</f>
        <v/>
      </c>
    </row>
    <row r="196">
      <c r="A196" t="inlineStr">
        <is>
          <t>Payments</t>
        </is>
      </c>
      <c r="B196" s="46">
        <f>'Payments'!W50</f>
        <v/>
      </c>
      <c r="C196" s="84">
        <f>'Payments'!U50</f>
        <v/>
      </c>
      <c r="D196" s="46">
        <f>'Payments'!V50</f>
        <v/>
      </c>
      <c r="E196" s="46">
        <f>IF(OR(B196="",C196="",D196=""),"",D196*100000+(C196-DATE(2000,1,1))+ROW()/100000)</f>
        <v/>
      </c>
      <c r="F196" s="46">
        <f>IF(E196="","",IF(C196&gt;WeekEndDate,"",E196))</f>
        <v/>
      </c>
    </row>
    <row r="197">
      <c r="A197" t="inlineStr">
        <is>
          <t>Payments</t>
        </is>
      </c>
      <c r="B197" s="46">
        <f>'Payments'!W51</f>
        <v/>
      </c>
      <c r="C197" s="84">
        <f>'Payments'!U51</f>
        <v/>
      </c>
      <c r="D197" s="46">
        <f>'Payments'!V51</f>
        <v/>
      </c>
      <c r="E197" s="46">
        <f>IF(OR(B197="",C197="",D197=""),"",D197*100000+(C197-DATE(2000,1,1))+ROW()/100000)</f>
        <v/>
      </c>
      <c r="F197" s="46">
        <f>IF(E197="","",IF(C197&gt;WeekEndDate,"",E197))</f>
        <v/>
      </c>
    </row>
    <row r="198">
      <c r="A198" t="inlineStr">
        <is>
          <t>Payments</t>
        </is>
      </c>
      <c r="B198" s="46">
        <f>'Payments'!W52</f>
        <v/>
      </c>
      <c r="C198" s="84">
        <f>'Payments'!U52</f>
        <v/>
      </c>
      <c r="D198" s="46">
        <f>'Payments'!V52</f>
        <v/>
      </c>
      <c r="E198" s="46">
        <f>IF(OR(B198="",C198="",D198=""),"",D198*100000+(C198-DATE(2000,1,1))+ROW()/100000)</f>
        <v/>
      </c>
      <c r="F198" s="46">
        <f>IF(E198="","",IF(C198&gt;WeekEndDate,"",E198))</f>
        <v/>
      </c>
    </row>
    <row r="199">
      <c r="A199" t="inlineStr">
        <is>
          <t>Payments</t>
        </is>
      </c>
      <c r="B199" s="46">
        <f>'Payments'!W53</f>
        <v/>
      </c>
      <c r="C199" s="84">
        <f>'Payments'!U53</f>
        <v/>
      </c>
      <c r="D199" s="46">
        <f>'Payments'!V53</f>
        <v/>
      </c>
      <c r="E199" s="46">
        <f>IF(OR(B199="",C199="",D199=""),"",D199*100000+(C199-DATE(2000,1,1))+ROW()/100000)</f>
        <v/>
      </c>
      <c r="F199" s="46">
        <f>IF(E199="","",IF(C199&gt;WeekEndDate,"",E199))</f>
        <v/>
      </c>
    </row>
    <row r="200">
      <c r="A200" t="inlineStr">
        <is>
          <t>Payments</t>
        </is>
      </c>
      <c r="B200" s="46">
        <f>'Payments'!W54</f>
        <v/>
      </c>
      <c r="C200" s="84">
        <f>'Payments'!U54</f>
        <v/>
      </c>
      <c r="D200" s="46">
        <f>'Payments'!V54</f>
        <v/>
      </c>
      <c r="E200" s="46">
        <f>IF(OR(B200="",C200="",D200=""),"",D200*100000+(C200-DATE(2000,1,1))+ROW()/100000)</f>
        <v/>
      </c>
      <c r="F200" s="46">
        <f>IF(E200="","",IF(C200&gt;WeekEndDate,"",E200))</f>
        <v/>
      </c>
    </row>
    <row r="201">
      <c r="A201" t="inlineStr">
        <is>
          <t>Payments</t>
        </is>
      </c>
      <c r="B201" s="46">
        <f>'Payments'!W55</f>
        <v/>
      </c>
      <c r="C201" s="84">
        <f>'Payments'!U55</f>
        <v/>
      </c>
      <c r="D201" s="46">
        <f>'Payments'!V55</f>
        <v/>
      </c>
      <c r="E201" s="46">
        <f>IF(OR(B201="",C201="",D201=""),"",D201*100000+(C201-DATE(2000,1,1))+ROW()/100000)</f>
        <v/>
      </c>
      <c r="F201" s="46">
        <f>IF(E201="","",IF(C201&gt;WeekEndDate,"",E201))</f>
        <v/>
      </c>
    </row>
    <row r="202">
      <c r="A202" t="inlineStr">
        <is>
          <t>Payments</t>
        </is>
      </c>
      <c r="B202" s="46">
        <f>'Payments'!W56</f>
        <v/>
      </c>
      <c r="C202" s="84">
        <f>'Payments'!U56</f>
        <v/>
      </c>
      <c r="D202" s="46">
        <f>'Payments'!V56</f>
        <v/>
      </c>
      <c r="E202" s="46">
        <f>IF(OR(B202="",C202="",D202=""),"",D202*100000+(C202-DATE(2000,1,1))+ROW()/100000)</f>
        <v/>
      </c>
      <c r="F202" s="46">
        <f>IF(E202="","",IF(C202&gt;WeekEndDate,"",E202))</f>
        <v/>
      </c>
    </row>
    <row r="203">
      <c r="A203" t="inlineStr">
        <is>
          <t>Payments</t>
        </is>
      </c>
      <c r="B203" s="46">
        <f>'Payments'!W57</f>
        <v/>
      </c>
      <c r="C203" s="84">
        <f>'Payments'!U57</f>
        <v/>
      </c>
      <c r="D203" s="46">
        <f>'Payments'!V57</f>
        <v/>
      </c>
      <c r="E203" s="46">
        <f>IF(OR(B203="",C203="",D203=""),"",D203*100000+(C203-DATE(2000,1,1))+ROW()/100000)</f>
        <v/>
      </c>
      <c r="F203" s="46">
        <f>IF(E203="","",IF(C203&gt;WeekEndDate,"",E203))</f>
        <v/>
      </c>
    </row>
    <row r="204">
      <c r="A204" t="inlineStr">
        <is>
          <t>Payments</t>
        </is>
      </c>
      <c r="B204" s="46">
        <f>'Payments'!W58</f>
        <v/>
      </c>
      <c r="C204" s="84">
        <f>'Payments'!U58</f>
        <v/>
      </c>
      <c r="D204" s="46">
        <f>'Payments'!V58</f>
        <v/>
      </c>
      <c r="E204" s="46">
        <f>IF(OR(B204="",C204="",D204=""),"",D204*100000+(C204-DATE(2000,1,1))+ROW()/100000)</f>
        <v/>
      </c>
      <c r="F204" s="46">
        <f>IF(E204="","",IF(C204&gt;WeekEndDate,"",E204))</f>
        <v/>
      </c>
    </row>
    <row r="205">
      <c r="A205" t="inlineStr">
        <is>
          <t>Payments</t>
        </is>
      </c>
      <c r="B205" s="46">
        <f>'Payments'!W59</f>
        <v/>
      </c>
      <c r="C205" s="84">
        <f>'Payments'!U59</f>
        <v/>
      </c>
      <c r="D205" s="46">
        <f>'Payments'!V59</f>
        <v/>
      </c>
      <c r="E205" s="46">
        <f>IF(OR(B205="",C205="",D205=""),"",D205*100000+(C205-DATE(2000,1,1))+ROW()/100000)</f>
        <v/>
      </c>
      <c r="F205" s="46">
        <f>IF(E205="","",IF(C205&gt;WeekEndDate,"",E205))</f>
        <v/>
      </c>
    </row>
    <row r="206">
      <c r="A206" t="inlineStr">
        <is>
          <t>Payments</t>
        </is>
      </c>
      <c r="B206" s="46">
        <f>'Payments'!W60</f>
        <v/>
      </c>
      <c r="C206" s="84">
        <f>'Payments'!U60</f>
        <v/>
      </c>
      <c r="D206" s="46">
        <f>'Payments'!V60</f>
        <v/>
      </c>
      <c r="E206" s="46">
        <f>IF(OR(B206="",C206="",D206=""),"",D206*100000+(C206-DATE(2000,1,1))+ROW()/100000)</f>
        <v/>
      </c>
      <c r="F206" s="46">
        <f>IF(E206="","",IF(C206&gt;WeekEndDate,"",E206))</f>
        <v/>
      </c>
    </row>
    <row r="207">
      <c r="A207" t="inlineStr">
        <is>
          <t>Payments</t>
        </is>
      </c>
      <c r="B207" s="46">
        <f>'Payments'!W61</f>
        <v/>
      </c>
      <c r="C207" s="84">
        <f>'Payments'!U61</f>
        <v/>
      </c>
      <c r="D207" s="46">
        <f>'Payments'!V61</f>
        <v/>
      </c>
      <c r="E207" s="46">
        <f>IF(OR(B207="",C207="",D207=""),"",D207*100000+(C207-DATE(2000,1,1))+ROW()/100000)</f>
        <v/>
      </c>
      <c r="F207" s="46">
        <f>IF(E207="","",IF(C207&gt;WeekEndDate,"",E207))</f>
        <v/>
      </c>
    </row>
    <row r="208">
      <c r="A208" t="inlineStr">
        <is>
          <t>Payments</t>
        </is>
      </c>
      <c r="B208" s="46">
        <f>'Payments'!W62</f>
        <v/>
      </c>
      <c r="C208" s="84">
        <f>'Payments'!U62</f>
        <v/>
      </c>
      <c r="D208" s="46">
        <f>'Payments'!V62</f>
        <v/>
      </c>
      <c r="E208" s="46">
        <f>IF(OR(B208="",C208="",D208=""),"",D208*100000+(C208-DATE(2000,1,1))+ROW()/100000)</f>
        <v/>
      </c>
      <c r="F208" s="46">
        <f>IF(E208="","",IF(C208&gt;WeekEndDate,"",E208))</f>
        <v/>
      </c>
    </row>
    <row r="209">
      <c r="A209" t="inlineStr">
        <is>
          <t>Payments</t>
        </is>
      </c>
      <c r="B209" s="46">
        <f>'Payments'!W63</f>
        <v/>
      </c>
      <c r="C209" s="84">
        <f>'Payments'!U63</f>
        <v/>
      </c>
      <c r="D209" s="46">
        <f>'Payments'!V63</f>
        <v/>
      </c>
      <c r="E209" s="46">
        <f>IF(OR(B209="",C209="",D209=""),"",D209*100000+(C209-DATE(2000,1,1))+ROW()/100000)</f>
        <v/>
      </c>
      <c r="F209" s="46">
        <f>IF(E209="","",IF(C209&gt;WeekEndDate,"",E209))</f>
        <v/>
      </c>
    </row>
    <row r="210">
      <c r="A210" t="inlineStr">
        <is>
          <t>Payments</t>
        </is>
      </c>
      <c r="B210" s="46">
        <f>'Payments'!W64</f>
        <v/>
      </c>
      <c r="C210" s="84">
        <f>'Payments'!U64</f>
        <v/>
      </c>
      <c r="D210" s="46">
        <f>'Payments'!V64</f>
        <v/>
      </c>
      <c r="E210" s="46">
        <f>IF(OR(B210="",C210="",D210=""),"",D210*100000+(C210-DATE(2000,1,1))+ROW()/100000)</f>
        <v/>
      </c>
      <c r="F210" s="46">
        <f>IF(E210="","",IF(C210&gt;WeekEndDate,"",E210))</f>
        <v/>
      </c>
    </row>
    <row r="211">
      <c r="A211" t="inlineStr">
        <is>
          <t>Payments</t>
        </is>
      </c>
      <c r="B211" s="46">
        <f>'Payments'!W65</f>
        <v/>
      </c>
      <c r="C211" s="84">
        <f>'Payments'!U65</f>
        <v/>
      </c>
      <c r="D211" s="46">
        <f>'Payments'!V65</f>
        <v/>
      </c>
      <c r="E211" s="46">
        <f>IF(OR(B211="",C211="",D211=""),"",D211*100000+(C211-DATE(2000,1,1))+ROW()/100000)</f>
        <v/>
      </c>
      <c r="F211" s="46">
        <f>IF(E211="","",IF(C211&gt;WeekEndDate,"",E211))</f>
        <v/>
      </c>
    </row>
    <row r="212">
      <c r="A212" t="inlineStr">
        <is>
          <t>Payments</t>
        </is>
      </c>
      <c r="B212" s="46">
        <f>'Payments'!W66</f>
        <v/>
      </c>
      <c r="C212" s="84">
        <f>'Payments'!U66</f>
        <v/>
      </c>
      <c r="D212" s="46">
        <f>'Payments'!V66</f>
        <v/>
      </c>
      <c r="E212" s="46">
        <f>IF(OR(B212="",C212="",D212=""),"",D212*100000+(C212-DATE(2000,1,1))+ROW()/100000)</f>
        <v/>
      </c>
      <c r="F212" s="46">
        <f>IF(E212="","",IF(C212&gt;WeekEndDate,"",E212))</f>
        <v/>
      </c>
    </row>
    <row r="213">
      <c r="A213" t="inlineStr">
        <is>
          <t>Payments</t>
        </is>
      </c>
      <c r="B213" s="46">
        <f>'Payments'!W67</f>
        <v/>
      </c>
      <c r="C213" s="84">
        <f>'Payments'!U67</f>
        <v/>
      </c>
      <c r="D213" s="46">
        <f>'Payments'!V67</f>
        <v/>
      </c>
      <c r="E213" s="46">
        <f>IF(OR(B213="",C213="",D213=""),"",D213*100000+(C213-DATE(2000,1,1))+ROW()/100000)</f>
        <v/>
      </c>
      <c r="F213" s="46">
        <f>IF(E213="","",IF(C213&gt;WeekEndDate,"",E213))</f>
        <v/>
      </c>
    </row>
    <row r="214">
      <c r="A214" t="inlineStr">
        <is>
          <t>Payments</t>
        </is>
      </c>
      <c r="B214" s="46">
        <f>'Payments'!W68</f>
        <v/>
      </c>
      <c r="C214" s="84">
        <f>'Payments'!U68</f>
        <v/>
      </c>
      <c r="D214" s="46">
        <f>'Payments'!V68</f>
        <v/>
      </c>
      <c r="E214" s="46">
        <f>IF(OR(B214="",C214="",D214=""),"",D214*100000+(C214-DATE(2000,1,1))+ROW()/100000)</f>
        <v/>
      </c>
      <c r="F214" s="46">
        <f>IF(E214="","",IF(C214&gt;WeekEndDate,"",E214))</f>
        <v/>
      </c>
    </row>
    <row r="215">
      <c r="A215" t="inlineStr">
        <is>
          <t>Payments</t>
        </is>
      </c>
      <c r="B215" s="46">
        <f>'Payments'!W69</f>
        <v/>
      </c>
      <c r="C215" s="84">
        <f>'Payments'!U69</f>
        <v/>
      </c>
      <c r="D215" s="46">
        <f>'Payments'!V69</f>
        <v/>
      </c>
      <c r="E215" s="46">
        <f>IF(OR(B215="",C215="",D215=""),"",D215*100000+(C215-DATE(2000,1,1))+ROW()/100000)</f>
        <v/>
      </c>
      <c r="F215" s="46">
        <f>IF(E215="","",IF(C215&gt;WeekEndDate,"",E215))</f>
        <v/>
      </c>
    </row>
    <row r="216">
      <c r="A216" t="inlineStr">
        <is>
          <t>Payments</t>
        </is>
      </c>
      <c r="B216" s="46">
        <f>'Payments'!W70</f>
        <v/>
      </c>
      <c r="C216" s="84">
        <f>'Payments'!U70</f>
        <v/>
      </c>
      <c r="D216" s="46">
        <f>'Payments'!V70</f>
        <v/>
      </c>
      <c r="E216" s="46">
        <f>IF(OR(B216="",C216="",D216=""),"",D216*100000+(C216-DATE(2000,1,1))+ROW()/100000)</f>
        <v/>
      </c>
      <c r="F216" s="46">
        <f>IF(E216="","",IF(C216&gt;WeekEndDate,"",E216))</f>
        <v/>
      </c>
    </row>
    <row r="217">
      <c r="A217" t="inlineStr">
        <is>
          <t>Payments</t>
        </is>
      </c>
      <c r="B217" s="46">
        <f>'Payments'!W71</f>
        <v/>
      </c>
      <c r="C217" s="84">
        <f>'Payments'!U71</f>
        <v/>
      </c>
      <c r="D217" s="46">
        <f>'Payments'!V71</f>
        <v/>
      </c>
      <c r="E217" s="46">
        <f>IF(OR(B217="",C217="",D217=""),"",D217*100000+(C217-DATE(2000,1,1))+ROW()/100000)</f>
        <v/>
      </c>
      <c r="F217" s="46">
        <f>IF(E217="","",IF(C217&gt;WeekEndDate,"",E217))</f>
        <v/>
      </c>
    </row>
    <row r="218">
      <c r="A218" t="inlineStr">
        <is>
          <t>Payments</t>
        </is>
      </c>
      <c r="B218" s="46">
        <f>'Payments'!W72</f>
        <v/>
      </c>
      <c r="C218" s="84">
        <f>'Payments'!U72</f>
        <v/>
      </c>
      <c r="D218" s="46">
        <f>'Payments'!V72</f>
        <v/>
      </c>
      <c r="E218" s="46">
        <f>IF(OR(B218="",C218="",D218=""),"",D218*100000+(C218-DATE(2000,1,1))+ROW()/100000)</f>
        <v/>
      </c>
      <c r="F218" s="46">
        <f>IF(E218="","",IF(C218&gt;WeekEndDate,"",E218))</f>
        <v/>
      </c>
    </row>
    <row r="219">
      <c r="A219" t="inlineStr">
        <is>
          <t>Payments</t>
        </is>
      </c>
      <c r="B219" s="46">
        <f>'Payments'!W73</f>
        <v/>
      </c>
      <c r="C219" s="84">
        <f>'Payments'!U73</f>
        <v/>
      </c>
      <c r="D219" s="46">
        <f>'Payments'!V73</f>
        <v/>
      </c>
      <c r="E219" s="46">
        <f>IF(OR(B219="",C219="",D219=""),"",D219*100000+(C219-DATE(2000,1,1))+ROW()/100000)</f>
        <v/>
      </c>
      <c r="F219" s="46">
        <f>IF(E219="","",IF(C219&gt;WeekEndDate,"",E219))</f>
        <v/>
      </c>
    </row>
    <row r="220">
      <c r="A220" t="inlineStr">
        <is>
          <t>Payments</t>
        </is>
      </c>
      <c r="B220" s="46">
        <f>'Payments'!W74</f>
        <v/>
      </c>
      <c r="C220" s="84">
        <f>'Payments'!U74</f>
        <v/>
      </c>
      <c r="D220" s="46">
        <f>'Payments'!V74</f>
        <v/>
      </c>
      <c r="E220" s="46">
        <f>IF(OR(B220="",C220="",D220=""),"",D220*100000+(C220-DATE(2000,1,1))+ROW()/100000)</f>
        <v/>
      </c>
      <c r="F220" s="46">
        <f>IF(E220="","",IF(C220&gt;WeekEndDate,"",E220))</f>
        <v/>
      </c>
    </row>
    <row r="221">
      <c r="A221" t="inlineStr">
        <is>
          <t>Payments</t>
        </is>
      </c>
      <c r="B221" s="46">
        <f>'Payments'!W75</f>
        <v/>
      </c>
      <c r="C221" s="84">
        <f>'Payments'!U75</f>
        <v/>
      </c>
      <c r="D221" s="46">
        <f>'Payments'!V75</f>
        <v/>
      </c>
      <c r="E221" s="46">
        <f>IF(OR(B221="",C221="",D221=""),"",D221*100000+(C221-DATE(2000,1,1))+ROW()/100000)</f>
        <v/>
      </c>
      <c r="F221" s="46">
        <f>IF(E221="","",IF(C221&gt;WeekEndDate,"",E221))</f>
        <v/>
      </c>
    </row>
    <row r="222">
      <c r="A222" t="inlineStr">
        <is>
          <t>Payments</t>
        </is>
      </c>
      <c r="B222" s="46">
        <f>'Payments'!W76</f>
        <v/>
      </c>
      <c r="C222" s="84">
        <f>'Payments'!U76</f>
        <v/>
      </c>
      <c r="D222" s="46">
        <f>'Payments'!V76</f>
        <v/>
      </c>
      <c r="E222" s="46">
        <f>IF(OR(B222="",C222="",D222=""),"",D222*100000+(C222-DATE(2000,1,1))+ROW()/100000)</f>
        <v/>
      </c>
      <c r="F222" s="46">
        <f>IF(E222="","",IF(C222&gt;WeekEndDate,"",E222))</f>
        <v/>
      </c>
    </row>
    <row r="223">
      <c r="A223" t="inlineStr">
        <is>
          <t>Payments</t>
        </is>
      </c>
      <c r="B223" s="46">
        <f>'Payments'!W77</f>
        <v/>
      </c>
      <c r="C223" s="84">
        <f>'Payments'!U77</f>
        <v/>
      </c>
      <c r="D223" s="46">
        <f>'Payments'!V77</f>
        <v/>
      </c>
      <c r="E223" s="46">
        <f>IF(OR(B223="",C223="",D223=""),"",D223*100000+(C223-DATE(2000,1,1))+ROW()/100000)</f>
        <v/>
      </c>
      <c r="F223" s="46">
        <f>IF(E223="","",IF(C223&gt;WeekEndDate,"",E223))</f>
        <v/>
      </c>
    </row>
    <row r="224">
      <c r="A224" t="inlineStr">
        <is>
          <t>Payments</t>
        </is>
      </c>
      <c r="B224" s="46">
        <f>'Payments'!W78</f>
        <v/>
      </c>
      <c r="C224" s="84">
        <f>'Payments'!U78</f>
        <v/>
      </c>
      <c r="D224" s="46">
        <f>'Payments'!V78</f>
        <v/>
      </c>
      <c r="E224" s="46">
        <f>IF(OR(B224="",C224="",D224=""),"",D224*100000+(C224-DATE(2000,1,1))+ROW()/100000)</f>
        <v/>
      </c>
      <c r="F224" s="46">
        <f>IF(E224="","",IF(C224&gt;WeekEndDate,"",E224))</f>
        <v/>
      </c>
    </row>
    <row r="225">
      <c r="A225" t="inlineStr">
        <is>
          <t>Payments</t>
        </is>
      </c>
      <c r="B225" s="46">
        <f>'Payments'!W79</f>
        <v/>
      </c>
      <c r="C225" s="84">
        <f>'Payments'!U79</f>
        <v/>
      </c>
      <c r="D225" s="46">
        <f>'Payments'!V79</f>
        <v/>
      </c>
      <c r="E225" s="46">
        <f>IF(OR(B225="",C225="",D225=""),"",D225*100000+(C225-DATE(2000,1,1))+ROW()/100000)</f>
        <v/>
      </c>
      <c r="F225" s="46">
        <f>IF(E225="","",IF(C225&gt;WeekEndDate,"",E225))</f>
        <v/>
      </c>
    </row>
    <row r="226">
      <c r="A226" t="inlineStr">
        <is>
          <t>Payments</t>
        </is>
      </c>
      <c r="B226" s="46">
        <f>'Payments'!W80</f>
        <v/>
      </c>
      <c r="C226" s="84">
        <f>'Payments'!U80</f>
        <v/>
      </c>
      <c r="D226" s="46">
        <f>'Payments'!V80</f>
        <v/>
      </c>
      <c r="E226" s="46">
        <f>IF(OR(B226="",C226="",D226=""),"",D226*100000+(C226-DATE(2000,1,1))+ROW()/100000)</f>
        <v/>
      </c>
      <c r="F226" s="46">
        <f>IF(E226="","",IF(C226&gt;WeekEndDate,"",E226))</f>
        <v/>
      </c>
    </row>
    <row r="227">
      <c r="A227" t="inlineStr">
        <is>
          <t>Payments</t>
        </is>
      </c>
      <c r="B227" s="46">
        <f>'Payments'!W81</f>
        <v/>
      </c>
      <c r="C227" s="84">
        <f>'Payments'!U81</f>
        <v/>
      </c>
      <c r="D227" s="46">
        <f>'Payments'!V81</f>
        <v/>
      </c>
      <c r="E227" s="46">
        <f>IF(OR(B227="",C227="",D227=""),"",D227*100000+(C227-DATE(2000,1,1))+ROW()/100000)</f>
        <v/>
      </c>
      <c r="F227" s="46">
        <f>IF(E227="","",IF(C227&gt;WeekEndDate,"",E227))</f>
        <v/>
      </c>
    </row>
    <row r="228">
      <c r="A228" t="inlineStr">
        <is>
          <t>Payments</t>
        </is>
      </c>
      <c r="B228" s="46">
        <f>'Payments'!W82</f>
        <v/>
      </c>
      <c r="C228" s="84">
        <f>'Payments'!U82</f>
        <v/>
      </c>
      <c r="D228" s="46">
        <f>'Payments'!V82</f>
        <v/>
      </c>
      <c r="E228" s="46">
        <f>IF(OR(B228="",C228="",D228=""),"",D228*100000+(C228-DATE(2000,1,1))+ROW()/100000)</f>
        <v/>
      </c>
      <c r="F228" s="46">
        <f>IF(E228="","",IF(C228&gt;WeekEndDate,"",E228))</f>
        <v/>
      </c>
    </row>
    <row r="229">
      <c r="A229" t="inlineStr">
        <is>
          <t>Payments</t>
        </is>
      </c>
      <c r="B229" s="46">
        <f>'Payments'!W83</f>
        <v/>
      </c>
      <c r="C229" s="84">
        <f>'Payments'!U83</f>
        <v/>
      </c>
      <c r="D229" s="46">
        <f>'Payments'!V83</f>
        <v/>
      </c>
      <c r="E229" s="46">
        <f>IF(OR(B229="",C229="",D229=""),"",D229*100000+(C229-DATE(2000,1,1))+ROW()/100000)</f>
        <v/>
      </c>
      <c r="F229" s="46">
        <f>IF(E229="","",IF(C229&gt;WeekEndDate,"",E229))</f>
        <v/>
      </c>
    </row>
    <row r="230">
      <c r="A230" t="inlineStr">
        <is>
          <t>Payments</t>
        </is>
      </c>
      <c r="B230" s="46">
        <f>'Payments'!W84</f>
        <v/>
      </c>
      <c r="C230" s="84">
        <f>'Payments'!U84</f>
        <v/>
      </c>
      <c r="D230" s="46">
        <f>'Payments'!V84</f>
        <v/>
      </c>
      <c r="E230" s="46">
        <f>IF(OR(B230="",C230="",D230=""),"",D230*100000+(C230-DATE(2000,1,1))+ROW()/100000)</f>
        <v/>
      </c>
      <c r="F230" s="46">
        <f>IF(E230="","",IF(C230&gt;WeekEndDate,"",E230))</f>
        <v/>
      </c>
    </row>
    <row r="231">
      <c r="A231" t="inlineStr">
        <is>
          <t>Payments</t>
        </is>
      </c>
      <c r="B231" s="46">
        <f>'Payments'!W85</f>
        <v/>
      </c>
      <c r="C231" s="84">
        <f>'Payments'!U85</f>
        <v/>
      </c>
      <c r="D231" s="46">
        <f>'Payments'!V85</f>
        <v/>
      </c>
      <c r="E231" s="46">
        <f>IF(OR(B231="",C231="",D231=""),"",D231*100000+(C231-DATE(2000,1,1))+ROW()/100000)</f>
        <v/>
      </c>
      <c r="F231" s="46">
        <f>IF(E231="","",IF(C231&gt;WeekEndDate,"",E231))</f>
        <v/>
      </c>
    </row>
    <row r="232">
      <c r="A232" t="inlineStr">
        <is>
          <t>Payments</t>
        </is>
      </c>
      <c r="B232" s="46">
        <f>'Payments'!W86</f>
        <v/>
      </c>
      <c r="C232" s="84">
        <f>'Payments'!U86</f>
        <v/>
      </c>
      <c r="D232" s="46">
        <f>'Payments'!V86</f>
        <v/>
      </c>
      <c r="E232" s="46">
        <f>IF(OR(B232="",C232="",D232=""),"",D232*100000+(C232-DATE(2000,1,1))+ROW()/100000)</f>
        <v/>
      </c>
      <c r="F232" s="46">
        <f>IF(E232="","",IF(C232&gt;WeekEndDate,"",E232))</f>
        <v/>
      </c>
    </row>
    <row r="233">
      <c r="A233" t="inlineStr">
        <is>
          <t>Payments</t>
        </is>
      </c>
      <c r="B233" s="46">
        <f>'Payments'!W87</f>
        <v/>
      </c>
      <c r="C233" s="84">
        <f>'Payments'!U87</f>
        <v/>
      </c>
      <c r="D233" s="46">
        <f>'Payments'!V87</f>
        <v/>
      </c>
      <c r="E233" s="46">
        <f>IF(OR(B233="",C233="",D233=""),"",D233*100000+(C233-DATE(2000,1,1))+ROW()/100000)</f>
        <v/>
      </c>
      <c r="F233" s="46">
        <f>IF(E233="","",IF(C233&gt;WeekEndDate,"",E233))</f>
        <v/>
      </c>
    </row>
    <row r="234">
      <c r="A234" t="inlineStr">
        <is>
          <t>Payments</t>
        </is>
      </c>
      <c r="B234" s="46">
        <f>'Payments'!W88</f>
        <v/>
      </c>
      <c r="C234" s="84">
        <f>'Payments'!U88</f>
        <v/>
      </c>
      <c r="D234" s="46">
        <f>'Payments'!V88</f>
        <v/>
      </c>
      <c r="E234" s="46">
        <f>IF(OR(B234="",C234="",D234=""),"",D234*100000+(C234-DATE(2000,1,1))+ROW()/100000)</f>
        <v/>
      </c>
      <c r="F234" s="46">
        <f>IF(E234="","",IF(C234&gt;WeekEndDate,"",E234))</f>
        <v/>
      </c>
    </row>
    <row r="235">
      <c r="A235" t="inlineStr">
        <is>
          <t>Payments</t>
        </is>
      </c>
      <c r="B235" s="46">
        <f>'Payments'!W89</f>
        <v/>
      </c>
      <c r="C235" s="84">
        <f>'Payments'!U89</f>
        <v/>
      </c>
      <c r="D235" s="46">
        <f>'Payments'!V89</f>
        <v/>
      </c>
      <c r="E235" s="46">
        <f>IF(OR(B235="",C235="",D235=""),"",D235*100000+(C235-DATE(2000,1,1))+ROW()/100000)</f>
        <v/>
      </c>
      <c r="F235" s="46">
        <f>IF(E235="","",IF(C235&gt;WeekEndDate,"",E235))</f>
        <v/>
      </c>
    </row>
    <row r="236">
      <c r="A236" t="inlineStr">
        <is>
          <t>Payments</t>
        </is>
      </c>
      <c r="B236" s="46">
        <f>'Payments'!W90</f>
        <v/>
      </c>
      <c r="C236" s="84">
        <f>'Payments'!U90</f>
        <v/>
      </c>
      <c r="D236" s="46">
        <f>'Payments'!V90</f>
        <v/>
      </c>
      <c r="E236" s="46">
        <f>IF(OR(B236="",C236="",D236=""),"",D236*100000+(C236-DATE(2000,1,1))+ROW()/100000)</f>
        <v/>
      </c>
      <c r="F236" s="46">
        <f>IF(E236="","",IF(C236&gt;WeekEndDate,"",E236))</f>
        <v/>
      </c>
    </row>
    <row r="237">
      <c r="A237" t="inlineStr">
        <is>
          <t>Payments</t>
        </is>
      </c>
      <c r="B237" s="46">
        <f>'Payments'!W91</f>
        <v/>
      </c>
      <c r="C237" s="84">
        <f>'Payments'!U91</f>
        <v/>
      </c>
      <c r="D237" s="46">
        <f>'Payments'!V91</f>
        <v/>
      </c>
      <c r="E237" s="46">
        <f>IF(OR(B237="",C237="",D237=""),"",D237*100000+(C237-DATE(2000,1,1))+ROW()/100000)</f>
        <v/>
      </c>
      <c r="F237" s="46">
        <f>IF(E237="","",IF(C237&gt;WeekEndDate,"",E237))</f>
        <v/>
      </c>
    </row>
    <row r="238">
      <c r="A238" t="inlineStr">
        <is>
          <t>Payments</t>
        </is>
      </c>
      <c r="B238" s="46">
        <f>'Payments'!W92</f>
        <v/>
      </c>
      <c r="C238" s="84">
        <f>'Payments'!U92</f>
        <v/>
      </c>
      <c r="D238" s="46">
        <f>'Payments'!V92</f>
        <v/>
      </c>
      <c r="E238" s="46">
        <f>IF(OR(B238="",C238="",D238=""),"",D238*100000+(C238-DATE(2000,1,1))+ROW()/100000)</f>
        <v/>
      </c>
      <c r="F238" s="46">
        <f>IF(E238="","",IF(C238&gt;WeekEndDate,"",E238))</f>
        <v/>
      </c>
    </row>
    <row r="239">
      <c r="A239" t="inlineStr">
        <is>
          <t>Payments</t>
        </is>
      </c>
      <c r="B239" s="46">
        <f>'Payments'!W93</f>
        <v/>
      </c>
      <c r="C239" s="84">
        <f>'Payments'!U93</f>
        <v/>
      </c>
      <c r="D239" s="46">
        <f>'Payments'!V93</f>
        <v/>
      </c>
      <c r="E239" s="46">
        <f>IF(OR(B239="",C239="",D239=""),"",D239*100000+(C239-DATE(2000,1,1))+ROW()/100000)</f>
        <v/>
      </c>
      <c r="F239" s="46">
        <f>IF(E239="","",IF(C239&gt;WeekEndDate,"",E239))</f>
        <v/>
      </c>
    </row>
    <row r="240">
      <c r="A240" t="inlineStr">
        <is>
          <t>Payments</t>
        </is>
      </c>
      <c r="B240" s="46">
        <f>'Payments'!W94</f>
        <v/>
      </c>
      <c r="C240" s="84">
        <f>'Payments'!U94</f>
        <v/>
      </c>
      <c r="D240" s="46">
        <f>'Payments'!V94</f>
        <v/>
      </c>
      <c r="E240" s="46">
        <f>IF(OR(B240="",C240="",D240=""),"",D240*100000+(C240-DATE(2000,1,1))+ROW()/100000)</f>
        <v/>
      </c>
      <c r="F240" s="46">
        <f>IF(E240="","",IF(C240&gt;WeekEndDate,"",E240))</f>
        <v/>
      </c>
    </row>
    <row r="241">
      <c r="A241" t="inlineStr">
        <is>
          <t>Payments</t>
        </is>
      </c>
      <c r="B241" s="46">
        <f>'Payments'!W95</f>
        <v/>
      </c>
      <c r="C241" s="84">
        <f>'Payments'!U95</f>
        <v/>
      </c>
      <c r="D241" s="46">
        <f>'Payments'!V95</f>
        <v/>
      </c>
      <c r="E241" s="46">
        <f>IF(OR(B241="",C241="",D241=""),"",D241*100000+(C241-DATE(2000,1,1))+ROW()/100000)</f>
        <v/>
      </c>
      <c r="F241" s="46">
        <f>IF(E241="","",IF(C241&gt;WeekEndDate,"",E241))</f>
        <v/>
      </c>
    </row>
    <row r="242">
      <c r="A242" t="inlineStr">
        <is>
          <t>Payments</t>
        </is>
      </c>
      <c r="B242" s="46">
        <f>'Payments'!W96</f>
        <v/>
      </c>
      <c r="C242" s="84">
        <f>'Payments'!U96</f>
        <v/>
      </c>
      <c r="D242" s="46">
        <f>'Payments'!V96</f>
        <v/>
      </c>
      <c r="E242" s="46">
        <f>IF(OR(B242="",C242="",D242=""),"",D242*100000+(C242-DATE(2000,1,1))+ROW()/100000)</f>
        <v/>
      </c>
      <c r="F242" s="46">
        <f>IF(E242="","",IF(C242&gt;WeekEndDate,"",E242))</f>
        <v/>
      </c>
    </row>
    <row r="243">
      <c r="A243" t="inlineStr">
        <is>
          <t>Payments</t>
        </is>
      </c>
      <c r="B243" s="46">
        <f>'Payments'!W97</f>
        <v/>
      </c>
      <c r="C243" s="84">
        <f>'Payments'!U97</f>
        <v/>
      </c>
      <c r="D243" s="46">
        <f>'Payments'!V97</f>
        <v/>
      </c>
      <c r="E243" s="46">
        <f>IF(OR(B243="",C243="",D243=""),"",D243*100000+(C243-DATE(2000,1,1))+ROW()/100000)</f>
        <v/>
      </c>
      <c r="F243" s="46">
        <f>IF(E243="","",IF(C243&gt;WeekEndDate,"",E243))</f>
        <v/>
      </c>
    </row>
    <row r="244">
      <c r="A244" t="inlineStr">
        <is>
          <t>Payments</t>
        </is>
      </c>
      <c r="B244" s="46">
        <f>'Payments'!W98</f>
        <v/>
      </c>
      <c r="C244" s="84">
        <f>'Payments'!U98</f>
        <v/>
      </c>
      <c r="D244" s="46">
        <f>'Payments'!V98</f>
        <v/>
      </c>
      <c r="E244" s="46">
        <f>IF(OR(B244="",C244="",D244=""),"",D244*100000+(C244-DATE(2000,1,1))+ROW()/100000)</f>
        <v/>
      </c>
      <c r="F244" s="46">
        <f>IF(E244="","",IF(C244&gt;WeekEndDate,"",E244))</f>
        <v/>
      </c>
    </row>
    <row r="245">
      <c r="A245" t="inlineStr">
        <is>
          <t>Payments</t>
        </is>
      </c>
      <c r="B245" s="46">
        <f>'Payments'!W99</f>
        <v/>
      </c>
      <c r="C245" s="84">
        <f>'Payments'!U99</f>
        <v/>
      </c>
      <c r="D245" s="46">
        <f>'Payments'!V99</f>
        <v/>
      </c>
      <c r="E245" s="46">
        <f>IF(OR(B245="",C245="",D245=""),"",D245*100000+(C245-DATE(2000,1,1))+ROW()/100000)</f>
        <v/>
      </c>
      <c r="F245" s="46">
        <f>IF(E245="","",IF(C245&gt;WeekEndDate,"",E245))</f>
        <v/>
      </c>
    </row>
    <row r="246">
      <c r="A246" t="inlineStr">
        <is>
          <t>Payments</t>
        </is>
      </c>
      <c r="B246" s="46">
        <f>'Payments'!W100</f>
        <v/>
      </c>
      <c r="C246" s="84">
        <f>'Payments'!U100</f>
        <v/>
      </c>
      <c r="D246" s="46">
        <f>'Payments'!V100</f>
        <v/>
      </c>
      <c r="E246" s="46">
        <f>IF(OR(B246="",C246="",D246=""),"",D246*100000+(C246-DATE(2000,1,1))+ROW()/100000)</f>
        <v/>
      </c>
      <c r="F246" s="46">
        <f>IF(E246="","",IF(C246&gt;WeekEndDate,"",E246))</f>
        <v/>
      </c>
    </row>
    <row r="247">
      <c r="A247" t="inlineStr">
        <is>
          <t>Payments</t>
        </is>
      </c>
      <c r="B247" s="46">
        <f>'Payments'!W101</f>
        <v/>
      </c>
      <c r="C247" s="84">
        <f>'Payments'!U101</f>
        <v/>
      </c>
      <c r="D247" s="46">
        <f>'Payments'!V101</f>
        <v/>
      </c>
      <c r="E247" s="46">
        <f>IF(OR(B247="",C247="",D247=""),"",D247*100000+(C247-DATE(2000,1,1))+ROW()/100000)</f>
        <v/>
      </c>
      <c r="F247" s="46">
        <f>IF(E247="","",IF(C247&gt;WeekEndDate,"",E247))</f>
        <v/>
      </c>
    </row>
    <row r="248">
      <c r="A248" t="inlineStr">
        <is>
          <t>Payments</t>
        </is>
      </c>
      <c r="B248" s="46">
        <f>'Payments'!W102</f>
        <v/>
      </c>
      <c r="C248" s="84">
        <f>'Payments'!U102</f>
        <v/>
      </c>
      <c r="D248" s="46">
        <f>'Payments'!V102</f>
        <v/>
      </c>
      <c r="E248" s="46">
        <f>IF(OR(B248="",C248="",D248=""),"",D248*100000+(C248-DATE(2000,1,1))+ROW()/100000)</f>
        <v/>
      </c>
      <c r="F248" s="46">
        <f>IF(E248="","",IF(C248&gt;WeekEndDate,"",E248))</f>
        <v/>
      </c>
    </row>
    <row r="249">
      <c r="A249" t="inlineStr">
        <is>
          <t>Payments</t>
        </is>
      </c>
      <c r="B249" s="46">
        <f>'Payments'!W103</f>
        <v/>
      </c>
      <c r="C249" s="84">
        <f>'Payments'!U103</f>
        <v/>
      </c>
      <c r="D249" s="46">
        <f>'Payments'!V103</f>
        <v/>
      </c>
      <c r="E249" s="46">
        <f>IF(OR(B249="",C249="",D249=""),"",D249*100000+(C249-DATE(2000,1,1))+ROW()/100000)</f>
        <v/>
      </c>
      <c r="F249" s="46">
        <f>IF(E249="","",IF(C249&gt;WeekEndDate,"",E249))</f>
        <v/>
      </c>
    </row>
    <row r="250">
      <c r="A250" t="inlineStr">
        <is>
          <t>Payments</t>
        </is>
      </c>
      <c r="B250" s="46">
        <f>'Payments'!W104</f>
        <v/>
      </c>
      <c r="C250" s="84">
        <f>'Payments'!U104</f>
        <v/>
      </c>
      <c r="D250" s="46">
        <f>'Payments'!V104</f>
        <v/>
      </c>
      <c r="E250" s="46">
        <f>IF(OR(B250="",C250="",D250=""),"",D250*100000+(C250-DATE(2000,1,1))+ROW()/100000)</f>
        <v/>
      </c>
      <c r="F250" s="46">
        <f>IF(E250="","",IF(C250&gt;WeekEndDate,"",E250))</f>
        <v/>
      </c>
    </row>
    <row r="251">
      <c r="A251" t="inlineStr">
        <is>
          <t>Payments</t>
        </is>
      </c>
      <c r="B251" s="46">
        <f>'Payments'!W105</f>
        <v/>
      </c>
      <c r="C251" s="84">
        <f>'Payments'!U105</f>
        <v/>
      </c>
      <c r="D251" s="46">
        <f>'Payments'!V105</f>
        <v/>
      </c>
      <c r="E251" s="46">
        <f>IF(OR(B251="",C251="",D251=""),"",D251*100000+(C251-DATE(2000,1,1))+ROW()/100000)</f>
        <v/>
      </c>
      <c r="F251" s="46">
        <f>IF(E251="","",IF(C251&gt;WeekEndDate,"",E251))</f>
        <v/>
      </c>
    </row>
    <row r="252">
      <c r="A252" t="inlineStr">
        <is>
          <t>Payments</t>
        </is>
      </c>
      <c r="B252" s="46">
        <f>'Payments'!W106</f>
        <v/>
      </c>
      <c r="C252" s="84">
        <f>'Payments'!U106</f>
        <v/>
      </c>
      <c r="D252" s="46">
        <f>'Payments'!V106</f>
        <v/>
      </c>
      <c r="E252" s="46">
        <f>IF(OR(B252="",C252="",D252=""),"",D252*100000+(C252-DATE(2000,1,1))+ROW()/100000)</f>
        <v/>
      </c>
      <c r="F252" s="46">
        <f>IF(E252="","",IF(C252&gt;WeekEndDate,"",E252))</f>
        <v/>
      </c>
    </row>
    <row r="253">
      <c r="A253" t="inlineStr">
        <is>
          <t>Payments</t>
        </is>
      </c>
      <c r="B253" s="46">
        <f>'Payments'!W107</f>
        <v/>
      </c>
      <c r="C253" s="84">
        <f>'Payments'!U107</f>
        <v/>
      </c>
      <c r="D253" s="46">
        <f>'Payments'!V107</f>
        <v/>
      </c>
      <c r="E253" s="46">
        <f>IF(OR(B253="",C253="",D253=""),"",D253*100000+(C253-DATE(2000,1,1))+ROW()/100000)</f>
        <v/>
      </c>
      <c r="F253" s="46">
        <f>IF(E253="","",IF(C253&gt;WeekEndDate,"",E253))</f>
        <v/>
      </c>
    </row>
    <row r="254">
      <c r="A254" t="inlineStr">
        <is>
          <t>Payments</t>
        </is>
      </c>
      <c r="B254" s="46">
        <f>'Payments'!W108</f>
        <v/>
      </c>
      <c r="C254" s="84">
        <f>'Payments'!U108</f>
        <v/>
      </c>
      <c r="D254" s="46">
        <f>'Payments'!V108</f>
        <v/>
      </c>
      <c r="E254" s="46">
        <f>IF(OR(B254="",C254="",D254=""),"",D254*100000+(C254-DATE(2000,1,1))+ROW()/100000)</f>
        <v/>
      </c>
      <c r="F254" s="46">
        <f>IF(E254="","",IF(C254&gt;WeekEndDate,"",E254))</f>
        <v/>
      </c>
    </row>
    <row r="255">
      <c r="A255" t="inlineStr">
        <is>
          <t>Payments</t>
        </is>
      </c>
      <c r="B255" s="46">
        <f>'Payments'!W109</f>
        <v/>
      </c>
      <c r="C255" s="84">
        <f>'Payments'!U109</f>
        <v/>
      </c>
      <c r="D255" s="46">
        <f>'Payments'!V109</f>
        <v/>
      </c>
      <c r="E255" s="46">
        <f>IF(OR(B255="",C255="",D255=""),"",D255*100000+(C255-DATE(2000,1,1))+ROW()/100000)</f>
        <v/>
      </c>
      <c r="F255" s="46">
        <f>IF(E255="","",IF(C255&gt;WeekEndDate,"",E255))</f>
        <v/>
      </c>
    </row>
    <row r="256">
      <c r="A256" t="inlineStr">
        <is>
          <t>Payments</t>
        </is>
      </c>
      <c r="B256" s="46">
        <f>'Payments'!W110</f>
        <v/>
      </c>
      <c r="C256" s="84">
        <f>'Payments'!U110</f>
        <v/>
      </c>
      <c r="D256" s="46">
        <f>'Payments'!V110</f>
        <v/>
      </c>
      <c r="E256" s="46">
        <f>IF(OR(B256="",C256="",D256=""),"",D256*100000+(C256-DATE(2000,1,1))+ROW()/100000)</f>
        <v/>
      </c>
      <c r="F256" s="46">
        <f>IF(E256="","",IF(C256&gt;WeekEndDate,"",E256))</f>
        <v/>
      </c>
    </row>
    <row r="257">
      <c r="A257" t="inlineStr">
        <is>
          <t>Payments</t>
        </is>
      </c>
      <c r="B257" s="46">
        <f>'Payments'!W111</f>
        <v/>
      </c>
      <c r="C257" s="84">
        <f>'Payments'!U111</f>
        <v/>
      </c>
      <c r="D257" s="46">
        <f>'Payments'!V111</f>
        <v/>
      </c>
      <c r="E257" s="46">
        <f>IF(OR(B257="",C257="",D257=""),"",D257*100000+(C257-DATE(2000,1,1))+ROW()/100000)</f>
        <v/>
      </c>
      <c r="F257" s="46">
        <f>IF(E257="","",IF(C257&gt;WeekEndDate,"",E257))</f>
        <v/>
      </c>
    </row>
    <row r="258">
      <c r="A258" t="inlineStr">
        <is>
          <t>Payments</t>
        </is>
      </c>
      <c r="B258" s="46">
        <f>'Payments'!W112</f>
        <v/>
      </c>
      <c r="C258" s="84">
        <f>'Payments'!U112</f>
        <v/>
      </c>
      <c r="D258" s="46">
        <f>'Payments'!V112</f>
        <v/>
      </c>
      <c r="E258" s="46">
        <f>IF(OR(B258="",C258="",D258=""),"",D258*100000+(C258-DATE(2000,1,1))+ROW()/100000)</f>
        <v/>
      </c>
      <c r="F258" s="46">
        <f>IF(E258="","",IF(C258&gt;WeekEndDate,"",E258))</f>
        <v/>
      </c>
    </row>
    <row r="259">
      <c r="A259" t="inlineStr">
        <is>
          <t>Payments</t>
        </is>
      </c>
      <c r="B259" s="46">
        <f>'Payments'!W113</f>
        <v/>
      </c>
      <c r="C259" s="84">
        <f>'Payments'!U113</f>
        <v/>
      </c>
      <c r="D259" s="46">
        <f>'Payments'!V113</f>
        <v/>
      </c>
      <c r="E259" s="46">
        <f>IF(OR(B259="",C259="",D259=""),"",D259*100000+(C259-DATE(2000,1,1))+ROW()/100000)</f>
        <v/>
      </c>
      <c r="F259" s="46">
        <f>IF(E259="","",IF(C259&gt;WeekEndDate,"",E259))</f>
        <v/>
      </c>
    </row>
    <row r="260">
      <c r="A260" t="inlineStr">
        <is>
          <t>Payments</t>
        </is>
      </c>
      <c r="B260" s="46">
        <f>'Payments'!W114</f>
        <v/>
      </c>
      <c r="C260" s="84">
        <f>'Payments'!U114</f>
        <v/>
      </c>
      <c r="D260" s="46">
        <f>'Payments'!V114</f>
        <v/>
      </c>
      <c r="E260" s="46">
        <f>IF(OR(B260="",C260="",D260=""),"",D260*100000+(C260-DATE(2000,1,1))+ROW()/100000)</f>
        <v/>
      </c>
      <c r="F260" s="46">
        <f>IF(E260="","",IF(C260&gt;WeekEndDate,"",E260))</f>
        <v/>
      </c>
    </row>
    <row r="261">
      <c r="A261" t="inlineStr">
        <is>
          <t>Payments</t>
        </is>
      </c>
      <c r="B261" s="46">
        <f>'Payments'!W115</f>
        <v/>
      </c>
      <c r="C261" s="84">
        <f>'Payments'!U115</f>
        <v/>
      </c>
      <c r="D261" s="46">
        <f>'Payments'!V115</f>
        <v/>
      </c>
      <c r="E261" s="46">
        <f>IF(OR(B261="",C261="",D261=""),"",D261*100000+(C261-DATE(2000,1,1))+ROW()/100000)</f>
        <v/>
      </c>
      <c r="F261" s="46">
        <f>IF(E261="","",IF(C261&gt;WeekEndDate,"",E261))</f>
        <v/>
      </c>
    </row>
    <row r="262">
      <c r="A262" t="inlineStr">
        <is>
          <t>Payments</t>
        </is>
      </c>
      <c r="B262" s="46">
        <f>'Payments'!W116</f>
        <v/>
      </c>
      <c r="C262" s="84">
        <f>'Payments'!U116</f>
        <v/>
      </c>
      <c r="D262" s="46">
        <f>'Payments'!V116</f>
        <v/>
      </c>
      <c r="E262" s="46">
        <f>IF(OR(B262="",C262="",D262=""),"",D262*100000+(C262-DATE(2000,1,1))+ROW()/100000)</f>
        <v/>
      </c>
      <c r="F262" s="46">
        <f>IF(E262="","",IF(C262&gt;WeekEndDate,"",E262))</f>
        <v/>
      </c>
    </row>
    <row r="263">
      <c r="A263" t="inlineStr">
        <is>
          <t>Payments</t>
        </is>
      </c>
      <c r="B263" s="46">
        <f>'Payments'!W117</f>
        <v/>
      </c>
      <c r="C263" s="84">
        <f>'Payments'!U117</f>
        <v/>
      </c>
      <c r="D263" s="46">
        <f>'Payments'!V117</f>
        <v/>
      </c>
      <c r="E263" s="46">
        <f>IF(OR(B263="",C263="",D263=""),"",D263*100000+(C263-DATE(2000,1,1))+ROW()/100000)</f>
        <v/>
      </c>
      <c r="F263" s="46">
        <f>IF(E263="","",IF(C263&gt;WeekEndDate,"",E263))</f>
        <v/>
      </c>
    </row>
    <row r="264">
      <c r="A264" t="inlineStr">
        <is>
          <t>Payments</t>
        </is>
      </c>
      <c r="B264" s="46">
        <f>'Payments'!W118</f>
        <v/>
      </c>
      <c r="C264" s="84">
        <f>'Payments'!U118</f>
        <v/>
      </c>
      <c r="D264" s="46">
        <f>'Payments'!V118</f>
        <v/>
      </c>
      <c r="E264" s="46">
        <f>IF(OR(B264="",C264="",D264=""),"",D264*100000+(C264-DATE(2000,1,1))+ROW()/100000)</f>
        <v/>
      </c>
      <c r="F264" s="46">
        <f>IF(E264="","",IF(C264&gt;WeekEndDate,"",E264))</f>
        <v/>
      </c>
    </row>
    <row r="265">
      <c r="A265" t="inlineStr">
        <is>
          <t>Payments</t>
        </is>
      </c>
      <c r="B265" s="46">
        <f>'Payments'!W119</f>
        <v/>
      </c>
      <c r="C265" s="84">
        <f>'Payments'!U119</f>
        <v/>
      </c>
      <c r="D265" s="46">
        <f>'Payments'!V119</f>
        <v/>
      </c>
      <c r="E265" s="46">
        <f>IF(OR(B265="",C265="",D265=""),"",D265*100000+(C265-DATE(2000,1,1))+ROW()/100000)</f>
        <v/>
      </c>
      <c r="F265" s="46">
        <f>IF(E265="","",IF(C265&gt;WeekEndDate,"",E265))</f>
        <v/>
      </c>
    </row>
    <row r="266">
      <c r="A266" t="inlineStr">
        <is>
          <t>Payments</t>
        </is>
      </c>
      <c r="B266" s="46">
        <f>'Payments'!W120</f>
        <v/>
      </c>
      <c r="C266" s="84">
        <f>'Payments'!U120</f>
        <v/>
      </c>
      <c r="D266" s="46">
        <f>'Payments'!V120</f>
        <v/>
      </c>
      <c r="E266" s="46">
        <f>IF(OR(B266="",C266="",D266=""),"",D266*100000+(C266-DATE(2000,1,1))+ROW()/100000)</f>
        <v/>
      </c>
      <c r="F266" s="46">
        <f>IF(E266="","",IF(C266&gt;WeekEndDate,"",E266))</f>
        <v/>
      </c>
    </row>
    <row r="267">
      <c r="A267" t="inlineStr">
        <is>
          <t>Payments</t>
        </is>
      </c>
      <c r="B267" s="46">
        <f>'Payments'!W121</f>
        <v/>
      </c>
      <c r="C267" s="84">
        <f>'Payments'!U121</f>
        <v/>
      </c>
      <c r="D267" s="46">
        <f>'Payments'!V121</f>
        <v/>
      </c>
      <c r="E267" s="46">
        <f>IF(OR(B267="",C267="",D267=""),"",D267*100000+(C267-DATE(2000,1,1))+ROW()/100000)</f>
        <v/>
      </c>
      <c r="F267" s="46">
        <f>IF(E267="","",IF(C267&gt;WeekEndDate,"",E267))</f>
        <v/>
      </c>
    </row>
    <row r="268">
      <c r="A268" t="inlineStr">
        <is>
          <t>Payments</t>
        </is>
      </c>
      <c r="B268" s="46">
        <f>'Payments'!W122</f>
        <v/>
      </c>
      <c r="C268" s="84">
        <f>'Payments'!U122</f>
        <v/>
      </c>
      <c r="D268" s="46">
        <f>'Payments'!V122</f>
        <v/>
      </c>
      <c r="E268" s="46">
        <f>IF(OR(B268="",C268="",D268=""),"",D268*100000+(C268-DATE(2000,1,1))+ROW()/100000)</f>
        <v/>
      </c>
      <c r="F268" s="46">
        <f>IF(E268="","",IF(C268&gt;WeekEndDate,"",E268))</f>
        <v/>
      </c>
    </row>
    <row r="269">
      <c r="A269" t="inlineStr">
        <is>
          <t>Payments</t>
        </is>
      </c>
      <c r="B269" s="46">
        <f>'Payments'!W123</f>
        <v/>
      </c>
      <c r="C269" s="84">
        <f>'Payments'!U123</f>
        <v/>
      </c>
      <c r="D269" s="46">
        <f>'Payments'!V123</f>
        <v/>
      </c>
      <c r="E269" s="46">
        <f>IF(OR(B269="",C269="",D269=""),"",D269*100000+(C269-DATE(2000,1,1))+ROW()/100000)</f>
        <v/>
      </c>
      <c r="F269" s="46">
        <f>IF(E269="","",IF(C269&gt;WeekEndDate,"",E269))</f>
        <v/>
      </c>
    </row>
    <row r="270">
      <c r="A270" t="inlineStr">
        <is>
          <t>Payments</t>
        </is>
      </c>
      <c r="B270" s="46">
        <f>'Payments'!W124</f>
        <v/>
      </c>
      <c r="C270" s="84">
        <f>'Payments'!U124</f>
        <v/>
      </c>
      <c r="D270" s="46">
        <f>'Payments'!V124</f>
        <v/>
      </c>
      <c r="E270" s="46">
        <f>IF(OR(B270="",C270="",D270=""),"",D270*100000+(C270-DATE(2000,1,1))+ROW()/100000)</f>
        <v/>
      </c>
      <c r="F270" s="46">
        <f>IF(E270="","",IF(C270&gt;WeekEndDate,"",E270))</f>
        <v/>
      </c>
    </row>
    <row r="271">
      <c r="A271" t="inlineStr">
        <is>
          <t>Payments</t>
        </is>
      </c>
      <c r="B271" s="46">
        <f>'Payments'!W125</f>
        <v/>
      </c>
      <c r="C271" s="84">
        <f>'Payments'!U125</f>
        <v/>
      </c>
      <c r="D271" s="46">
        <f>'Payments'!V125</f>
        <v/>
      </c>
      <c r="E271" s="46">
        <f>IF(OR(B271="",C271="",D271=""),"",D271*100000+(C271-DATE(2000,1,1))+ROW()/100000)</f>
        <v/>
      </c>
      <c r="F271" s="46">
        <f>IF(E271="","",IF(C271&gt;WeekEndDate,"",E271))</f>
        <v/>
      </c>
    </row>
    <row r="272">
      <c r="A272" t="inlineStr">
        <is>
          <t>Payments</t>
        </is>
      </c>
      <c r="B272" s="46">
        <f>'Payments'!W126</f>
        <v/>
      </c>
      <c r="C272" s="84">
        <f>'Payments'!U126</f>
        <v/>
      </c>
      <c r="D272" s="46">
        <f>'Payments'!V126</f>
        <v/>
      </c>
      <c r="E272" s="46">
        <f>IF(OR(B272="",C272="",D272=""),"",D272*100000+(C272-DATE(2000,1,1))+ROW()/100000)</f>
        <v/>
      </c>
      <c r="F272" s="46">
        <f>IF(E272="","",IF(C272&gt;WeekEndDate,"",E272))</f>
        <v/>
      </c>
    </row>
    <row r="273">
      <c r="A273" t="inlineStr">
        <is>
          <t>Payments</t>
        </is>
      </c>
      <c r="B273" s="46">
        <f>'Payments'!W127</f>
        <v/>
      </c>
      <c r="C273" s="84">
        <f>'Payments'!U127</f>
        <v/>
      </c>
      <c r="D273" s="46">
        <f>'Payments'!V127</f>
        <v/>
      </c>
      <c r="E273" s="46">
        <f>IF(OR(B273="",C273="",D273=""),"",D273*100000+(C273-DATE(2000,1,1))+ROW()/100000)</f>
        <v/>
      </c>
      <c r="F273" s="46">
        <f>IF(E273="","",IF(C273&gt;WeekEndDate,"",E273))</f>
        <v/>
      </c>
    </row>
    <row r="274">
      <c r="A274" t="inlineStr">
        <is>
          <t>Payments</t>
        </is>
      </c>
      <c r="B274" s="46">
        <f>'Payments'!W128</f>
        <v/>
      </c>
      <c r="C274" s="84">
        <f>'Payments'!U128</f>
        <v/>
      </c>
      <c r="D274" s="46">
        <f>'Payments'!V128</f>
        <v/>
      </c>
      <c r="E274" s="46">
        <f>IF(OR(B274="",C274="",D274=""),"",D274*100000+(C274-DATE(2000,1,1))+ROW()/100000)</f>
        <v/>
      </c>
      <c r="F274" s="46">
        <f>IF(E274="","",IF(C274&gt;WeekEndDate,"",E274))</f>
        <v/>
      </c>
    </row>
    <row r="275">
      <c r="A275" t="inlineStr">
        <is>
          <t>Payments</t>
        </is>
      </c>
      <c r="B275" s="46">
        <f>'Payments'!W129</f>
        <v/>
      </c>
      <c r="C275" s="84">
        <f>'Payments'!U129</f>
        <v/>
      </c>
      <c r="D275" s="46">
        <f>'Payments'!V129</f>
        <v/>
      </c>
      <c r="E275" s="46">
        <f>IF(OR(B275="",C275="",D275=""),"",D275*100000+(C275-DATE(2000,1,1))+ROW()/100000)</f>
        <v/>
      </c>
      <c r="F275" s="46">
        <f>IF(E275="","",IF(C275&gt;WeekEndDate,"",E275))</f>
        <v/>
      </c>
    </row>
    <row r="276">
      <c r="A276" t="inlineStr">
        <is>
          <t>Payments</t>
        </is>
      </c>
      <c r="B276" s="46">
        <f>'Payments'!W130</f>
        <v/>
      </c>
      <c r="C276" s="84">
        <f>'Payments'!U130</f>
        <v/>
      </c>
      <c r="D276" s="46">
        <f>'Payments'!V130</f>
        <v/>
      </c>
      <c r="E276" s="46">
        <f>IF(OR(B276="",C276="",D276=""),"",D276*100000+(C276-DATE(2000,1,1))+ROW()/100000)</f>
        <v/>
      </c>
      <c r="F276" s="46">
        <f>IF(E276="","",IF(C276&gt;WeekEndDate,"",E276))</f>
        <v/>
      </c>
    </row>
    <row r="277">
      <c r="A277" t="inlineStr">
        <is>
          <t>Payments</t>
        </is>
      </c>
      <c r="B277" s="46">
        <f>'Payments'!W131</f>
        <v/>
      </c>
      <c r="C277" s="84">
        <f>'Payments'!U131</f>
        <v/>
      </c>
      <c r="D277" s="46">
        <f>'Payments'!V131</f>
        <v/>
      </c>
      <c r="E277" s="46">
        <f>IF(OR(B277="",C277="",D277=""),"",D277*100000+(C277-DATE(2000,1,1))+ROW()/100000)</f>
        <v/>
      </c>
      <c r="F277" s="46">
        <f>IF(E277="","",IF(C277&gt;WeekEndDate,"",E277))</f>
        <v/>
      </c>
    </row>
    <row r="278">
      <c r="A278" t="inlineStr">
        <is>
          <t>Payments</t>
        </is>
      </c>
      <c r="B278" s="46">
        <f>'Payments'!W132</f>
        <v/>
      </c>
      <c r="C278" s="84">
        <f>'Payments'!U132</f>
        <v/>
      </c>
      <c r="D278" s="46">
        <f>'Payments'!V132</f>
        <v/>
      </c>
      <c r="E278" s="46">
        <f>IF(OR(B278="",C278="",D278=""),"",D278*100000+(C278-DATE(2000,1,1))+ROW()/100000)</f>
        <v/>
      </c>
      <c r="F278" s="46">
        <f>IF(E278="","",IF(C278&gt;WeekEndDate,"",E278))</f>
        <v/>
      </c>
    </row>
    <row r="279">
      <c r="A279" t="inlineStr">
        <is>
          <t>Payments</t>
        </is>
      </c>
      <c r="B279" s="46">
        <f>'Payments'!W133</f>
        <v/>
      </c>
      <c r="C279" s="84">
        <f>'Payments'!U133</f>
        <v/>
      </c>
      <c r="D279" s="46">
        <f>'Payments'!V133</f>
        <v/>
      </c>
      <c r="E279" s="46">
        <f>IF(OR(B279="",C279="",D279=""),"",D279*100000+(C279-DATE(2000,1,1))+ROW()/100000)</f>
        <v/>
      </c>
      <c r="F279" s="46">
        <f>IF(E279="","",IF(C279&gt;WeekEndDate,"",E279))</f>
        <v/>
      </c>
    </row>
    <row r="280">
      <c r="A280" t="inlineStr">
        <is>
          <t>Payments</t>
        </is>
      </c>
      <c r="B280" s="46">
        <f>'Payments'!W134</f>
        <v/>
      </c>
      <c r="C280" s="84">
        <f>'Payments'!U134</f>
        <v/>
      </c>
      <c r="D280" s="46">
        <f>'Payments'!V134</f>
        <v/>
      </c>
      <c r="E280" s="46">
        <f>IF(OR(B280="",C280="",D280=""),"",D280*100000+(C280-DATE(2000,1,1))+ROW()/100000)</f>
        <v/>
      </c>
      <c r="F280" s="46">
        <f>IF(E280="","",IF(C280&gt;WeekEndDate,"",E280))</f>
        <v/>
      </c>
    </row>
    <row r="281">
      <c r="A281" t="inlineStr">
        <is>
          <t>Payments</t>
        </is>
      </c>
      <c r="B281" s="46">
        <f>'Payments'!W135</f>
        <v/>
      </c>
      <c r="C281" s="84">
        <f>'Payments'!U135</f>
        <v/>
      </c>
      <c r="D281" s="46">
        <f>'Payments'!V135</f>
        <v/>
      </c>
      <c r="E281" s="46">
        <f>IF(OR(B281="",C281="",D281=""),"",D281*100000+(C281-DATE(2000,1,1))+ROW()/100000)</f>
        <v/>
      </c>
      <c r="F281" s="46">
        <f>IF(E281="","",IF(C281&gt;WeekEndDate,"",E281))</f>
        <v/>
      </c>
    </row>
    <row r="282">
      <c r="A282" t="inlineStr">
        <is>
          <t>Payments</t>
        </is>
      </c>
      <c r="B282" s="46">
        <f>'Payments'!W136</f>
        <v/>
      </c>
      <c r="C282" s="84">
        <f>'Payments'!U136</f>
        <v/>
      </c>
      <c r="D282" s="46">
        <f>'Payments'!V136</f>
        <v/>
      </c>
      <c r="E282" s="46">
        <f>IF(OR(B282="",C282="",D282=""),"",D282*100000+(C282-DATE(2000,1,1))+ROW()/100000)</f>
        <v/>
      </c>
      <c r="F282" s="46">
        <f>IF(E282="","",IF(C282&gt;WeekEndDate,"",E282))</f>
        <v/>
      </c>
    </row>
    <row r="283">
      <c r="A283" t="inlineStr">
        <is>
          <t>Payments</t>
        </is>
      </c>
      <c r="B283" s="46">
        <f>'Payments'!W137</f>
        <v/>
      </c>
      <c r="C283" s="84">
        <f>'Payments'!U137</f>
        <v/>
      </c>
      <c r="D283" s="46">
        <f>'Payments'!V137</f>
        <v/>
      </c>
      <c r="E283" s="46">
        <f>IF(OR(B283="",C283="",D283=""),"",D283*100000+(C283-DATE(2000,1,1))+ROW()/100000)</f>
        <v/>
      </c>
      <c r="F283" s="46">
        <f>IF(E283="","",IF(C283&gt;WeekEndDate,"",E283))</f>
        <v/>
      </c>
    </row>
    <row r="284">
      <c r="A284" t="inlineStr">
        <is>
          <t>Payments</t>
        </is>
      </c>
      <c r="B284" s="46">
        <f>'Payments'!W138</f>
        <v/>
      </c>
      <c r="C284" s="84">
        <f>'Payments'!U138</f>
        <v/>
      </c>
      <c r="D284" s="46">
        <f>'Payments'!V138</f>
        <v/>
      </c>
      <c r="E284" s="46">
        <f>IF(OR(B284="",C284="",D284=""),"",D284*100000+(C284-DATE(2000,1,1))+ROW()/100000)</f>
        <v/>
      </c>
      <c r="F284" s="46">
        <f>IF(E284="","",IF(C284&gt;WeekEndDate,"",E284))</f>
        <v/>
      </c>
    </row>
    <row r="285">
      <c r="A285" t="inlineStr">
        <is>
          <t>Payments</t>
        </is>
      </c>
      <c r="B285" s="46">
        <f>'Payments'!W139</f>
        <v/>
      </c>
      <c r="C285" s="84">
        <f>'Payments'!U139</f>
        <v/>
      </c>
      <c r="D285" s="46">
        <f>'Payments'!V139</f>
        <v/>
      </c>
      <c r="E285" s="46">
        <f>IF(OR(B285="",C285="",D285=""),"",D285*100000+(C285-DATE(2000,1,1))+ROW()/100000)</f>
        <v/>
      </c>
      <c r="F285" s="46">
        <f>IF(E285="","",IF(C285&gt;WeekEndDate,"",E285))</f>
        <v/>
      </c>
    </row>
    <row r="286">
      <c r="A286" t="inlineStr">
        <is>
          <t>Payments</t>
        </is>
      </c>
      <c r="B286" s="46">
        <f>'Payments'!W140</f>
        <v/>
      </c>
      <c r="C286" s="84">
        <f>'Payments'!U140</f>
        <v/>
      </c>
      <c r="D286" s="46">
        <f>'Payments'!V140</f>
        <v/>
      </c>
      <c r="E286" s="46">
        <f>IF(OR(B286="",C286="",D286=""),"",D286*100000+(C286-DATE(2000,1,1))+ROW()/100000)</f>
        <v/>
      </c>
      <c r="F286" s="46">
        <f>IF(E286="","",IF(C286&gt;WeekEndDate,"",E286))</f>
        <v/>
      </c>
    </row>
    <row r="287">
      <c r="A287" t="inlineStr">
        <is>
          <t>Payments</t>
        </is>
      </c>
      <c r="B287" s="46">
        <f>'Payments'!W141</f>
        <v/>
      </c>
      <c r="C287" s="84">
        <f>'Payments'!U141</f>
        <v/>
      </c>
      <c r="D287" s="46">
        <f>'Payments'!V141</f>
        <v/>
      </c>
      <c r="E287" s="46">
        <f>IF(OR(B287="",C287="",D287=""),"",D287*100000+(C287-DATE(2000,1,1))+ROW()/100000)</f>
        <v/>
      </c>
      <c r="F287" s="46">
        <f>IF(E287="","",IF(C287&gt;WeekEndDate,"",E287))</f>
        <v/>
      </c>
    </row>
    <row r="288">
      <c r="A288" t="inlineStr">
        <is>
          <t>Payments</t>
        </is>
      </c>
      <c r="B288" s="46">
        <f>'Payments'!W142</f>
        <v/>
      </c>
      <c r="C288" s="84">
        <f>'Payments'!U142</f>
        <v/>
      </c>
      <c r="D288" s="46">
        <f>'Payments'!V142</f>
        <v/>
      </c>
      <c r="E288" s="46">
        <f>IF(OR(B288="",C288="",D288=""),"",D288*100000+(C288-DATE(2000,1,1))+ROW()/100000)</f>
        <v/>
      </c>
      <c r="F288" s="46">
        <f>IF(E288="","",IF(C288&gt;WeekEndDate,"",E288))</f>
        <v/>
      </c>
    </row>
    <row r="289">
      <c r="A289" t="inlineStr">
        <is>
          <t>Payments</t>
        </is>
      </c>
      <c r="B289" s="46">
        <f>'Payments'!W143</f>
        <v/>
      </c>
      <c r="C289" s="84">
        <f>'Payments'!U143</f>
        <v/>
      </c>
      <c r="D289" s="46">
        <f>'Payments'!V143</f>
        <v/>
      </c>
      <c r="E289" s="46">
        <f>IF(OR(B289="",C289="",D289=""),"",D289*100000+(C289-DATE(2000,1,1))+ROW()/100000)</f>
        <v/>
      </c>
      <c r="F289" s="46">
        <f>IF(E289="","",IF(C289&gt;WeekEndDate,"",E289))</f>
        <v/>
      </c>
    </row>
    <row r="290">
      <c r="A290" t="inlineStr">
        <is>
          <t>Payments</t>
        </is>
      </c>
      <c r="B290" s="46">
        <f>'Payments'!W144</f>
        <v/>
      </c>
      <c r="C290" s="84">
        <f>'Payments'!U144</f>
        <v/>
      </c>
      <c r="D290" s="46">
        <f>'Payments'!V144</f>
        <v/>
      </c>
      <c r="E290" s="46">
        <f>IF(OR(B290="",C290="",D290=""),"",D290*100000+(C290-DATE(2000,1,1))+ROW()/100000)</f>
        <v/>
      </c>
      <c r="F290" s="46">
        <f>IF(E290="","",IF(C290&gt;WeekEndDate,"",E290))</f>
        <v/>
      </c>
    </row>
    <row r="291">
      <c r="A291" t="inlineStr">
        <is>
          <t>Payments</t>
        </is>
      </c>
      <c r="B291" s="46">
        <f>'Payments'!W145</f>
        <v/>
      </c>
      <c r="C291" s="84">
        <f>'Payments'!U145</f>
        <v/>
      </c>
      <c r="D291" s="46">
        <f>'Payments'!V145</f>
        <v/>
      </c>
      <c r="E291" s="46">
        <f>IF(OR(B291="",C291="",D291=""),"",D291*100000+(C291-DATE(2000,1,1))+ROW()/100000)</f>
        <v/>
      </c>
      <c r="F291" s="46">
        <f>IF(E291="","",IF(C291&gt;WeekEndDate,"",E291))</f>
        <v/>
      </c>
    </row>
    <row r="292">
      <c r="A292" t="inlineStr">
        <is>
          <t>Payments</t>
        </is>
      </c>
      <c r="B292" s="46">
        <f>'Payments'!W146</f>
        <v/>
      </c>
      <c r="C292" s="84">
        <f>'Payments'!U146</f>
        <v/>
      </c>
      <c r="D292" s="46">
        <f>'Payments'!V146</f>
        <v/>
      </c>
      <c r="E292" s="46">
        <f>IF(OR(B292="",C292="",D292=""),"",D292*100000+(C292-DATE(2000,1,1))+ROW()/100000)</f>
        <v/>
      </c>
      <c r="F292" s="46">
        <f>IF(E292="","",IF(C292&gt;WeekEndDate,"",E292))</f>
        <v/>
      </c>
    </row>
    <row r="293">
      <c r="A293" t="inlineStr">
        <is>
          <t>Payments</t>
        </is>
      </c>
      <c r="B293" s="46">
        <f>'Payments'!W147</f>
        <v/>
      </c>
      <c r="C293" s="84">
        <f>'Payments'!U147</f>
        <v/>
      </c>
      <c r="D293" s="46">
        <f>'Payments'!V147</f>
        <v/>
      </c>
      <c r="E293" s="46">
        <f>IF(OR(B293="",C293="",D293=""),"",D293*100000+(C293-DATE(2000,1,1))+ROW()/100000)</f>
        <v/>
      </c>
      <c r="F293" s="46">
        <f>IF(E293="","",IF(C293&gt;WeekEndDate,"",E293))</f>
        <v/>
      </c>
    </row>
    <row r="294">
      <c r="A294" t="inlineStr">
        <is>
          <t>Payments</t>
        </is>
      </c>
      <c r="B294" s="46">
        <f>'Payments'!W148</f>
        <v/>
      </c>
      <c r="C294" s="84">
        <f>'Payments'!U148</f>
        <v/>
      </c>
      <c r="D294" s="46">
        <f>'Payments'!V148</f>
        <v/>
      </c>
      <c r="E294" s="46">
        <f>IF(OR(B294="",C294="",D294=""),"",D294*100000+(C294-DATE(2000,1,1))+ROW()/100000)</f>
        <v/>
      </c>
      <c r="F294" s="46">
        <f>IF(E294="","",IF(C294&gt;WeekEndDate,"",E294))</f>
        <v/>
      </c>
    </row>
    <row r="295">
      <c r="A295" t="inlineStr">
        <is>
          <t>Payments</t>
        </is>
      </c>
      <c r="B295" s="46">
        <f>'Payments'!W149</f>
        <v/>
      </c>
      <c r="C295" s="84">
        <f>'Payments'!U149</f>
        <v/>
      </c>
      <c r="D295" s="46">
        <f>'Payments'!V149</f>
        <v/>
      </c>
      <c r="E295" s="46">
        <f>IF(OR(B295="",C295="",D295=""),"",D295*100000+(C295-DATE(2000,1,1))+ROW()/100000)</f>
        <v/>
      </c>
      <c r="F295" s="46">
        <f>IF(E295="","",IF(C295&gt;WeekEndDate,"",E295))</f>
        <v/>
      </c>
    </row>
    <row r="296">
      <c r="A296" t="inlineStr">
        <is>
          <t>Payments</t>
        </is>
      </c>
      <c r="B296" s="46">
        <f>'Payments'!W150</f>
        <v/>
      </c>
      <c r="C296" s="84">
        <f>'Payments'!U150</f>
        <v/>
      </c>
      <c r="D296" s="46">
        <f>'Payments'!V150</f>
        <v/>
      </c>
      <c r="E296" s="46">
        <f>IF(OR(B296="",C296="",D296=""),"",D296*100000+(C296-DATE(2000,1,1))+ROW()/100000)</f>
        <v/>
      </c>
      <c r="F296" s="46">
        <f>IF(E296="","",IF(C296&gt;WeekEndDate,"",E296))</f>
        <v/>
      </c>
    </row>
    <row r="297">
      <c r="A297" t="inlineStr">
        <is>
          <t>Payments</t>
        </is>
      </c>
      <c r="B297" s="46">
        <f>'Payments'!W151</f>
        <v/>
      </c>
      <c r="C297" s="84">
        <f>'Payments'!U151</f>
        <v/>
      </c>
      <c r="D297" s="46">
        <f>'Payments'!V151</f>
        <v/>
      </c>
      <c r="E297" s="46">
        <f>IF(OR(B297="",C297="",D297=""),"",D297*100000+(C297-DATE(2000,1,1))+ROW()/100000)</f>
        <v/>
      </c>
      <c r="F297" s="46">
        <f>IF(E297="","",IF(C297&gt;WeekEndDate,"",E297))</f>
        <v/>
      </c>
    </row>
    <row r="298">
      <c r="A298" t="inlineStr">
        <is>
          <t>Payments</t>
        </is>
      </c>
      <c r="B298" s="46">
        <f>'Payments'!W152</f>
        <v/>
      </c>
      <c r="C298" s="84">
        <f>'Payments'!U152</f>
        <v/>
      </c>
      <c r="D298" s="46">
        <f>'Payments'!V152</f>
        <v/>
      </c>
      <c r="E298" s="46">
        <f>IF(OR(B298="",C298="",D298=""),"",D298*100000+(C298-DATE(2000,1,1))+ROW()/100000)</f>
        <v/>
      </c>
      <c r="F298" s="46">
        <f>IF(E298="","",IF(C298&gt;WeekEndDate,"",E298))</f>
        <v/>
      </c>
    </row>
    <row r="299">
      <c r="A299" t="inlineStr">
        <is>
          <t>Payments</t>
        </is>
      </c>
      <c r="B299" s="46">
        <f>'Payments'!W153</f>
        <v/>
      </c>
      <c r="C299" s="84">
        <f>'Payments'!U153</f>
        <v/>
      </c>
      <c r="D299" s="46">
        <f>'Payments'!V153</f>
        <v/>
      </c>
      <c r="E299" s="46">
        <f>IF(OR(B299="",C299="",D299=""),"",D299*100000+(C299-DATE(2000,1,1))+ROW()/100000)</f>
        <v/>
      </c>
      <c r="F299" s="46">
        <f>IF(E299="","",IF(C299&gt;WeekEndDate,"",E299))</f>
        <v/>
      </c>
    </row>
    <row r="300">
      <c r="A300" t="inlineStr">
        <is>
          <t>Payments</t>
        </is>
      </c>
      <c r="B300" s="46">
        <f>'Payments'!W154</f>
        <v/>
      </c>
      <c r="C300" s="84">
        <f>'Payments'!U154</f>
        <v/>
      </c>
      <c r="D300" s="46">
        <f>'Payments'!V154</f>
        <v/>
      </c>
      <c r="E300" s="46">
        <f>IF(OR(B300="",C300="",D300=""),"",D300*100000+(C300-DATE(2000,1,1))+ROW()/100000)</f>
        <v/>
      </c>
      <c r="F300" s="46">
        <f>IF(E300="","",IF(C300&gt;WeekEndDate,"",E300))</f>
        <v/>
      </c>
    </row>
    <row r="301">
      <c r="A301" t="inlineStr">
        <is>
          <t>Payments</t>
        </is>
      </c>
      <c r="B301" s="46">
        <f>'Payments'!W155</f>
        <v/>
      </c>
      <c r="C301" s="84">
        <f>'Payments'!U155</f>
        <v/>
      </c>
      <c r="D301" s="46">
        <f>'Payments'!V155</f>
        <v/>
      </c>
      <c r="E301" s="46">
        <f>IF(OR(B301="",C301="",D301=""),"",D301*100000+(C301-DATE(2000,1,1))+ROW()/100000)</f>
        <v/>
      </c>
      <c r="F301" s="46">
        <f>IF(E301="","",IF(C301&gt;WeekEndDate,"",E301))</f>
        <v/>
      </c>
    </row>
    <row r="302">
      <c r="A302" t="inlineStr">
        <is>
          <t>Payments</t>
        </is>
      </c>
      <c r="B302" s="46">
        <f>'Payments'!W156</f>
        <v/>
      </c>
      <c r="C302" s="84">
        <f>'Payments'!U156</f>
        <v/>
      </c>
      <c r="D302" s="46">
        <f>'Payments'!V156</f>
        <v/>
      </c>
      <c r="E302" s="46">
        <f>IF(OR(B302="",C302="",D302=""),"",D302*100000+(C302-DATE(2000,1,1))+ROW()/100000)</f>
        <v/>
      </c>
      <c r="F302" s="46">
        <f>IF(E302="","",IF(C302&gt;WeekEndDate,"",E302))</f>
        <v/>
      </c>
    </row>
    <row r="303">
      <c r="A303" t="inlineStr">
        <is>
          <t>Payments</t>
        </is>
      </c>
      <c r="B303" s="46">
        <f>'Payments'!W157</f>
        <v/>
      </c>
      <c r="C303" s="84">
        <f>'Payments'!U157</f>
        <v/>
      </c>
      <c r="D303" s="46">
        <f>'Payments'!V157</f>
        <v/>
      </c>
      <c r="E303" s="46">
        <f>IF(OR(B303="",C303="",D303=""),"",D303*100000+(C303-DATE(2000,1,1))+ROW()/100000)</f>
        <v/>
      </c>
      <c r="F303" s="46">
        <f>IF(E303="","",IF(C303&gt;WeekEndDate,"",E303))</f>
        <v/>
      </c>
    </row>
    <row r="304">
      <c r="A304" t="inlineStr">
        <is>
          <t>Payments</t>
        </is>
      </c>
      <c r="B304" s="46">
        <f>'Payments'!W158</f>
        <v/>
      </c>
      <c r="C304" s="84">
        <f>'Payments'!U158</f>
        <v/>
      </c>
      <c r="D304" s="46">
        <f>'Payments'!V158</f>
        <v/>
      </c>
      <c r="E304" s="46">
        <f>IF(OR(B304="",C304="",D304=""),"",D304*100000+(C304-DATE(2000,1,1))+ROW()/100000)</f>
        <v/>
      </c>
      <c r="F304" s="46">
        <f>IF(E304="","",IF(C304&gt;WeekEndDate,"",E304))</f>
        <v/>
      </c>
    </row>
    <row r="305">
      <c r="A305" t="inlineStr">
        <is>
          <t>Payments</t>
        </is>
      </c>
      <c r="B305" s="46">
        <f>'Payments'!W159</f>
        <v/>
      </c>
      <c r="C305" s="84">
        <f>'Payments'!U159</f>
        <v/>
      </c>
      <c r="D305" s="46">
        <f>'Payments'!V159</f>
        <v/>
      </c>
      <c r="E305" s="46">
        <f>IF(OR(B305="",C305="",D305=""),"",D305*100000+(C305-DATE(2000,1,1))+ROW()/100000)</f>
        <v/>
      </c>
      <c r="F305" s="46">
        <f>IF(E305="","",IF(C305&gt;WeekEndDate,"",E305))</f>
        <v/>
      </c>
    </row>
    <row r="306">
      <c r="A306" t="inlineStr">
        <is>
          <t>Payments</t>
        </is>
      </c>
      <c r="B306" s="46">
        <f>'Payments'!W160</f>
        <v/>
      </c>
      <c r="C306" s="84">
        <f>'Payments'!U160</f>
        <v/>
      </c>
      <c r="D306" s="46">
        <f>'Payments'!V160</f>
        <v/>
      </c>
      <c r="E306" s="46">
        <f>IF(OR(B306="",C306="",D306=""),"",D306*100000+(C306-DATE(2000,1,1))+ROW()/100000)</f>
        <v/>
      </c>
      <c r="F306" s="46">
        <f>IF(E306="","",IF(C306&gt;WeekEndDate,"",E306))</f>
        <v/>
      </c>
    </row>
    <row r="307">
      <c r="A307" t="inlineStr">
        <is>
          <t>Payments</t>
        </is>
      </c>
      <c r="B307" s="46">
        <f>'Payments'!W161</f>
        <v/>
      </c>
      <c r="C307" s="84">
        <f>'Payments'!U161</f>
        <v/>
      </c>
      <c r="D307" s="46">
        <f>'Payments'!V161</f>
        <v/>
      </c>
      <c r="E307" s="46">
        <f>IF(OR(B307="",C307="",D307=""),"",D307*100000+(C307-DATE(2000,1,1))+ROW()/100000)</f>
        <v/>
      </c>
      <c r="F307" s="46">
        <f>IF(E307="","",IF(C307&gt;WeekEndDate,"",E307))</f>
        <v/>
      </c>
    </row>
    <row r="308">
      <c r="A308" t="inlineStr">
        <is>
          <t>Payments</t>
        </is>
      </c>
      <c r="B308" s="46">
        <f>'Payments'!W162</f>
        <v/>
      </c>
      <c r="C308" s="84">
        <f>'Payments'!U162</f>
        <v/>
      </c>
      <c r="D308" s="46">
        <f>'Payments'!V162</f>
        <v/>
      </c>
      <c r="E308" s="46">
        <f>IF(OR(B308="",C308="",D308=""),"",D308*100000+(C308-DATE(2000,1,1))+ROW()/100000)</f>
        <v/>
      </c>
      <c r="F308" s="46">
        <f>IF(E308="","",IF(C308&gt;WeekEndDate,"",E308))</f>
        <v/>
      </c>
    </row>
    <row r="309">
      <c r="A309" t="inlineStr">
        <is>
          <t>Payments</t>
        </is>
      </c>
      <c r="B309" s="46">
        <f>'Payments'!W163</f>
        <v/>
      </c>
      <c r="C309" s="84">
        <f>'Payments'!U163</f>
        <v/>
      </c>
      <c r="D309" s="46">
        <f>'Payments'!V163</f>
        <v/>
      </c>
      <c r="E309" s="46">
        <f>IF(OR(B309="",C309="",D309=""),"",D309*100000+(C309-DATE(2000,1,1))+ROW()/100000)</f>
        <v/>
      </c>
      <c r="F309" s="46">
        <f>IF(E309="","",IF(C309&gt;WeekEndDate,"",E309))</f>
        <v/>
      </c>
    </row>
    <row r="310">
      <c r="A310" t="inlineStr">
        <is>
          <t>Payments</t>
        </is>
      </c>
      <c r="B310" s="46">
        <f>'Payments'!W164</f>
        <v/>
      </c>
      <c r="C310" s="84">
        <f>'Payments'!U164</f>
        <v/>
      </c>
      <c r="D310" s="46">
        <f>'Payments'!V164</f>
        <v/>
      </c>
      <c r="E310" s="46">
        <f>IF(OR(B310="",C310="",D310=""),"",D310*100000+(C310-DATE(2000,1,1))+ROW()/100000)</f>
        <v/>
      </c>
      <c r="F310" s="46">
        <f>IF(E310="","",IF(C310&gt;WeekEndDate,"",E310))</f>
        <v/>
      </c>
    </row>
    <row r="311">
      <c r="A311" t="inlineStr">
        <is>
          <t>Payments</t>
        </is>
      </c>
      <c r="B311" s="46">
        <f>'Payments'!W165</f>
        <v/>
      </c>
      <c r="C311" s="84">
        <f>'Payments'!U165</f>
        <v/>
      </c>
      <c r="D311" s="46">
        <f>'Payments'!V165</f>
        <v/>
      </c>
      <c r="E311" s="46">
        <f>IF(OR(B311="",C311="",D311=""),"",D311*100000+(C311-DATE(2000,1,1))+ROW()/100000)</f>
        <v/>
      </c>
      <c r="F311" s="46">
        <f>IF(E311="","",IF(C311&gt;WeekEndDate,"",E311))</f>
        <v/>
      </c>
    </row>
    <row r="312">
      <c r="A312" t="inlineStr">
        <is>
          <t>Payments</t>
        </is>
      </c>
      <c r="B312" s="46">
        <f>'Payments'!W166</f>
        <v/>
      </c>
      <c r="C312" s="84">
        <f>'Payments'!U166</f>
        <v/>
      </c>
      <c r="D312" s="46">
        <f>'Payments'!V166</f>
        <v/>
      </c>
      <c r="E312" s="46">
        <f>IF(OR(B312="",C312="",D312=""),"",D312*100000+(C312-DATE(2000,1,1))+ROW()/100000)</f>
        <v/>
      </c>
      <c r="F312" s="46">
        <f>IF(E312="","",IF(C312&gt;WeekEndDate,"",E312))</f>
        <v/>
      </c>
    </row>
    <row r="313">
      <c r="A313" t="inlineStr">
        <is>
          <t>Payments</t>
        </is>
      </c>
      <c r="B313" s="46">
        <f>'Payments'!W167</f>
        <v/>
      </c>
      <c r="C313" s="84">
        <f>'Payments'!U167</f>
        <v/>
      </c>
      <c r="D313" s="46">
        <f>'Payments'!V167</f>
        <v/>
      </c>
      <c r="E313" s="46">
        <f>IF(OR(B313="",C313="",D313=""),"",D313*100000+(C313-DATE(2000,1,1))+ROW()/100000)</f>
        <v/>
      </c>
      <c r="F313" s="46">
        <f>IF(E313="","",IF(C313&gt;WeekEndDate,"",E313))</f>
        <v/>
      </c>
    </row>
    <row r="314">
      <c r="A314" t="inlineStr">
        <is>
          <t>Payments</t>
        </is>
      </c>
      <c r="B314" s="46">
        <f>'Payments'!W168</f>
        <v/>
      </c>
      <c r="C314" s="84">
        <f>'Payments'!U168</f>
        <v/>
      </c>
      <c r="D314" s="46">
        <f>'Payments'!V168</f>
        <v/>
      </c>
      <c r="E314" s="46">
        <f>IF(OR(B314="",C314="",D314=""),"",D314*100000+(C314-DATE(2000,1,1))+ROW()/100000)</f>
        <v/>
      </c>
      <c r="F314" s="46">
        <f>IF(E314="","",IF(C314&gt;WeekEndDate,"",E314))</f>
        <v/>
      </c>
    </row>
    <row r="315">
      <c r="A315" t="inlineStr">
        <is>
          <t>Payments</t>
        </is>
      </c>
      <c r="B315" s="46">
        <f>'Payments'!W169</f>
        <v/>
      </c>
      <c r="C315" s="84">
        <f>'Payments'!U169</f>
        <v/>
      </c>
      <c r="D315" s="46">
        <f>'Payments'!V169</f>
        <v/>
      </c>
      <c r="E315" s="46">
        <f>IF(OR(B315="",C315="",D315=""),"",D315*100000+(C315-DATE(2000,1,1))+ROW()/100000)</f>
        <v/>
      </c>
      <c r="F315" s="46">
        <f>IF(E315="","",IF(C315&gt;WeekEndDate,"",E315))</f>
        <v/>
      </c>
    </row>
    <row r="316">
      <c r="A316" t="inlineStr">
        <is>
          <t>Payments</t>
        </is>
      </c>
      <c r="B316" s="46">
        <f>'Payments'!W170</f>
        <v/>
      </c>
      <c r="C316" s="84">
        <f>'Payments'!U170</f>
        <v/>
      </c>
      <c r="D316" s="46">
        <f>'Payments'!V170</f>
        <v/>
      </c>
      <c r="E316" s="46">
        <f>IF(OR(B316="",C316="",D316=""),"",D316*100000+(C316-DATE(2000,1,1))+ROW()/100000)</f>
        <v/>
      </c>
      <c r="F316" s="46">
        <f>IF(E316="","",IF(C316&gt;WeekEndDate,"",E316))</f>
        <v/>
      </c>
    </row>
    <row r="317">
      <c r="A317" t="inlineStr">
        <is>
          <t>Payments</t>
        </is>
      </c>
      <c r="B317" s="46">
        <f>'Payments'!W171</f>
        <v/>
      </c>
      <c r="C317" s="84">
        <f>'Payments'!U171</f>
        <v/>
      </c>
      <c r="D317" s="46">
        <f>'Payments'!V171</f>
        <v/>
      </c>
      <c r="E317" s="46">
        <f>IF(OR(B317="",C317="",D317=""),"",D317*100000+(C317-DATE(2000,1,1))+ROW()/100000)</f>
        <v/>
      </c>
      <c r="F317" s="46">
        <f>IF(E317="","",IF(C317&gt;WeekEndDate,"",E317))</f>
        <v/>
      </c>
    </row>
    <row r="318">
      <c r="A318" t="inlineStr">
        <is>
          <t>Payments</t>
        </is>
      </c>
      <c r="B318" s="46">
        <f>'Payments'!W172</f>
        <v/>
      </c>
      <c r="C318" s="84">
        <f>'Payments'!U172</f>
        <v/>
      </c>
      <c r="D318" s="46">
        <f>'Payments'!V172</f>
        <v/>
      </c>
      <c r="E318" s="46">
        <f>IF(OR(B318="",C318="",D318=""),"",D318*100000+(C318-DATE(2000,1,1))+ROW()/100000)</f>
        <v/>
      </c>
      <c r="F318" s="46">
        <f>IF(E318="","",IF(C318&gt;WeekEndDate,"",E318))</f>
        <v/>
      </c>
    </row>
    <row r="319">
      <c r="A319" t="inlineStr">
        <is>
          <t>Payments</t>
        </is>
      </c>
      <c r="B319" s="46">
        <f>'Payments'!W173</f>
        <v/>
      </c>
      <c r="C319" s="84">
        <f>'Payments'!U173</f>
        <v/>
      </c>
      <c r="D319" s="46">
        <f>'Payments'!V173</f>
        <v/>
      </c>
      <c r="E319" s="46">
        <f>IF(OR(B319="",C319="",D319=""),"",D319*100000+(C319-DATE(2000,1,1))+ROW()/100000)</f>
        <v/>
      </c>
      <c r="F319" s="46">
        <f>IF(E319="","",IF(C319&gt;WeekEndDate,"",E319))</f>
        <v/>
      </c>
    </row>
    <row r="320">
      <c r="A320" t="inlineStr">
        <is>
          <t>Payments</t>
        </is>
      </c>
      <c r="B320" s="46">
        <f>'Payments'!W174</f>
        <v/>
      </c>
      <c r="C320" s="84">
        <f>'Payments'!U174</f>
        <v/>
      </c>
      <c r="D320" s="46">
        <f>'Payments'!V174</f>
        <v/>
      </c>
      <c r="E320" s="46">
        <f>IF(OR(B320="",C320="",D320=""),"",D320*100000+(C320-DATE(2000,1,1))+ROW()/100000)</f>
        <v/>
      </c>
      <c r="F320" s="46">
        <f>IF(E320="","",IF(C320&gt;WeekEndDate,"",E320))</f>
        <v/>
      </c>
    </row>
    <row r="321">
      <c r="A321" t="inlineStr">
        <is>
          <t>Payments</t>
        </is>
      </c>
      <c r="B321" s="46">
        <f>'Payments'!W175</f>
        <v/>
      </c>
      <c r="C321" s="84">
        <f>'Payments'!U175</f>
        <v/>
      </c>
      <c r="D321" s="46">
        <f>'Payments'!V175</f>
        <v/>
      </c>
      <c r="E321" s="46">
        <f>IF(OR(B321="",C321="",D321=""),"",D321*100000+(C321-DATE(2000,1,1))+ROW()/100000)</f>
        <v/>
      </c>
      <c r="F321" s="46">
        <f>IF(E321="","",IF(C321&gt;WeekEndDate,"",E321))</f>
        <v/>
      </c>
    </row>
    <row r="322">
      <c r="A322" t="inlineStr">
        <is>
          <t>Payments</t>
        </is>
      </c>
      <c r="B322" s="46">
        <f>'Payments'!W176</f>
        <v/>
      </c>
      <c r="C322" s="84">
        <f>'Payments'!U176</f>
        <v/>
      </c>
      <c r="D322" s="46">
        <f>'Payments'!V176</f>
        <v/>
      </c>
      <c r="E322" s="46">
        <f>IF(OR(B322="",C322="",D322=""),"",D322*100000+(C322-DATE(2000,1,1))+ROW()/100000)</f>
        <v/>
      </c>
      <c r="F322" s="46">
        <f>IF(E322="","",IF(C322&gt;WeekEndDate,"",E322))</f>
        <v/>
      </c>
    </row>
    <row r="323">
      <c r="A323" t="inlineStr">
        <is>
          <t>Payments</t>
        </is>
      </c>
      <c r="B323" s="46">
        <f>'Payments'!W177</f>
        <v/>
      </c>
      <c r="C323" s="84">
        <f>'Payments'!U177</f>
        <v/>
      </c>
      <c r="D323" s="46">
        <f>'Payments'!V177</f>
        <v/>
      </c>
      <c r="E323" s="46">
        <f>IF(OR(B323="",C323="",D323=""),"",D323*100000+(C323-DATE(2000,1,1))+ROW()/100000)</f>
        <v/>
      </c>
      <c r="F323" s="46">
        <f>IF(E323="","",IF(C323&gt;WeekEndDate,"",E323))</f>
        <v/>
      </c>
    </row>
    <row r="324">
      <c r="A324" t="inlineStr">
        <is>
          <t>Payments</t>
        </is>
      </c>
      <c r="B324" s="46">
        <f>'Payments'!W178</f>
        <v/>
      </c>
      <c r="C324" s="84">
        <f>'Payments'!U178</f>
        <v/>
      </c>
      <c r="D324" s="46">
        <f>'Payments'!V178</f>
        <v/>
      </c>
      <c r="E324" s="46">
        <f>IF(OR(B324="",C324="",D324=""),"",D324*100000+(C324-DATE(2000,1,1))+ROW()/100000)</f>
        <v/>
      </c>
      <c r="F324" s="46">
        <f>IF(E324="","",IF(C324&gt;WeekEndDate,"",E324))</f>
        <v/>
      </c>
    </row>
    <row r="325">
      <c r="A325" t="inlineStr">
        <is>
          <t>Payments</t>
        </is>
      </c>
      <c r="B325" s="46">
        <f>'Payments'!W179</f>
        <v/>
      </c>
      <c r="C325" s="84">
        <f>'Payments'!U179</f>
        <v/>
      </c>
      <c r="D325" s="46">
        <f>'Payments'!V179</f>
        <v/>
      </c>
      <c r="E325" s="46">
        <f>IF(OR(B325="",C325="",D325=""),"",D325*100000+(C325-DATE(2000,1,1))+ROW()/100000)</f>
        <v/>
      </c>
      <c r="F325" s="46">
        <f>IF(E325="","",IF(C325&gt;WeekEndDate,"",E325))</f>
        <v/>
      </c>
    </row>
    <row r="326">
      <c r="A326" t="inlineStr">
        <is>
          <t>Payments</t>
        </is>
      </c>
      <c r="B326" s="46">
        <f>'Payments'!W180</f>
        <v/>
      </c>
      <c r="C326" s="84">
        <f>'Payments'!U180</f>
        <v/>
      </c>
      <c r="D326" s="46">
        <f>'Payments'!V180</f>
        <v/>
      </c>
      <c r="E326" s="46">
        <f>IF(OR(B326="",C326="",D326=""),"",D326*100000+(C326-DATE(2000,1,1))+ROW()/100000)</f>
        <v/>
      </c>
      <c r="F326" s="46">
        <f>IF(E326="","",IF(C326&gt;WeekEndDate,"",E326))</f>
        <v/>
      </c>
    </row>
    <row r="327">
      <c r="A327" t="inlineStr">
        <is>
          <t>Payments</t>
        </is>
      </c>
      <c r="B327" s="46">
        <f>'Payments'!W181</f>
        <v/>
      </c>
      <c r="C327" s="84">
        <f>'Payments'!U181</f>
        <v/>
      </c>
      <c r="D327" s="46">
        <f>'Payments'!V181</f>
        <v/>
      </c>
      <c r="E327" s="46">
        <f>IF(OR(B327="",C327="",D327=""),"",D327*100000+(C327-DATE(2000,1,1))+ROW()/100000)</f>
        <v/>
      </c>
      <c r="F327" s="46">
        <f>IF(E327="","",IF(C327&gt;WeekEndDate,"",E327))</f>
        <v/>
      </c>
    </row>
    <row r="328">
      <c r="A328" t="inlineStr">
        <is>
          <t>Payments</t>
        </is>
      </c>
      <c r="B328" s="46">
        <f>'Payments'!W182</f>
        <v/>
      </c>
      <c r="C328" s="84">
        <f>'Payments'!U182</f>
        <v/>
      </c>
      <c r="D328" s="46">
        <f>'Payments'!V182</f>
        <v/>
      </c>
      <c r="E328" s="46">
        <f>IF(OR(B328="",C328="",D328=""),"",D328*100000+(C328-DATE(2000,1,1))+ROW()/100000)</f>
        <v/>
      </c>
      <c r="F328" s="46">
        <f>IF(E328="","",IF(C328&gt;WeekEndDate,"",E328))</f>
        <v/>
      </c>
    </row>
    <row r="329">
      <c r="A329" t="inlineStr">
        <is>
          <t>Payments</t>
        </is>
      </c>
      <c r="B329" s="46">
        <f>'Payments'!W183</f>
        <v/>
      </c>
      <c r="C329" s="84">
        <f>'Payments'!U183</f>
        <v/>
      </c>
      <c r="D329" s="46">
        <f>'Payments'!V183</f>
        <v/>
      </c>
      <c r="E329" s="46">
        <f>IF(OR(B329="",C329="",D329=""),"",D329*100000+(C329-DATE(2000,1,1))+ROW()/100000)</f>
        <v/>
      </c>
      <c r="F329" s="46">
        <f>IF(E329="","",IF(C329&gt;WeekEndDate,"",E329))</f>
        <v/>
      </c>
    </row>
    <row r="330">
      <c r="A330" t="inlineStr">
        <is>
          <t>Payments</t>
        </is>
      </c>
      <c r="B330" s="46">
        <f>'Payments'!W184</f>
        <v/>
      </c>
      <c r="C330" s="84">
        <f>'Payments'!U184</f>
        <v/>
      </c>
      <c r="D330" s="46">
        <f>'Payments'!V184</f>
        <v/>
      </c>
      <c r="E330" s="46">
        <f>IF(OR(B330="",C330="",D330=""),"",D330*100000+(C330-DATE(2000,1,1))+ROW()/100000)</f>
        <v/>
      </c>
      <c r="F330" s="46">
        <f>IF(E330="","",IF(C330&gt;WeekEndDate,"",E330))</f>
        <v/>
      </c>
    </row>
    <row r="331">
      <c r="A331" t="inlineStr">
        <is>
          <t>Payments</t>
        </is>
      </c>
      <c r="B331" s="46">
        <f>'Payments'!W185</f>
        <v/>
      </c>
      <c r="C331" s="84">
        <f>'Payments'!U185</f>
        <v/>
      </c>
      <c r="D331" s="46">
        <f>'Payments'!V185</f>
        <v/>
      </c>
      <c r="E331" s="46">
        <f>IF(OR(B331="",C331="",D331=""),"",D331*100000+(C331-DATE(2000,1,1))+ROW()/100000)</f>
        <v/>
      </c>
      <c r="F331" s="46">
        <f>IF(E331="","",IF(C331&gt;WeekEndDate,"",E331))</f>
        <v/>
      </c>
    </row>
    <row r="332">
      <c r="A332" t="inlineStr">
        <is>
          <t>Payments</t>
        </is>
      </c>
      <c r="B332" s="46">
        <f>'Payments'!W186</f>
        <v/>
      </c>
      <c r="C332" s="84">
        <f>'Payments'!U186</f>
        <v/>
      </c>
      <c r="D332" s="46">
        <f>'Payments'!V186</f>
        <v/>
      </c>
      <c r="E332" s="46">
        <f>IF(OR(B332="",C332="",D332=""),"",D332*100000+(C332-DATE(2000,1,1))+ROW()/100000)</f>
        <v/>
      </c>
      <c r="F332" s="46">
        <f>IF(E332="","",IF(C332&gt;WeekEndDate,"",E332))</f>
        <v/>
      </c>
    </row>
    <row r="333">
      <c r="A333" t="inlineStr">
        <is>
          <t>Payments</t>
        </is>
      </c>
      <c r="B333" s="46">
        <f>'Payments'!W187</f>
        <v/>
      </c>
      <c r="C333" s="84">
        <f>'Payments'!U187</f>
        <v/>
      </c>
      <c r="D333" s="46">
        <f>'Payments'!V187</f>
        <v/>
      </c>
      <c r="E333" s="46">
        <f>IF(OR(B333="",C333="",D333=""),"",D333*100000+(C333-DATE(2000,1,1))+ROW()/100000)</f>
        <v/>
      </c>
      <c r="F333" s="46">
        <f>IF(E333="","",IF(C333&gt;WeekEndDate,"",E333))</f>
        <v/>
      </c>
    </row>
    <row r="334">
      <c r="A334" t="inlineStr">
        <is>
          <t>Payments</t>
        </is>
      </c>
      <c r="B334" s="46">
        <f>'Payments'!W188</f>
        <v/>
      </c>
      <c r="C334" s="84">
        <f>'Payments'!U188</f>
        <v/>
      </c>
      <c r="D334" s="46">
        <f>'Payments'!V188</f>
        <v/>
      </c>
      <c r="E334" s="46">
        <f>IF(OR(B334="",C334="",D334=""),"",D334*100000+(C334-DATE(2000,1,1))+ROW()/100000)</f>
        <v/>
      </c>
      <c r="F334" s="46">
        <f>IF(E334="","",IF(C334&gt;WeekEndDate,"",E334))</f>
        <v/>
      </c>
    </row>
    <row r="335">
      <c r="A335" t="inlineStr">
        <is>
          <t>Payments</t>
        </is>
      </c>
      <c r="B335" s="46">
        <f>'Payments'!W189</f>
        <v/>
      </c>
      <c r="C335" s="84">
        <f>'Payments'!U189</f>
        <v/>
      </c>
      <c r="D335" s="46">
        <f>'Payments'!V189</f>
        <v/>
      </c>
      <c r="E335" s="46">
        <f>IF(OR(B335="",C335="",D335=""),"",D335*100000+(C335-DATE(2000,1,1))+ROW()/100000)</f>
        <v/>
      </c>
      <c r="F335" s="46">
        <f>IF(E335="","",IF(C335&gt;WeekEndDate,"",E335))</f>
        <v/>
      </c>
    </row>
    <row r="336">
      <c r="A336" t="inlineStr">
        <is>
          <t>Payments</t>
        </is>
      </c>
      <c r="B336" s="46">
        <f>'Payments'!W190</f>
        <v/>
      </c>
      <c r="C336" s="84">
        <f>'Payments'!U190</f>
        <v/>
      </c>
      <c r="D336" s="46">
        <f>'Payments'!V190</f>
        <v/>
      </c>
      <c r="E336" s="46">
        <f>IF(OR(B336="",C336="",D336=""),"",D336*100000+(C336-DATE(2000,1,1))+ROW()/100000)</f>
        <v/>
      </c>
      <c r="F336" s="46">
        <f>IF(E336="","",IF(C336&gt;WeekEndDate,"",E336))</f>
        <v/>
      </c>
    </row>
    <row r="337">
      <c r="A337" t="inlineStr">
        <is>
          <t>Payments</t>
        </is>
      </c>
      <c r="B337" s="46">
        <f>'Payments'!W191</f>
        <v/>
      </c>
      <c r="C337" s="84">
        <f>'Payments'!U191</f>
        <v/>
      </c>
      <c r="D337" s="46">
        <f>'Payments'!V191</f>
        <v/>
      </c>
      <c r="E337" s="46">
        <f>IF(OR(B337="",C337="",D337=""),"",D337*100000+(C337-DATE(2000,1,1))+ROW()/100000)</f>
        <v/>
      </c>
      <c r="F337" s="46">
        <f>IF(E337="","",IF(C337&gt;WeekEndDate,"",E337))</f>
        <v/>
      </c>
    </row>
    <row r="338">
      <c r="A338" t="inlineStr">
        <is>
          <t>Payments</t>
        </is>
      </c>
      <c r="B338" s="46">
        <f>'Payments'!W192</f>
        <v/>
      </c>
      <c r="C338" s="84">
        <f>'Payments'!U192</f>
        <v/>
      </c>
      <c r="D338" s="46">
        <f>'Payments'!V192</f>
        <v/>
      </c>
      <c r="E338" s="46">
        <f>IF(OR(B338="",C338="",D338=""),"",D338*100000+(C338-DATE(2000,1,1))+ROW()/100000)</f>
        <v/>
      </c>
      <c r="F338" s="46">
        <f>IF(E338="","",IF(C338&gt;WeekEndDate,"",E338))</f>
        <v/>
      </c>
    </row>
    <row r="339">
      <c r="A339" t="inlineStr">
        <is>
          <t>Payments</t>
        </is>
      </c>
      <c r="B339" s="46">
        <f>'Payments'!W193</f>
        <v/>
      </c>
      <c r="C339" s="84">
        <f>'Payments'!U193</f>
        <v/>
      </c>
      <c r="D339" s="46">
        <f>'Payments'!V193</f>
        <v/>
      </c>
      <c r="E339" s="46">
        <f>IF(OR(B339="",C339="",D339=""),"",D339*100000+(C339-DATE(2000,1,1))+ROW()/100000)</f>
        <v/>
      </c>
      <c r="F339" s="46">
        <f>IF(E339="","",IF(C339&gt;WeekEndDate,"",E339))</f>
        <v/>
      </c>
    </row>
    <row r="340">
      <c r="A340" t="inlineStr">
        <is>
          <t>Payments</t>
        </is>
      </c>
      <c r="B340" s="46">
        <f>'Payments'!W194</f>
        <v/>
      </c>
      <c r="C340" s="84">
        <f>'Payments'!U194</f>
        <v/>
      </c>
      <c r="D340" s="46">
        <f>'Payments'!V194</f>
        <v/>
      </c>
      <c r="E340" s="46">
        <f>IF(OR(B340="",C340="",D340=""),"",D340*100000+(C340-DATE(2000,1,1))+ROW()/100000)</f>
        <v/>
      </c>
      <c r="F340" s="46">
        <f>IF(E340="","",IF(C340&gt;WeekEndDate,"",E340))</f>
        <v/>
      </c>
    </row>
    <row r="341">
      <c r="A341" t="inlineStr">
        <is>
          <t>Payments</t>
        </is>
      </c>
      <c r="B341" s="46">
        <f>'Payments'!W195</f>
        <v/>
      </c>
      <c r="C341" s="84">
        <f>'Payments'!U195</f>
        <v/>
      </c>
      <c r="D341" s="46">
        <f>'Payments'!V195</f>
        <v/>
      </c>
      <c r="E341" s="46">
        <f>IF(OR(B341="",C341="",D341=""),"",D341*100000+(C341-DATE(2000,1,1))+ROW()/100000)</f>
        <v/>
      </c>
      <c r="F341" s="46">
        <f>IF(E341="","",IF(C341&gt;WeekEndDate,"",E341))</f>
        <v/>
      </c>
    </row>
    <row r="342">
      <c r="A342" t="inlineStr">
        <is>
          <t>Payments</t>
        </is>
      </c>
      <c r="B342" s="46">
        <f>'Payments'!W196</f>
        <v/>
      </c>
      <c r="C342" s="84">
        <f>'Payments'!U196</f>
        <v/>
      </c>
      <c r="D342" s="46">
        <f>'Payments'!V196</f>
        <v/>
      </c>
      <c r="E342" s="46">
        <f>IF(OR(B342="",C342="",D342=""),"",D342*100000+(C342-DATE(2000,1,1))+ROW()/100000)</f>
        <v/>
      </c>
      <c r="F342" s="46">
        <f>IF(E342="","",IF(C342&gt;WeekEndDate,"",E342))</f>
        <v/>
      </c>
    </row>
    <row r="343">
      <c r="A343" t="inlineStr">
        <is>
          <t>Payments</t>
        </is>
      </c>
      <c r="B343" s="46">
        <f>'Payments'!W197</f>
        <v/>
      </c>
      <c r="C343" s="84">
        <f>'Payments'!U197</f>
        <v/>
      </c>
      <c r="D343" s="46">
        <f>'Payments'!V197</f>
        <v/>
      </c>
      <c r="E343" s="46">
        <f>IF(OR(B343="",C343="",D343=""),"",D343*100000+(C343-DATE(2000,1,1))+ROW()/100000)</f>
        <v/>
      </c>
      <c r="F343" s="46">
        <f>IF(E343="","",IF(C343&gt;WeekEndDate,"",E343))</f>
        <v/>
      </c>
    </row>
    <row r="344">
      <c r="A344" t="inlineStr">
        <is>
          <t>Payments</t>
        </is>
      </c>
      <c r="B344" s="46">
        <f>'Payments'!W198</f>
        <v/>
      </c>
      <c r="C344" s="84">
        <f>'Payments'!U198</f>
        <v/>
      </c>
      <c r="D344" s="46">
        <f>'Payments'!V198</f>
        <v/>
      </c>
      <c r="E344" s="46">
        <f>IF(OR(B344="",C344="",D344=""),"",D344*100000+(C344-DATE(2000,1,1))+ROW()/100000)</f>
        <v/>
      </c>
      <c r="F344" s="46">
        <f>IF(E344="","",IF(C344&gt;WeekEndDate,"",E344))</f>
        <v/>
      </c>
    </row>
    <row r="345">
      <c r="A345" t="inlineStr">
        <is>
          <t>Payments</t>
        </is>
      </c>
      <c r="B345" s="46">
        <f>'Payments'!W199</f>
        <v/>
      </c>
      <c r="C345" s="84">
        <f>'Payments'!U199</f>
        <v/>
      </c>
      <c r="D345" s="46">
        <f>'Payments'!V199</f>
        <v/>
      </c>
      <c r="E345" s="46">
        <f>IF(OR(B345="",C345="",D345=""),"",D345*100000+(C345-DATE(2000,1,1))+ROW()/100000)</f>
        <v/>
      </c>
      <c r="F345" s="46">
        <f>IF(E345="","",IF(C345&gt;WeekEndDate,"",E345))</f>
        <v/>
      </c>
    </row>
    <row r="346">
      <c r="A346" t="inlineStr">
        <is>
          <t>Payments</t>
        </is>
      </c>
      <c r="B346" s="46">
        <f>'Payments'!W200</f>
        <v/>
      </c>
      <c r="C346" s="84">
        <f>'Payments'!U200</f>
        <v/>
      </c>
      <c r="D346" s="46">
        <f>'Payments'!V200</f>
        <v/>
      </c>
      <c r="E346" s="46">
        <f>IF(OR(B346="",C346="",D346=""),"",D346*100000+(C346-DATE(2000,1,1))+ROW()/100000)</f>
        <v/>
      </c>
      <c r="F346" s="46">
        <f>IF(E346="","",IF(C346&gt;WeekEndDate,"",E346))</f>
        <v/>
      </c>
    </row>
    <row r="347">
      <c r="A347" t="inlineStr">
        <is>
          <t>Payments</t>
        </is>
      </c>
      <c r="B347" s="46">
        <f>'Payments'!W201</f>
        <v/>
      </c>
      <c r="C347" s="84">
        <f>'Payments'!U201</f>
        <v/>
      </c>
      <c r="D347" s="46">
        <f>'Payments'!V201</f>
        <v/>
      </c>
      <c r="E347" s="46">
        <f>IF(OR(B347="",C347="",D347=""),"",D347*100000+(C347-DATE(2000,1,1))+ROW()/100000)</f>
        <v/>
      </c>
      <c r="F347" s="46">
        <f>IF(E347="","",IF(C347&gt;WeekEndDate,"",E347))</f>
        <v/>
      </c>
    </row>
    <row r="348">
      <c r="A348" t="inlineStr">
        <is>
          <t>Payments</t>
        </is>
      </c>
      <c r="B348" s="46">
        <f>'Payments'!W202</f>
        <v/>
      </c>
      <c r="C348" s="84">
        <f>'Payments'!U202</f>
        <v/>
      </c>
      <c r="D348" s="46">
        <f>'Payments'!V202</f>
        <v/>
      </c>
      <c r="E348" s="46">
        <f>IF(OR(B348="",C348="",D348=""),"",D348*100000+(C348-DATE(2000,1,1))+ROW()/100000)</f>
        <v/>
      </c>
      <c r="F348" s="46">
        <f>IF(E348="","",IF(C348&gt;WeekEndDate,"",E348))</f>
        <v/>
      </c>
    </row>
    <row r="349">
      <c r="A349" t="inlineStr">
        <is>
          <t>Payments</t>
        </is>
      </c>
      <c r="B349" s="46">
        <f>'Payments'!W203</f>
        <v/>
      </c>
      <c r="C349" s="84">
        <f>'Payments'!U203</f>
        <v/>
      </c>
      <c r="D349" s="46">
        <f>'Payments'!V203</f>
        <v/>
      </c>
      <c r="E349" s="46">
        <f>IF(OR(B349="",C349="",D349=""),"",D349*100000+(C349-DATE(2000,1,1))+ROW()/100000)</f>
        <v/>
      </c>
      <c r="F349" s="46">
        <f>IF(E349="","",IF(C349&gt;WeekEndDate,"",E349))</f>
        <v/>
      </c>
    </row>
    <row r="350">
      <c r="A350" t="inlineStr">
        <is>
          <t>Payments</t>
        </is>
      </c>
      <c r="B350" s="46">
        <f>'Payments'!W204</f>
        <v/>
      </c>
      <c r="C350" s="84">
        <f>'Payments'!U204</f>
        <v/>
      </c>
      <c r="D350" s="46">
        <f>'Payments'!V204</f>
        <v/>
      </c>
      <c r="E350" s="46">
        <f>IF(OR(B350="",C350="",D350=""),"",D350*100000+(C350-DATE(2000,1,1))+ROW()/100000)</f>
        <v/>
      </c>
      <c r="F350" s="46">
        <f>IF(E350="","",IF(C350&gt;WeekEndDate,"",E350))</f>
        <v/>
      </c>
    </row>
    <row r="351">
      <c r="A351" t="inlineStr">
        <is>
          <t>Payments</t>
        </is>
      </c>
      <c r="B351" s="46">
        <f>'Payments'!W205</f>
        <v/>
      </c>
      <c r="C351" s="84">
        <f>'Payments'!U205</f>
        <v/>
      </c>
      <c r="D351" s="46">
        <f>'Payments'!V205</f>
        <v/>
      </c>
      <c r="E351" s="46">
        <f>IF(OR(B351="",C351="",D351=""),"",D351*100000+(C351-DATE(2000,1,1))+ROW()/100000)</f>
        <v/>
      </c>
      <c r="F351" s="46">
        <f>IF(E351="","",IF(C351&gt;WeekEndDate,"",E351))</f>
        <v/>
      </c>
    </row>
    <row r="352">
      <c r="A352" t="inlineStr">
        <is>
          <t>Quotes</t>
        </is>
      </c>
      <c r="B352" s="46">
        <f>'Quotes'!V9</f>
        <v/>
      </c>
      <c r="C352" s="84">
        <f>'Quotes'!T9</f>
        <v/>
      </c>
      <c r="D352" s="46">
        <f>'Quotes'!U9</f>
        <v/>
      </c>
      <c r="E352" s="46">
        <f>IF(OR(B352="",C352="",D352=""),"",D352*100000+(C352-DATE(2000,1,1))+ROW()/100000)</f>
        <v/>
      </c>
      <c r="F352" s="46">
        <f>IF(E352="","",IF(C352&gt;WeekEndDate,"",E352))</f>
        <v/>
      </c>
    </row>
    <row r="353">
      <c r="A353" t="inlineStr">
        <is>
          <t>Quotes</t>
        </is>
      </c>
      <c r="B353" s="46">
        <f>'Quotes'!V10</f>
        <v/>
      </c>
      <c r="C353" s="84">
        <f>'Quotes'!T10</f>
        <v/>
      </c>
      <c r="D353" s="46">
        <f>'Quotes'!U10</f>
        <v/>
      </c>
      <c r="E353" s="46">
        <f>IF(OR(B353="",C353="",D353=""),"",D353*100000+(C353-DATE(2000,1,1))+ROW()/100000)</f>
        <v/>
      </c>
      <c r="F353" s="46">
        <f>IF(E353="","",IF(C353&gt;WeekEndDate,"",E353))</f>
        <v/>
      </c>
    </row>
    <row r="354">
      <c r="A354" t="inlineStr">
        <is>
          <t>Quotes</t>
        </is>
      </c>
      <c r="B354" s="46">
        <f>'Quotes'!V11</f>
        <v/>
      </c>
      <c r="C354" s="84">
        <f>'Quotes'!T11</f>
        <v/>
      </c>
      <c r="D354" s="46">
        <f>'Quotes'!U11</f>
        <v/>
      </c>
      <c r="E354" s="46">
        <f>IF(OR(B354="",C354="",D354=""),"",D354*100000+(C354-DATE(2000,1,1))+ROW()/100000)</f>
        <v/>
      </c>
      <c r="F354" s="46">
        <f>IF(E354="","",IF(C354&gt;WeekEndDate,"",E354))</f>
        <v/>
      </c>
    </row>
    <row r="355">
      <c r="A355" t="inlineStr">
        <is>
          <t>Quotes</t>
        </is>
      </c>
      <c r="B355" s="46">
        <f>'Quotes'!V12</f>
        <v/>
      </c>
      <c r="C355" s="84">
        <f>'Quotes'!T12</f>
        <v/>
      </c>
      <c r="D355" s="46">
        <f>'Quotes'!U12</f>
        <v/>
      </c>
      <c r="E355" s="46">
        <f>IF(OR(B355="",C355="",D355=""),"",D355*100000+(C355-DATE(2000,1,1))+ROW()/100000)</f>
        <v/>
      </c>
      <c r="F355" s="46">
        <f>IF(E355="","",IF(C355&gt;WeekEndDate,"",E355))</f>
        <v/>
      </c>
    </row>
    <row r="356">
      <c r="A356" t="inlineStr">
        <is>
          <t>Quotes</t>
        </is>
      </c>
      <c r="B356" s="46">
        <f>'Quotes'!V13</f>
        <v/>
      </c>
      <c r="C356" s="84">
        <f>'Quotes'!T13</f>
        <v/>
      </c>
      <c r="D356" s="46">
        <f>'Quotes'!U13</f>
        <v/>
      </c>
      <c r="E356" s="46">
        <f>IF(OR(B356="",C356="",D356=""),"",D356*100000+(C356-DATE(2000,1,1))+ROW()/100000)</f>
        <v/>
      </c>
      <c r="F356" s="46">
        <f>IF(E356="","",IF(C356&gt;WeekEndDate,"",E356))</f>
        <v/>
      </c>
    </row>
    <row r="357">
      <c r="A357" t="inlineStr">
        <is>
          <t>Quotes</t>
        </is>
      </c>
      <c r="B357" s="46">
        <f>'Quotes'!V14</f>
        <v/>
      </c>
      <c r="C357" s="84">
        <f>'Quotes'!T14</f>
        <v/>
      </c>
      <c r="D357" s="46">
        <f>'Quotes'!U14</f>
        <v/>
      </c>
      <c r="E357" s="46">
        <f>IF(OR(B357="",C357="",D357=""),"",D357*100000+(C357-DATE(2000,1,1))+ROW()/100000)</f>
        <v/>
      </c>
      <c r="F357" s="46">
        <f>IF(E357="","",IF(C357&gt;WeekEndDate,"",E357))</f>
        <v/>
      </c>
    </row>
    <row r="358">
      <c r="A358" t="inlineStr">
        <is>
          <t>Quotes</t>
        </is>
      </c>
      <c r="B358" s="46">
        <f>'Quotes'!V15</f>
        <v/>
      </c>
      <c r="C358" s="84">
        <f>'Quotes'!T15</f>
        <v/>
      </c>
      <c r="D358" s="46">
        <f>'Quotes'!U15</f>
        <v/>
      </c>
      <c r="E358" s="46">
        <f>IF(OR(B358="",C358="",D358=""),"",D358*100000+(C358-DATE(2000,1,1))+ROW()/100000)</f>
        <v/>
      </c>
      <c r="F358" s="46">
        <f>IF(E358="","",IF(C358&gt;WeekEndDate,"",E358))</f>
        <v/>
      </c>
    </row>
    <row r="359">
      <c r="A359" t="inlineStr">
        <is>
          <t>Quotes</t>
        </is>
      </c>
      <c r="B359" s="46">
        <f>'Quotes'!V16</f>
        <v/>
      </c>
      <c r="C359" s="84">
        <f>'Quotes'!T16</f>
        <v/>
      </c>
      <c r="D359" s="46">
        <f>'Quotes'!U16</f>
        <v/>
      </c>
      <c r="E359" s="46">
        <f>IF(OR(B359="",C359="",D359=""),"",D359*100000+(C359-DATE(2000,1,1))+ROW()/100000)</f>
        <v/>
      </c>
      <c r="F359" s="46">
        <f>IF(E359="","",IF(C359&gt;WeekEndDate,"",E359))</f>
        <v/>
      </c>
    </row>
    <row r="360">
      <c r="A360" t="inlineStr">
        <is>
          <t>Quotes</t>
        </is>
      </c>
      <c r="B360" s="46">
        <f>'Quotes'!V17</f>
        <v/>
      </c>
      <c r="C360" s="84">
        <f>'Quotes'!T17</f>
        <v/>
      </c>
      <c r="D360" s="46">
        <f>'Quotes'!U17</f>
        <v/>
      </c>
      <c r="E360" s="46">
        <f>IF(OR(B360="",C360="",D360=""),"",D360*100000+(C360-DATE(2000,1,1))+ROW()/100000)</f>
        <v/>
      </c>
      <c r="F360" s="46">
        <f>IF(E360="","",IF(C360&gt;WeekEndDate,"",E360))</f>
        <v/>
      </c>
    </row>
    <row r="361">
      <c r="A361" t="inlineStr">
        <is>
          <t>Quotes</t>
        </is>
      </c>
      <c r="B361" s="46">
        <f>'Quotes'!V18</f>
        <v/>
      </c>
      <c r="C361" s="84">
        <f>'Quotes'!T18</f>
        <v/>
      </c>
      <c r="D361" s="46">
        <f>'Quotes'!U18</f>
        <v/>
      </c>
      <c r="E361" s="46">
        <f>IF(OR(B361="",C361="",D361=""),"",D361*100000+(C361-DATE(2000,1,1))+ROW()/100000)</f>
        <v/>
      </c>
      <c r="F361" s="46">
        <f>IF(E361="","",IF(C361&gt;WeekEndDate,"",E361))</f>
        <v/>
      </c>
    </row>
    <row r="362">
      <c r="A362" t="inlineStr">
        <is>
          <t>Quotes</t>
        </is>
      </c>
      <c r="B362" s="46">
        <f>'Quotes'!V19</f>
        <v/>
      </c>
      <c r="C362" s="84">
        <f>'Quotes'!T19</f>
        <v/>
      </c>
      <c r="D362" s="46">
        <f>'Quotes'!U19</f>
        <v/>
      </c>
      <c r="E362" s="46">
        <f>IF(OR(B362="",C362="",D362=""),"",D362*100000+(C362-DATE(2000,1,1))+ROW()/100000)</f>
        <v/>
      </c>
      <c r="F362" s="46">
        <f>IF(E362="","",IF(C362&gt;WeekEndDate,"",E362))</f>
        <v/>
      </c>
    </row>
    <row r="363">
      <c r="A363" t="inlineStr">
        <is>
          <t>Quotes</t>
        </is>
      </c>
      <c r="B363" s="46">
        <f>'Quotes'!V20</f>
        <v/>
      </c>
      <c r="C363" s="84">
        <f>'Quotes'!T20</f>
        <v/>
      </c>
      <c r="D363" s="46">
        <f>'Quotes'!U20</f>
        <v/>
      </c>
      <c r="E363" s="46">
        <f>IF(OR(B363="",C363="",D363=""),"",D363*100000+(C363-DATE(2000,1,1))+ROW()/100000)</f>
        <v/>
      </c>
      <c r="F363" s="46">
        <f>IF(E363="","",IF(C363&gt;WeekEndDate,"",E363))</f>
        <v/>
      </c>
    </row>
    <row r="364">
      <c r="A364" t="inlineStr">
        <is>
          <t>Quotes</t>
        </is>
      </c>
      <c r="B364" s="46">
        <f>'Quotes'!V21</f>
        <v/>
      </c>
      <c r="C364" s="84">
        <f>'Quotes'!T21</f>
        <v/>
      </c>
      <c r="D364" s="46">
        <f>'Quotes'!U21</f>
        <v/>
      </c>
      <c r="E364" s="46">
        <f>IF(OR(B364="",C364="",D364=""),"",D364*100000+(C364-DATE(2000,1,1))+ROW()/100000)</f>
        <v/>
      </c>
      <c r="F364" s="46">
        <f>IF(E364="","",IF(C364&gt;WeekEndDate,"",E364))</f>
        <v/>
      </c>
    </row>
    <row r="365">
      <c r="A365" t="inlineStr">
        <is>
          <t>Quotes</t>
        </is>
      </c>
      <c r="B365" s="46">
        <f>'Quotes'!V22</f>
        <v/>
      </c>
      <c r="C365" s="84">
        <f>'Quotes'!T22</f>
        <v/>
      </c>
      <c r="D365" s="46">
        <f>'Quotes'!U22</f>
        <v/>
      </c>
      <c r="E365" s="46">
        <f>IF(OR(B365="",C365="",D365=""),"",D365*100000+(C365-DATE(2000,1,1))+ROW()/100000)</f>
        <v/>
      </c>
      <c r="F365" s="46">
        <f>IF(E365="","",IF(C365&gt;WeekEndDate,"",E365))</f>
        <v/>
      </c>
    </row>
    <row r="366">
      <c r="A366" t="inlineStr">
        <is>
          <t>Quotes</t>
        </is>
      </c>
      <c r="B366" s="46">
        <f>'Quotes'!V23</f>
        <v/>
      </c>
      <c r="C366" s="84">
        <f>'Quotes'!T23</f>
        <v/>
      </c>
      <c r="D366" s="46">
        <f>'Quotes'!U23</f>
        <v/>
      </c>
      <c r="E366" s="46">
        <f>IF(OR(B366="",C366="",D366=""),"",D366*100000+(C366-DATE(2000,1,1))+ROW()/100000)</f>
        <v/>
      </c>
      <c r="F366" s="46">
        <f>IF(E366="","",IF(C366&gt;WeekEndDate,"",E366))</f>
        <v/>
      </c>
    </row>
    <row r="367">
      <c r="A367" t="inlineStr">
        <is>
          <t>Quotes</t>
        </is>
      </c>
      <c r="B367" s="46">
        <f>'Quotes'!V24</f>
        <v/>
      </c>
      <c r="C367" s="84">
        <f>'Quotes'!T24</f>
        <v/>
      </c>
      <c r="D367" s="46">
        <f>'Quotes'!U24</f>
        <v/>
      </c>
      <c r="E367" s="46">
        <f>IF(OR(B367="",C367="",D367=""),"",D367*100000+(C367-DATE(2000,1,1))+ROW()/100000)</f>
        <v/>
      </c>
      <c r="F367" s="46">
        <f>IF(E367="","",IF(C367&gt;WeekEndDate,"",E367))</f>
        <v/>
      </c>
    </row>
    <row r="368">
      <c r="A368" t="inlineStr">
        <is>
          <t>Quotes</t>
        </is>
      </c>
      <c r="B368" s="46">
        <f>'Quotes'!V25</f>
        <v/>
      </c>
      <c r="C368" s="84">
        <f>'Quotes'!T25</f>
        <v/>
      </c>
      <c r="D368" s="46">
        <f>'Quotes'!U25</f>
        <v/>
      </c>
      <c r="E368" s="46">
        <f>IF(OR(B368="",C368="",D368=""),"",D368*100000+(C368-DATE(2000,1,1))+ROW()/100000)</f>
        <v/>
      </c>
      <c r="F368" s="46">
        <f>IF(E368="","",IF(C368&gt;WeekEndDate,"",E368))</f>
        <v/>
      </c>
    </row>
    <row r="369">
      <c r="A369" t="inlineStr">
        <is>
          <t>Quotes</t>
        </is>
      </c>
      <c r="B369" s="46">
        <f>'Quotes'!V26</f>
        <v/>
      </c>
      <c r="C369" s="84">
        <f>'Quotes'!T26</f>
        <v/>
      </c>
      <c r="D369" s="46">
        <f>'Quotes'!U26</f>
        <v/>
      </c>
      <c r="E369" s="46">
        <f>IF(OR(B369="",C369="",D369=""),"",D369*100000+(C369-DATE(2000,1,1))+ROW()/100000)</f>
        <v/>
      </c>
      <c r="F369" s="46">
        <f>IF(E369="","",IF(C369&gt;WeekEndDate,"",E369))</f>
        <v/>
      </c>
    </row>
    <row r="370">
      <c r="A370" t="inlineStr">
        <is>
          <t>Quotes</t>
        </is>
      </c>
      <c r="B370" s="46">
        <f>'Quotes'!V27</f>
        <v/>
      </c>
      <c r="C370" s="84">
        <f>'Quotes'!T27</f>
        <v/>
      </c>
      <c r="D370" s="46">
        <f>'Quotes'!U27</f>
        <v/>
      </c>
      <c r="E370" s="46">
        <f>IF(OR(B370="",C370="",D370=""),"",D370*100000+(C370-DATE(2000,1,1))+ROW()/100000)</f>
        <v/>
      </c>
      <c r="F370" s="46">
        <f>IF(E370="","",IF(C370&gt;WeekEndDate,"",E370))</f>
        <v/>
      </c>
    </row>
    <row r="371">
      <c r="A371" t="inlineStr">
        <is>
          <t>Quotes</t>
        </is>
      </c>
      <c r="B371" s="46">
        <f>'Quotes'!V28</f>
        <v/>
      </c>
      <c r="C371" s="84">
        <f>'Quotes'!T28</f>
        <v/>
      </c>
      <c r="D371" s="46">
        <f>'Quotes'!U28</f>
        <v/>
      </c>
      <c r="E371" s="46">
        <f>IF(OR(B371="",C371="",D371=""),"",D371*100000+(C371-DATE(2000,1,1))+ROW()/100000)</f>
        <v/>
      </c>
      <c r="F371" s="46">
        <f>IF(E371="","",IF(C371&gt;WeekEndDate,"",E371))</f>
        <v/>
      </c>
    </row>
    <row r="372">
      <c r="A372" t="inlineStr">
        <is>
          <t>Quotes</t>
        </is>
      </c>
      <c r="B372" s="46">
        <f>'Quotes'!V29</f>
        <v/>
      </c>
      <c r="C372" s="84">
        <f>'Quotes'!T29</f>
        <v/>
      </c>
      <c r="D372" s="46">
        <f>'Quotes'!U29</f>
        <v/>
      </c>
      <c r="E372" s="46">
        <f>IF(OR(B372="",C372="",D372=""),"",D372*100000+(C372-DATE(2000,1,1))+ROW()/100000)</f>
        <v/>
      </c>
      <c r="F372" s="46">
        <f>IF(E372="","",IF(C372&gt;WeekEndDate,"",E372))</f>
        <v/>
      </c>
    </row>
    <row r="373">
      <c r="A373" t="inlineStr">
        <is>
          <t>Quotes</t>
        </is>
      </c>
      <c r="B373" s="46">
        <f>'Quotes'!V30</f>
        <v/>
      </c>
      <c r="C373" s="84">
        <f>'Quotes'!T30</f>
        <v/>
      </c>
      <c r="D373" s="46">
        <f>'Quotes'!U30</f>
        <v/>
      </c>
      <c r="E373" s="46">
        <f>IF(OR(B373="",C373="",D373=""),"",D373*100000+(C373-DATE(2000,1,1))+ROW()/100000)</f>
        <v/>
      </c>
      <c r="F373" s="46">
        <f>IF(E373="","",IF(C373&gt;WeekEndDate,"",E373))</f>
        <v/>
      </c>
    </row>
    <row r="374">
      <c r="A374" t="inlineStr">
        <is>
          <t>Quotes</t>
        </is>
      </c>
      <c r="B374" s="46">
        <f>'Quotes'!V31</f>
        <v/>
      </c>
      <c r="C374" s="84">
        <f>'Quotes'!T31</f>
        <v/>
      </c>
      <c r="D374" s="46">
        <f>'Quotes'!U31</f>
        <v/>
      </c>
      <c r="E374" s="46">
        <f>IF(OR(B374="",C374="",D374=""),"",D374*100000+(C374-DATE(2000,1,1))+ROW()/100000)</f>
        <v/>
      </c>
      <c r="F374" s="46">
        <f>IF(E374="","",IF(C374&gt;WeekEndDate,"",E374))</f>
        <v/>
      </c>
    </row>
    <row r="375">
      <c r="A375" t="inlineStr">
        <is>
          <t>Quotes</t>
        </is>
      </c>
      <c r="B375" s="46">
        <f>'Quotes'!V32</f>
        <v/>
      </c>
      <c r="C375" s="84">
        <f>'Quotes'!T32</f>
        <v/>
      </c>
      <c r="D375" s="46">
        <f>'Quotes'!U32</f>
        <v/>
      </c>
      <c r="E375" s="46">
        <f>IF(OR(B375="",C375="",D375=""),"",D375*100000+(C375-DATE(2000,1,1))+ROW()/100000)</f>
        <v/>
      </c>
      <c r="F375" s="46">
        <f>IF(E375="","",IF(C375&gt;WeekEndDate,"",E375))</f>
        <v/>
      </c>
    </row>
    <row r="376">
      <c r="A376" t="inlineStr">
        <is>
          <t>Quotes</t>
        </is>
      </c>
      <c r="B376" s="46">
        <f>'Quotes'!V33</f>
        <v/>
      </c>
      <c r="C376" s="84">
        <f>'Quotes'!T33</f>
        <v/>
      </c>
      <c r="D376" s="46">
        <f>'Quotes'!U33</f>
        <v/>
      </c>
      <c r="E376" s="46">
        <f>IF(OR(B376="",C376="",D376=""),"",D376*100000+(C376-DATE(2000,1,1))+ROW()/100000)</f>
        <v/>
      </c>
      <c r="F376" s="46">
        <f>IF(E376="","",IF(C376&gt;WeekEndDate,"",E376))</f>
        <v/>
      </c>
    </row>
    <row r="377">
      <c r="A377" t="inlineStr">
        <is>
          <t>Quotes</t>
        </is>
      </c>
      <c r="B377" s="46">
        <f>'Quotes'!V34</f>
        <v/>
      </c>
      <c r="C377" s="84">
        <f>'Quotes'!T34</f>
        <v/>
      </c>
      <c r="D377" s="46">
        <f>'Quotes'!U34</f>
        <v/>
      </c>
      <c r="E377" s="46">
        <f>IF(OR(B377="",C377="",D377=""),"",D377*100000+(C377-DATE(2000,1,1))+ROW()/100000)</f>
        <v/>
      </c>
      <c r="F377" s="46">
        <f>IF(E377="","",IF(C377&gt;WeekEndDate,"",E377))</f>
        <v/>
      </c>
    </row>
    <row r="378">
      <c r="A378" t="inlineStr">
        <is>
          <t>Quotes</t>
        </is>
      </c>
      <c r="B378" s="46">
        <f>'Quotes'!V35</f>
        <v/>
      </c>
      <c r="C378" s="84">
        <f>'Quotes'!T35</f>
        <v/>
      </c>
      <c r="D378" s="46">
        <f>'Quotes'!U35</f>
        <v/>
      </c>
      <c r="E378" s="46">
        <f>IF(OR(B378="",C378="",D378=""),"",D378*100000+(C378-DATE(2000,1,1))+ROW()/100000)</f>
        <v/>
      </c>
      <c r="F378" s="46">
        <f>IF(E378="","",IF(C378&gt;WeekEndDate,"",E378))</f>
        <v/>
      </c>
    </row>
    <row r="379">
      <c r="A379" t="inlineStr">
        <is>
          <t>Quotes</t>
        </is>
      </c>
      <c r="B379" s="46">
        <f>'Quotes'!V36</f>
        <v/>
      </c>
      <c r="C379" s="84">
        <f>'Quotes'!T36</f>
        <v/>
      </c>
      <c r="D379" s="46">
        <f>'Quotes'!U36</f>
        <v/>
      </c>
      <c r="E379" s="46">
        <f>IF(OR(B379="",C379="",D379=""),"",D379*100000+(C379-DATE(2000,1,1))+ROW()/100000)</f>
        <v/>
      </c>
      <c r="F379" s="46">
        <f>IF(E379="","",IF(C379&gt;WeekEndDate,"",E379))</f>
        <v/>
      </c>
    </row>
    <row r="380">
      <c r="A380" t="inlineStr">
        <is>
          <t>Quotes</t>
        </is>
      </c>
      <c r="B380" s="46">
        <f>'Quotes'!V37</f>
        <v/>
      </c>
      <c r="C380" s="84">
        <f>'Quotes'!T37</f>
        <v/>
      </c>
      <c r="D380" s="46">
        <f>'Quotes'!U37</f>
        <v/>
      </c>
      <c r="E380" s="46">
        <f>IF(OR(B380="",C380="",D380=""),"",D380*100000+(C380-DATE(2000,1,1))+ROW()/100000)</f>
        <v/>
      </c>
      <c r="F380" s="46">
        <f>IF(E380="","",IF(C380&gt;WeekEndDate,"",E380))</f>
        <v/>
      </c>
    </row>
    <row r="381">
      <c r="A381" t="inlineStr">
        <is>
          <t>Quotes</t>
        </is>
      </c>
      <c r="B381" s="46">
        <f>'Quotes'!V38</f>
        <v/>
      </c>
      <c r="C381" s="84">
        <f>'Quotes'!T38</f>
        <v/>
      </c>
      <c r="D381" s="46">
        <f>'Quotes'!U38</f>
        <v/>
      </c>
      <c r="E381" s="46">
        <f>IF(OR(B381="",C381="",D381=""),"",D381*100000+(C381-DATE(2000,1,1))+ROW()/100000)</f>
        <v/>
      </c>
      <c r="F381" s="46">
        <f>IF(E381="","",IF(C381&gt;WeekEndDate,"",E381))</f>
        <v/>
      </c>
    </row>
    <row r="382">
      <c r="A382" t="inlineStr">
        <is>
          <t>Quotes</t>
        </is>
      </c>
      <c r="B382" s="46">
        <f>'Quotes'!V39</f>
        <v/>
      </c>
      <c r="C382" s="84">
        <f>'Quotes'!T39</f>
        <v/>
      </c>
      <c r="D382" s="46">
        <f>'Quotes'!U39</f>
        <v/>
      </c>
      <c r="E382" s="46">
        <f>IF(OR(B382="",C382="",D382=""),"",D382*100000+(C382-DATE(2000,1,1))+ROW()/100000)</f>
        <v/>
      </c>
      <c r="F382" s="46">
        <f>IF(E382="","",IF(C382&gt;WeekEndDate,"",E382))</f>
        <v/>
      </c>
    </row>
    <row r="383">
      <c r="A383" t="inlineStr">
        <is>
          <t>Quotes</t>
        </is>
      </c>
      <c r="B383" s="46">
        <f>'Quotes'!V40</f>
        <v/>
      </c>
      <c r="C383" s="84">
        <f>'Quotes'!T40</f>
        <v/>
      </c>
      <c r="D383" s="46">
        <f>'Quotes'!U40</f>
        <v/>
      </c>
      <c r="E383" s="46">
        <f>IF(OR(B383="",C383="",D383=""),"",D383*100000+(C383-DATE(2000,1,1))+ROW()/100000)</f>
        <v/>
      </c>
      <c r="F383" s="46">
        <f>IF(E383="","",IF(C383&gt;WeekEndDate,"",E383))</f>
        <v/>
      </c>
    </row>
    <row r="384">
      <c r="A384" t="inlineStr">
        <is>
          <t>Quotes</t>
        </is>
      </c>
      <c r="B384" s="46">
        <f>'Quotes'!V41</f>
        <v/>
      </c>
      <c r="C384" s="84">
        <f>'Quotes'!T41</f>
        <v/>
      </c>
      <c r="D384" s="46">
        <f>'Quotes'!U41</f>
        <v/>
      </c>
      <c r="E384" s="46">
        <f>IF(OR(B384="",C384="",D384=""),"",D384*100000+(C384-DATE(2000,1,1))+ROW()/100000)</f>
        <v/>
      </c>
      <c r="F384" s="46">
        <f>IF(E384="","",IF(C384&gt;WeekEndDate,"",E384))</f>
        <v/>
      </c>
    </row>
    <row r="385">
      <c r="A385" t="inlineStr">
        <is>
          <t>Quotes</t>
        </is>
      </c>
      <c r="B385" s="46">
        <f>'Quotes'!V42</f>
        <v/>
      </c>
      <c r="C385" s="84">
        <f>'Quotes'!T42</f>
        <v/>
      </c>
      <c r="D385" s="46">
        <f>'Quotes'!U42</f>
        <v/>
      </c>
      <c r="E385" s="46">
        <f>IF(OR(B385="",C385="",D385=""),"",D385*100000+(C385-DATE(2000,1,1))+ROW()/100000)</f>
        <v/>
      </c>
      <c r="F385" s="46">
        <f>IF(E385="","",IF(C385&gt;WeekEndDate,"",E385))</f>
        <v/>
      </c>
    </row>
    <row r="386">
      <c r="A386" t="inlineStr">
        <is>
          <t>Quotes</t>
        </is>
      </c>
      <c r="B386" s="46">
        <f>'Quotes'!V43</f>
        <v/>
      </c>
      <c r="C386" s="84">
        <f>'Quotes'!T43</f>
        <v/>
      </c>
      <c r="D386" s="46">
        <f>'Quotes'!U43</f>
        <v/>
      </c>
      <c r="E386" s="46">
        <f>IF(OR(B386="",C386="",D386=""),"",D386*100000+(C386-DATE(2000,1,1))+ROW()/100000)</f>
        <v/>
      </c>
      <c r="F386" s="46">
        <f>IF(E386="","",IF(C386&gt;WeekEndDate,"",E386))</f>
        <v/>
      </c>
    </row>
    <row r="387">
      <c r="A387" t="inlineStr">
        <is>
          <t>Quotes</t>
        </is>
      </c>
      <c r="B387" s="46">
        <f>'Quotes'!V44</f>
        <v/>
      </c>
      <c r="C387" s="84">
        <f>'Quotes'!T44</f>
        <v/>
      </c>
      <c r="D387" s="46">
        <f>'Quotes'!U44</f>
        <v/>
      </c>
      <c r="E387" s="46">
        <f>IF(OR(B387="",C387="",D387=""),"",D387*100000+(C387-DATE(2000,1,1))+ROW()/100000)</f>
        <v/>
      </c>
      <c r="F387" s="46">
        <f>IF(E387="","",IF(C387&gt;WeekEndDate,"",E387))</f>
        <v/>
      </c>
    </row>
    <row r="388">
      <c r="A388" t="inlineStr">
        <is>
          <t>Quotes</t>
        </is>
      </c>
      <c r="B388" s="46">
        <f>'Quotes'!V45</f>
        <v/>
      </c>
      <c r="C388" s="84">
        <f>'Quotes'!T45</f>
        <v/>
      </c>
      <c r="D388" s="46">
        <f>'Quotes'!U45</f>
        <v/>
      </c>
      <c r="E388" s="46">
        <f>IF(OR(B388="",C388="",D388=""),"",D388*100000+(C388-DATE(2000,1,1))+ROW()/100000)</f>
        <v/>
      </c>
      <c r="F388" s="46">
        <f>IF(E388="","",IF(C388&gt;WeekEndDate,"",E388))</f>
        <v/>
      </c>
    </row>
    <row r="389">
      <c r="A389" t="inlineStr">
        <is>
          <t>Quotes</t>
        </is>
      </c>
      <c r="B389" s="46">
        <f>'Quotes'!V46</f>
        <v/>
      </c>
      <c r="C389" s="84">
        <f>'Quotes'!T46</f>
        <v/>
      </c>
      <c r="D389" s="46">
        <f>'Quotes'!U46</f>
        <v/>
      </c>
      <c r="E389" s="46">
        <f>IF(OR(B389="",C389="",D389=""),"",D389*100000+(C389-DATE(2000,1,1))+ROW()/100000)</f>
        <v/>
      </c>
      <c r="F389" s="46">
        <f>IF(E389="","",IF(C389&gt;WeekEndDate,"",E389))</f>
        <v/>
      </c>
    </row>
    <row r="390">
      <c r="A390" t="inlineStr">
        <is>
          <t>Quotes</t>
        </is>
      </c>
      <c r="B390" s="46">
        <f>'Quotes'!V47</f>
        <v/>
      </c>
      <c r="C390" s="84">
        <f>'Quotes'!T47</f>
        <v/>
      </c>
      <c r="D390" s="46">
        <f>'Quotes'!U47</f>
        <v/>
      </c>
      <c r="E390" s="46">
        <f>IF(OR(B390="",C390="",D390=""),"",D390*100000+(C390-DATE(2000,1,1))+ROW()/100000)</f>
        <v/>
      </c>
      <c r="F390" s="46">
        <f>IF(E390="","",IF(C390&gt;WeekEndDate,"",E390))</f>
        <v/>
      </c>
    </row>
    <row r="391">
      <c r="A391" t="inlineStr">
        <is>
          <t>Quotes</t>
        </is>
      </c>
      <c r="B391" s="46">
        <f>'Quotes'!V48</f>
        <v/>
      </c>
      <c r="C391" s="84">
        <f>'Quotes'!T48</f>
        <v/>
      </c>
      <c r="D391" s="46">
        <f>'Quotes'!U48</f>
        <v/>
      </c>
      <c r="E391" s="46">
        <f>IF(OR(B391="",C391="",D391=""),"",D391*100000+(C391-DATE(2000,1,1))+ROW()/100000)</f>
        <v/>
      </c>
      <c r="F391" s="46">
        <f>IF(E391="","",IF(C391&gt;WeekEndDate,"",E391))</f>
        <v/>
      </c>
    </row>
    <row r="392">
      <c r="A392" t="inlineStr">
        <is>
          <t>Change Orders</t>
        </is>
      </c>
      <c r="B392" s="46">
        <f>'Change Orders'!U7</f>
        <v/>
      </c>
      <c r="C392" s="84">
        <f>'Change Orders'!S7</f>
        <v/>
      </c>
      <c r="D392" s="46">
        <f>'Change Orders'!T7</f>
        <v/>
      </c>
      <c r="E392" s="46">
        <f>IF(OR(B392="",C392="",D392=""),"",D392*100000+(C392-DATE(2000,1,1))+ROW()/100000)</f>
        <v/>
      </c>
      <c r="F392" s="46">
        <f>IF(E392="","",IF(C392&gt;WeekEndDate,"",E392))</f>
        <v/>
      </c>
    </row>
    <row r="393">
      <c r="A393" t="inlineStr">
        <is>
          <t>Change Orders</t>
        </is>
      </c>
      <c r="B393" s="46">
        <f>'Change Orders'!U8</f>
        <v/>
      </c>
      <c r="C393" s="84">
        <f>'Change Orders'!S8</f>
        <v/>
      </c>
      <c r="D393" s="46">
        <f>'Change Orders'!T8</f>
        <v/>
      </c>
      <c r="E393" s="46">
        <f>IF(OR(B393="",C393="",D393=""),"",D393*100000+(C393-DATE(2000,1,1))+ROW()/100000)</f>
        <v/>
      </c>
      <c r="F393" s="46">
        <f>IF(E393="","",IF(C393&gt;WeekEndDate,"",E393))</f>
        <v/>
      </c>
    </row>
    <row r="394">
      <c r="A394" t="inlineStr">
        <is>
          <t>Change Orders</t>
        </is>
      </c>
      <c r="B394" s="46">
        <f>'Change Orders'!U9</f>
        <v/>
      </c>
      <c r="C394" s="84">
        <f>'Change Orders'!S9</f>
        <v/>
      </c>
      <c r="D394" s="46">
        <f>'Change Orders'!T9</f>
        <v/>
      </c>
      <c r="E394" s="46">
        <f>IF(OR(B394="",C394="",D394=""),"",D394*100000+(C394-DATE(2000,1,1))+ROW()/100000)</f>
        <v/>
      </c>
      <c r="F394" s="46">
        <f>IF(E394="","",IF(C394&gt;WeekEndDate,"",E394))</f>
        <v/>
      </c>
    </row>
    <row r="395">
      <c r="A395" t="inlineStr">
        <is>
          <t>Change Orders</t>
        </is>
      </c>
      <c r="B395" s="46">
        <f>'Change Orders'!U10</f>
        <v/>
      </c>
      <c r="C395" s="84">
        <f>'Change Orders'!S10</f>
        <v/>
      </c>
      <c r="D395" s="46">
        <f>'Change Orders'!T10</f>
        <v/>
      </c>
      <c r="E395" s="46">
        <f>IF(OR(B395="",C395="",D395=""),"",D395*100000+(C395-DATE(2000,1,1))+ROW()/100000)</f>
        <v/>
      </c>
      <c r="F395" s="46">
        <f>IF(E395="","",IF(C395&gt;WeekEndDate,"",E395))</f>
        <v/>
      </c>
    </row>
    <row r="396">
      <c r="A396" t="inlineStr">
        <is>
          <t>Change Orders</t>
        </is>
      </c>
      <c r="B396" s="46">
        <f>'Change Orders'!U11</f>
        <v/>
      </c>
      <c r="C396" s="84">
        <f>'Change Orders'!S11</f>
        <v/>
      </c>
      <c r="D396" s="46">
        <f>'Change Orders'!T11</f>
        <v/>
      </c>
      <c r="E396" s="46">
        <f>IF(OR(B396="",C396="",D396=""),"",D396*100000+(C396-DATE(2000,1,1))+ROW()/100000)</f>
        <v/>
      </c>
      <c r="F396" s="46">
        <f>IF(E396="","",IF(C396&gt;WeekEndDate,"",E396))</f>
        <v/>
      </c>
    </row>
    <row r="397">
      <c r="A397" t="inlineStr">
        <is>
          <t>Change Orders</t>
        </is>
      </c>
      <c r="B397" s="46">
        <f>'Change Orders'!U12</f>
        <v/>
      </c>
      <c r="C397" s="84">
        <f>'Change Orders'!S12</f>
        <v/>
      </c>
      <c r="D397" s="46">
        <f>'Change Orders'!T12</f>
        <v/>
      </c>
      <c r="E397" s="46">
        <f>IF(OR(B397="",C397="",D397=""),"",D397*100000+(C397-DATE(2000,1,1))+ROW()/100000)</f>
        <v/>
      </c>
      <c r="F397" s="46">
        <f>IF(E397="","",IF(C397&gt;WeekEndDate,"",E397))</f>
        <v/>
      </c>
    </row>
    <row r="398">
      <c r="A398" t="inlineStr">
        <is>
          <t>Change Orders</t>
        </is>
      </c>
      <c r="B398" s="46">
        <f>'Change Orders'!U13</f>
        <v/>
      </c>
      <c r="C398" s="84">
        <f>'Change Orders'!S13</f>
        <v/>
      </c>
      <c r="D398" s="46">
        <f>'Change Orders'!T13</f>
        <v/>
      </c>
      <c r="E398" s="46">
        <f>IF(OR(B398="",C398="",D398=""),"",D398*100000+(C398-DATE(2000,1,1))+ROW()/100000)</f>
        <v/>
      </c>
      <c r="F398" s="46">
        <f>IF(E398="","",IF(C398&gt;WeekEndDate,"",E398))</f>
        <v/>
      </c>
    </row>
    <row r="399">
      <c r="A399" t="inlineStr">
        <is>
          <t>Change Orders</t>
        </is>
      </c>
      <c r="B399" s="46">
        <f>'Change Orders'!U14</f>
        <v/>
      </c>
      <c r="C399" s="84">
        <f>'Change Orders'!S14</f>
        <v/>
      </c>
      <c r="D399" s="46">
        <f>'Change Orders'!T14</f>
        <v/>
      </c>
      <c r="E399" s="46">
        <f>IF(OR(B399="",C399="",D399=""),"",D399*100000+(C399-DATE(2000,1,1))+ROW()/100000)</f>
        <v/>
      </c>
      <c r="F399" s="46">
        <f>IF(E399="","",IF(C399&gt;WeekEndDate,"",E399))</f>
        <v/>
      </c>
    </row>
    <row r="400">
      <c r="A400" t="inlineStr">
        <is>
          <t>Change Orders</t>
        </is>
      </c>
      <c r="B400" s="46">
        <f>'Change Orders'!U15</f>
        <v/>
      </c>
      <c r="C400" s="84">
        <f>'Change Orders'!S15</f>
        <v/>
      </c>
      <c r="D400" s="46">
        <f>'Change Orders'!T15</f>
        <v/>
      </c>
      <c r="E400" s="46">
        <f>IF(OR(B400="",C400="",D400=""),"",D400*100000+(C400-DATE(2000,1,1))+ROW()/100000)</f>
        <v/>
      </c>
      <c r="F400" s="46">
        <f>IF(E400="","",IF(C400&gt;WeekEndDate,"",E400))</f>
        <v/>
      </c>
    </row>
    <row r="401">
      <c r="A401" t="inlineStr">
        <is>
          <t>Change Orders</t>
        </is>
      </c>
      <c r="B401" s="46">
        <f>'Change Orders'!U16</f>
        <v/>
      </c>
      <c r="C401" s="84">
        <f>'Change Orders'!S16</f>
        <v/>
      </c>
      <c r="D401" s="46">
        <f>'Change Orders'!T16</f>
        <v/>
      </c>
      <c r="E401" s="46">
        <f>IF(OR(B401="",C401="",D401=""),"",D401*100000+(C401-DATE(2000,1,1))+ROW()/100000)</f>
        <v/>
      </c>
      <c r="F401" s="46">
        <f>IF(E401="","",IF(C401&gt;WeekEndDate,"",E401))</f>
        <v/>
      </c>
    </row>
    <row r="402">
      <c r="A402" t="inlineStr">
        <is>
          <t>Change Orders</t>
        </is>
      </c>
      <c r="B402" s="46">
        <f>'Change Orders'!U17</f>
        <v/>
      </c>
      <c r="C402" s="84">
        <f>'Change Orders'!S17</f>
        <v/>
      </c>
      <c r="D402" s="46">
        <f>'Change Orders'!T17</f>
        <v/>
      </c>
      <c r="E402" s="46">
        <f>IF(OR(B402="",C402="",D402=""),"",D402*100000+(C402-DATE(2000,1,1))+ROW()/100000)</f>
        <v/>
      </c>
      <c r="F402" s="46">
        <f>IF(E402="","",IF(C402&gt;WeekEndDate,"",E402))</f>
        <v/>
      </c>
    </row>
    <row r="403">
      <c r="A403" t="inlineStr">
        <is>
          <t>Change Orders</t>
        </is>
      </c>
      <c r="B403" s="46">
        <f>'Change Orders'!U18</f>
        <v/>
      </c>
      <c r="C403" s="84">
        <f>'Change Orders'!S18</f>
        <v/>
      </c>
      <c r="D403" s="46">
        <f>'Change Orders'!T18</f>
        <v/>
      </c>
      <c r="E403" s="46">
        <f>IF(OR(B403="",C403="",D403=""),"",D403*100000+(C403-DATE(2000,1,1))+ROW()/100000)</f>
        <v/>
      </c>
      <c r="F403" s="46">
        <f>IF(E403="","",IF(C403&gt;WeekEndDate,"",E403))</f>
        <v/>
      </c>
    </row>
    <row r="404">
      <c r="A404" t="inlineStr">
        <is>
          <t>Change Orders</t>
        </is>
      </c>
      <c r="B404" s="46">
        <f>'Change Orders'!U19</f>
        <v/>
      </c>
      <c r="C404" s="84">
        <f>'Change Orders'!S19</f>
        <v/>
      </c>
      <c r="D404" s="46">
        <f>'Change Orders'!T19</f>
        <v/>
      </c>
      <c r="E404" s="46">
        <f>IF(OR(B404="",C404="",D404=""),"",D404*100000+(C404-DATE(2000,1,1))+ROW()/100000)</f>
        <v/>
      </c>
      <c r="F404" s="46">
        <f>IF(E404="","",IF(C404&gt;WeekEndDate,"",E404))</f>
        <v/>
      </c>
    </row>
    <row r="405">
      <c r="A405" t="inlineStr">
        <is>
          <t>Change Orders</t>
        </is>
      </c>
      <c r="B405" s="46">
        <f>'Change Orders'!U20</f>
        <v/>
      </c>
      <c r="C405" s="84">
        <f>'Change Orders'!S20</f>
        <v/>
      </c>
      <c r="D405" s="46">
        <f>'Change Orders'!T20</f>
        <v/>
      </c>
      <c r="E405" s="46">
        <f>IF(OR(B405="",C405="",D405=""),"",D405*100000+(C405-DATE(2000,1,1))+ROW()/100000)</f>
        <v/>
      </c>
      <c r="F405" s="46">
        <f>IF(E405="","",IF(C405&gt;WeekEndDate,"",E405))</f>
        <v/>
      </c>
    </row>
    <row r="406">
      <c r="A406" t="inlineStr">
        <is>
          <t>Change Orders</t>
        </is>
      </c>
      <c r="B406" s="46">
        <f>'Change Orders'!U21</f>
        <v/>
      </c>
      <c r="C406" s="84">
        <f>'Change Orders'!S21</f>
        <v/>
      </c>
      <c r="D406" s="46">
        <f>'Change Orders'!T21</f>
        <v/>
      </c>
      <c r="E406" s="46">
        <f>IF(OR(B406="",C406="",D406=""),"",D406*100000+(C406-DATE(2000,1,1))+ROW()/100000)</f>
        <v/>
      </c>
      <c r="F406" s="46">
        <f>IF(E406="","",IF(C406&gt;WeekEndDate,"",E406))</f>
        <v/>
      </c>
    </row>
    <row r="407">
      <c r="A407" t="inlineStr">
        <is>
          <t>Change Orders</t>
        </is>
      </c>
      <c r="B407" s="46">
        <f>'Change Orders'!U22</f>
        <v/>
      </c>
      <c r="C407" s="84">
        <f>'Change Orders'!S22</f>
        <v/>
      </c>
      <c r="D407" s="46">
        <f>'Change Orders'!T22</f>
        <v/>
      </c>
      <c r="E407" s="46">
        <f>IF(OR(B407="",C407="",D407=""),"",D407*100000+(C407-DATE(2000,1,1))+ROW()/100000)</f>
        <v/>
      </c>
      <c r="F407" s="46">
        <f>IF(E407="","",IF(C407&gt;WeekEndDate,"",E407))</f>
        <v/>
      </c>
    </row>
    <row r="408">
      <c r="A408" t="inlineStr">
        <is>
          <t>Change Orders</t>
        </is>
      </c>
      <c r="B408" s="46">
        <f>'Change Orders'!U23</f>
        <v/>
      </c>
      <c r="C408" s="84">
        <f>'Change Orders'!S23</f>
        <v/>
      </c>
      <c r="D408" s="46">
        <f>'Change Orders'!T23</f>
        <v/>
      </c>
      <c r="E408" s="46">
        <f>IF(OR(B408="",C408="",D408=""),"",D408*100000+(C408-DATE(2000,1,1))+ROW()/100000)</f>
        <v/>
      </c>
      <c r="F408" s="46">
        <f>IF(E408="","",IF(C408&gt;WeekEndDate,"",E408))</f>
        <v/>
      </c>
    </row>
    <row r="409">
      <c r="A409" t="inlineStr">
        <is>
          <t>Change Orders</t>
        </is>
      </c>
      <c r="B409" s="46">
        <f>'Change Orders'!U24</f>
        <v/>
      </c>
      <c r="C409" s="84">
        <f>'Change Orders'!S24</f>
        <v/>
      </c>
      <c r="D409" s="46">
        <f>'Change Orders'!T24</f>
        <v/>
      </c>
      <c r="E409" s="46">
        <f>IF(OR(B409="",C409="",D409=""),"",D409*100000+(C409-DATE(2000,1,1))+ROW()/100000)</f>
        <v/>
      </c>
      <c r="F409" s="46">
        <f>IF(E409="","",IF(C409&gt;WeekEndDate,"",E409))</f>
        <v/>
      </c>
    </row>
    <row r="410">
      <c r="A410" t="inlineStr">
        <is>
          <t>Change Orders</t>
        </is>
      </c>
      <c r="B410" s="46">
        <f>'Change Orders'!U25</f>
        <v/>
      </c>
      <c r="C410" s="84">
        <f>'Change Orders'!S25</f>
        <v/>
      </c>
      <c r="D410" s="46">
        <f>'Change Orders'!T25</f>
        <v/>
      </c>
      <c r="E410" s="46">
        <f>IF(OR(B410="",C410="",D410=""),"",D410*100000+(C410-DATE(2000,1,1))+ROW()/100000)</f>
        <v/>
      </c>
      <c r="F410" s="46">
        <f>IF(E410="","",IF(C410&gt;WeekEndDate,"",E410))</f>
        <v/>
      </c>
    </row>
    <row r="411">
      <c r="A411" t="inlineStr">
        <is>
          <t>Change Orders</t>
        </is>
      </c>
      <c r="B411" s="46">
        <f>'Change Orders'!U26</f>
        <v/>
      </c>
      <c r="C411" s="84">
        <f>'Change Orders'!S26</f>
        <v/>
      </c>
      <c r="D411" s="46">
        <f>'Change Orders'!T26</f>
        <v/>
      </c>
      <c r="E411" s="46">
        <f>IF(OR(B411="",C411="",D411=""),"",D411*100000+(C411-DATE(2000,1,1))+ROW()/100000)</f>
        <v/>
      </c>
      <c r="F411" s="46">
        <f>IF(E411="","",IF(C411&gt;WeekEndDate,"",E411))</f>
        <v/>
      </c>
    </row>
    <row r="412">
      <c r="A412" t="inlineStr">
        <is>
          <t>Change Orders</t>
        </is>
      </c>
      <c r="B412" s="46">
        <f>'Change Orders'!U27</f>
        <v/>
      </c>
      <c r="C412" s="84">
        <f>'Change Orders'!S27</f>
        <v/>
      </c>
      <c r="D412" s="46">
        <f>'Change Orders'!T27</f>
        <v/>
      </c>
      <c r="E412" s="46">
        <f>IF(OR(B412="",C412="",D412=""),"",D412*100000+(C412-DATE(2000,1,1))+ROW()/100000)</f>
        <v/>
      </c>
      <c r="F412" s="46">
        <f>IF(E412="","",IF(C412&gt;WeekEndDate,"",E412))</f>
        <v/>
      </c>
    </row>
    <row r="413">
      <c r="A413" t="inlineStr">
        <is>
          <t>Change Orders</t>
        </is>
      </c>
      <c r="B413" s="46">
        <f>'Change Orders'!U28</f>
        <v/>
      </c>
      <c r="C413" s="84">
        <f>'Change Orders'!S28</f>
        <v/>
      </c>
      <c r="D413" s="46">
        <f>'Change Orders'!T28</f>
        <v/>
      </c>
      <c r="E413" s="46">
        <f>IF(OR(B413="",C413="",D413=""),"",D413*100000+(C413-DATE(2000,1,1))+ROW()/100000)</f>
        <v/>
      </c>
      <c r="F413" s="46">
        <f>IF(E413="","",IF(C413&gt;WeekEndDate,"",E413))</f>
        <v/>
      </c>
    </row>
    <row r="414">
      <c r="A414" t="inlineStr">
        <is>
          <t>Change Orders</t>
        </is>
      </c>
      <c r="B414" s="46">
        <f>'Change Orders'!U29</f>
        <v/>
      </c>
      <c r="C414" s="84">
        <f>'Change Orders'!S29</f>
        <v/>
      </c>
      <c r="D414" s="46">
        <f>'Change Orders'!T29</f>
        <v/>
      </c>
      <c r="E414" s="46">
        <f>IF(OR(B414="",C414="",D414=""),"",D414*100000+(C414-DATE(2000,1,1))+ROW()/100000)</f>
        <v/>
      </c>
      <c r="F414" s="46">
        <f>IF(E414="","",IF(C414&gt;WeekEndDate,"",E414))</f>
        <v/>
      </c>
    </row>
    <row r="415">
      <c r="A415" t="inlineStr">
        <is>
          <t>Change Orders</t>
        </is>
      </c>
      <c r="B415" s="46">
        <f>'Change Orders'!U30</f>
        <v/>
      </c>
      <c r="C415" s="84">
        <f>'Change Orders'!S30</f>
        <v/>
      </c>
      <c r="D415" s="46">
        <f>'Change Orders'!T30</f>
        <v/>
      </c>
      <c r="E415" s="46">
        <f>IF(OR(B415="",C415="",D415=""),"",D415*100000+(C415-DATE(2000,1,1))+ROW()/100000)</f>
        <v/>
      </c>
      <c r="F415" s="46">
        <f>IF(E415="","",IF(C415&gt;WeekEndDate,"",E415))</f>
        <v/>
      </c>
    </row>
    <row r="416">
      <c r="A416" t="inlineStr">
        <is>
          <t>Change Orders</t>
        </is>
      </c>
      <c r="B416" s="46">
        <f>'Change Orders'!U31</f>
        <v/>
      </c>
      <c r="C416" s="84">
        <f>'Change Orders'!S31</f>
        <v/>
      </c>
      <c r="D416" s="46">
        <f>'Change Orders'!T31</f>
        <v/>
      </c>
      <c r="E416" s="46">
        <f>IF(OR(B416="",C416="",D416=""),"",D416*100000+(C416-DATE(2000,1,1))+ROW()/100000)</f>
        <v/>
      </c>
      <c r="F416" s="46">
        <f>IF(E416="","",IF(C416&gt;WeekEndDate,"",E416))</f>
        <v/>
      </c>
    </row>
    <row r="417">
      <c r="A417" t="inlineStr">
        <is>
          <t>Change Orders</t>
        </is>
      </c>
      <c r="B417" s="46">
        <f>'Change Orders'!U32</f>
        <v/>
      </c>
      <c r="C417" s="84">
        <f>'Change Orders'!S32</f>
        <v/>
      </c>
      <c r="D417" s="46">
        <f>'Change Orders'!T32</f>
        <v/>
      </c>
      <c r="E417" s="46">
        <f>IF(OR(B417="",C417="",D417=""),"",D417*100000+(C417-DATE(2000,1,1))+ROW()/100000)</f>
        <v/>
      </c>
      <c r="F417" s="46">
        <f>IF(E417="","",IF(C417&gt;WeekEndDate,"",E417))</f>
        <v/>
      </c>
    </row>
    <row r="418">
      <c r="A418" t="inlineStr">
        <is>
          <t>Change Orders</t>
        </is>
      </c>
      <c r="B418" s="46">
        <f>'Change Orders'!U33</f>
        <v/>
      </c>
      <c r="C418" s="84">
        <f>'Change Orders'!S33</f>
        <v/>
      </c>
      <c r="D418" s="46">
        <f>'Change Orders'!T33</f>
        <v/>
      </c>
      <c r="E418" s="46">
        <f>IF(OR(B418="",C418="",D418=""),"",D418*100000+(C418-DATE(2000,1,1))+ROW()/100000)</f>
        <v/>
      </c>
      <c r="F418" s="46">
        <f>IF(E418="","",IF(C418&gt;WeekEndDate,"",E418))</f>
        <v/>
      </c>
    </row>
    <row r="419">
      <c r="A419" t="inlineStr">
        <is>
          <t>Change Orders</t>
        </is>
      </c>
      <c r="B419" s="46">
        <f>'Change Orders'!U34</f>
        <v/>
      </c>
      <c r="C419" s="84">
        <f>'Change Orders'!S34</f>
        <v/>
      </c>
      <c r="D419" s="46">
        <f>'Change Orders'!T34</f>
        <v/>
      </c>
      <c r="E419" s="46">
        <f>IF(OR(B419="",C419="",D419=""),"",D419*100000+(C419-DATE(2000,1,1))+ROW()/100000)</f>
        <v/>
      </c>
      <c r="F419" s="46">
        <f>IF(E419="","",IF(C419&gt;WeekEndDate,"",E419))</f>
        <v/>
      </c>
    </row>
    <row r="420">
      <c r="A420" t="inlineStr">
        <is>
          <t>Change Orders</t>
        </is>
      </c>
      <c r="B420" s="46">
        <f>'Change Orders'!U35</f>
        <v/>
      </c>
      <c r="C420" s="84">
        <f>'Change Orders'!S35</f>
        <v/>
      </c>
      <c r="D420" s="46">
        <f>'Change Orders'!T35</f>
        <v/>
      </c>
      <c r="E420" s="46">
        <f>IF(OR(B420="",C420="",D420=""),"",D420*100000+(C420-DATE(2000,1,1))+ROW()/100000)</f>
        <v/>
      </c>
      <c r="F420" s="46">
        <f>IF(E420="","",IF(C420&gt;WeekEndDate,"",E420))</f>
        <v/>
      </c>
    </row>
    <row r="421">
      <c r="A421" t="inlineStr">
        <is>
          <t>Change Orders</t>
        </is>
      </c>
      <c r="B421" s="46">
        <f>'Change Orders'!U36</f>
        <v/>
      </c>
      <c r="C421" s="84">
        <f>'Change Orders'!S36</f>
        <v/>
      </c>
      <c r="D421" s="46">
        <f>'Change Orders'!T36</f>
        <v/>
      </c>
      <c r="E421" s="46">
        <f>IF(OR(B421="",C421="",D421=""),"",D421*100000+(C421-DATE(2000,1,1))+ROW()/100000)</f>
        <v/>
      </c>
      <c r="F421" s="46">
        <f>IF(E421="","",IF(C421&gt;WeekEndDate,"",E421))</f>
        <v/>
      </c>
    </row>
    <row r="422">
      <c r="A422" t="inlineStr">
        <is>
          <t>Change Orders</t>
        </is>
      </c>
      <c r="B422" s="46">
        <f>'Change Orders'!U37</f>
        <v/>
      </c>
      <c r="C422" s="84">
        <f>'Change Orders'!S37</f>
        <v/>
      </c>
      <c r="D422" s="46">
        <f>'Change Orders'!T37</f>
        <v/>
      </c>
      <c r="E422" s="46">
        <f>IF(OR(B422="",C422="",D422=""),"",D422*100000+(C422-DATE(2000,1,1))+ROW()/100000)</f>
        <v/>
      </c>
      <c r="F422" s="46">
        <f>IF(E422="","",IF(C422&gt;WeekEndDate,"",E422))</f>
        <v/>
      </c>
    </row>
    <row r="423">
      <c r="A423" t="inlineStr">
        <is>
          <t>Change Orders</t>
        </is>
      </c>
      <c r="B423" s="46">
        <f>'Change Orders'!U38</f>
        <v/>
      </c>
      <c r="C423" s="84">
        <f>'Change Orders'!S38</f>
        <v/>
      </c>
      <c r="D423" s="46">
        <f>'Change Orders'!T38</f>
        <v/>
      </c>
      <c r="E423" s="46">
        <f>IF(OR(B423="",C423="",D423=""),"",D423*100000+(C423-DATE(2000,1,1))+ROW()/100000)</f>
        <v/>
      </c>
      <c r="F423" s="46">
        <f>IF(E423="","",IF(C423&gt;WeekEndDate,"",E423))</f>
        <v/>
      </c>
    </row>
    <row r="424">
      <c r="A424" t="inlineStr">
        <is>
          <t>Change Orders</t>
        </is>
      </c>
      <c r="B424" s="46">
        <f>'Change Orders'!U39</f>
        <v/>
      </c>
      <c r="C424" s="84">
        <f>'Change Orders'!S39</f>
        <v/>
      </c>
      <c r="D424" s="46">
        <f>'Change Orders'!T39</f>
        <v/>
      </c>
      <c r="E424" s="46">
        <f>IF(OR(B424="",C424="",D424=""),"",D424*100000+(C424-DATE(2000,1,1))+ROW()/100000)</f>
        <v/>
      </c>
      <c r="F424" s="46">
        <f>IF(E424="","",IF(C424&gt;WeekEndDate,"",E424))</f>
        <v/>
      </c>
    </row>
    <row r="425">
      <c r="A425" t="inlineStr">
        <is>
          <t>Change Orders</t>
        </is>
      </c>
      <c r="B425" s="46">
        <f>'Change Orders'!U40</f>
        <v/>
      </c>
      <c r="C425" s="84">
        <f>'Change Orders'!S40</f>
        <v/>
      </c>
      <c r="D425" s="46">
        <f>'Change Orders'!T40</f>
        <v/>
      </c>
      <c r="E425" s="46">
        <f>IF(OR(B425="",C425="",D425=""),"",D425*100000+(C425-DATE(2000,1,1))+ROW()/100000)</f>
        <v/>
      </c>
      <c r="F425" s="46">
        <f>IF(E425="","",IF(C425&gt;WeekEndDate,"",E425))</f>
        <v/>
      </c>
    </row>
    <row r="426">
      <c r="A426" t="inlineStr">
        <is>
          <t>Change Orders</t>
        </is>
      </c>
      <c r="B426" s="46">
        <f>'Change Orders'!U41</f>
        <v/>
      </c>
      <c r="C426" s="84">
        <f>'Change Orders'!S41</f>
        <v/>
      </c>
      <c r="D426" s="46">
        <f>'Change Orders'!T41</f>
        <v/>
      </c>
      <c r="E426" s="46">
        <f>IF(OR(B426="",C426="",D426=""),"",D426*100000+(C426-DATE(2000,1,1))+ROW()/100000)</f>
        <v/>
      </c>
      <c r="F426" s="46">
        <f>IF(E426="","",IF(C426&gt;WeekEndDate,"",E426))</f>
        <v/>
      </c>
    </row>
    <row r="427">
      <c r="A427" t="inlineStr">
        <is>
          <t>Change Orders</t>
        </is>
      </c>
      <c r="B427" s="46">
        <f>'Change Orders'!U42</f>
        <v/>
      </c>
      <c r="C427" s="84">
        <f>'Change Orders'!S42</f>
        <v/>
      </c>
      <c r="D427" s="46">
        <f>'Change Orders'!T42</f>
        <v/>
      </c>
      <c r="E427" s="46">
        <f>IF(OR(B427="",C427="",D427=""),"",D427*100000+(C427-DATE(2000,1,1))+ROW()/100000)</f>
        <v/>
      </c>
      <c r="F427" s="46">
        <f>IF(E427="","",IF(C427&gt;WeekEndDate,"",E427))</f>
        <v/>
      </c>
    </row>
    <row r="428">
      <c r="A428" t="inlineStr">
        <is>
          <t>Change Orders</t>
        </is>
      </c>
      <c r="B428" s="46">
        <f>'Change Orders'!U43</f>
        <v/>
      </c>
      <c r="C428" s="84">
        <f>'Change Orders'!S43</f>
        <v/>
      </c>
      <c r="D428" s="46">
        <f>'Change Orders'!T43</f>
        <v/>
      </c>
      <c r="E428" s="46">
        <f>IF(OR(B428="",C428="",D428=""),"",D428*100000+(C428-DATE(2000,1,1))+ROW()/100000)</f>
        <v/>
      </c>
      <c r="F428" s="46">
        <f>IF(E428="","",IF(C428&gt;WeekEndDate,"",E428))</f>
        <v/>
      </c>
    </row>
    <row r="429">
      <c r="A429" t="inlineStr">
        <is>
          <t>Change Orders</t>
        </is>
      </c>
      <c r="B429" s="46">
        <f>'Change Orders'!U44</f>
        <v/>
      </c>
      <c r="C429" s="84">
        <f>'Change Orders'!S44</f>
        <v/>
      </c>
      <c r="D429" s="46">
        <f>'Change Orders'!T44</f>
        <v/>
      </c>
      <c r="E429" s="46">
        <f>IF(OR(B429="",C429="",D429=""),"",D429*100000+(C429-DATE(2000,1,1))+ROW()/100000)</f>
        <v/>
      </c>
      <c r="F429" s="46">
        <f>IF(E429="","",IF(C429&gt;WeekEndDate,"",E429))</f>
        <v/>
      </c>
    </row>
    <row r="430">
      <c r="A430" t="inlineStr">
        <is>
          <t>Change Orders</t>
        </is>
      </c>
      <c r="B430" s="46">
        <f>'Change Orders'!U45</f>
        <v/>
      </c>
      <c r="C430" s="84">
        <f>'Change Orders'!S45</f>
        <v/>
      </c>
      <c r="D430" s="46">
        <f>'Change Orders'!T45</f>
        <v/>
      </c>
      <c r="E430" s="46">
        <f>IF(OR(B430="",C430="",D430=""),"",D430*100000+(C430-DATE(2000,1,1))+ROW()/100000)</f>
        <v/>
      </c>
      <c r="F430" s="46">
        <f>IF(E430="","",IF(C430&gt;WeekEndDate,"",E430))</f>
        <v/>
      </c>
    </row>
    <row r="431">
      <c r="A431" t="inlineStr">
        <is>
          <t>Change Orders</t>
        </is>
      </c>
      <c r="B431" s="46">
        <f>'Change Orders'!U46</f>
        <v/>
      </c>
      <c r="C431" s="84">
        <f>'Change Orders'!S46</f>
        <v/>
      </c>
      <c r="D431" s="46">
        <f>'Change Orders'!T46</f>
        <v/>
      </c>
      <c r="E431" s="46">
        <f>IF(OR(B431="",C431="",D431=""),"",D431*100000+(C431-DATE(2000,1,1))+ROW()/100000)</f>
        <v/>
      </c>
      <c r="F431" s="46">
        <f>IF(E431="","",IF(C431&gt;WeekEndDate,"",E431))</f>
        <v/>
      </c>
    </row>
    <row r="432">
      <c r="A432" t="inlineStr">
        <is>
          <t>Change Orders</t>
        </is>
      </c>
      <c r="B432" s="46">
        <f>'Change Orders'!U47</f>
        <v/>
      </c>
      <c r="C432" s="84">
        <f>'Change Orders'!S47</f>
        <v/>
      </c>
      <c r="D432" s="46">
        <f>'Change Orders'!T47</f>
        <v/>
      </c>
      <c r="E432" s="46">
        <f>IF(OR(B432="",C432="",D432=""),"",D432*100000+(C432-DATE(2000,1,1))+ROW()/100000)</f>
        <v/>
      </c>
      <c r="F432" s="46">
        <f>IF(E432="","",IF(C432&gt;WeekEndDate,"",E432))</f>
        <v/>
      </c>
    </row>
    <row r="433">
      <c r="A433" t="inlineStr">
        <is>
          <t>Change Orders</t>
        </is>
      </c>
      <c r="B433" s="46">
        <f>'Change Orders'!U48</f>
        <v/>
      </c>
      <c r="C433" s="84">
        <f>'Change Orders'!S48</f>
        <v/>
      </c>
      <c r="D433" s="46">
        <f>'Change Orders'!T48</f>
        <v/>
      </c>
      <c r="E433" s="46">
        <f>IF(OR(B433="",C433="",D433=""),"",D433*100000+(C433-DATE(2000,1,1))+ROW()/100000)</f>
        <v/>
      </c>
      <c r="F433" s="46">
        <f>IF(E433="","",IF(C433&gt;WeekEndDate,"",E433))</f>
        <v/>
      </c>
    </row>
    <row r="434">
      <c r="A434" t="inlineStr">
        <is>
          <t>Change Orders</t>
        </is>
      </c>
      <c r="B434" s="46">
        <f>'Change Orders'!U49</f>
        <v/>
      </c>
      <c r="C434" s="84">
        <f>'Change Orders'!S49</f>
        <v/>
      </c>
      <c r="D434" s="46">
        <f>'Change Orders'!T49</f>
        <v/>
      </c>
      <c r="E434" s="46">
        <f>IF(OR(B434="",C434="",D434=""),"",D434*100000+(C434-DATE(2000,1,1))+ROW()/100000)</f>
        <v/>
      </c>
      <c r="F434" s="46">
        <f>IF(E434="","",IF(C434&gt;WeekEndDate,"",E434))</f>
        <v/>
      </c>
    </row>
    <row r="435">
      <c r="A435" t="inlineStr">
        <is>
          <t>Change Orders</t>
        </is>
      </c>
      <c r="B435" s="46">
        <f>'Change Orders'!U50</f>
        <v/>
      </c>
      <c r="C435" s="84">
        <f>'Change Orders'!S50</f>
        <v/>
      </c>
      <c r="D435" s="46">
        <f>'Change Orders'!T50</f>
        <v/>
      </c>
      <c r="E435" s="46">
        <f>IF(OR(B435="",C435="",D435=""),"",D435*100000+(C435-DATE(2000,1,1))+ROW()/100000)</f>
        <v/>
      </c>
      <c r="F435" s="46">
        <f>IF(E435="","",IF(C435&gt;WeekEndDate,"",E435))</f>
        <v/>
      </c>
    </row>
    <row r="436">
      <c r="A436" t="inlineStr">
        <is>
          <t>Change Orders</t>
        </is>
      </c>
      <c r="B436" s="46">
        <f>'Change Orders'!U51</f>
        <v/>
      </c>
      <c r="C436" s="84">
        <f>'Change Orders'!S51</f>
        <v/>
      </c>
      <c r="D436" s="46">
        <f>'Change Orders'!T51</f>
        <v/>
      </c>
      <c r="E436" s="46">
        <f>IF(OR(B436="",C436="",D436=""),"",D436*100000+(C436-DATE(2000,1,1))+ROW()/100000)</f>
        <v/>
      </c>
      <c r="F436" s="46">
        <f>IF(E436="","",IF(C436&gt;WeekEndDate,"",E436))</f>
        <v/>
      </c>
    </row>
    <row r="437">
      <c r="A437" t="inlineStr">
        <is>
          <t>Change Orders</t>
        </is>
      </c>
      <c r="B437" s="46">
        <f>'Change Orders'!U52</f>
        <v/>
      </c>
      <c r="C437" s="84">
        <f>'Change Orders'!S52</f>
        <v/>
      </c>
      <c r="D437" s="46">
        <f>'Change Orders'!T52</f>
        <v/>
      </c>
      <c r="E437" s="46">
        <f>IF(OR(B437="",C437="",D437=""),"",D437*100000+(C437-DATE(2000,1,1))+ROW()/100000)</f>
        <v/>
      </c>
      <c r="F437" s="46">
        <f>IF(E437="","",IF(C437&gt;WeekEndDate,"",E437))</f>
        <v/>
      </c>
    </row>
    <row r="438">
      <c r="A438" t="inlineStr">
        <is>
          <t>Change Orders</t>
        </is>
      </c>
      <c r="B438" s="46">
        <f>'Change Orders'!U53</f>
        <v/>
      </c>
      <c r="C438" s="84">
        <f>'Change Orders'!S53</f>
        <v/>
      </c>
      <c r="D438" s="46">
        <f>'Change Orders'!T53</f>
        <v/>
      </c>
      <c r="E438" s="46">
        <f>IF(OR(B438="",C438="",D438=""),"",D438*100000+(C438-DATE(2000,1,1))+ROW()/100000)</f>
        <v/>
      </c>
      <c r="F438" s="46">
        <f>IF(E438="","",IF(C438&gt;WeekEndDate,"",E438))</f>
        <v/>
      </c>
    </row>
    <row r="439">
      <c r="A439" t="inlineStr">
        <is>
          <t>Change Orders</t>
        </is>
      </c>
      <c r="B439" s="46">
        <f>'Change Orders'!U54</f>
        <v/>
      </c>
      <c r="C439" s="84">
        <f>'Change Orders'!S54</f>
        <v/>
      </c>
      <c r="D439" s="46">
        <f>'Change Orders'!T54</f>
        <v/>
      </c>
      <c r="E439" s="46">
        <f>IF(OR(B439="",C439="",D439=""),"",D439*100000+(C439-DATE(2000,1,1))+ROW()/100000)</f>
        <v/>
      </c>
      <c r="F439" s="46">
        <f>IF(E439="","",IF(C439&gt;WeekEndDate,"",E439))</f>
        <v/>
      </c>
    </row>
    <row r="440">
      <c r="A440" t="inlineStr">
        <is>
          <t>Change Orders</t>
        </is>
      </c>
      <c r="B440" s="46">
        <f>'Change Orders'!U55</f>
        <v/>
      </c>
      <c r="C440" s="84">
        <f>'Change Orders'!S55</f>
        <v/>
      </c>
      <c r="D440" s="46">
        <f>'Change Orders'!T55</f>
        <v/>
      </c>
      <c r="E440" s="46">
        <f>IF(OR(B440="",C440="",D440=""),"",D440*100000+(C440-DATE(2000,1,1))+ROW()/100000)</f>
        <v/>
      </c>
      <c r="F440" s="46">
        <f>IF(E440="","",IF(C440&gt;WeekEndDate,"",E440))</f>
        <v/>
      </c>
    </row>
    <row r="441">
      <c r="A441" t="inlineStr">
        <is>
          <t>Change Orders</t>
        </is>
      </c>
      <c r="B441" s="46">
        <f>'Change Orders'!U56</f>
        <v/>
      </c>
      <c r="C441" s="84">
        <f>'Change Orders'!S56</f>
        <v/>
      </c>
      <c r="D441" s="46">
        <f>'Change Orders'!T56</f>
        <v/>
      </c>
      <c r="E441" s="46">
        <f>IF(OR(B441="",C441="",D441=""),"",D441*100000+(C441-DATE(2000,1,1))+ROW()/100000)</f>
        <v/>
      </c>
      <c r="F441" s="46">
        <f>IF(E441="","",IF(C441&gt;WeekEndDate,"",E441))</f>
        <v/>
      </c>
    </row>
    <row r="442">
      <c r="A442" t="inlineStr">
        <is>
          <t>Change Orders</t>
        </is>
      </c>
      <c r="B442" s="46">
        <f>'Change Orders'!U57</f>
        <v/>
      </c>
      <c r="C442" s="84">
        <f>'Change Orders'!S57</f>
        <v/>
      </c>
      <c r="D442" s="46">
        <f>'Change Orders'!T57</f>
        <v/>
      </c>
      <c r="E442" s="46">
        <f>IF(OR(B442="",C442="",D442=""),"",D442*100000+(C442-DATE(2000,1,1))+ROW()/100000)</f>
        <v/>
      </c>
      <c r="F442" s="46">
        <f>IF(E442="","",IF(C442&gt;WeekEndDate,"",E442))</f>
        <v/>
      </c>
    </row>
    <row r="443">
      <c r="A443" t="inlineStr">
        <is>
          <t>Change Orders</t>
        </is>
      </c>
      <c r="B443" s="46">
        <f>'Change Orders'!U58</f>
        <v/>
      </c>
      <c r="C443" s="84">
        <f>'Change Orders'!S58</f>
        <v/>
      </c>
      <c r="D443" s="46">
        <f>'Change Orders'!T58</f>
        <v/>
      </c>
      <c r="E443" s="46">
        <f>IF(OR(B443="",C443="",D443=""),"",D443*100000+(C443-DATE(2000,1,1))+ROW()/100000)</f>
        <v/>
      </c>
      <c r="F443" s="46">
        <f>IF(E443="","",IF(C443&gt;WeekEndDate,"",E443))</f>
        <v/>
      </c>
    </row>
    <row r="444">
      <c r="A444" t="inlineStr">
        <is>
          <t>Change Orders</t>
        </is>
      </c>
      <c r="B444" s="46">
        <f>'Change Orders'!U59</f>
        <v/>
      </c>
      <c r="C444" s="84">
        <f>'Change Orders'!S59</f>
        <v/>
      </c>
      <c r="D444" s="46">
        <f>'Change Orders'!T59</f>
        <v/>
      </c>
      <c r="E444" s="46">
        <f>IF(OR(B444="",C444="",D444=""),"",D444*100000+(C444-DATE(2000,1,1))+ROW()/100000)</f>
        <v/>
      </c>
      <c r="F444" s="46">
        <f>IF(E444="","",IF(C444&gt;WeekEndDate,"",E444))</f>
        <v/>
      </c>
    </row>
    <row r="445">
      <c r="A445" t="inlineStr">
        <is>
          <t>Change Orders</t>
        </is>
      </c>
      <c r="B445" s="46">
        <f>'Change Orders'!U60</f>
        <v/>
      </c>
      <c r="C445" s="84">
        <f>'Change Orders'!S60</f>
        <v/>
      </c>
      <c r="D445" s="46">
        <f>'Change Orders'!T60</f>
        <v/>
      </c>
      <c r="E445" s="46">
        <f>IF(OR(B445="",C445="",D445=""),"",D445*100000+(C445-DATE(2000,1,1))+ROW()/100000)</f>
        <v/>
      </c>
      <c r="F445" s="46">
        <f>IF(E445="","",IF(C445&gt;WeekEndDate,"",E445))</f>
        <v/>
      </c>
    </row>
    <row r="446">
      <c r="A446" t="inlineStr">
        <is>
          <t>Change Orders</t>
        </is>
      </c>
      <c r="B446" s="46">
        <f>'Change Orders'!U61</f>
        <v/>
      </c>
      <c r="C446" s="84">
        <f>'Change Orders'!S61</f>
        <v/>
      </c>
      <c r="D446" s="46">
        <f>'Change Orders'!T61</f>
        <v/>
      </c>
      <c r="E446" s="46">
        <f>IF(OR(B446="",C446="",D446=""),"",D446*100000+(C446-DATE(2000,1,1))+ROW()/100000)</f>
        <v/>
      </c>
      <c r="F446" s="46">
        <f>IF(E446="","",IF(C446&gt;WeekEndDate,"",E446))</f>
        <v/>
      </c>
    </row>
    <row r="447">
      <c r="A447" t="inlineStr">
        <is>
          <t>Change Orders</t>
        </is>
      </c>
      <c r="B447" s="46">
        <f>'Change Orders'!U62</f>
        <v/>
      </c>
      <c r="C447" s="84">
        <f>'Change Orders'!S62</f>
        <v/>
      </c>
      <c r="D447" s="46">
        <f>'Change Orders'!T62</f>
        <v/>
      </c>
      <c r="E447" s="46">
        <f>IF(OR(B447="",C447="",D447=""),"",D447*100000+(C447-DATE(2000,1,1))+ROW()/100000)</f>
        <v/>
      </c>
      <c r="F447" s="46">
        <f>IF(E447="","",IF(C447&gt;WeekEndDate,"",E447))</f>
        <v/>
      </c>
    </row>
    <row r="448">
      <c r="A448" t="inlineStr">
        <is>
          <t>Change Orders</t>
        </is>
      </c>
      <c r="B448" s="46">
        <f>'Change Orders'!U63</f>
        <v/>
      </c>
      <c r="C448" s="84">
        <f>'Change Orders'!S63</f>
        <v/>
      </c>
      <c r="D448" s="46">
        <f>'Change Orders'!T63</f>
        <v/>
      </c>
      <c r="E448" s="46">
        <f>IF(OR(B448="",C448="",D448=""),"",D448*100000+(C448-DATE(2000,1,1))+ROW()/100000)</f>
        <v/>
      </c>
      <c r="F448" s="46">
        <f>IF(E448="","",IF(C448&gt;WeekEndDate,"",E448))</f>
        <v/>
      </c>
    </row>
    <row r="449">
      <c r="A449" t="inlineStr">
        <is>
          <t>Change Orders</t>
        </is>
      </c>
      <c r="B449" s="46">
        <f>'Change Orders'!U64</f>
        <v/>
      </c>
      <c r="C449" s="84">
        <f>'Change Orders'!S64</f>
        <v/>
      </c>
      <c r="D449" s="46">
        <f>'Change Orders'!T64</f>
        <v/>
      </c>
      <c r="E449" s="46">
        <f>IF(OR(B449="",C449="",D449=""),"",D449*100000+(C449-DATE(2000,1,1))+ROW()/100000)</f>
        <v/>
      </c>
      <c r="F449" s="46">
        <f>IF(E449="","",IF(C449&gt;WeekEndDate,"",E449))</f>
        <v/>
      </c>
    </row>
    <row r="450">
      <c r="A450" t="inlineStr">
        <is>
          <t>Change Orders</t>
        </is>
      </c>
      <c r="B450" s="46">
        <f>'Change Orders'!U65</f>
        <v/>
      </c>
      <c r="C450" s="84">
        <f>'Change Orders'!S65</f>
        <v/>
      </c>
      <c r="D450" s="46">
        <f>'Change Orders'!T65</f>
        <v/>
      </c>
      <c r="E450" s="46">
        <f>IF(OR(B450="",C450="",D450=""),"",D450*100000+(C450-DATE(2000,1,1))+ROW()/100000)</f>
        <v/>
      </c>
      <c r="F450" s="46">
        <f>IF(E450="","",IF(C450&gt;WeekEndDate,"",E450))</f>
        <v/>
      </c>
    </row>
    <row r="451">
      <c r="A451" t="inlineStr">
        <is>
          <t>Change Orders</t>
        </is>
      </c>
      <c r="B451" s="46">
        <f>'Change Orders'!U66</f>
        <v/>
      </c>
      <c r="C451" s="84">
        <f>'Change Orders'!S66</f>
        <v/>
      </c>
      <c r="D451" s="46">
        <f>'Change Orders'!T66</f>
        <v/>
      </c>
      <c r="E451" s="46">
        <f>IF(OR(B451="",C451="",D451=""),"",D451*100000+(C451-DATE(2000,1,1))+ROW()/100000)</f>
        <v/>
      </c>
      <c r="F451" s="46">
        <f>IF(E451="","",IF(C451&gt;WeekEndDate,"",E451))</f>
        <v/>
      </c>
    </row>
    <row r="452">
      <c r="A452" t="inlineStr">
        <is>
          <t>Change Orders</t>
        </is>
      </c>
      <c r="B452" s="46">
        <f>'Change Orders'!U67</f>
        <v/>
      </c>
      <c r="C452" s="84">
        <f>'Change Orders'!S67</f>
        <v/>
      </c>
      <c r="D452" s="46">
        <f>'Change Orders'!T67</f>
        <v/>
      </c>
      <c r="E452" s="46">
        <f>IF(OR(B452="",C452="",D452=""),"",D452*100000+(C452-DATE(2000,1,1))+ROW()/100000)</f>
        <v/>
      </c>
      <c r="F452" s="46">
        <f>IF(E452="","",IF(C452&gt;WeekEndDate,"",E452))</f>
        <v/>
      </c>
    </row>
    <row r="453">
      <c r="A453" t="inlineStr">
        <is>
          <t>Change Orders</t>
        </is>
      </c>
      <c r="B453" s="46">
        <f>'Change Orders'!U68</f>
        <v/>
      </c>
      <c r="C453" s="84">
        <f>'Change Orders'!S68</f>
        <v/>
      </c>
      <c r="D453" s="46">
        <f>'Change Orders'!T68</f>
        <v/>
      </c>
      <c r="E453" s="46">
        <f>IF(OR(B453="",C453="",D453=""),"",D453*100000+(C453-DATE(2000,1,1))+ROW()/100000)</f>
        <v/>
      </c>
      <c r="F453" s="46">
        <f>IF(E453="","",IF(C453&gt;WeekEndDate,"",E453))</f>
        <v/>
      </c>
    </row>
    <row r="454">
      <c r="A454" t="inlineStr">
        <is>
          <t>Change Orders</t>
        </is>
      </c>
      <c r="B454" s="46">
        <f>'Change Orders'!U69</f>
        <v/>
      </c>
      <c r="C454" s="84">
        <f>'Change Orders'!S69</f>
        <v/>
      </c>
      <c r="D454" s="46">
        <f>'Change Orders'!T69</f>
        <v/>
      </c>
      <c r="E454" s="46">
        <f>IF(OR(B454="",C454="",D454=""),"",D454*100000+(C454-DATE(2000,1,1))+ROW()/100000)</f>
        <v/>
      </c>
      <c r="F454" s="46">
        <f>IF(E454="","",IF(C454&gt;WeekEndDate,"",E454))</f>
        <v/>
      </c>
    </row>
    <row r="455">
      <c r="A455" t="inlineStr">
        <is>
          <t>Change Orders</t>
        </is>
      </c>
      <c r="B455" s="46">
        <f>'Change Orders'!U70</f>
        <v/>
      </c>
      <c r="C455" s="84">
        <f>'Change Orders'!S70</f>
        <v/>
      </c>
      <c r="D455" s="46">
        <f>'Change Orders'!T70</f>
        <v/>
      </c>
      <c r="E455" s="46">
        <f>IF(OR(B455="",C455="",D455=""),"",D455*100000+(C455-DATE(2000,1,1))+ROW()/100000)</f>
        <v/>
      </c>
      <c r="F455" s="46">
        <f>IF(E455="","",IF(C455&gt;WeekEndDate,"",E455))</f>
        <v/>
      </c>
    </row>
    <row r="456">
      <c r="A456" t="inlineStr">
        <is>
          <t>Change Orders</t>
        </is>
      </c>
      <c r="B456" s="46">
        <f>'Change Orders'!U71</f>
        <v/>
      </c>
      <c r="C456" s="84">
        <f>'Change Orders'!S71</f>
        <v/>
      </c>
      <c r="D456" s="46">
        <f>'Change Orders'!T71</f>
        <v/>
      </c>
      <c r="E456" s="46">
        <f>IF(OR(B456="",C456="",D456=""),"",D456*100000+(C456-DATE(2000,1,1))+ROW()/100000)</f>
        <v/>
      </c>
      <c r="F456" s="46">
        <f>IF(E456="","",IF(C456&gt;WeekEndDate,"",E456))</f>
        <v/>
      </c>
    </row>
    <row r="457">
      <c r="A457" t="inlineStr">
        <is>
          <t>Change Orders</t>
        </is>
      </c>
      <c r="B457" s="46">
        <f>'Change Orders'!U72</f>
        <v/>
      </c>
      <c r="C457" s="84">
        <f>'Change Orders'!S72</f>
        <v/>
      </c>
      <c r="D457" s="46">
        <f>'Change Orders'!T72</f>
        <v/>
      </c>
      <c r="E457" s="46">
        <f>IF(OR(B457="",C457="",D457=""),"",D457*100000+(C457-DATE(2000,1,1))+ROW()/100000)</f>
        <v/>
      </c>
      <c r="F457" s="46">
        <f>IF(E457="","",IF(C457&gt;WeekEndDate,"",E457))</f>
        <v/>
      </c>
    </row>
    <row r="458">
      <c r="A458" t="inlineStr">
        <is>
          <t>Change Orders</t>
        </is>
      </c>
      <c r="B458" s="46">
        <f>'Change Orders'!U73</f>
        <v/>
      </c>
      <c r="C458" s="84">
        <f>'Change Orders'!S73</f>
        <v/>
      </c>
      <c r="D458" s="46">
        <f>'Change Orders'!T73</f>
        <v/>
      </c>
      <c r="E458" s="46">
        <f>IF(OR(B458="",C458="",D458=""),"",D458*100000+(C458-DATE(2000,1,1))+ROW()/100000)</f>
        <v/>
      </c>
      <c r="F458" s="46">
        <f>IF(E458="","",IF(C458&gt;WeekEndDate,"",E458))</f>
        <v/>
      </c>
    </row>
    <row r="459">
      <c r="A459" t="inlineStr">
        <is>
          <t>Change Orders</t>
        </is>
      </c>
      <c r="B459" s="46">
        <f>'Change Orders'!U74</f>
        <v/>
      </c>
      <c r="C459" s="84">
        <f>'Change Orders'!S74</f>
        <v/>
      </c>
      <c r="D459" s="46">
        <f>'Change Orders'!T74</f>
        <v/>
      </c>
      <c r="E459" s="46">
        <f>IF(OR(B459="",C459="",D459=""),"",D459*100000+(C459-DATE(2000,1,1))+ROW()/100000)</f>
        <v/>
      </c>
      <c r="F459" s="46">
        <f>IF(E459="","",IF(C459&gt;WeekEndDate,"",E459))</f>
        <v/>
      </c>
    </row>
    <row r="460">
      <c r="A460" t="inlineStr">
        <is>
          <t>Change Orders</t>
        </is>
      </c>
      <c r="B460" s="46">
        <f>'Change Orders'!U75</f>
        <v/>
      </c>
      <c r="C460" s="84">
        <f>'Change Orders'!S75</f>
        <v/>
      </c>
      <c r="D460" s="46">
        <f>'Change Orders'!T75</f>
        <v/>
      </c>
      <c r="E460" s="46">
        <f>IF(OR(B460="",C460="",D460=""),"",D460*100000+(C460-DATE(2000,1,1))+ROW()/100000)</f>
        <v/>
      </c>
      <c r="F460" s="46">
        <f>IF(E460="","",IF(C460&gt;WeekEndDate,"",E460))</f>
        <v/>
      </c>
    </row>
    <row r="461">
      <c r="A461" t="inlineStr">
        <is>
          <t>Change Orders</t>
        </is>
      </c>
      <c r="B461" s="46">
        <f>'Change Orders'!U76</f>
        <v/>
      </c>
      <c r="C461" s="84">
        <f>'Change Orders'!S76</f>
        <v/>
      </c>
      <c r="D461" s="46">
        <f>'Change Orders'!T76</f>
        <v/>
      </c>
      <c r="E461" s="46">
        <f>IF(OR(B461="",C461="",D461=""),"",D461*100000+(C461-DATE(2000,1,1))+ROW()/100000)</f>
        <v/>
      </c>
      <c r="F461" s="46">
        <f>IF(E461="","",IF(C461&gt;WeekEndDate,"",E461))</f>
        <v/>
      </c>
    </row>
    <row r="462">
      <c r="A462" t="inlineStr">
        <is>
          <t>Change Orders</t>
        </is>
      </c>
      <c r="B462" s="46">
        <f>'Change Orders'!U77</f>
        <v/>
      </c>
      <c r="C462" s="84">
        <f>'Change Orders'!S77</f>
        <v/>
      </c>
      <c r="D462" s="46">
        <f>'Change Orders'!T77</f>
        <v/>
      </c>
      <c r="E462" s="46">
        <f>IF(OR(B462="",C462="",D462=""),"",D462*100000+(C462-DATE(2000,1,1))+ROW()/100000)</f>
        <v/>
      </c>
      <c r="F462" s="46">
        <f>IF(E462="","",IF(C462&gt;WeekEndDate,"",E462))</f>
        <v/>
      </c>
    </row>
    <row r="463">
      <c r="A463" t="inlineStr">
        <is>
          <t>Change Orders</t>
        </is>
      </c>
      <c r="B463" s="46">
        <f>'Change Orders'!U78</f>
        <v/>
      </c>
      <c r="C463" s="84">
        <f>'Change Orders'!S78</f>
        <v/>
      </c>
      <c r="D463" s="46">
        <f>'Change Orders'!T78</f>
        <v/>
      </c>
      <c r="E463" s="46">
        <f>IF(OR(B463="",C463="",D463=""),"",D463*100000+(C463-DATE(2000,1,1))+ROW()/100000)</f>
        <v/>
      </c>
      <c r="F463" s="46">
        <f>IF(E463="","",IF(C463&gt;WeekEndDate,"",E463))</f>
        <v/>
      </c>
    </row>
    <row r="464">
      <c r="A464" t="inlineStr">
        <is>
          <t>Change Orders</t>
        </is>
      </c>
      <c r="B464" s="46">
        <f>'Change Orders'!U79</f>
        <v/>
      </c>
      <c r="C464" s="84">
        <f>'Change Orders'!S79</f>
        <v/>
      </c>
      <c r="D464" s="46">
        <f>'Change Orders'!T79</f>
        <v/>
      </c>
      <c r="E464" s="46">
        <f>IF(OR(B464="",C464="",D464=""),"",D464*100000+(C464-DATE(2000,1,1))+ROW()/100000)</f>
        <v/>
      </c>
      <c r="F464" s="46">
        <f>IF(E464="","",IF(C464&gt;WeekEndDate,"",E464))</f>
        <v/>
      </c>
    </row>
    <row r="465">
      <c r="A465" t="inlineStr">
        <is>
          <t>Change Orders</t>
        </is>
      </c>
      <c r="B465" s="46">
        <f>'Change Orders'!U80</f>
        <v/>
      </c>
      <c r="C465" s="84">
        <f>'Change Orders'!S80</f>
        <v/>
      </c>
      <c r="D465" s="46">
        <f>'Change Orders'!T80</f>
        <v/>
      </c>
      <c r="E465" s="46">
        <f>IF(OR(B465="",C465="",D465=""),"",D465*100000+(C465-DATE(2000,1,1))+ROW()/100000)</f>
        <v/>
      </c>
      <c r="F465" s="46">
        <f>IF(E465="","",IF(C465&gt;WeekEndDate,"",E465))</f>
        <v/>
      </c>
    </row>
    <row r="466">
      <c r="A466" t="inlineStr">
        <is>
          <t>Change Orders</t>
        </is>
      </c>
      <c r="B466" s="46">
        <f>'Change Orders'!U81</f>
        <v/>
      </c>
      <c r="C466" s="84">
        <f>'Change Orders'!S81</f>
        <v/>
      </c>
      <c r="D466" s="46">
        <f>'Change Orders'!T81</f>
        <v/>
      </c>
      <c r="E466" s="46">
        <f>IF(OR(B466="",C466="",D466=""),"",D466*100000+(C466-DATE(2000,1,1))+ROW()/100000)</f>
        <v/>
      </c>
      <c r="F466" s="46">
        <f>IF(E466="","",IF(C466&gt;WeekEndDate,"",E466))</f>
        <v/>
      </c>
    </row>
    <row r="467">
      <c r="A467" t="inlineStr">
        <is>
          <t>Change Orders</t>
        </is>
      </c>
      <c r="B467" s="46">
        <f>'Change Orders'!U82</f>
        <v/>
      </c>
      <c r="C467" s="84">
        <f>'Change Orders'!S82</f>
        <v/>
      </c>
      <c r="D467" s="46">
        <f>'Change Orders'!T82</f>
        <v/>
      </c>
      <c r="E467" s="46">
        <f>IF(OR(B467="",C467="",D467=""),"",D467*100000+(C467-DATE(2000,1,1))+ROW()/100000)</f>
        <v/>
      </c>
      <c r="F467" s="46">
        <f>IF(E467="","",IF(C467&gt;WeekEndDate,"",E467))</f>
        <v/>
      </c>
    </row>
    <row r="468">
      <c r="A468" t="inlineStr">
        <is>
          <t>Change Orders</t>
        </is>
      </c>
      <c r="B468" s="46">
        <f>'Change Orders'!U83</f>
        <v/>
      </c>
      <c r="C468" s="84">
        <f>'Change Orders'!S83</f>
        <v/>
      </c>
      <c r="D468" s="46">
        <f>'Change Orders'!T83</f>
        <v/>
      </c>
      <c r="E468" s="46">
        <f>IF(OR(B468="",C468="",D468=""),"",D468*100000+(C468-DATE(2000,1,1))+ROW()/100000)</f>
        <v/>
      </c>
      <c r="F468" s="46">
        <f>IF(E468="","",IF(C468&gt;WeekEndDate,"",E468))</f>
        <v/>
      </c>
    </row>
    <row r="469">
      <c r="A469" t="inlineStr">
        <is>
          <t>Change Orders</t>
        </is>
      </c>
      <c r="B469" s="46">
        <f>'Change Orders'!U84</f>
        <v/>
      </c>
      <c r="C469" s="84">
        <f>'Change Orders'!S84</f>
        <v/>
      </c>
      <c r="D469" s="46">
        <f>'Change Orders'!T84</f>
        <v/>
      </c>
      <c r="E469" s="46">
        <f>IF(OR(B469="",C469="",D469=""),"",D469*100000+(C469-DATE(2000,1,1))+ROW()/100000)</f>
        <v/>
      </c>
      <c r="F469" s="46">
        <f>IF(E469="","",IF(C469&gt;WeekEndDate,"",E469))</f>
        <v/>
      </c>
    </row>
    <row r="470">
      <c r="A470" t="inlineStr">
        <is>
          <t>Change Orders</t>
        </is>
      </c>
      <c r="B470" s="46">
        <f>'Change Orders'!U85</f>
        <v/>
      </c>
      <c r="C470" s="84">
        <f>'Change Orders'!S85</f>
        <v/>
      </c>
      <c r="D470" s="46">
        <f>'Change Orders'!T85</f>
        <v/>
      </c>
      <c r="E470" s="46">
        <f>IF(OR(B470="",C470="",D470=""),"",D470*100000+(C470-DATE(2000,1,1))+ROW()/100000)</f>
        <v/>
      </c>
      <c r="F470" s="46">
        <f>IF(E470="","",IF(C470&gt;WeekEndDate,"",E470))</f>
        <v/>
      </c>
    </row>
    <row r="471">
      <c r="A471" t="inlineStr">
        <is>
          <t>Change Orders</t>
        </is>
      </c>
      <c r="B471" s="46">
        <f>'Change Orders'!U86</f>
        <v/>
      </c>
      <c r="C471" s="84">
        <f>'Change Orders'!S86</f>
        <v/>
      </c>
      <c r="D471" s="46">
        <f>'Change Orders'!T86</f>
        <v/>
      </c>
      <c r="E471" s="46">
        <f>IF(OR(B471="",C471="",D471=""),"",D471*100000+(C471-DATE(2000,1,1))+ROW()/100000)</f>
        <v/>
      </c>
      <c r="F471" s="46">
        <f>IF(E471="","",IF(C471&gt;WeekEndDate,"",E471))</f>
        <v/>
      </c>
    </row>
    <row r="472">
      <c r="A472" t="inlineStr">
        <is>
          <t>Change Orders</t>
        </is>
      </c>
      <c r="B472" s="46">
        <f>'Change Orders'!U87</f>
        <v/>
      </c>
      <c r="C472" s="84">
        <f>'Change Orders'!S87</f>
        <v/>
      </c>
      <c r="D472" s="46">
        <f>'Change Orders'!T87</f>
        <v/>
      </c>
      <c r="E472" s="46">
        <f>IF(OR(B472="",C472="",D472=""),"",D472*100000+(C472-DATE(2000,1,1))+ROW()/100000)</f>
        <v/>
      </c>
      <c r="F472" s="46">
        <f>IF(E472="","",IF(C472&gt;WeekEndDate,"",E472))</f>
        <v/>
      </c>
    </row>
    <row r="473">
      <c r="A473" t="inlineStr">
        <is>
          <t>Change Orders</t>
        </is>
      </c>
      <c r="B473" s="46">
        <f>'Change Orders'!U88</f>
        <v/>
      </c>
      <c r="C473" s="84">
        <f>'Change Orders'!S88</f>
        <v/>
      </c>
      <c r="D473" s="46">
        <f>'Change Orders'!T88</f>
        <v/>
      </c>
      <c r="E473" s="46">
        <f>IF(OR(B473="",C473="",D473=""),"",D473*100000+(C473-DATE(2000,1,1))+ROW()/100000)</f>
        <v/>
      </c>
      <c r="F473" s="46">
        <f>IF(E473="","",IF(C473&gt;WeekEndDate,"",E473))</f>
        <v/>
      </c>
    </row>
    <row r="474">
      <c r="A474" t="inlineStr">
        <is>
          <t>Change Orders</t>
        </is>
      </c>
      <c r="B474" s="46">
        <f>'Change Orders'!U89</f>
        <v/>
      </c>
      <c r="C474" s="84">
        <f>'Change Orders'!S89</f>
        <v/>
      </c>
      <c r="D474" s="46">
        <f>'Change Orders'!T89</f>
        <v/>
      </c>
      <c r="E474" s="46">
        <f>IF(OR(B474="",C474="",D474=""),"",D474*100000+(C474-DATE(2000,1,1))+ROW()/100000)</f>
        <v/>
      </c>
      <c r="F474" s="46">
        <f>IF(E474="","",IF(C474&gt;WeekEndDate,"",E474))</f>
        <v/>
      </c>
    </row>
    <row r="475">
      <c r="A475" t="inlineStr">
        <is>
          <t>Change Orders</t>
        </is>
      </c>
      <c r="B475" s="46">
        <f>'Change Orders'!U90</f>
        <v/>
      </c>
      <c r="C475" s="84">
        <f>'Change Orders'!S90</f>
        <v/>
      </c>
      <c r="D475" s="46">
        <f>'Change Orders'!T90</f>
        <v/>
      </c>
      <c r="E475" s="46">
        <f>IF(OR(B475="",C475="",D475=""),"",D475*100000+(C475-DATE(2000,1,1))+ROW()/100000)</f>
        <v/>
      </c>
      <c r="F475" s="46">
        <f>IF(E475="","",IF(C475&gt;WeekEndDate,"",E475))</f>
        <v/>
      </c>
    </row>
    <row r="476">
      <c r="A476" t="inlineStr">
        <is>
          <t>Change Orders</t>
        </is>
      </c>
      <c r="B476" s="46">
        <f>'Change Orders'!U91</f>
        <v/>
      </c>
      <c r="C476" s="84">
        <f>'Change Orders'!S91</f>
        <v/>
      </c>
      <c r="D476" s="46">
        <f>'Change Orders'!T91</f>
        <v/>
      </c>
      <c r="E476" s="46">
        <f>IF(OR(B476="",C476="",D476=""),"",D476*100000+(C476-DATE(2000,1,1))+ROW()/100000)</f>
        <v/>
      </c>
      <c r="F476" s="46">
        <f>IF(E476="","",IF(C476&gt;WeekEndDate,"",E476))</f>
        <v/>
      </c>
    </row>
    <row r="477">
      <c r="A477" t="inlineStr">
        <is>
          <t>Change Orders</t>
        </is>
      </c>
      <c r="B477" s="46">
        <f>'Change Orders'!U92</f>
        <v/>
      </c>
      <c r="C477" s="84">
        <f>'Change Orders'!S92</f>
        <v/>
      </c>
      <c r="D477" s="46">
        <f>'Change Orders'!T92</f>
        <v/>
      </c>
      <c r="E477" s="46">
        <f>IF(OR(B477="",C477="",D477=""),"",D477*100000+(C477-DATE(2000,1,1))+ROW()/100000)</f>
        <v/>
      </c>
      <c r="F477" s="46">
        <f>IF(E477="","",IF(C477&gt;WeekEndDate,"",E477))</f>
        <v/>
      </c>
    </row>
    <row r="478">
      <c r="A478" t="inlineStr">
        <is>
          <t>Change Orders</t>
        </is>
      </c>
      <c r="B478" s="46">
        <f>'Change Orders'!U93</f>
        <v/>
      </c>
      <c r="C478" s="84">
        <f>'Change Orders'!S93</f>
        <v/>
      </c>
      <c r="D478" s="46">
        <f>'Change Orders'!T93</f>
        <v/>
      </c>
      <c r="E478" s="46">
        <f>IF(OR(B478="",C478="",D478=""),"",D478*100000+(C478-DATE(2000,1,1))+ROW()/100000)</f>
        <v/>
      </c>
      <c r="F478" s="46">
        <f>IF(E478="","",IF(C478&gt;WeekEndDate,"",E478))</f>
        <v/>
      </c>
    </row>
    <row r="479">
      <c r="A479" t="inlineStr">
        <is>
          <t>Change Orders</t>
        </is>
      </c>
      <c r="B479" s="46">
        <f>'Change Orders'!U94</f>
        <v/>
      </c>
      <c r="C479" s="84">
        <f>'Change Orders'!S94</f>
        <v/>
      </c>
      <c r="D479" s="46">
        <f>'Change Orders'!T94</f>
        <v/>
      </c>
      <c r="E479" s="46">
        <f>IF(OR(B479="",C479="",D479=""),"",D479*100000+(C479-DATE(2000,1,1))+ROW()/100000)</f>
        <v/>
      </c>
      <c r="F479" s="46">
        <f>IF(E479="","",IF(C479&gt;WeekEndDate,"",E479))</f>
        <v/>
      </c>
    </row>
    <row r="480">
      <c r="A480" t="inlineStr">
        <is>
          <t>Change Orders</t>
        </is>
      </c>
      <c r="B480" s="46">
        <f>'Change Orders'!U95</f>
        <v/>
      </c>
      <c r="C480" s="84">
        <f>'Change Orders'!S95</f>
        <v/>
      </c>
      <c r="D480" s="46">
        <f>'Change Orders'!T95</f>
        <v/>
      </c>
      <c r="E480" s="46">
        <f>IF(OR(B480="",C480="",D480=""),"",D480*100000+(C480-DATE(2000,1,1))+ROW()/100000)</f>
        <v/>
      </c>
      <c r="F480" s="46">
        <f>IF(E480="","",IF(C480&gt;WeekEndDate,"",E480))</f>
        <v/>
      </c>
    </row>
    <row r="481">
      <c r="A481" t="inlineStr">
        <is>
          <t>Change Orders</t>
        </is>
      </c>
      <c r="B481" s="46">
        <f>'Change Orders'!U96</f>
        <v/>
      </c>
      <c r="C481" s="84">
        <f>'Change Orders'!S96</f>
        <v/>
      </c>
      <c r="D481" s="46">
        <f>'Change Orders'!T96</f>
        <v/>
      </c>
      <c r="E481" s="46">
        <f>IF(OR(B481="",C481="",D481=""),"",D481*100000+(C481-DATE(2000,1,1))+ROW()/100000)</f>
        <v/>
      </c>
      <c r="F481" s="46">
        <f>IF(E481="","",IF(C481&gt;WeekEndDate,"",E481))</f>
        <v/>
      </c>
    </row>
    <row r="482">
      <c r="A482" t="inlineStr">
        <is>
          <t>Change Orders</t>
        </is>
      </c>
      <c r="B482" s="46">
        <f>'Change Orders'!U97</f>
        <v/>
      </c>
      <c r="C482" s="84">
        <f>'Change Orders'!S97</f>
        <v/>
      </c>
      <c r="D482" s="46">
        <f>'Change Orders'!T97</f>
        <v/>
      </c>
      <c r="E482" s="46">
        <f>IF(OR(B482="",C482="",D482=""),"",D482*100000+(C482-DATE(2000,1,1))+ROW()/100000)</f>
        <v/>
      </c>
      <c r="F482" s="46">
        <f>IF(E482="","",IF(C482&gt;WeekEndDate,"",E482))</f>
        <v/>
      </c>
    </row>
    <row r="483">
      <c r="A483" t="inlineStr">
        <is>
          <t>Change Orders</t>
        </is>
      </c>
      <c r="B483" s="46">
        <f>'Change Orders'!U98</f>
        <v/>
      </c>
      <c r="C483" s="84">
        <f>'Change Orders'!S98</f>
        <v/>
      </c>
      <c r="D483" s="46">
        <f>'Change Orders'!T98</f>
        <v/>
      </c>
      <c r="E483" s="46">
        <f>IF(OR(B483="",C483="",D483=""),"",D483*100000+(C483-DATE(2000,1,1))+ROW()/100000)</f>
        <v/>
      </c>
      <c r="F483" s="46">
        <f>IF(E483="","",IF(C483&gt;WeekEndDate,"",E483))</f>
        <v/>
      </c>
    </row>
    <row r="484">
      <c r="A484" t="inlineStr">
        <is>
          <t>Change Orders</t>
        </is>
      </c>
      <c r="B484" s="46">
        <f>'Change Orders'!U99</f>
        <v/>
      </c>
      <c r="C484" s="84">
        <f>'Change Orders'!S99</f>
        <v/>
      </c>
      <c r="D484" s="46">
        <f>'Change Orders'!T99</f>
        <v/>
      </c>
      <c r="E484" s="46">
        <f>IF(OR(B484="",C484="",D484=""),"",D484*100000+(C484-DATE(2000,1,1))+ROW()/100000)</f>
        <v/>
      </c>
      <c r="F484" s="46">
        <f>IF(E484="","",IF(C484&gt;WeekEndDate,"",E484))</f>
        <v/>
      </c>
    </row>
    <row r="485">
      <c r="A485" t="inlineStr">
        <is>
          <t>Change Orders</t>
        </is>
      </c>
      <c r="B485" s="46">
        <f>'Change Orders'!U100</f>
        <v/>
      </c>
      <c r="C485" s="84">
        <f>'Change Orders'!S100</f>
        <v/>
      </c>
      <c r="D485" s="46">
        <f>'Change Orders'!T100</f>
        <v/>
      </c>
      <c r="E485" s="46">
        <f>IF(OR(B485="",C485="",D485=""),"",D485*100000+(C485-DATE(2000,1,1))+ROW()/100000)</f>
        <v/>
      </c>
      <c r="F485" s="46">
        <f>IF(E485="","",IF(C485&gt;WeekEndDate,"",E485))</f>
        <v/>
      </c>
    </row>
    <row r="486">
      <c r="A486" t="inlineStr">
        <is>
          <t>Change Orders</t>
        </is>
      </c>
      <c r="B486" s="46">
        <f>'Change Orders'!U101</f>
        <v/>
      </c>
      <c r="C486" s="84">
        <f>'Change Orders'!S101</f>
        <v/>
      </c>
      <c r="D486" s="46">
        <f>'Change Orders'!T101</f>
        <v/>
      </c>
      <c r="E486" s="46">
        <f>IF(OR(B486="",C486="",D486=""),"",D486*100000+(C486-DATE(2000,1,1))+ROW()/100000)</f>
        <v/>
      </c>
      <c r="F486" s="46">
        <f>IF(E486="","",IF(C486&gt;WeekEndDate,"",E486))</f>
        <v/>
      </c>
    </row>
    <row r="487">
      <c r="A487" t="inlineStr">
        <is>
          <t>Change Orders</t>
        </is>
      </c>
      <c r="B487" s="46">
        <f>'Change Orders'!U102</f>
        <v/>
      </c>
      <c r="C487" s="84">
        <f>'Change Orders'!S102</f>
        <v/>
      </c>
      <c r="D487" s="46">
        <f>'Change Orders'!T102</f>
        <v/>
      </c>
      <c r="E487" s="46">
        <f>IF(OR(B487="",C487="",D487=""),"",D487*100000+(C487-DATE(2000,1,1))+ROW()/100000)</f>
        <v/>
      </c>
      <c r="F487" s="46">
        <f>IF(E487="","",IF(C487&gt;WeekEndDate,"",E487))</f>
        <v/>
      </c>
    </row>
    <row r="488">
      <c r="A488" t="inlineStr">
        <is>
          <t>Change Orders</t>
        </is>
      </c>
      <c r="B488" s="46">
        <f>'Change Orders'!U103</f>
        <v/>
      </c>
      <c r="C488" s="84">
        <f>'Change Orders'!S103</f>
        <v/>
      </c>
      <c r="D488" s="46">
        <f>'Change Orders'!T103</f>
        <v/>
      </c>
      <c r="E488" s="46">
        <f>IF(OR(B488="",C488="",D488=""),"",D488*100000+(C488-DATE(2000,1,1))+ROW()/100000)</f>
        <v/>
      </c>
      <c r="F488" s="46">
        <f>IF(E488="","",IF(C488&gt;WeekEndDate,"",E488))</f>
        <v/>
      </c>
    </row>
    <row r="489">
      <c r="A489" t="inlineStr">
        <is>
          <t>Change Orders</t>
        </is>
      </c>
      <c r="B489" s="46">
        <f>'Change Orders'!U104</f>
        <v/>
      </c>
      <c r="C489" s="84">
        <f>'Change Orders'!S104</f>
        <v/>
      </c>
      <c r="D489" s="46">
        <f>'Change Orders'!T104</f>
        <v/>
      </c>
      <c r="E489" s="46">
        <f>IF(OR(B489="",C489="",D489=""),"",D489*100000+(C489-DATE(2000,1,1))+ROW()/100000)</f>
        <v/>
      </c>
      <c r="F489" s="46">
        <f>IF(E489="","",IF(C489&gt;WeekEndDate,"",E489))</f>
        <v/>
      </c>
    </row>
    <row r="490">
      <c r="A490" t="inlineStr">
        <is>
          <t>Change Orders</t>
        </is>
      </c>
      <c r="B490" s="46">
        <f>'Change Orders'!U105</f>
        <v/>
      </c>
      <c r="C490" s="84">
        <f>'Change Orders'!S105</f>
        <v/>
      </c>
      <c r="D490" s="46">
        <f>'Change Orders'!T105</f>
        <v/>
      </c>
      <c r="E490" s="46">
        <f>IF(OR(B490="",C490="",D490=""),"",D490*100000+(C490-DATE(2000,1,1))+ROW()/100000)</f>
        <v/>
      </c>
      <c r="F490" s="46">
        <f>IF(E490="","",IF(C490&gt;WeekEndDate,"",E490))</f>
        <v/>
      </c>
    </row>
    <row r="491">
      <c r="A491" t="inlineStr">
        <is>
          <t>Change Orders</t>
        </is>
      </c>
      <c r="B491" s="46">
        <f>'Change Orders'!U106</f>
        <v/>
      </c>
      <c r="C491" s="84">
        <f>'Change Orders'!S106</f>
        <v/>
      </c>
      <c r="D491" s="46">
        <f>'Change Orders'!T106</f>
        <v/>
      </c>
      <c r="E491" s="46">
        <f>IF(OR(B491="",C491="",D491=""),"",D491*100000+(C491-DATE(2000,1,1))+ROW()/100000)</f>
        <v/>
      </c>
      <c r="F491" s="46">
        <f>IF(E491="","",IF(C491&gt;WeekEndDate,"",E491))</f>
        <v/>
      </c>
    </row>
    <row r="492">
      <c r="A492" t="inlineStr">
        <is>
          <t>Timeline</t>
        </is>
      </c>
      <c r="B492" s="46">
        <f>'Timeline'!V7</f>
        <v/>
      </c>
      <c r="C492" s="84">
        <f>'Timeline'!T7</f>
        <v/>
      </c>
      <c r="D492" s="46">
        <f>'Timeline'!U7</f>
        <v/>
      </c>
      <c r="E492" s="46">
        <f>IF(OR(B492="",C492="",D492=""),"",D492*100000+(C492-DATE(2000,1,1))+ROW()/100000)</f>
        <v/>
      </c>
      <c r="F492" s="46">
        <f>IF(E492="","",IF(C492&gt;WeekEndDate,"",E492))</f>
        <v/>
      </c>
    </row>
    <row r="493">
      <c r="A493" t="inlineStr">
        <is>
          <t>Timeline</t>
        </is>
      </c>
      <c r="B493" s="46">
        <f>'Timeline'!V8</f>
        <v/>
      </c>
      <c r="C493" s="84">
        <f>'Timeline'!T8</f>
        <v/>
      </c>
      <c r="D493" s="46">
        <f>'Timeline'!U8</f>
        <v/>
      </c>
      <c r="E493" s="46">
        <f>IF(OR(B493="",C493="",D493=""),"",D493*100000+(C493-DATE(2000,1,1))+ROW()/100000)</f>
        <v/>
      </c>
      <c r="F493" s="46">
        <f>IF(E493="","",IF(C493&gt;WeekEndDate,"",E493))</f>
        <v/>
      </c>
    </row>
    <row r="494">
      <c r="A494" t="inlineStr">
        <is>
          <t>Timeline</t>
        </is>
      </c>
      <c r="B494" s="46">
        <f>'Timeline'!V9</f>
        <v/>
      </c>
      <c r="C494" s="84">
        <f>'Timeline'!T9</f>
        <v/>
      </c>
      <c r="D494" s="46">
        <f>'Timeline'!U9</f>
        <v/>
      </c>
      <c r="E494" s="46">
        <f>IF(OR(B494="",C494="",D494=""),"",D494*100000+(C494-DATE(2000,1,1))+ROW()/100000)</f>
        <v/>
      </c>
      <c r="F494" s="46">
        <f>IF(E494="","",IF(C494&gt;WeekEndDate,"",E494))</f>
        <v/>
      </c>
    </row>
    <row r="495">
      <c r="A495" t="inlineStr">
        <is>
          <t>Timeline</t>
        </is>
      </c>
      <c r="B495" s="46">
        <f>'Timeline'!V10</f>
        <v/>
      </c>
      <c r="C495" s="84">
        <f>'Timeline'!T10</f>
        <v/>
      </c>
      <c r="D495" s="46">
        <f>'Timeline'!U10</f>
        <v/>
      </c>
      <c r="E495" s="46">
        <f>IF(OR(B495="",C495="",D495=""),"",D495*100000+(C495-DATE(2000,1,1))+ROW()/100000)</f>
        <v/>
      </c>
      <c r="F495" s="46">
        <f>IF(E495="","",IF(C495&gt;WeekEndDate,"",E495))</f>
        <v/>
      </c>
    </row>
    <row r="496">
      <c r="A496" t="inlineStr">
        <is>
          <t>Timeline</t>
        </is>
      </c>
      <c r="B496" s="46">
        <f>'Timeline'!V11</f>
        <v/>
      </c>
      <c r="C496" s="84">
        <f>'Timeline'!T11</f>
        <v/>
      </c>
      <c r="D496" s="46">
        <f>'Timeline'!U11</f>
        <v/>
      </c>
      <c r="E496" s="46">
        <f>IF(OR(B496="",C496="",D496=""),"",D496*100000+(C496-DATE(2000,1,1))+ROW()/100000)</f>
        <v/>
      </c>
      <c r="F496" s="46">
        <f>IF(E496="","",IF(C496&gt;WeekEndDate,"",E496))</f>
        <v/>
      </c>
    </row>
    <row r="497">
      <c r="A497" t="inlineStr">
        <is>
          <t>Timeline</t>
        </is>
      </c>
      <c r="B497" s="46">
        <f>'Timeline'!V12</f>
        <v/>
      </c>
      <c r="C497" s="84">
        <f>'Timeline'!T12</f>
        <v/>
      </c>
      <c r="D497" s="46">
        <f>'Timeline'!U12</f>
        <v/>
      </c>
      <c r="E497" s="46">
        <f>IF(OR(B497="",C497="",D497=""),"",D497*100000+(C497-DATE(2000,1,1))+ROW()/100000)</f>
        <v/>
      </c>
      <c r="F497" s="46">
        <f>IF(E497="","",IF(C497&gt;WeekEndDate,"",E497))</f>
        <v/>
      </c>
    </row>
    <row r="498">
      <c r="A498" t="inlineStr">
        <is>
          <t>Timeline</t>
        </is>
      </c>
      <c r="B498" s="46">
        <f>'Timeline'!V13</f>
        <v/>
      </c>
      <c r="C498" s="84">
        <f>'Timeline'!T13</f>
        <v/>
      </c>
      <c r="D498" s="46">
        <f>'Timeline'!U13</f>
        <v/>
      </c>
      <c r="E498" s="46">
        <f>IF(OR(B498="",C498="",D498=""),"",D498*100000+(C498-DATE(2000,1,1))+ROW()/100000)</f>
        <v/>
      </c>
      <c r="F498" s="46">
        <f>IF(E498="","",IF(C498&gt;WeekEndDate,"",E498))</f>
        <v/>
      </c>
    </row>
    <row r="499">
      <c r="A499" t="inlineStr">
        <is>
          <t>Timeline</t>
        </is>
      </c>
      <c r="B499" s="46">
        <f>'Timeline'!V14</f>
        <v/>
      </c>
      <c r="C499" s="84">
        <f>'Timeline'!T14</f>
        <v/>
      </c>
      <c r="D499" s="46">
        <f>'Timeline'!U14</f>
        <v/>
      </c>
      <c r="E499" s="46">
        <f>IF(OR(B499="",C499="",D499=""),"",D499*100000+(C499-DATE(2000,1,1))+ROW()/100000)</f>
        <v/>
      </c>
      <c r="F499" s="46">
        <f>IF(E499="","",IF(C499&gt;WeekEndDate,"",E499))</f>
        <v/>
      </c>
    </row>
    <row r="500">
      <c r="A500" t="inlineStr">
        <is>
          <t>Timeline</t>
        </is>
      </c>
      <c r="B500" s="46">
        <f>'Timeline'!V15</f>
        <v/>
      </c>
      <c r="C500" s="84">
        <f>'Timeline'!T15</f>
        <v/>
      </c>
      <c r="D500" s="46">
        <f>'Timeline'!U15</f>
        <v/>
      </c>
      <c r="E500" s="46">
        <f>IF(OR(B500="",C500="",D500=""),"",D500*100000+(C500-DATE(2000,1,1))+ROW()/100000)</f>
        <v/>
      </c>
      <c r="F500" s="46">
        <f>IF(E500="","",IF(C500&gt;WeekEndDate,"",E500))</f>
        <v/>
      </c>
    </row>
    <row r="501">
      <c r="A501" t="inlineStr">
        <is>
          <t>Timeline</t>
        </is>
      </c>
      <c r="B501" s="46">
        <f>'Timeline'!V16</f>
        <v/>
      </c>
      <c r="C501" s="84">
        <f>'Timeline'!T16</f>
        <v/>
      </c>
      <c r="D501" s="46">
        <f>'Timeline'!U16</f>
        <v/>
      </c>
      <c r="E501" s="46">
        <f>IF(OR(B501="",C501="",D501=""),"",D501*100000+(C501-DATE(2000,1,1))+ROW()/100000)</f>
        <v/>
      </c>
      <c r="F501" s="46">
        <f>IF(E501="","",IF(C501&gt;WeekEndDate,"",E501))</f>
        <v/>
      </c>
    </row>
    <row r="502">
      <c r="A502" t="inlineStr">
        <is>
          <t>Timeline</t>
        </is>
      </c>
      <c r="B502" s="46">
        <f>'Timeline'!V17</f>
        <v/>
      </c>
      <c r="C502" s="84">
        <f>'Timeline'!T17</f>
        <v/>
      </c>
      <c r="D502" s="46">
        <f>'Timeline'!U17</f>
        <v/>
      </c>
      <c r="E502" s="46">
        <f>IF(OR(B502="",C502="",D502=""),"",D502*100000+(C502-DATE(2000,1,1))+ROW()/100000)</f>
        <v/>
      </c>
      <c r="F502" s="46">
        <f>IF(E502="","",IF(C502&gt;WeekEndDate,"",E502))</f>
        <v/>
      </c>
    </row>
    <row r="503">
      <c r="A503" t="inlineStr">
        <is>
          <t>Timeline</t>
        </is>
      </c>
      <c r="B503" s="46">
        <f>'Timeline'!V18</f>
        <v/>
      </c>
      <c r="C503" s="84">
        <f>'Timeline'!T18</f>
        <v/>
      </c>
      <c r="D503" s="46">
        <f>'Timeline'!U18</f>
        <v/>
      </c>
      <c r="E503" s="46">
        <f>IF(OR(B503="",C503="",D503=""),"",D503*100000+(C503-DATE(2000,1,1))+ROW()/100000)</f>
        <v/>
      </c>
      <c r="F503" s="46">
        <f>IF(E503="","",IF(C503&gt;WeekEndDate,"",E503))</f>
        <v/>
      </c>
    </row>
    <row r="504">
      <c r="A504" t="inlineStr">
        <is>
          <t>Timeline</t>
        </is>
      </c>
      <c r="B504" s="46">
        <f>'Timeline'!V19</f>
        <v/>
      </c>
      <c r="C504" s="84">
        <f>'Timeline'!T19</f>
        <v/>
      </c>
      <c r="D504" s="46">
        <f>'Timeline'!U19</f>
        <v/>
      </c>
      <c r="E504" s="46">
        <f>IF(OR(B504="",C504="",D504=""),"",D504*100000+(C504-DATE(2000,1,1))+ROW()/100000)</f>
        <v/>
      </c>
      <c r="F504" s="46">
        <f>IF(E504="","",IF(C504&gt;WeekEndDate,"",E504))</f>
        <v/>
      </c>
    </row>
    <row r="505">
      <c r="A505" t="inlineStr">
        <is>
          <t>Timeline</t>
        </is>
      </c>
      <c r="B505" s="46">
        <f>'Timeline'!V20</f>
        <v/>
      </c>
      <c r="C505" s="84">
        <f>'Timeline'!T20</f>
        <v/>
      </c>
      <c r="D505" s="46">
        <f>'Timeline'!U20</f>
        <v/>
      </c>
      <c r="E505" s="46">
        <f>IF(OR(B505="",C505="",D505=""),"",D505*100000+(C505-DATE(2000,1,1))+ROW()/100000)</f>
        <v/>
      </c>
      <c r="F505" s="46">
        <f>IF(E505="","",IF(C505&gt;WeekEndDate,"",E505))</f>
        <v/>
      </c>
    </row>
    <row r="506">
      <c r="A506" t="inlineStr">
        <is>
          <t>Timeline</t>
        </is>
      </c>
      <c r="B506" s="46">
        <f>'Timeline'!V21</f>
        <v/>
      </c>
      <c r="C506" s="84">
        <f>'Timeline'!T21</f>
        <v/>
      </c>
      <c r="D506" s="46">
        <f>'Timeline'!U21</f>
        <v/>
      </c>
      <c r="E506" s="46">
        <f>IF(OR(B506="",C506="",D506=""),"",D506*100000+(C506-DATE(2000,1,1))+ROW()/100000)</f>
        <v/>
      </c>
      <c r="F506" s="46">
        <f>IF(E506="","",IF(C506&gt;WeekEndDate,"",E506))</f>
        <v/>
      </c>
    </row>
    <row r="507">
      <c r="A507" t="inlineStr">
        <is>
          <t>Timeline</t>
        </is>
      </c>
      <c r="B507" s="46">
        <f>'Timeline'!V22</f>
        <v/>
      </c>
      <c r="C507" s="84">
        <f>'Timeline'!T22</f>
        <v/>
      </c>
      <c r="D507" s="46">
        <f>'Timeline'!U22</f>
        <v/>
      </c>
      <c r="E507" s="46">
        <f>IF(OR(B507="",C507="",D507=""),"",D507*100000+(C507-DATE(2000,1,1))+ROW()/100000)</f>
        <v/>
      </c>
      <c r="F507" s="46">
        <f>IF(E507="","",IF(C507&gt;WeekEndDate,"",E507))</f>
        <v/>
      </c>
    </row>
    <row r="508">
      <c r="A508" t="inlineStr">
        <is>
          <t>Timeline</t>
        </is>
      </c>
      <c r="B508" s="46">
        <f>'Timeline'!V23</f>
        <v/>
      </c>
      <c r="C508" s="84">
        <f>'Timeline'!T23</f>
        <v/>
      </c>
      <c r="D508" s="46">
        <f>'Timeline'!U23</f>
        <v/>
      </c>
      <c r="E508" s="46">
        <f>IF(OR(B508="",C508="",D508=""),"",D508*100000+(C508-DATE(2000,1,1))+ROW()/100000)</f>
        <v/>
      </c>
      <c r="F508" s="46">
        <f>IF(E508="","",IF(C508&gt;WeekEndDate,"",E508))</f>
        <v/>
      </c>
    </row>
    <row r="509">
      <c r="A509" t="inlineStr">
        <is>
          <t>Timeline</t>
        </is>
      </c>
      <c r="B509" s="46">
        <f>'Timeline'!V24</f>
        <v/>
      </c>
      <c r="C509" s="84">
        <f>'Timeline'!T24</f>
        <v/>
      </c>
      <c r="D509" s="46">
        <f>'Timeline'!U24</f>
        <v/>
      </c>
      <c r="E509" s="46">
        <f>IF(OR(B509="",C509="",D509=""),"",D509*100000+(C509-DATE(2000,1,1))+ROW()/100000)</f>
        <v/>
      </c>
      <c r="F509" s="46">
        <f>IF(E509="","",IF(C509&gt;WeekEndDate,"",E509))</f>
        <v/>
      </c>
    </row>
    <row r="510">
      <c r="A510" t="inlineStr">
        <is>
          <t>Timeline</t>
        </is>
      </c>
      <c r="B510" s="46">
        <f>'Timeline'!V25</f>
        <v/>
      </c>
      <c r="C510" s="84">
        <f>'Timeline'!T25</f>
        <v/>
      </c>
      <c r="D510" s="46">
        <f>'Timeline'!U25</f>
        <v/>
      </c>
      <c r="E510" s="46">
        <f>IF(OR(B510="",C510="",D510=""),"",D510*100000+(C510-DATE(2000,1,1))+ROW()/100000)</f>
        <v/>
      </c>
      <c r="F510" s="46">
        <f>IF(E510="","",IF(C510&gt;WeekEndDate,"",E510))</f>
        <v/>
      </c>
    </row>
    <row r="511">
      <c r="A511" t="inlineStr">
        <is>
          <t>Timeline</t>
        </is>
      </c>
      <c r="B511" s="46">
        <f>'Timeline'!V26</f>
        <v/>
      </c>
      <c r="C511" s="84">
        <f>'Timeline'!T26</f>
        <v/>
      </c>
      <c r="D511" s="46">
        <f>'Timeline'!U26</f>
        <v/>
      </c>
      <c r="E511" s="46">
        <f>IF(OR(B511="",C511="",D511=""),"",D511*100000+(C511-DATE(2000,1,1))+ROW()/100000)</f>
        <v/>
      </c>
      <c r="F511" s="46">
        <f>IF(E511="","",IF(C511&gt;WeekEndDate,"",E511))</f>
        <v/>
      </c>
    </row>
    <row r="512">
      <c r="A512" t="inlineStr">
        <is>
          <t>Timeline</t>
        </is>
      </c>
      <c r="B512" s="46">
        <f>'Timeline'!V27</f>
        <v/>
      </c>
      <c r="C512" s="84">
        <f>'Timeline'!T27</f>
        <v/>
      </c>
      <c r="D512" s="46">
        <f>'Timeline'!U27</f>
        <v/>
      </c>
      <c r="E512" s="46">
        <f>IF(OR(B512="",C512="",D512=""),"",D512*100000+(C512-DATE(2000,1,1))+ROW()/100000)</f>
        <v/>
      </c>
      <c r="F512" s="46">
        <f>IF(E512="","",IF(C512&gt;WeekEndDate,"",E512))</f>
        <v/>
      </c>
    </row>
    <row r="513">
      <c r="A513" t="inlineStr">
        <is>
          <t>Timeline</t>
        </is>
      </c>
      <c r="B513" s="46">
        <f>'Timeline'!V28</f>
        <v/>
      </c>
      <c r="C513" s="84">
        <f>'Timeline'!T28</f>
        <v/>
      </c>
      <c r="D513" s="46">
        <f>'Timeline'!U28</f>
        <v/>
      </c>
      <c r="E513" s="46">
        <f>IF(OR(B513="",C513="",D513=""),"",D513*100000+(C513-DATE(2000,1,1))+ROW()/100000)</f>
        <v/>
      </c>
      <c r="F513" s="46">
        <f>IF(E513="","",IF(C513&gt;WeekEndDate,"",E513))</f>
        <v/>
      </c>
    </row>
    <row r="514">
      <c r="A514" t="inlineStr">
        <is>
          <t>Timeline</t>
        </is>
      </c>
      <c r="B514" s="46">
        <f>'Timeline'!V29</f>
        <v/>
      </c>
      <c r="C514" s="84">
        <f>'Timeline'!T29</f>
        <v/>
      </c>
      <c r="D514" s="46">
        <f>'Timeline'!U29</f>
        <v/>
      </c>
      <c r="E514" s="46">
        <f>IF(OR(B514="",C514="",D514=""),"",D514*100000+(C514-DATE(2000,1,1))+ROW()/100000)</f>
        <v/>
      </c>
      <c r="F514" s="46">
        <f>IF(E514="","",IF(C514&gt;WeekEndDate,"",E514))</f>
        <v/>
      </c>
    </row>
    <row r="515">
      <c r="A515" t="inlineStr">
        <is>
          <t>Timeline</t>
        </is>
      </c>
      <c r="B515" s="46">
        <f>'Timeline'!V30</f>
        <v/>
      </c>
      <c r="C515" s="84">
        <f>'Timeline'!T30</f>
        <v/>
      </c>
      <c r="D515" s="46">
        <f>'Timeline'!U30</f>
        <v/>
      </c>
      <c r="E515" s="46">
        <f>IF(OR(B515="",C515="",D515=""),"",D515*100000+(C515-DATE(2000,1,1))+ROW()/100000)</f>
        <v/>
      </c>
      <c r="F515" s="46">
        <f>IF(E515="","",IF(C515&gt;WeekEndDate,"",E515))</f>
        <v/>
      </c>
    </row>
    <row r="516">
      <c r="A516" t="inlineStr">
        <is>
          <t>Timeline</t>
        </is>
      </c>
      <c r="B516" s="46">
        <f>'Timeline'!V31</f>
        <v/>
      </c>
      <c r="C516" s="84">
        <f>'Timeline'!T31</f>
        <v/>
      </c>
      <c r="D516" s="46">
        <f>'Timeline'!U31</f>
        <v/>
      </c>
      <c r="E516" s="46">
        <f>IF(OR(B516="",C516="",D516=""),"",D516*100000+(C516-DATE(2000,1,1))+ROW()/100000)</f>
        <v/>
      </c>
      <c r="F516" s="46">
        <f>IF(E516="","",IF(C516&gt;WeekEndDate,"",E516))</f>
        <v/>
      </c>
    </row>
    <row r="517">
      <c r="A517" t="inlineStr">
        <is>
          <t>Timeline</t>
        </is>
      </c>
      <c r="B517" s="46">
        <f>'Timeline'!V32</f>
        <v/>
      </c>
      <c r="C517" s="84">
        <f>'Timeline'!T32</f>
        <v/>
      </c>
      <c r="D517" s="46">
        <f>'Timeline'!U32</f>
        <v/>
      </c>
      <c r="E517" s="46">
        <f>IF(OR(B517="",C517="",D517=""),"",D517*100000+(C517-DATE(2000,1,1))+ROW()/100000)</f>
        <v/>
      </c>
      <c r="F517" s="46">
        <f>IF(E517="","",IF(C517&gt;WeekEndDate,"",E517))</f>
        <v/>
      </c>
    </row>
    <row r="518">
      <c r="A518" t="inlineStr">
        <is>
          <t>Timeline</t>
        </is>
      </c>
      <c r="B518" s="46">
        <f>'Timeline'!V33</f>
        <v/>
      </c>
      <c r="C518" s="84">
        <f>'Timeline'!T33</f>
        <v/>
      </c>
      <c r="D518" s="46">
        <f>'Timeline'!U33</f>
        <v/>
      </c>
      <c r="E518" s="46">
        <f>IF(OR(B518="",C518="",D518=""),"",D518*100000+(C518-DATE(2000,1,1))+ROW()/100000)</f>
        <v/>
      </c>
      <c r="F518" s="46">
        <f>IF(E518="","",IF(C518&gt;WeekEndDate,"",E518))</f>
        <v/>
      </c>
    </row>
    <row r="519">
      <c r="A519" t="inlineStr">
        <is>
          <t>Timeline</t>
        </is>
      </c>
      <c r="B519" s="46">
        <f>'Timeline'!V34</f>
        <v/>
      </c>
      <c r="C519" s="84">
        <f>'Timeline'!T34</f>
        <v/>
      </c>
      <c r="D519" s="46">
        <f>'Timeline'!U34</f>
        <v/>
      </c>
      <c r="E519" s="46">
        <f>IF(OR(B519="",C519="",D519=""),"",D519*100000+(C519-DATE(2000,1,1))+ROW()/100000)</f>
        <v/>
      </c>
      <c r="F519" s="46">
        <f>IF(E519="","",IF(C519&gt;WeekEndDate,"",E519))</f>
        <v/>
      </c>
    </row>
    <row r="520">
      <c r="A520" t="inlineStr">
        <is>
          <t>Timeline</t>
        </is>
      </c>
      <c r="B520" s="46">
        <f>'Timeline'!V35</f>
        <v/>
      </c>
      <c r="C520" s="84">
        <f>'Timeline'!T35</f>
        <v/>
      </c>
      <c r="D520" s="46">
        <f>'Timeline'!U35</f>
        <v/>
      </c>
      <c r="E520" s="46">
        <f>IF(OR(B520="",C520="",D520=""),"",D520*100000+(C520-DATE(2000,1,1))+ROW()/100000)</f>
        <v/>
      </c>
      <c r="F520" s="46">
        <f>IF(E520="","",IF(C520&gt;WeekEndDate,"",E520))</f>
        <v/>
      </c>
    </row>
    <row r="521">
      <c r="A521" t="inlineStr">
        <is>
          <t>Timeline</t>
        </is>
      </c>
      <c r="B521" s="46">
        <f>'Timeline'!V36</f>
        <v/>
      </c>
      <c r="C521" s="84">
        <f>'Timeline'!T36</f>
        <v/>
      </c>
      <c r="D521" s="46">
        <f>'Timeline'!U36</f>
        <v/>
      </c>
      <c r="E521" s="46">
        <f>IF(OR(B521="",C521="",D521=""),"",D521*100000+(C521-DATE(2000,1,1))+ROW()/100000)</f>
        <v/>
      </c>
      <c r="F521" s="46">
        <f>IF(E521="","",IF(C521&gt;WeekEndDate,"",E521))</f>
        <v/>
      </c>
    </row>
    <row r="522">
      <c r="A522" t="inlineStr">
        <is>
          <t>Timeline</t>
        </is>
      </c>
      <c r="B522" s="46">
        <f>'Timeline'!V37</f>
        <v/>
      </c>
      <c r="C522" s="84">
        <f>'Timeline'!T37</f>
        <v/>
      </c>
      <c r="D522" s="46">
        <f>'Timeline'!U37</f>
        <v/>
      </c>
      <c r="E522" s="46">
        <f>IF(OR(B522="",C522="",D522=""),"",D522*100000+(C522-DATE(2000,1,1))+ROW()/100000)</f>
        <v/>
      </c>
      <c r="F522" s="46">
        <f>IF(E522="","",IF(C522&gt;WeekEndDate,"",E522))</f>
        <v/>
      </c>
    </row>
    <row r="523">
      <c r="A523" t="inlineStr">
        <is>
          <t>Timeline</t>
        </is>
      </c>
      <c r="B523" s="46">
        <f>'Timeline'!V38</f>
        <v/>
      </c>
      <c r="C523" s="84">
        <f>'Timeline'!T38</f>
        <v/>
      </c>
      <c r="D523" s="46">
        <f>'Timeline'!U38</f>
        <v/>
      </c>
      <c r="E523" s="46">
        <f>IF(OR(B523="",C523="",D523=""),"",D523*100000+(C523-DATE(2000,1,1))+ROW()/100000)</f>
        <v/>
      </c>
      <c r="F523" s="46">
        <f>IF(E523="","",IF(C523&gt;WeekEndDate,"",E523))</f>
        <v/>
      </c>
    </row>
    <row r="524">
      <c r="A524" t="inlineStr">
        <is>
          <t>Timeline</t>
        </is>
      </c>
      <c r="B524" s="46">
        <f>'Timeline'!V39</f>
        <v/>
      </c>
      <c r="C524" s="84">
        <f>'Timeline'!T39</f>
        <v/>
      </c>
      <c r="D524" s="46">
        <f>'Timeline'!U39</f>
        <v/>
      </c>
      <c r="E524" s="46">
        <f>IF(OR(B524="",C524="",D524=""),"",D524*100000+(C524-DATE(2000,1,1))+ROW()/100000)</f>
        <v/>
      </c>
      <c r="F524" s="46">
        <f>IF(E524="","",IF(C524&gt;WeekEndDate,"",E524))</f>
        <v/>
      </c>
    </row>
    <row r="525">
      <c r="A525" t="inlineStr">
        <is>
          <t>Timeline</t>
        </is>
      </c>
      <c r="B525" s="46">
        <f>'Timeline'!V40</f>
        <v/>
      </c>
      <c r="C525" s="84">
        <f>'Timeline'!T40</f>
        <v/>
      </c>
      <c r="D525" s="46">
        <f>'Timeline'!U40</f>
        <v/>
      </c>
      <c r="E525" s="46">
        <f>IF(OR(B525="",C525="",D525=""),"",D525*100000+(C525-DATE(2000,1,1))+ROW()/100000)</f>
        <v/>
      </c>
      <c r="F525" s="46">
        <f>IF(E525="","",IF(C525&gt;WeekEndDate,"",E525))</f>
        <v/>
      </c>
    </row>
    <row r="526">
      <c r="A526" t="inlineStr">
        <is>
          <t>Timeline</t>
        </is>
      </c>
      <c r="B526" s="46">
        <f>'Timeline'!V41</f>
        <v/>
      </c>
      <c r="C526" s="84">
        <f>'Timeline'!T41</f>
        <v/>
      </c>
      <c r="D526" s="46">
        <f>'Timeline'!U41</f>
        <v/>
      </c>
      <c r="E526" s="46">
        <f>IF(OR(B526="",C526="",D526=""),"",D526*100000+(C526-DATE(2000,1,1))+ROW()/100000)</f>
        <v/>
      </c>
      <c r="F526" s="46">
        <f>IF(E526="","",IF(C526&gt;WeekEndDate,"",E526))</f>
        <v/>
      </c>
    </row>
    <row r="527">
      <c r="A527" t="inlineStr">
        <is>
          <t>Timeline</t>
        </is>
      </c>
      <c r="B527" s="46">
        <f>'Timeline'!V42</f>
        <v/>
      </c>
      <c r="C527" s="84">
        <f>'Timeline'!T42</f>
        <v/>
      </c>
      <c r="D527" s="46">
        <f>'Timeline'!U42</f>
        <v/>
      </c>
      <c r="E527" s="46">
        <f>IF(OR(B527="",C527="",D527=""),"",D527*100000+(C527-DATE(2000,1,1))+ROW()/100000)</f>
        <v/>
      </c>
      <c r="F527" s="46">
        <f>IF(E527="","",IF(C527&gt;WeekEndDate,"",E527))</f>
        <v/>
      </c>
    </row>
    <row r="528">
      <c r="A528" t="inlineStr">
        <is>
          <t>Timeline</t>
        </is>
      </c>
      <c r="B528" s="46">
        <f>'Timeline'!V43</f>
        <v/>
      </c>
      <c r="C528" s="84">
        <f>'Timeline'!T43</f>
        <v/>
      </c>
      <c r="D528" s="46">
        <f>'Timeline'!U43</f>
        <v/>
      </c>
      <c r="E528" s="46">
        <f>IF(OR(B528="",C528="",D528=""),"",D528*100000+(C528-DATE(2000,1,1))+ROW()/100000)</f>
        <v/>
      </c>
      <c r="F528" s="46">
        <f>IF(E528="","",IF(C528&gt;WeekEndDate,"",E528))</f>
        <v/>
      </c>
    </row>
    <row r="529">
      <c r="A529" t="inlineStr">
        <is>
          <t>Timeline</t>
        </is>
      </c>
      <c r="B529" s="46">
        <f>'Timeline'!V44</f>
        <v/>
      </c>
      <c r="C529" s="84">
        <f>'Timeline'!T44</f>
        <v/>
      </c>
      <c r="D529" s="46">
        <f>'Timeline'!U44</f>
        <v/>
      </c>
      <c r="E529" s="46">
        <f>IF(OR(B529="",C529="",D529=""),"",D529*100000+(C529-DATE(2000,1,1))+ROW()/100000)</f>
        <v/>
      </c>
      <c r="F529" s="46">
        <f>IF(E529="","",IF(C529&gt;WeekEndDate,"",E529))</f>
        <v/>
      </c>
    </row>
    <row r="530">
      <c r="A530" t="inlineStr">
        <is>
          <t>Timeline</t>
        </is>
      </c>
      <c r="B530" s="46">
        <f>'Timeline'!V45</f>
        <v/>
      </c>
      <c r="C530" s="84">
        <f>'Timeline'!T45</f>
        <v/>
      </c>
      <c r="D530" s="46">
        <f>'Timeline'!U45</f>
        <v/>
      </c>
      <c r="E530" s="46">
        <f>IF(OR(B530="",C530="",D530=""),"",D530*100000+(C530-DATE(2000,1,1))+ROW()/100000)</f>
        <v/>
      </c>
      <c r="F530" s="46">
        <f>IF(E530="","",IF(C530&gt;WeekEndDate,"",E530))</f>
        <v/>
      </c>
    </row>
    <row r="531">
      <c r="A531" t="inlineStr">
        <is>
          <t>Timeline</t>
        </is>
      </c>
      <c r="B531" s="46">
        <f>'Timeline'!V46</f>
        <v/>
      </c>
      <c r="C531" s="84">
        <f>'Timeline'!T46</f>
        <v/>
      </c>
      <c r="D531" s="46">
        <f>'Timeline'!U46</f>
        <v/>
      </c>
      <c r="E531" s="46">
        <f>IF(OR(B531="",C531="",D531=""),"",D531*100000+(C531-DATE(2000,1,1))+ROW()/100000)</f>
        <v/>
      </c>
      <c r="F531" s="46">
        <f>IF(E531="","",IF(C531&gt;WeekEndDate,"",E531))</f>
        <v/>
      </c>
    </row>
    <row r="532">
      <c r="A532" t="inlineStr">
        <is>
          <t>Timeline</t>
        </is>
      </c>
      <c r="B532" s="46">
        <f>'Timeline'!V47</f>
        <v/>
      </c>
      <c r="C532" s="84">
        <f>'Timeline'!T47</f>
        <v/>
      </c>
      <c r="D532" s="46">
        <f>'Timeline'!U47</f>
        <v/>
      </c>
      <c r="E532" s="46">
        <f>IF(OR(B532="",C532="",D532=""),"",D532*100000+(C532-DATE(2000,1,1))+ROW()/100000)</f>
        <v/>
      </c>
      <c r="F532" s="46">
        <f>IF(E532="","",IF(C532&gt;WeekEndDate,"",E532))</f>
        <v/>
      </c>
    </row>
    <row r="533">
      <c r="A533" t="inlineStr">
        <is>
          <t>Timeline</t>
        </is>
      </c>
      <c r="B533" s="46">
        <f>'Timeline'!V48</f>
        <v/>
      </c>
      <c r="C533" s="84">
        <f>'Timeline'!T48</f>
        <v/>
      </c>
      <c r="D533" s="46">
        <f>'Timeline'!U48</f>
        <v/>
      </c>
      <c r="E533" s="46">
        <f>IF(OR(B533="",C533="",D533=""),"",D533*100000+(C533-DATE(2000,1,1))+ROW()/100000)</f>
        <v/>
      </c>
      <c r="F533" s="46">
        <f>IF(E533="","",IF(C533&gt;WeekEndDate,"",E533))</f>
        <v/>
      </c>
    </row>
    <row r="534">
      <c r="A534" t="inlineStr">
        <is>
          <t>Timeline</t>
        </is>
      </c>
      <c r="B534" s="46">
        <f>'Timeline'!V49</f>
        <v/>
      </c>
      <c r="C534" s="84">
        <f>'Timeline'!T49</f>
        <v/>
      </c>
      <c r="D534" s="46">
        <f>'Timeline'!U49</f>
        <v/>
      </c>
      <c r="E534" s="46">
        <f>IF(OR(B534="",C534="",D534=""),"",D534*100000+(C534-DATE(2000,1,1))+ROW()/100000)</f>
        <v/>
      </c>
      <c r="F534" s="46">
        <f>IF(E534="","",IF(C534&gt;WeekEndDate,"",E534))</f>
        <v/>
      </c>
    </row>
    <row r="535">
      <c r="A535" t="inlineStr">
        <is>
          <t>Timeline</t>
        </is>
      </c>
      <c r="B535" s="46">
        <f>'Timeline'!V50</f>
        <v/>
      </c>
      <c r="C535" s="84">
        <f>'Timeline'!T50</f>
        <v/>
      </c>
      <c r="D535" s="46">
        <f>'Timeline'!U50</f>
        <v/>
      </c>
      <c r="E535" s="46">
        <f>IF(OR(B535="",C535="",D535=""),"",D535*100000+(C535-DATE(2000,1,1))+ROW()/100000)</f>
        <v/>
      </c>
      <c r="F535" s="46">
        <f>IF(E535="","",IF(C535&gt;WeekEndDate,"",E535))</f>
        <v/>
      </c>
    </row>
    <row r="536">
      <c r="A536" t="inlineStr">
        <is>
          <t>Timeline</t>
        </is>
      </c>
      <c r="B536" s="46">
        <f>'Timeline'!V51</f>
        <v/>
      </c>
      <c r="C536" s="84">
        <f>'Timeline'!T51</f>
        <v/>
      </c>
      <c r="D536" s="46">
        <f>'Timeline'!U51</f>
        <v/>
      </c>
      <c r="E536" s="46">
        <f>IF(OR(B536="",C536="",D536=""),"",D536*100000+(C536-DATE(2000,1,1))+ROW()/100000)</f>
        <v/>
      </c>
      <c r="F536" s="46">
        <f>IF(E536="","",IF(C536&gt;WeekEndDate,"",E536))</f>
        <v/>
      </c>
    </row>
    <row r="537">
      <c r="A537" t="inlineStr">
        <is>
          <t>Timeline</t>
        </is>
      </c>
      <c r="B537" s="46">
        <f>'Timeline'!V52</f>
        <v/>
      </c>
      <c r="C537" s="84">
        <f>'Timeline'!T52</f>
        <v/>
      </c>
      <c r="D537" s="46">
        <f>'Timeline'!U52</f>
        <v/>
      </c>
      <c r="E537" s="46">
        <f>IF(OR(B537="",C537="",D537=""),"",D537*100000+(C537-DATE(2000,1,1))+ROW()/100000)</f>
        <v/>
      </c>
      <c r="F537" s="46">
        <f>IF(E537="","",IF(C537&gt;WeekEndDate,"",E537))</f>
        <v/>
      </c>
    </row>
    <row r="538">
      <c r="A538" t="inlineStr">
        <is>
          <t>Timeline</t>
        </is>
      </c>
      <c r="B538" s="46">
        <f>'Timeline'!V53</f>
        <v/>
      </c>
      <c r="C538" s="84">
        <f>'Timeline'!T53</f>
        <v/>
      </c>
      <c r="D538" s="46">
        <f>'Timeline'!U53</f>
        <v/>
      </c>
      <c r="E538" s="46">
        <f>IF(OR(B538="",C538="",D538=""),"",D538*100000+(C538-DATE(2000,1,1))+ROW()/100000)</f>
        <v/>
      </c>
      <c r="F538" s="46">
        <f>IF(E538="","",IF(C538&gt;WeekEndDate,"",E538))</f>
        <v/>
      </c>
    </row>
    <row r="539">
      <c r="A539" t="inlineStr">
        <is>
          <t>Timeline</t>
        </is>
      </c>
      <c r="B539" s="46">
        <f>'Timeline'!V54</f>
        <v/>
      </c>
      <c r="C539" s="84">
        <f>'Timeline'!T54</f>
        <v/>
      </c>
      <c r="D539" s="46">
        <f>'Timeline'!U54</f>
        <v/>
      </c>
      <c r="E539" s="46">
        <f>IF(OR(B539="",C539="",D539=""),"",D539*100000+(C539-DATE(2000,1,1))+ROW()/100000)</f>
        <v/>
      </c>
      <c r="F539" s="46">
        <f>IF(E539="","",IF(C539&gt;WeekEndDate,"",E539))</f>
        <v/>
      </c>
    </row>
    <row r="540">
      <c r="A540" t="inlineStr">
        <is>
          <t>Timeline</t>
        </is>
      </c>
      <c r="B540" s="46">
        <f>'Timeline'!V55</f>
        <v/>
      </c>
      <c r="C540" s="84">
        <f>'Timeline'!T55</f>
        <v/>
      </c>
      <c r="D540" s="46">
        <f>'Timeline'!U55</f>
        <v/>
      </c>
      <c r="E540" s="46">
        <f>IF(OR(B540="",C540="",D540=""),"",D540*100000+(C540-DATE(2000,1,1))+ROW()/100000)</f>
        <v/>
      </c>
      <c r="F540" s="46">
        <f>IF(E540="","",IF(C540&gt;WeekEndDate,"",E540))</f>
        <v/>
      </c>
    </row>
    <row r="541">
      <c r="A541" t="inlineStr">
        <is>
          <t>Timeline</t>
        </is>
      </c>
      <c r="B541" s="46">
        <f>'Timeline'!V56</f>
        <v/>
      </c>
      <c r="C541" s="84">
        <f>'Timeline'!T56</f>
        <v/>
      </c>
      <c r="D541" s="46">
        <f>'Timeline'!U56</f>
        <v/>
      </c>
      <c r="E541" s="46">
        <f>IF(OR(B541="",C541="",D541=""),"",D541*100000+(C541-DATE(2000,1,1))+ROW()/100000)</f>
        <v/>
      </c>
      <c r="F541" s="46">
        <f>IF(E541="","",IF(C541&gt;WeekEndDate,"",E541))</f>
        <v/>
      </c>
    </row>
    <row r="542">
      <c r="A542" t="inlineStr">
        <is>
          <t>Timeline</t>
        </is>
      </c>
      <c r="B542" s="46">
        <f>'Timeline'!V57</f>
        <v/>
      </c>
      <c r="C542" s="84">
        <f>'Timeline'!T57</f>
        <v/>
      </c>
      <c r="D542" s="46">
        <f>'Timeline'!U57</f>
        <v/>
      </c>
      <c r="E542" s="46">
        <f>IF(OR(B542="",C542="",D542=""),"",D542*100000+(C542-DATE(2000,1,1))+ROW()/100000)</f>
        <v/>
      </c>
      <c r="F542" s="46">
        <f>IF(E542="","",IF(C542&gt;WeekEndDate,"",E542))</f>
        <v/>
      </c>
    </row>
    <row r="543">
      <c r="A543" t="inlineStr">
        <is>
          <t>Timeline</t>
        </is>
      </c>
      <c r="B543" s="46">
        <f>'Timeline'!V58</f>
        <v/>
      </c>
      <c r="C543" s="84">
        <f>'Timeline'!T58</f>
        <v/>
      </c>
      <c r="D543" s="46">
        <f>'Timeline'!U58</f>
        <v/>
      </c>
      <c r="E543" s="46">
        <f>IF(OR(B543="",C543="",D543=""),"",D543*100000+(C543-DATE(2000,1,1))+ROW()/100000)</f>
        <v/>
      </c>
      <c r="F543" s="46">
        <f>IF(E543="","",IF(C543&gt;WeekEndDate,"",E543))</f>
        <v/>
      </c>
    </row>
    <row r="544">
      <c r="A544" t="inlineStr">
        <is>
          <t>Timeline</t>
        </is>
      </c>
      <c r="B544" s="46">
        <f>'Timeline'!V59</f>
        <v/>
      </c>
      <c r="C544" s="84">
        <f>'Timeline'!T59</f>
        <v/>
      </c>
      <c r="D544" s="46">
        <f>'Timeline'!U59</f>
        <v/>
      </c>
      <c r="E544" s="46">
        <f>IF(OR(B544="",C544="",D544=""),"",D544*100000+(C544-DATE(2000,1,1))+ROW()/100000)</f>
        <v/>
      </c>
      <c r="F544" s="46">
        <f>IF(E544="","",IF(C544&gt;WeekEndDate,"",E544))</f>
        <v/>
      </c>
    </row>
    <row r="545">
      <c r="A545" t="inlineStr">
        <is>
          <t>Timeline</t>
        </is>
      </c>
      <c r="B545" s="46">
        <f>'Timeline'!V60</f>
        <v/>
      </c>
      <c r="C545" s="84">
        <f>'Timeline'!T60</f>
        <v/>
      </c>
      <c r="D545" s="46">
        <f>'Timeline'!U60</f>
        <v/>
      </c>
      <c r="E545" s="46">
        <f>IF(OR(B545="",C545="",D545=""),"",D545*100000+(C545-DATE(2000,1,1))+ROW()/100000)</f>
        <v/>
      </c>
      <c r="F545" s="46">
        <f>IF(E545="","",IF(C545&gt;WeekEndDate,"",E545))</f>
        <v/>
      </c>
    </row>
    <row r="546">
      <c r="A546" t="inlineStr">
        <is>
          <t>Timeline</t>
        </is>
      </c>
      <c r="B546" s="46">
        <f>'Timeline'!V61</f>
        <v/>
      </c>
      <c r="C546" s="84">
        <f>'Timeline'!T61</f>
        <v/>
      </c>
      <c r="D546" s="46">
        <f>'Timeline'!U61</f>
        <v/>
      </c>
      <c r="E546" s="46">
        <f>IF(OR(B546="",C546="",D546=""),"",D546*100000+(C546-DATE(2000,1,1))+ROW()/100000)</f>
        <v/>
      </c>
      <c r="F546" s="46">
        <f>IF(E546="","",IF(C546&gt;WeekEndDate,"",E546))</f>
        <v/>
      </c>
    </row>
    <row r="547">
      <c r="A547" t="inlineStr">
        <is>
          <t>Timeline</t>
        </is>
      </c>
      <c r="B547" s="46">
        <f>'Timeline'!V62</f>
        <v/>
      </c>
      <c r="C547" s="84">
        <f>'Timeline'!T62</f>
        <v/>
      </c>
      <c r="D547" s="46">
        <f>'Timeline'!U62</f>
        <v/>
      </c>
      <c r="E547" s="46">
        <f>IF(OR(B547="",C547="",D547=""),"",D547*100000+(C547-DATE(2000,1,1))+ROW()/100000)</f>
        <v/>
      </c>
      <c r="F547" s="46">
        <f>IF(E547="","",IF(C547&gt;WeekEndDate,"",E547))</f>
        <v/>
      </c>
    </row>
    <row r="548">
      <c r="A548" t="inlineStr">
        <is>
          <t>Timeline</t>
        </is>
      </c>
      <c r="B548" s="46">
        <f>'Timeline'!V63</f>
        <v/>
      </c>
      <c r="C548" s="84">
        <f>'Timeline'!T63</f>
        <v/>
      </c>
      <c r="D548" s="46">
        <f>'Timeline'!U63</f>
        <v/>
      </c>
      <c r="E548" s="46">
        <f>IF(OR(B548="",C548="",D548=""),"",D548*100000+(C548-DATE(2000,1,1))+ROW()/100000)</f>
        <v/>
      </c>
      <c r="F548" s="46">
        <f>IF(E548="","",IF(C548&gt;WeekEndDate,"",E548))</f>
        <v/>
      </c>
    </row>
    <row r="549">
      <c r="A549" t="inlineStr">
        <is>
          <t>Timeline</t>
        </is>
      </c>
      <c r="B549" s="46">
        <f>'Timeline'!V64</f>
        <v/>
      </c>
      <c r="C549" s="84">
        <f>'Timeline'!T64</f>
        <v/>
      </c>
      <c r="D549" s="46">
        <f>'Timeline'!U64</f>
        <v/>
      </c>
      <c r="E549" s="46">
        <f>IF(OR(B549="",C549="",D549=""),"",D549*100000+(C549-DATE(2000,1,1))+ROW()/100000)</f>
        <v/>
      </c>
      <c r="F549" s="46">
        <f>IF(E549="","",IF(C549&gt;WeekEndDate,"",E549))</f>
        <v/>
      </c>
    </row>
    <row r="550">
      <c r="A550" t="inlineStr">
        <is>
          <t>Timeline</t>
        </is>
      </c>
      <c r="B550" s="46">
        <f>'Timeline'!V65</f>
        <v/>
      </c>
      <c r="C550" s="84">
        <f>'Timeline'!T65</f>
        <v/>
      </c>
      <c r="D550" s="46">
        <f>'Timeline'!U65</f>
        <v/>
      </c>
      <c r="E550" s="46">
        <f>IF(OR(B550="",C550="",D550=""),"",D550*100000+(C550-DATE(2000,1,1))+ROW()/100000)</f>
        <v/>
      </c>
      <c r="F550" s="46">
        <f>IF(E550="","",IF(C550&gt;WeekEndDate,"",E550))</f>
        <v/>
      </c>
    </row>
    <row r="551">
      <c r="A551" t="inlineStr">
        <is>
          <t>Timeline</t>
        </is>
      </c>
      <c r="B551" s="46">
        <f>'Timeline'!V66</f>
        <v/>
      </c>
      <c r="C551" s="84">
        <f>'Timeline'!T66</f>
        <v/>
      </c>
      <c r="D551" s="46">
        <f>'Timeline'!U66</f>
        <v/>
      </c>
      <c r="E551" s="46">
        <f>IF(OR(B551="",C551="",D551=""),"",D551*100000+(C551-DATE(2000,1,1))+ROW()/100000)</f>
        <v/>
      </c>
      <c r="F551" s="46">
        <f>IF(E551="","",IF(C551&gt;WeekEndDate,"",E551))</f>
        <v/>
      </c>
    </row>
    <row r="552">
      <c r="A552" t="inlineStr">
        <is>
          <t>Timeline</t>
        </is>
      </c>
      <c r="B552" s="46">
        <f>'Timeline'!V67</f>
        <v/>
      </c>
      <c r="C552" s="84">
        <f>'Timeline'!T67</f>
        <v/>
      </c>
      <c r="D552" s="46">
        <f>'Timeline'!U67</f>
        <v/>
      </c>
      <c r="E552" s="46">
        <f>IF(OR(B552="",C552="",D552=""),"",D552*100000+(C552-DATE(2000,1,1))+ROW()/100000)</f>
        <v/>
      </c>
      <c r="F552" s="46">
        <f>IF(E552="","",IF(C552&gt;WeekEndDate,"",E552))</f>
        <v/>
      </c>
    </row>
    <row r="553">
      <c r="A553" t="inlineStr">
        <is>
          <t>Timeline</t>
        </is>
      </c>
      <c r="B553" s="46">
        <f>'Timeline'!V68</f>
        <v/>
      </c>
      <c r="C553" s="84">
        <f>'Timeline'!T68</f>
        <v/>
      </c>
      <c r="D553" s="46">
        <f>'Timeline'!U68</f>
        <v/>
      </c>
      <c r="E553" s="46">
        <f>IF(OR(B553="",C553="",D553=""),"",D553*100000+(C553-DATE(2000,1,1))+ROW()/100000)</f>
        <v/>
      </c>
      <c r="F553" s="46">
        <f>IF(E553="","",IF(C553&gt;WeekEndDate,"",E553))</f>
        <v/>
      </c>
    </row>
    <row r="554">
      <c r="A554" t="inlineStr">
        <is>
          <t>Timeline</t>
        </is>
      </c>
      <c r="B554" s="46">
        <f>'Timeline'!V69</f>
        <v/>
      </c>
      <c r="C554" s="84">
        <f>'Timeline'!T69</f>
        <v/>
      </c>
      <c r="D554" s="46">
        <f>'Timeline'!U69</f>
        <v/>
      </c>
      <c r="E554" s="46">
        <f>IF(OR(B554="",C554="",D554=""),"",D554*100000+(C554-DATE(2000,1,1))+ROW()/100000)</f>
        <v/>
      </c>
      <c r="F554" s="46">
        <f>IF(E554="","",IF(C554&gt;WeekEndDate,"",E554))</f>
        <v/>
      </c>
    </row>
    <row r="555">
      <c r="A555" t="inlineStr">
        <is>
          <t>Timeline</t>
        </is>
      </c>
      <c r="B555" s="46">
        <f>'Timeline'!V70</f>
        <v/>
      </c>
      <c r="C555" s="84">
        <f>'Timeline'!T70</f>
        <v/>
      </c>
      <c r="D555" s="46">
        <f>'Timeline'!U70</f>
        <v/>
      </c>
      <c r="E555" s="46">
        <f>IF(OR(B555="",C555="",D555=""),"",D555*100000+(C555-DATE(2000,1,1))+ROW()/100000)</f>
        <v/>
      </c>
      <c r="F555" s="46">
        <f>IF(E555="","",IF(C555&gt;WeekEndDate,"",E555))</f>
        <v/>
      </c>
    </row>
    <row r="556">
      <c r="A556" t="inlineStr">
        <is>
          <t>Timeline</t>
        </is>
      </c>
      <c r="B556" s="46">
        <f>'Timeline'!V71</f>
        <v/>
      </c>
      <c r="C556" s="84">
        <f>'Timeline'!T71</f>
        <v/>
      </c>
      <c r="D556" s="46">
        <f>'Timeline'!U71</f>
        <v/>
      </c>
      <c r="E556" s="46">
        <f>IF(OR(B556="",C556="",D556=""),"",D556*100000+(C556-DATE(2000,1,1))+ROW()/100000)</f>
        <v/>
      </c>
      <c r="F556" s="46">
        <f>IF(E556="","",IF(C556&gt;WeekEndDate,"",E556))</f>
        <v/>
      </c>
    </row>
    <row r="557">
      <c r="A557" t="inlineStr">
        <is>
          <t>Timeline</t>
        </is>
      </c>
      <c r="B557" s="46">
        <f>'Timeline'!V72</f>
        <v/>
      </c>
      <c r="C557" s="84">
        <f>'Timeline'!T72</f>
        <v/>
      </c>
      <c r="D557" s="46">
        <f>'Timeline'!U72</f>
        <v/>
      </c>
      <c r="E557" s="46">
        <f>IF(OR(B557="",C557="",D557=""),"",D557*100000+(C557-DATE(2000,1,1))+ROW()/100000)</f>
        <v/>
      </c>
      <c r="F557" s="46">
        <f>IF(E557="","",IF(C557&gt;WeekEndDate,"",E557))</f>
        <v/>
      </c>
    </row>
    <row r="558">
      <c r="A558" t="inlineStr">
        <is>
          <t>Timeline</t>
        </is>
      </c>
      <c r="B558" s="46">
        <f>'Timeline'!V73</f>
        <v/>
      </c>
      <c r="C558" s="84">
        <f>'Timeline'!T73</f>
        <v/>
      </c>
      <c r="D558" s="46">
        <f>'Timeline'!U73</f>
        <v/>
      </c>
      <c r="E558" s="46">
        <f>IF(OR(B558="",C558="",D558=""),"",D558*100000+(C558-DATE(2000,1,1))+ROW()/100000)</f>
        <v/>
      </c>
      <c r="F558" s="46">
        <f>IF(E558="","",IF(C558&gt;WeekEndDate,"",E558))</f>
        <v/>
      </c>
    </row>
    <row r="559">
      <c r="A559" t="inlineStr">
        <is>
          <t>Timeline</t>
        </is>
      </c>
      <c r="B559" s="46">
        <f>'Timeline'!V74</f>
        <v/>
      </c>
      <c r="C559" s="84">
        <f>'Timeline'!T74</f>
        <v/>
      </c>
      <c r="D559" s="46">
        <f>'Timeline'!U74</f>
        <v/>
      </c>
      <c r="E559" s="46">
        <f>IF(OR(B559="",C559="",D559=""),"",D559*100000+(C559-DATE(2000,1,1))+ROW()/100000)</f>
        <v/>
      </c>
      <c r="F559" s="46">
        <f>IF(E559="","",IF(C559&gt;WeekEndDate,"",E559))</f>
        <v/>
      </c>
    </row>
    <row r="560">
      <c r="A560" t="inlineStr">
        <is>
          <t>Timeline</t>
        </is>
      </c>
      <c r="B560" s="46">
        <f>'Timeline'!V75</f>
        <v/>
      </c>
      <c r="C560" s="84">
        <f>'Timeline'!T75</f>
        <v/>
      </c>
      <c r="D560" s="46">
        <f>'Timeline'!U75</f>
        <v/>
      </c>
      <c r="E560" s="46">
        <f>IF(OR(B560="",C560="",D560=""),"",D560*100000+(C560-DATE(2000,1,1))+ROW()/100000)</f>
        <v/>
      </c>
      <c r="F560" s="46">
        <f>IF(E560="","",IF(C560&gt;WeekEndDate,"",E560))</f>
        <v/>
      </c>
    </row>
    <row r="561">
      <c r="A561" t="inlineStr">
        <is>
          <t>Timeline</t>
        </is>
      </c>
      <c r="B561" s="46">
        <f>'Timeline'!V76</f>
        <v/>
      </c>
      <c r="C561" s="84">
        <f>'Timeline'!T76</f>
        <v/>
      </c>
      <c r="D561" s="46">
        <f>'Timeline'!U76</f>
        <v/>
      </c>
      <c r="E561" s="46">
        <f>IF(OR(B561="",C561="",D561=""),"",D561*100000+(C561-DATE(2000,1,1))+ROW()/100000)</f>
        <v/>
      </c>
      <c r="F561" s="46">
        <f>IF(E561="","",IF(C561&gt;WeekEndDate,"",E561))</f>
        <v/>
      </c>
    </row>
    <row r="562">
      <c r="A562" t="inlineStr">
        <is>
          <t>Timeline</t>
        </is>
      </c>
      <c r="B562" s="46">
        <f>'Timeline'!V77</f>
        <v/>
      </c>
      <c r="C562" s="84">
        <f>'Timeline'!T77</f>
        <v/>
      </c>
      <c r="D562" s="46">
        <f>'Timeline'!U77</f>
        <v/>
      </c>
      <c r="E562" s="46">
        <f>IF(OR(B562="",C562="",D562=""),"",D562*100000+(C562-DATE(2000,1,1))+ROW()/100000)</f>
        <v/>
      </c>
      <c r="F562" s="46">
        <f>IF(E562="","",IF(C562&gt;WeekEndDate,"",E562))</f>
        <v/>
      </c>
    </row>
    <row r="563">
      <c r="A563" t="inlineStr">
        <is>
          <t>Timeline</t>
        </is>
      </c>
      <c r="B563" s="46">
        <f>'Timeline'!V78</f>
        <v/>
      </c>
      <c r="C563" s="84">
        <f>'Timeline'!T78</f>
        <v/>
      </c>
      <c r="D563" s="46">
        <f>'Timeline'!U78</f>
        <v/>
      </c>
      <c r="E563" s="46">
        <f>IF(OR(B563="",C563="",D563=""),"",D563*100000+(C563-DATE(2000,1,1))+ROW()/100000)</f>
        <v/>
      </c>
      <c r="F563" s="46">
        <f>IF(E563="","",IF(C563&gt;WeekEndDate,"",E563))</f>
        <v/>
      </c>
    </row>
    <row r="564">
      <c r="A564" t="inlineStr">
        <is>
          <t>Timeline</t>
        </is>
      </c>
      <c r="B564" s="46">
        <f>'Timeline'!V79</f>
        <v/>
      </c>
      <c r="C564" s="84">
        <f>'Timeline'!T79</f>
        <v/>
      </c>
      <c r="D564" s="46">
        <f>'Timeline'!U79</f>
        <v/>
      </c>
      <c r="E564" s="46">
        <f>IF(OR(B564="",C564="",D564=""),"",D564*100000+(C564-DATE(2000,1,1))+ROW()/100000)</f>
        <v/>
      </c>
      <c r="F564" s="46">
        <f>IF(E564="","",IF(C564&gt;WeekEndDate,"",E564))</f>
        <v/>
      </c>
    </row>
    <row r="565">
      <c r="A565" t="inlineStr">
        <is>
          <t>Timeline</t>
        </is>
      </c>
      <c r="B565" s="46">
        <f>'Timeline'!V80</f>
        <v/>
      </c>
      <c r="C565" s="84">
        <f>'Timeline'!T80</f>
        <v/>
      </c>
      <c r="D565" s="46">
        <f>'Timeline'!U80</f>
        <v/>
      </c>
      <c r="E565" s="46">
        <f>IF(OR(B565="",C565="",D565=""),"",D565*100000+(C565-DATE(2000,1,1))+ROW()/100000)</f>
        <v/>
      </c>
      <c r="F565" s="46">
        <f>IF(E565="","",IF(C565&gt;WeekEndDate,"",E565))</f>
        <v/>
      </c>
    </row>
    <row r="566">
      <c r="A566" t="inlineStr">
        <is>
          <t>Timeline</t>
        </is>
      </c>
      <c r="B566" s="46">
        <f>'Timeline'!V81</f>
        <v/>
      </c>
      <c r="C566" s="84">
        <f>'Timeline'!T81</f>
        <v/>
      </c>
      <c r="D566" s="46">
        <f>'Timeline'!U81</f>
        <v/>
      </c>
      <c r="E566" s="46">
        <f>IF(OR(B566="",C566="",D566=""),"",D566*100000+(C566-DATE(2000,1,1))+ROW()/100000)</f>
        <v/>
      </c>
      <c r="F566" s="46">
        <f>IF(E566="","",IF(C566&gt;WeekEndDate,"",E566))</f>
        <v/>
      </c>
    </row>
    <row r="567">
      <c r="A567" t="inlineStr">
        <is>
          <t>Timeline</t>
        </is>
      </c>
      <c r="B567" s="46">
        <f>'Timeline'!V82</f>
        <v/>
      </c>
      <c r="C567" s="84">
        <f>'Timeline'!T82</f>
        <v/>
      </c>
      <c r="D567" s="46">
        <f>'Timeline'!U82</f>
        <v/>
      </c>
      <c r="E567" s="46">
        <f>IF(OR(B567="",C567="",D567=""),"",D567*100000+(C567-DATE(2000,1,1))+ROW()/100000)</f>
        <v/>
      </c>
      <c r="F567" s="46">
        <f>IF(E567="","",IF(C567&gt;WeekEndDate,"",E567))</f>
        <v/>
      </c>
    </row>
    <row r="568">
      <c r="A568" t="inlineStr">
        <is>
          <t>Timeline</t>
        </is>
      </c>
      <c r="B568" s="46">
        <f>'Timeline'!V83</f>
        <v/>
      </c>
      <c r="C568" s="84">
        <f>'Timeline'!T83</f>
        <v/>
      </c>
      <c r="D568" s="46">
        <f>'Timeline'!U83</f>
        <v/>
      </c>
      <c r="E568" s="46">
        <f>IF(OR(B568="",C568="",D568=""),"",D568*100000+(C568-DATE(2000,1,1))+ROW()/100000)</f>
        <v/>
      </c>
      <c r="F568" s="46">
        <f>IF(E568="","",IF(C568&gt;WeekEndDate,"",E568))</f>
        <v/>
      </c>
    </row>
    <row r="569">
      <c r="A569" t="inlineStr">
        <is>
          <t>Timeline</t>
        </is>
      </c>
      <c r="B569" s="46">
        <f>'Timeline'!V84</f>
        <v/>
      </c>
      <c r="C569" s="84">
        <f>'Timeline'!T84</f>
        <v/>
      </c>
      <c r="D569" s="46">
        <f>'Timeline'!U84</f>
        <v/>
      </c>
      <c r="E569" s="46">
        <f>IF(OR(B569="",C569="",D569=""),"",D569*100000+(C569-DATE(2000,1,1))+ROW()/100000)</f>
        <v/>
      </c>
      <c r="F569" s="46">
        <f>IF(E569="","",IF(C569&gt;WeekEndDate,"",E569))</f>
        <v/>
      </c>
    </row>
    <row r="570">
      <c r="A570" t="inlineStr">
        <is>
          <t>Timeline</t>
        </is>
      </c>
      <c r="B570" s="46">
        <f>'Timeline'!V85</f>
        <v/>
      </c>
      <c r="C570" s="84">
        <f>'Timeline'!T85</f>
        <v/>
      </c>
      <c r="D570" s="46">
        <f>'Timeline'!U85</f>
        <v/>
      </c>
      <c r="E570" s="46">
        <f>IF(OR(B570="",C570="",D570=""),"",D570*100000+(C570-DATE(2000,1,1))+ROW()/100000)</f>
        <v/>
      </c>
      <c r="F570" s="46">
        <f>IF(E570="","",IF(C570&gt;WeekEndDate,"",E570))</f>
        <v/>
      </c>
    </row>
    <row r="571">
      <c r="A571" t="inlineStr">
        <is>
          <t>Timeline</t>
        </is>
      </c>
      <c r="B571" s="46">
        <f>'Timeline'!V86</f>
        <v/>
      </c>
      <c r="C571" s="84">
        <f>'Timeline'!T86</f>
        <v/>
      </c>
      <c r="D571" s="46">
        <f>'Timeline'!U86</f>
        <v/>
      </c>
      <c r="E571" s="46">
        <f>IF(OR(B571="",C571="",D571=""),"",D571*100000+(C571-DATE(2000,1,1))+ROW()/100000)</f>
        <v/>
      </c>
      <c r="F571" s="46">
        <f>IF(E571="","",IF(C571&gt;WeekEndDate,"",E571))</f>
        <v/>
      </c>
    </row>
    <row r="572">
      <c r="A572" t="inlineStr">
        <is>
          <t>Timeline</t>
        </is>
      </c>
      <c r="B572" s="46">
        <f>'Timeline'!V87</f>
        <v/>
      </c>
      <c r="C572" s="84">
        <f>'Timeline'!T87</f>
        <v/>
      </c>
      <c r="D572" s="46">
        <f>'Timeline'!U87</f>
        <v/>
      </c>
      <c r="E572" s="46">
        <f>IF(OR(B572="",C572="",D572=""),"",D572*100000+(C572-DATE(2000,1,1))+ROW()/100000)</f>
        <v/>
      </c>
      <c r="F572" s="46">
        <f>IF(E572="","",IF(C572&gt;WeekEndDate,"",E572))</f>
        <v/>
      </c>
    </row>
    <row r="573">
      <c r="A573" t="inlineStr">
        <is>
          <t>Timeline</t>
        </is>
      </c>
      <c r="B573" s="46">
        <f>'Timeline'!V88</f>
        <v/>
      </c>
      <c r="C573" s="84">
        <f>'Timeline'!T88</f>
        <v/>
      </c>
      <c r="D573" s="46">
        <f>'Timeline'!U88</f>
        <v/>
      </c>
      <c r="E573" s="46">
        <f>IF(OR(B573="",C573="",D573=""),"",D573*100000+(C573-DATE(2000,1,1))+ROW()/100000)</f>
        <v/>
      </c>
      <c r="F573" s="46">
        <f>IF(E573="","",IF(C573&gt;WeekEndDate,"",E573))</f>
        <v/>
      </c>
    </row>
    <row r="574">
      <c r="A574" t="inlineStr">
        <is>
          <t>Timeline</t>
        </is>
      </c>
      <c r="B574" s="46">
        <f>'Timeline'!V89</f>
        <v/>
      </c>
      <c r="C574" s="84">
        <f>'Timeline'!T89</f>
        <v/>
      </c>
      <c r="D574" s="46">
        <f>'Timeline'!U89</f>
        <v/>
      </c>
      <c r="E574" s="46">
        <f>IF(OR(B574="",C574="",D574=""),"",D574*100000+(C574-DATE(2000,1,1))+ROW()/100000)</f>
        <v/>
      </c>
      <c r="F574" s="46">
        <f>IF(E574="","",IF(C574&gt;WeekEndDate,"",E574))</f>
        <v/>
      </c>
    </row>
    <row r="575">
      <c r="A575" t="inlineStr">
        <is>
          <t>Timeline</t>
        </is>
      </c>
      <c r="B575" s="46">
        <f>'Timeline'!V90</f>
        <v/>
      </c>
      <c r="C575" s="84">
        <f>'Timeline'!T90</f>
        <v/>
      </c>
      <c r="D575" s="46">
        <f>'Timeline'!U90</f>
        <v/>
      </c>
      <c r="E575" s="46">
        <f>IF(OR(B575="",C575="",D575=""),"",D575*100000+(C575-DATE(2000,1,1))+ROW()/100000)</f>
        <v/>
      </c>
      <c r="F575" s="46">
        <f>IF(E575="","",IF(C575&gt;WeekEndDate,"",E575))</f>
        <v/>
      </c>
    </row>
    <row r="576">
      <c r="A576" t="inlineStr">
        <is>
          <t>Timeline</t>
        </is>
      </c>
      <c r="B576" s="46">
        <f>'Timeline'!V91</f>
        <v/>
      </c>
      <c r="C576" s="84">
        <f>'Timeline'!T91</f>
        <v/>
      </c>
      <c r="D576" s="46">
        <f>'Timeline'!U91</f>
        <v/>
      </c>
      <c r="E576" s="46">
        <f>IF(OR(B576="",C576="",D576=""),"",D576*100000+(C576-DATE(2000,1,1))+ROW()/100000)</f>
        <v/>
      </c>
      <c r="F576" s="46">
        <f>IF(E576="","",IF(C576&gt;WeekEndDate,"",E576))</f>
        <v/>
      </c>
    </row>
    <row r="577">
      <c r="A577" t="inlineStr">
        <is>
          <t>Timeline</t>
        </is>
      </c>
      <c r="B577" s="46">
        <f>'Timeline'!V92</f>
        <v/>
      </c>
      <c r="C577" s="84">
        <f>'Timeline'!T92</f>
        <v/>
      </c>
      <c r="D577" s="46">
        <f>'Timeline'!U92</f>
        <v/>
      </c>
      <c r="E577" s="46">
        <f>IF(OR(B577="",C577="",D577=""),"",D577*100000+(C577-DATE(2000,1,1))+ROW()/100000)</f>
        <v/>
      </c>
      <c r="F577" s="46">
        <f>IF(E577="","",IF(C577&gt;WeekEndDate,"",E577))</f>
        <v/>
      </c>
    </row>
    <row r="578">
      <c r="A578" t="inlineStr">
        <is>
          <t>Timeline</t>
        </is>
      </c>
      <c r="B578" s="46">
        <f>'Timeline'!V93</f>
        <v/>
      </c>
      <c r="C578" s="84">
        <f>'Timeline'!T93</f>
        <v/>
      </c>
      <c r="D578" s="46">
        <f>'Timeline'!U93</f>
        <v/>
      </c>
      <c r="E578" s="46">
        <f>IF(OR(B578="",C578="",D578=""),"",D578*100000+(C578-DATE(2000,1,1))+ROW()/100000)</f>
        <v/>
      </c>
      <c r="F578" s="46">
        <f>IF(E578="","",IF(C578&gt;WeekEndDate,"",E578))</f>
        <v/>
      </c>
    </row>
    <row r="579">
      <c r="A579" t="inlineStr">
        <is>
          <t>Timeline</t>
        </is>
      </c>
      <c r="B579" s="46">
        <f>'Timeline'!V94</f>
        <v/>
      </c>
      <c r="C579" s="84">
        <f>'Timeline'!T94</f>
        <v/>
      </c>
      <c r="D579" s="46">
        <f>'Timeline'!U94</f>
        <v/>
      </c>
      <c r="E579" s="46">
        <f>IF(OR(B579="",C579="",D579=""),"",D579*100000+(C579-DATE(2000,1,1))+ROW()/100000)</f>
        <v/>
      </c>
      <c r="F579" s="46">
        <f>IF(E579="","",IF(C579&gt;WeekEndDate,"",E579))</f>
        <v/>
      </c>
    </row>
    <row r="580">
      <c r="A580" t="inlineStr">
        <is>
          <t>Timeline</t>
        </is>
      </c>
      <c r="B580" s="46">
        <f>'Timeline'!V95</f>
        <v/>
      </c>
      <c r="C580" s="84">
        <f>'Timeline'!T95</f>
        <v/>
      </c>
      <c r="D580" s="46">
        <f>'Timeline'!U95</f>
        <v/>
      </c>
      <c r="E580" s="46">
        <f>IF(OR(B580="",C580="",D580=""),"",D580*100000+(C580-DATE(2000,1,1))+ROW()/100000)</f>
        <v/>
      </c>
      <c r="F580" s="46">
        <f>IF(E580="","",IF(C580&gt;WeekEndDate,"",E580))</f>
        <v/>
      </c>
    </row>
    <row r="581">
      <c r="A581" t="inlineStr">
        <is>
          <t>Timeline</t>
        </is>
      </c>
      <c r="B581" s="46">
        <f>'Timeline'!V96</f>
        <v/>
      </c>
      <c r="C581" s="84">
        <f>'Timeline'!T96</f>
        <v/>
      </c>
      <c r="D581" s="46">
        <f>'Timeline'!U96</f>
        <v/>
      </c>
      <c r="E581" s="46">
        <f>IF(OR(B581="",C581="",D581=""),"",D581*100000+(C581-DATE(2000,1,1))+ROW()/100000)</f>
        <v/>
      </c>
      <c r="F581" s="46">
        <f>IF(E581="","",IF(C581&gt;WeekEndDate,"",E581))</f>
        <v/>
      </c>
    </row>
    <row r="582">
      <c r="A582" t="inlineStr">
        <is>
          <t>Timeline</t>
        </is>
      </c>
      <c r="B582" s="46">
        <f>'Timeline'!V97</f>
        <v/>
      </c>
      <c r="C582" s="84">
        <f>'Timeline'!T97</f>
        <v/>
      </c>
      <c r="D582" s="46">
        <f>'Timeline'!U97</f>
        <v/>
      </c>
      <c r="E582" s="46">
        <f>IF(OR(B582="",C582="",D582=""),"",D582*100000+(C582-DATE(2000,1,1))+ROW()/100000)</f>
        <v/>
      </c>
      <c r="F582" s="46">
        <f>IF(E582="","",IF(C582&gt;WeekEndDate,"",E582))</f>
        <v/>
      </c>
    </row>
    <row r="583">
      <c r="A583" t="inlineStr">
        <is>
          <t>Timeline</t>
        </is>
      </c>
      <c r="B583" s="46">
        <f>'Timeline'!V98</f>
        <v/>
      </c>
      <c r="C583" s="84">
        <f>'Timeline'!T98</f>
        <v/>
      </c>
      <c r="D583" s="46">
        <f>'Timeline'!U98</f>
        <v/>
      </c>
      <c r="E583" s="46">
        <f>IF(OR(B583="",C583="",D583=""),"",D583*100000+(C583-DATE(2000,1,1))+ROW()/100000)</f>
        <v/>
      </c>
      <c r="F583" s="46">
        <f>IF(E583="","",IF(C583&gt;WeekEndDate,"",E583))</f>
        <v/>
      </c>
    </row>
    <row r="584">
      <c r="A584" t="inlineStr">
        <is>
          <t>Timeline</t>
        </is>
      </c>
      <c r="B584" s="46">
        <f>'Timeline'!V99</f>
        <v/>
      </c>
      <c r="C584" s="84">
        <f>'Timeline'!T99</f>
        <v/>
      </c>
      <c r="D584" s="46">
        <f>'Timeline'!U99</f>
        <v/>
      </c>
      <c r="E584" s="46">
        <f>IF(OR(B584="",C584="",D584=""),"",D584*100000+(C584-DATE(2000,1,1))+ROW()/100000)</f>
        <v/>
      </c>
      <c r="F584" s="46">
        <f>IF(E584="","",IF(C584&gt;WeekEndDate,"",E584))</f>
        <v/>
      </c>
    </row>
    <row r="585">
      <c r="A585" t="inlineStr">
        <is>
          <t>Timeline</t>
        </is>
      </c>
      <c r="B585" s="46">
        <f>'Timeline'!V100</f>
        <v/>
      </c>
      <c r="C585" s="84">
        <f>'Timeline'!T100</f>
        <v/>
      </c>
      <c r="D585" s="46">
        <f>'Timeline'!U100</f>
        <v/>
      </c>
      <c r="E585" s="46">
        <f>IF(OR(B585="",C585="",D585=""),"",D585*100000+(C585-DATE(2000,1,1))+ROW()/100000)</f>
        <v/>
      </c>
      <c r="F585" s="46">
        <f>IF(E585="","",IF(C585&gt;WeekEndDate,"",E585))</f>
        <v/>
      </c>
    </row>
    <row r="586">
      <c r="A586" t="inlineStr">
        <is>
          <t>Timeline</t>
        </is>
      </c>
      <c r="B586" s="46">
        <f>'Timeline'!V101</f>
        <v/>
      </c>
      <c r="C586" s="84">
        <f>'Timeline'!T101</f>
        <v/>
      </c>
      <c r="D586" s="46">
        <f>'Timeline'!U101</f>
        <v/>
      </c>
      <c r="E586" s="46">
        <f>IF(OR(B586="",C586="",D586=""),"",D586*100000+(C586-DATE(2000,1,1))+ROW()/100000)</f>
        <v/>
      </c>
      <c r="F586" s="46">
        <f>IF(E586="","",IF(C586&gt;WeekEndDate,"",E586))</f>
        <v/>
      </c>
    </row>
    <row r="587">
      <c r="A587" t="inlineStr">
        <is>
          <t>Timeline</t>
        </is>
      </c>
      <c r="B587" s="46">
        <f>'Timeline'!V102</f>
        <v/>
      </c>
      <c r="C587" s="84">
        <f>'Timeline'!T102</f>
        <v/>
      </c>
      <c r="D587" s="46">
        <f>'Timeline'!U102</f>
        <v/>
      </c>
      <c r="E587" s="46">
        <f>IF(OR(B587="",C587="",D587=""),"",D587*100000+(C587-DATE(2000,1,1))+ROW()/100000)</f>
        <v/>
      </c>
      <c r="F587" s="46">
        <f>IF(E587="","",IF(C587&gt;WeekEndDate,"",E587))</f>
        <v/>
      </c>
    </row>
    <row r="588">
      <c r="A588" t="inlineStr">
        <is>
          <t>Timeline</t>
        </is>
      </c>
      <c r="B588" s="46">
        <f>'Timeline'!V103</f>
        <v/>
      </c>
      <c r="C588" s="84">
        <f>'Timeline'!T103</f>
        <v/>
      </c>
      <c r="D588" s="46">
        <f>'Timeline'!U103</f>
        <v/>
      </c>
      <c r="E588" s="46">
        <f>IF(OR(B588="",C588="",D588=""),"",D588*100000+(C588-DATE(2000,1,1))+ROW()/100000)</f>
        <v/>
      </c>
      <c r="F588" s="46">
        <f>IF(E588="","",IF(C588&gt;WeekEndDate,"",E588))</f>
        <v/>
      </c>
    </row>
    <row r="589">
      <c r="A589" t="inlineStr">
        <is>
          <t>Timeline</t>
        </is>
      </c>
      <c r="B589" s="46">
        <f>'Timeline'!V104</f>
        <v/>
      </c>
      <c r="C589" s="84">
        <f>'Timeline'!T104</f>
        <v/>
      </c>
      <c r="D589" s="46">
        <f>'Timeline'!U104</f>
        <v/>
      </c>
      <c r="E589" s="46">
        <f>IF(OR(B589="",C589="",D589=""),"",D589*100000+(C589-DATE(2000,1,1))+ROW()/100000)</f>
        <v/>
      </c>
      <c r="F589" s="46">
        <f>IF(E589="","",IF(C589&gt;WeekEndDate,"",E589))</f>
        <v/>
      </c>
    </row>
    <row r="590">
      <c r="A590" t="inlineStr">
        <is>
          <t>Timeline</t>
        </is>
      </c>
      <c r="B590" s="46">
        <f>'Timeline'!V105</f>
        <v/>
      </c>
      <c r="C590" s="84">
        <f>'Timeline'!T105</f>
        <v/>
      </c>
      <c r="D590" s="46">
        <f>'Timeline'!U105</f>
        <v/>
      </c>
      <c r="E590" s="46">
        <f>IF(OR(B590="",C590="",D590=""),"",D590*100000+(C590-DATE(2000,1,1))+ROW()/100000)</f>
        <v/>
      </c>
      <c r="F590" s="46">
        <f>IF(E590="","",IF(C590&gt;WeekEndDate,"",E590))</f>
        <v/>
      </c>
    </row>
    <row r="591">
      <c r="A591" t="inlineStr">
        <is>
          <t>Timeline</t>
        </is>
      </c>
      <c r="B591" s="46">
        <f>'Timeline'!V106</f>
        <v/>
      </c>
      <c r="C591" s="84">
        <f>'Timeline'!T106</f>
        <v/>
      </c>
      <c r="D591" s="46">
        <f>'Timeline'!U106</f>
        <v/>
      </c>
      <c r="E591" s="46">
        <f>IF(OR(B591="",C591="",D591=""),"",D591*100000+(C591-DATE(2000,1,1))+ROW()/100000)</f>
        <v/>
      </c>
      <c r="F591" s="46">
        <f>IF(E591="","",IF(C591&gt;WeekEndDate,"",E591))</f>
        <v/>
      </c>
    </row>
    <row r="592">
      <c r="A592" t="inlineStr">
        <is>
          <t>Timeline</t>
        </is>
      </c>
      <c r="B592" s="46">
        <f>'Timeline'!V107</f>
        <v/>
      </c>
      <c r="C592" s="84">
        <f>'Timeline'!T107</f>
        <v/>
      </c>
      <c r="D592" s="46">
        <f>'Timeline'!U107</f>
        <v/>
      </c>
      <c r="E592" s="46">
        <f>IF(OR(B592="",C592="",D592=""),"",D592*100000+(C592-DATE(2000,1,1))+ROW()/100000)</f>
        <v/>
      </c>
      <c r="F592" s="46">
        <f>IF(E592="","",IF(C592&gt;WeekEndDate,"",E592))</f>
        <v/>
      </c>
    </row>
    <row r="593">
      <c r="A593" t="inlineStr">
        <is>
          <t>Timeline</t>
        </is>
      </c>
      <c r="B593" s="46">
        <f>'Timeline'!V108</f>
        <v/>
      </c>
      <c r="C593" s="84">
        <f>'Timeline'!T108</f>
        <v/>
      </c>
      <c r="D593" s="46">
        <f>'Timeline'!U108</f>
        <v/>
      </c>
      <c r="E593" s="46">
        <f>IF(OR(B593="",C593="",D593=""),"",D593*100000+(C593-DATE(2000,1,1))+ROW()/100000)</f>
        <v/>
      </c>
      <c r="F593" s="46">
        <f>IF(E593="","",IF(C593&gt;WeekEndDate,"",E593))</f>
        <v/>
      </c>
    </row>
    <row r="594">
      <c r="A594" t="inlineStr">
        <is>
          <t>Timeline</t>
        </is>
      </c>
      <c r="B594" s="46">
        <f>'Timeline'!V109</f>
        <v/>
      </c>
      <c r="C594" s="84">
        <f>'Timeline'!T109</f>
        <v/>
      </c>
      <c r="D594" s="46">
        <f>'Timeline'!U109</f>
        <v/>
      </c>
      <c r="E594" s="46">
        <f>IF(OR(B594="",C594="",D594=""),"",D594*100000+(C594-DATE(2000,1,1))+ROW()/100000)</f>
        <v/>
      </c>
      <c r="F594" s="46">
        <f>IF(E594="","",IF(C594&gt;WeekEndDate,"",E594))</f>
        <v/>
      </c>
    </row>
    <row r="595">
      <c r="A595" t="inlineStr">
        <is>
          <t>Timeline</t>
        </is>
      </c>
      <c r="B595" s="46">
        <f>'Timeline'!V110</f>
        <v/>
      </c>
      <c r="C595" s="84">
        <f>'Timeline'!T110</f>
        <v/>
      </c>
      <c r="D595" s="46">
        <f>'Timeline'!U110</f>
        <v/>
      </c>
      <c r="E595" s="46">
        <f>IF(OR(B595="",C595="",D595=""),"",D595*100000+(C595-DATE(2000,1,1))+ROW()/100000)</f>
        <v/>
      </c>
      <c r="F595" s="46">
        <f>IF(E595="","",IF(C595&gt;WeekEndDate,"",E595))</f>
        <v/>
      </c>
    </row>
    <row r="596">
      <c r="A596" t="inlineStr">
        <is>
          <t>Timeline</t>
        </is>
      </c>
      <c r="B596" s="46">
        <f>'Timeline'!V111</f>
        <v/>
      </c>
      <c r="C596" s="84">
        <f>'Timeline'!T111</f>
        <v/>
      </c>
      <c r="D596" s="46">
        <f>'Timeline'!U111</f>
        <v/>
      </c>
      <c r="E596" s="46">
        <f>IF(OR(B596="",C596="",D596=""),"",D596*100000+(C596-DATE(2000,1,1))+ROW()/100000)</f>
        <v/>
      </c>
      <c r="F596" s="46">
        <f>IF(E596="","",IF(C596&gt;WeekEndDate,"",E596))</f>
        <v/>
      </c>
    </row>
    <row r="597">
      <c r="A597" t="inlineStr">
        <is>
          <t>Timeline</t>
        </is>
      </c>
      <c r="B597" s="46">
        <f>'Timeline'!V112</f>
        <v/>
      </c>
      <c r="C597" s="84">
        <f>'Timeline'!T112</f>
        <v/>
      </c>
      <c r="D597" s="46">
        <f>'Timeline'!U112</f>
        <v/>
      </c>
      <c r="E597" s="46">
        <f>IF(OR(B597="",C597="",D597=""),"",D597*100000+(C597-DATE(2000,1,1))+ROW()/100000)</f>
        <v/>
      </c>
      <c r="F597" s="46">
        <f>IF(E597="","",IF(C597&gt;WeekEndDate,"",E597))</f>
        <v/>
      </c>
    </row>
    <row r="598">
      <c r="A598" t="inlineStr">
        <is>
          <t>Timeline</t>
        </is>
      </c>
      <c r="B598" s="46">
        <f>'Timeline'!V113</f>
        <v/>
      </c>
      <c r="C598" s="84">
        <f>'Timeline'!T113</f>
        <v/>
      </c>
      <c r="D598" s="46">
        <f>'Timeline'!U113</f>
        <v/>
      </c>
      <c r="E598" s="46">
        <f>IF(OR(B598="",C598="",D598=""),"",D598*100000+(C598-DATE(2000,1,1))+ROW()/100000)</f>
        <v/>
      </c>
      <c r="F598" s="46">
        <f>IF(E598="","",IF(C598&gt;WeekEndDate,"",E598))</f>
        <v/>
      </c>
    </row>
    <row r="599">
      <c r="A599" t="inlineStr">
        <is>
          <t>Timeline</t>
        </is>
      </c>
      <c r="B599" s="46">
        <f>'Timeline'!V114</f>
        <v/>
      </c>
      <c r="C599" s="84">
        <f>'Timeline'!T114</f>
        <v/>
      </c>
      <c r="D599" s="46">
        <f>'Timeline'!U114</f>
        <v/>
      </c>
      <c r="E599" s="46">
        <f>IF(OR(B599="",C599="",D599=""),"",D599*100000+(C599-DATE(2000,1,1))+ROW()/100000)</f>
        <v/>
      </c>
      <c r="F599" s="46">
        <f>IF(E599="","",IF(C599&gt;WeekEndDate,"",E599))</f>
        <v/>
      </c>
    </row>
    <row r="600">
      <c r="A600" t="inlineStr">
        <is>
          <t>Timeline</t>
        </is>
      </c>
      <c r="B600" s="46">
        <f>'Timeline'!V115</f>
        <v/>
      </c>
      <c r="C600" s="84">
        <f>'Timeline'!T115</f>
        <v/>
      </c>
      <c r="D600" s="46">
        <f>'Timeline'!U115</f>
        <v/>
      </c>
      <c r="E600" s="46">
        <f>IF(OR(B600="",C600="",D600=""),"",D600*100000+(C600-DATE(2000,1,1))+ROW()/100000)</f>
        <v/>
      </c>
      <c r="F600" s="46">
        <f>IF(E600="","",IF(C600&gt;WeekEndDate,"",E600))</f>
        <v/>
      </c>
    </row>
    <row r="601">
      <c r="A601" t="inlineStr">
        <is>
          <t>Timeline</t>
        </is>
      </c>
      <c r="B601" s="46">
        <f>'Timeline'!V116</f>
        <v/>
      </c>
      <c r="C601" s="84">
        <f>'Timeline'!T116</f>
        <v/>
      </c>
      <c r="D601" s="46">
        <f>'Timeline'!U116</f>
        <v/>
      </c>
      <c r="E601" s="46">
        <f>IF(OR(B601="",C601="",D601=""),"",D601*100000+(C601-DATE(2000,1,1))+ROW()/100000)</f>
        <v/>
      </c>
      <c r="F601" s="46">
        <f>IF(E601="","",IF(C601&gt;WeekEndDate,"",E601))</f>
        <v/>
      </c>
    </row>
    <row r="602">
      <c r="A602" t="inlineStr">
        <is>
          <t>Timeline</t>
        </is>
      </c>
      <c r="B602" s="46">
        <f>'Timeline'!V117</f>
        <v/>
      </c>
      <c r="C602" s="84">
        <f>'Timeline'!T117</f>
        <v/>
      </c>
      <c r="D602" s="46">
        <f>'Timeline'!U117</f>
        <v/>
      </c>
      <c r="E602" s="46">
        <f>IF(OR(B602="",C602="",D602=""),"",D602*100000+(C602-DATE(2000,1,1))+ROW()/100000)</f>
        <v/>
      </c>
      <c r="F602" s="46">
        <f>IF(E602="","",IF(C602&gt;WeekEndDate,"",E602))</f>
        <v/>
      </c>
    </row>
    <row r="603">
      <c r="A603" t="inlineStr">
        <is>
          <t>Timeline</t>
        </is>
      </c>
      <c r="B603" s="46">
        <f>'Timeline'!V118</f>
        <v/>
      </c>
      <c r="C603" s="84">
        <f>'Timeline'!T118</f>
        <v/>
      </c>
      <c r="D603" s="46">
        <f>'Timeline'!U118</f>
        <v/>
      </c>
      <c r="E603" s="46">
        <f>IF(OR(B603="",C603="",D603=""),"",D603*100000+(C603-DATE(2000,1,1))+ROW()/100000)</f>
        <v/>
      </c>
      <c r="F603" s="46">
        <f>IF(E603="","",IF(C603&gt;WeekEndDate,"",E603))</f>
        <v/>
      </c>
    </row>
    <row r="604">
      <c r="A604" t="inlineStr">
        <is>
          <t>Timeline</t>
        </is>
      </c>
      <c r="B604" s="46">
        <f>'Timeline'!V119</f>
        <v/>
      </c>
      <c r="C604" s="84">
        <f>'Timeline'!T119</f>
        <v/>
      </c>
      <c r="D604" s="46">
        <f>'Timeline'!U119</f>
        <v/>
      </c>
      <c r="E604" s="46">
        <f>IF(OR(B604="",C604="",D604=""),"",D604*100000+(C604-DATE(2000,1,1))+ROW()/100000)</f>
        <v/>
      </c>
      <c r="F604" s="46">
        <f>IF(E604="","",IF(C604&gt;WeekEndDate,"",E604))</f>
        <v/>
      </c>
    </row>
    <row r="605">
      <c r="A605" t="inlineStr">
        <is>
          <t>Timeline</t>
        </is>
      </c>
      <c r="B605" s="46">
        <f>'Timeline'!V120</f>
        <v/>
      </c>
      <c r="C605" s="84">
        <f>'Timeline'!T120</f>
        <v/>
      </c>
      <c r="D605" s="46">
        <f>'Timeline'!U120</f>
        <v/>
      </c>
      <c r="E605" s="46">
        <f>IF(OR(B605="",C605="",D605=""),"",D605*100000+(C605-DATE(2000,1,1))+ROW()/100000)</f>
        <v/>
      </c>
      <c r="F605" s="46">
        <f>IF(E605="","",IF(C605&gt;WeekEndDate,"",E605))</f>
        <v/>
      </c>
    </row>
    <row r="606">
      <c r="A606" t="inlineStr">
        <is>
          <t>Timeline</t>
        </is>
      </c>
      <c r="B606" s="46">
        <f>'Timeline'!V121</f>
        <v/>
      </c>
      <c r="C606" s="84">
        <f>'Timeline'!T121</f>
        <v/>
      </c>
      <c r="D606" s="46">
        <f>'Timeline'!U121</f>
        <v/>
      </c>
      <c r="E606" s="46">
        <f>IF(OR(B606="",C606="",D606=""),"",D606*100000+(C606-DATE(2000,1,1))+ROW()/100000)</f>
        <v/>
      </c>
      <c r="F606" s="46">
        <f>IF(E606="","",IF(C606&gt;WeekEndDate,"",E606))</f>
        <v/>
      </c>
    </row>
    <row r="607">
      <c r="A607" t="inlineStr">
        <is>
          <t>Timeline</t>
        </is>
      </c>
      <c r="B607" s="46">
        <f>'Timeline'!V122</f>
        <v/>
      </c>
      <c r="C607" s="84">
        <f>'Timeline'!T122</f>
        <v/>
      </c>
      <c r="D607" s="46">
        <f>'Timeline'!U122</f>
        <v/>
      </c>
      <c r="E607" s="46">
        <f>IF(OR(B607="",C607="",D607=""),"",D607*100000+(C607-DATE(2000,1,1))+ROW()/100000)</f>
        <v/>
      </c>
      <c r="F607" s="46">
        <f>IF(E607="","",IF(C607&gt;WeekEndDate,"",E607))</f>
        <v/>
      </c>
    </row>
    <row r="608">
      <c r="A608" t="inlineStr">
        <is>
          <t>Timeline</t>
        </is>
      </c>
      <c r="B608" s="46">
        <f>'Timeline'!V123</f>
        <v/>
      </c>
      <c r="C608" s="84">
        <f>'Timeline'!T123</f>
        <v/>
      </c>
      <c r="D608" s="46">
        <f>'Timeline'!U123</f>
        <v/>
      </c>
      <c r="E608" s="46">
        <f>IF(OR(B608="",C608="",D608=""),"",D608*100000+(C608-DATE(2000,1,1))+ROW()/100000)</f>
        <v/>
      </c>
      <c r="F608" s="46">
        <f>IF(E608="","",IF(C608&gt;WeekEndDate,"",E608))</f>
        <v/>
      </c>
    </row>
    <row r="609">
      <c r="A609" t="inlineStr">
        <is>
          <t>Timeline</t>
        </is>
      </c>
      <c r="B609" s="46">
        <f>'Timeline'!V124</f>
        <v/>
      </c>
      <c r="C609" s="84">
        <f>'Timeline'!T124</f>
        <v/>
      </c>
      <c r="D609" s="46">
        <f>'Timeline'!U124</f>
        <v/>
      </c>
      <c r="E609" s="46">
        <f>IF(OR(B609="",C609="",D609=""),"",D609*100000+(C609-DATE(2000,1,1))+ROW()/100000)</f>
        <v/>
      </c>
      <c r="F609" s="46">
        <f>IF(E609="","",IF(C609&gt;WeekEndDate,"",E609))</f>
        <v/>
      </c>
    </row>
    <row r="610">
      <c r="A610" t="inlineStr">
        <is>
          <t>Timeline</t>
        </is>
      </c>
      <c r="B610" s="46">
        <f>'Timeline'!V125</f>
        <v/>
      </c>
      <c r="C610" s="84">
        <f>'Timeline'!T125</f>
        <v/>
      </c>
      <c r="D610" s="46">
        <f>'Timeline'!U125</f>
        <v/>
      </c>
      <c r="E610" s="46">
        <f>IF(OR(B610="",C610="",D610=""),"",D610*100000+(C610-DATE(2000,1,1))+ROW()/100000)</f>
        <v/>
      </c>
      <c r="F610" s="46">
        <f>IF(E610="","",IF(C610&gt;WeekEndDate,"",E610))</f>
        <v/>
      </c>
    </row>
    <row r="611">
      <c r="A611" t="inlineStr">
        <is>
          <t>Timeline</t>
        </is>
      </c>
      <c r="B611" s="46">
        <f>'Timeline'!V126</f>
        <v/>
      </c>
      <c r="C611" s="84">
        <f>'Timeline'!T126</f>
        <v/>
      </c>
      <c r="D611" s="46">
        <f>'Timeline'!U126</f>
        <v/>
      </c>
      <c r="E611" s="46">
        <f>IF(OR(B611="",C611="",D611=""),"",D611*100000+(C611-DATE(2000,1,1))+ROW()/100000)</f>
        <v/>
      </c>
      <c r="F611" s="46">
        <f>IF(E611="","",IF(C611&gt;WeekEndDate,"",E611))</f>
        <v/>
      </c>
    </row>
    <row r="612">
      <c r="A612" t="inlineStr">
        <is>
          <t>Timeline</t>
        </is>
      </c>
      <c r="B612" s="46">
        <f>'Timeline'!V127</f>
        <v/>
      </c>
      <c r="C612" s="84">
        <f>'Timeline'!T127</f>
        <v/>
      </c>
      <c r="D612" s="46">
        <f>'Timeline'!U127</f>
        <v/>
      </c>
      <c r="E612" s="46">
        <f>IF(OR(B612="",C612="",D612=""),"",D612*100000+(C612-DATE(2000,1,1))+ROW()/100000)</f>
        <v/>
      </c>
      <c r="F612" s="46">
        <f>IF(E612="","",IF(C612&gt;WeekEndDate,"",E612))</f>
        <v/>
      </c>
    </row>
    <row r="613">
      <c r="A613" t="inlineStr">
        <is>
          <t>Timeline</t>
        </is>
      </c>
      <c r="B613" s="46">
        <f>'Timeline'!V128</f>
        <v/>
      </c>
      <c r="C613" s="84">
        <f>'Timeline'!T128</f>
        <v/>
      </c>
      <c r="D613" s="46">
        <f>'Timeline'!U128</f>
        <v/>
      </c>
      <c r="E613" s="46">
        <f>IF(OR(B613="",C613="",D613=""),"",D613*100000+(C613-DATE(2000,1,1))+ROW()/100000)</f>
        <v/>
      </c>
      <c r="F613" s="46">
        <f>IF(E613="","",IF(C613&gt;WeekEndDate,"",E613))</f>
        <v/>
      </c>
    </row>
    <row r="614">
      <c r="A614" t="inlineStr">
        <is>
          <t>Timeline</t>
        </is>
      </c>
      <c r="B614" s="46">
        <f>'Timeline'!V129</f>
        <v/>
      </c>
      <c r="C614" s="84">
        <f>'Timeline'!T129</f>
        <v/>
      </c>
      <c r="D614" s="46">
        <f>'Timeline'!U129</f>
        <v/>
      </c>
      <c r="E614" s="46">
        <f>IF(OR(B614="",C614="",D614=""),"",D614*100000+(C614-DATE(2000,1,1))+ROW()/100000)</f>
        <v/>
      </c>
      <c r="F614" s="46">
        <f>IF(E614="","",IF(C614&gt;WeekEndDate,"",E614))</f>
        <v/>
      </c>
    </row>
    <row r="615">
      <c r="A615" t="inlineStr">
        <is>
          <t>Timeline</t>
        </is>
      </c>
      <c r="B615" s="46">
        <f>'Timeline'!V130</f>
        <v/>
      </c>
      <c r="C615" s="84">
        <f>'Timeline'!T130</f>
        <v/>
      </c>
      <c r="D615" s="46">
        <f>'Timeline'!U130</f>
        <v/>
      </c>
      <c r="E615" s="46">
        <f>IF(OR(B615="",C615="",D615=""),"",D615*100000+(C615-DATE(2000,1,1))+ROW()/100000)</f>
        <v/>
      </c>
      <c r="F615" s="46">
        <f>IF(E615="","",IF(C615&gt;WeekEndDate,"",E615))</f>
        <v/>
      </c>
    </row>
    <row r="616">
      <c r="A616" t="inlineStr">
        <is>
          <t>Timeline</t>
        </is>
      </c>
      <c r="B616" s="46">
        <f>'Timeline'!V131</f>
        <v/>
      </c>
      <c r="C616" s="84">
        <f>'Timeline'!T131</f>
        <v/>
      </c>
      <c r="D616" s="46">
        <f>'Timeline'!U131</f>
        <v/>
      </c>
      <c r="E616" s="46">
        <f>IF(OR(B616="",C616="",D616=""),"",D616*100000+(C616-DATE(2000,1,1))+ROW()/100000)</f>
        <v/>
      </c>
      <c r="F616" s="46">
        <f>IF(E616="","",IF(C616&gt;WeekEndDate,"",E616))</f>
        <v/>
      </c>
    </row>
    <row r="617">
      <c r="A617" t="inlineStr">
        <is>
          <t>Timeline</t>
        </is>
      </c>
      <c r="B617" s="46">
        <f>'Timeline'!V132</f>
        <v/>
      </c>
      <c r="C617" s="84">
        <f>'Timeline'!T132</f>
        <v/>
      </c>
      <c r="D617" s="46">
        <f>'Timeline'!U132</f>
        <v/>
      </c>
      <c r="E617" s="46">
        <f>IF(OR(B617="",C617="",D617=""),"",D617*100000+(C617-DATE(2000,1,1))+ROW()/100000)</f>
        <v/>
      </c>
      <c r="F617" s="46">
        <f>IF(E617="","",IF(C617&gt;WeekEndDate,"",E617))</f>
        <v/>
      </c>
    </row>
    <row r="618">
      <c r="A618" t="inlineStr">
        <is>
          <t>Timeline</t>
        </is>
      </c>
      <c r="B618" s="46">
        <f>'Timeline'!V133</f>
        <v/>
      </c>
      <c r="C618" s="84">
        <f>'Timeline'!T133</f>
        <v/>
      </c>
      <c r="D618" s="46">
        <f>'Timeline'!U133</f>
        <v/>
      </c>
      <c r="E618" s="46">
        <f>IF(OR(B618="",C618="",D618=""),"",D618*100000+(C618-DATE(2000,1,1))+ROW()/100000)</f>
        <v/>
      </c>
      <c r="F618" s="46">
        <f>IF(E618="","",IF(C618&gt;WeekEndDate,"",E618))</f>
        <v/>
      </c>
    </row>
    <row r="619">
      <c r="A619" t="inlineStr">
        <is>
          <t>Timeline</t>
        </is>
      </c>
      <c r="B619" s="46">
        <f>'Timeline'!V134</f>
        <v/>
      </c>
      <c r="C619" s="84">
        <f>'Timeline'!T134</f>
        <v/>
      </c>
      <c r="D619" s="46">
        <f>'Timeline'!U134</f>
        <v/>
      </c>
      <c r="E619" s="46">
        <f>IF(OR(B619="",C619="",D619=""),"",D619*100000+(C619-DATE(2000,1,1))+ROW()/100000)</f>
        <v/>
      </c>
      <c r="F619" s="46">
        <f>IF(E619="","",IF(C619&gt;WeekEndDate,"",E619))</f>
        <v/>
      </c>
    </row>
    <row r="620">
      <c r="A620" t="inlineStr">
        <is>
          <t>Timeline</t>
        </is>
      </c>
      <c r="B620" s="46">
        <f>'Timeline'!V135</f>
        <v/>
      </c>
      <c r="C620" s="84">
        <f>'Timeline'!T135</f>
        <v/>
      </c>
      <c r="D620" s="46">
        <f>'Timeline'!U135</f>
        <v/>
      </c>
      <c r="E620" s="46">
        <f>IF(OR(B620="",C620="",D620=""),"",D620*100000+(C620-DATE(2000,1,1))+ROW()/100000)</f>
        <v/>
      </c>
      <c r="F620" s="46">
        <f>IF(E620="","",IF(C620&gt;WeekEndDate,"",E620))</f>
        <v/>
      </c>
    </row>
    <row r="621">
      <c r="A621" t="inlineStr">
        <is>
          <t>Timeline</t>
        </is>
      </c>
      <c r="B621" s="46">
        <f>'Timeline'!V136</f>
        <v/>
      </c>
      <c r="C621" s="84">
        <f>'Timeline'!T136</f>
        <v/>
      </c>
      <c r="D621" s="46">
        <f>'Timeline'!U136</f>
        <v/>
      </c>
      <c r="E621" s="46">
        <f>IF(OR(B621="",C621="",D621=""),"",D621*100000+(C621-DATE(2000,1,1))+ROW()/100000)</f>
        <v/>
      </c>
      <c r="F621" s="46">
        <f>IF(E621="","",IF(C621&gt;WeekEndDate,"",E621))</f>
        <v/>
      </c>
    </row>
    <row r="622">
      <c r="A622" t="inlineStr">
        <is>
          <t>Timeline</t>
        </is>
      </c>
      <c r="B622" s="46">
        <f>'Timeline'!V137</f>
        <v/>
      </c>
      <c r="C622" s="84">
        <f>'Timeline'!T137</f>
        <v/>
      </c>
      <c r="D622" s="46">
        <f>'Timeline'!U137</f>
        <v/>
      </c>
      <c r="E622" s="46">
        <f>IF(OR(B622="",C622="",D622=""),"",D622*100000+(C622-DATE(2000,1,1))+ROW()/100000)</f>
        <v/>
      </c>
      <c r="F622" s="46">
        <f>IF(E622="","",IF(C622&gt;WeekEndDate,"",E622))</f>
        <v/>
      </c>
    </row>
    <row r="623">
      <c r="A623" t="inlineStr">
        <is>
          <t>Timeline</t>
        </is>
      </c>
      <c r="B623" s="46">
        <f>'Timeline'!V138</f>
        <v/>
      </c>
      <c r="C623" s="84">
        <f>'Timeline'!T138</f>
        <v/>
      </c>
      <c r="D623" s="46">
        <f>'Timeline'!U138</f>
        <v/>
      </c>
      <c r="E623" s="46">
        <f>IF(OR(B623="",C623="",D623=""),"",D623*100000+(C623-DATE(2000,1,1))+ROW()/100000)</f>
        <v/>
      </c>
      <c r="F623" s="46">
        <f>IF(E623="","",IF(C623&gt;WeekEndDate,"",E623))</f>
        <v/>
      </c>
    </row>
    <row r="624">
      <c r="A624" t="inlineStr">
        <is>
          <t>Timeline</t>
        </is>
      </c>
      <c r="B624" s="46">
        <f>'Timeline'!V139</f>
        <v/>
      </c>
      <c r="C624" s="84">
        <f>'Timeline'!T139</f>
        <v/>
      </c>
      <c r="D624" s="46">
        <f>'Timeline'!U139</f>
        <v/>
      </c>
      <c r="E624" s="46">
        <f>IF(OR(B624="",C624="",D624=""),"",D624*100000+(C624-DATE(2000,1,1))+ROW()/100000)</f>
        <v/>
      </c>
      <c r="F624" s="46">
        <f>IF(E624="","",IF(C624&gt;WeekEndDate,"",E624))</f>
        <v/>
      </c>
    </row>
    <row r="625">
      <c r="A625" t="inlineStr">
        <is>
          <t>Timeline</t>
        </is>
      </c>
      <c r="B625" s="46">
        <f>'Timeline'!V140</f>
        <v/>
      </c>
      <c r="C625" s="84">
        <f>'Timeline'!T140</f>
        <v/>
      </c>
      <c r="D625" s="46">
        <f>'Timeline'!U140</f>
        <v/>
      </c>
      <c r="E625" s="46">
        <f>IF(OR(B625="",C625="",D625=""),"",D625*100000+(C625-DATE(2000,1,1))+ROW()/100000)</f>
        <v/>
      </c>
      <c r="F625" s="46">
        <f>IF(E625="","",IF(C625&gt;WeekEndDate,"",E625))</f>
        <v/>
      </c>
    </row>
    <row r="626">
      <c r="A626" t="inlineStr">
        <is>
          <t>Timeline</t>
        </is>
      </c>
      <c r="B626" s="46">
        <f>'Timeline'!V141</f>
        <v/>
      </c>
      <c r="C626" s="84">
        <f>'Timeline'!T141</f>
        <v/>
      </c>
      <c r="D626" s="46">
        <f>'Timeline'!U141</f>
        <v/>
      </c>
      <c r="E626" s="46">
        <f>IF(OR(B626="",C626="",D626=""),"",D626*100000+(C626-DATE(2000,1,1))+ROW()/100000)</f>
        <v/>
      </c>
      <c r="F626" s="46">
        <f>IF(E626="","",IF(C626&gt;WeekEndDate,"",E626))</f>
        <v/>
      </c>
    </row>
    <row r="627">
      <c r="A627" t="inlineStr">
        <is>
          <t>Timeline</t>
        </is>
      </c>
      <c r="B627" s="46">
        <f>'Timeline'!V142</f>
        <v/>
      </c>
      <c r="C627" s="84">
        <f>'Timeline'!T142</f>
        <v/>
      </c>
      <c r="D627" s="46">
        <f>'Timeline'!U142</f>
        <v/>
      </c>
      <c r="E627" s="46">
        <f>IF(OR(B627="",C627="",D627=""),"",D627*100000+(C627-DATE(2000,1,1))+ROW()/100000)</f>
        <v/>
      </c>
      <c r="F627" s="46">
        <f>IF(E627="","",IF(C627&gt;WeekEndDate,"",E627))</f>
        <v/>
      </c>
    </row>
    <row r="628">
      <c r="A628" t="inlineStr">
        <is>
          <t>Timeline</t>
        </is>
      </c>
      <c r="B628" s="46">
        <f>'Timeline'!V143</f>
        <v/>
      </c>
      <c r="C628" s="84">
        <f>'Timeline'!T143</f>
        <v/>
      </c>
      <c r="D628" s="46">
        <f>'Timeline'!U143</f>
        <v/>
      </c>
      <c r="E628" s="46">
        <f>IF(OR(B628="",C628="",D628=""),"",D628*100000+(C628-DATE(2000,1,1))+ROW()/100000)</f>
        <v/>
      </c>
      <c r="F628" s="46">
        <f>IF(E628="","",IF(C628&gt;WeekEndDate,"",E628))</f>
        <v/>
      </c>
    </row>
    <row r="629">
      <c r="A629" t="inlineStr">
        <is>
          <t>Timeline</t>
        </is>
      </c>
      <c r="B629" s="46">
        <f>'Timeline'!V144</f>
        <v/>
      </c>
      <c r="C629" s="84">
        <f>'Timeline'!T144</f>
        <v/>
      </c>
      <c r="D629" s="46">
        <f>'Timeline'!U144</f>
        <v/>
      </c>
      <c r="E629" s="46">
        <f>IF(OR(B629="",C629="",D629=""),"",D629*100000+(C629-DATE(2000,1,1))+ROW()/100000)</f>
        <v/>
      </c>
      <c r="F629" s="46">
        <f>IF(E629="","",IF(C629&gt;WeekEndDate,"",E629))</f>
        <v/>
      </c>
    </row>
    <row r="630">
      <c r="A630" t="inlineStr">
        <is>
          <t>Timeline</t>
        </is>
      </c>
      <c r="B630" s="46">
        <f>'Timeline'!V145</f>
        <v/>
      </c>
      <c r="C630" s="84">
        <f>'Timeline'!T145</f>
        <v/>
      </c>
      <c r="D630" s="46">
        <f>'Timeline'!U145</f>
        <v/>
      </c>
      <c r="E630" s="46">
        <f>IF(OR(B630="",C630="",D630=""),"",D630*100000+(C630-DATE(2000,1,1))+ROW()/100000)</f>
        <v/>
      </c>
      <c r="F630" s="46">
        <f>IF(E630="","",IF(C630&gt;WeekEndDate,"",E630))</f>
        <v/>
      </c>
    </row>
    <row r="631">
      <c r="A631" t="inlineStr">
        <is>
          <t>Timeline</t>
        </is>
      </c>
      <c r="B631" s="46">
        <f>'Timeline'!V146</f>
        <v/>
      </c>
      <c r="C631" s="84">
        <f>'Timeline'!T146</f>
        <v/>
      </c>
      <c r="D631" s="46">
        <f>'Timeline'!U146</f>
        <v/>
      </c>
      <c r="E631" s="46">
        <f>IF(OR(B631="",C631="",D631=""),"",D631*100000+(C631-DATE(2000,1,1))+ROW()/100000)</f>
        <v/>
      </c>
      <c r="F631" s="46">
        <f>IF(E631="","",IF(C631&gt;WeekEndDate,"",E631))</f>
        <v/>
      </c>
    </row>
    <row r="632">
      <c r="A632" t="inlineStr">
        <is>
          <t>Timeline</t>
        </is>
      </c>
      <c r="B632" s="46">
        <f>'Timeline'!V147</f>
        <v/>
      </c>
      <c r="C632" s="84">
        <f>'Timeline'!T147</f>
        <v/>
      </c>
      <c r="D632" s="46">
        <f>'Timeline'!U147</f>
        <v/>
      </c>
      <c r="E632" s="46">
        <f>IF(OR(B632="",C632="",D632=""),"",D632*100000+(C632-DATE(2000,1,1))+ROW()/100000)</f>
        <v/>
      </c>
      <c r="F632" s="46">
        <f>IF(E632="","",IF(C632&gt;WeekEndDate,"",E632))</f>
        <v/>
      </c>
    </row>
    <row r="633">
      <c r="A633" t="inlineStr">
        <is>
          <t>Timeline</t>
        </is>
      </c>
      <c r="B633" s="46">
        <f>'Timeline'!V148</f>
        <v/>
      </c>
      <c r="C633" s="84">
        <f>'Timeline'!T148</f>
        <v/>
      </c>
      <c r="D633" s="46">
        <f>'Timeline'!U148</f>
        <v/>
      </c>
      <c r="E633" s="46">
        <f>IF(OR(B633="",C633="",D633=""),"",D633*100000+(C633-DATE(2000,1,1))+ROW()/100000)</f>
        <v/>
      </c>
      <c r="F633" s="46">
        <f>IF(E633="","",IF(C633&gt;WeekEndDate,"",E633))</f>
        <v/>
      </c>
    </row>
    <row r="634">
      <c r="A634" t="inlineStr">
        <is>
          <t>Timeline</t>
        </is>
      </c>
      <c r="B634" s="46">
        <f>'Timeline'!V149</f>
        <v/>
      </c>
      <c r="C634" s="84">
        <f>'Timeline'!T149</f>
        <v/>
      </c>
      <c r="D634" s="46">
        <f>'Timeline'!U149</f>
        <v/>
      </c>
      <c r="E634" s="46">
        <f>IF(OR(B634="",C634="",D634=""),"",D634*100000+(C634-DATE(2000,1,1))+ROW()/100000)</f>
        <v/>
      </c>
      <c r="F634" s="46">
        <f>IF(E634="","",IF(C634&gt;WeekEndDate,"",E634))</f>
        <v/>
      </c>
    </row>
    <row r="635">
      <c r="A635" t="inlineStr">
        <is>
          <t>Timeline</t>
        </is>
      </c>
      <c r="B635" s="46">
        <f>'Timeline'!V150</f>
        <v/>
      </c>
      <c r="C635" s="84">
        <f>'Timeline'!T150</f>
        <v/>
      </c>
      <c r="D635" s="46">
        <f>'Timeline'!U150</f>
        <v/>
      </c>
      <c r="E635" s="46">
        <f>IF(OR(B635="",C635="",D635=""),"",D635*100000+(C635-DATE(2000,1,1))+ROW()/100000)</f>
        <v/>
      </c>
      <c r="F635" s="46">
        <f>IF(E635="","",IF(C635&gt;WeekEndDate,"",E635))</f>
        <v/>
      </c>
    </row>
    <row r="636">
      <c r="A636" t="inlineStr">
        <is>
          <t>Timeline</t>
        </is>
      </c>
      <c r="B636" s="46">
        <f>'Timeline'!V151</f>
        <v/>
      </c>
      <c r="C636" s="84">
        <f>'Timeline'!T151</f>
        <v/>
      </c>
      <c r="D636" s="46">
        <f>'Timeline'!U151</f>
        <v/>
      </c>
      <c r="E636" s="46">
        <f>IF(OR(B636="",C636="",D636=""),"",D636*100000+(C636-DATE(2000,1,1))+ROW()/100000)</f>
        <v/>
      </c>
      <c r="F636" s="46">
        <f>IF(E636="","",IF(C636&gt;WeekEndDate,"",E636))</f>
        <v/>
      </c>
    </row>
    <row r="637">
      <c r="A637" t="inlineStr">
        <is>
          <t>Timeline</t>
        </is>
      </c>
      <c r="B637" s="46">
        <f>'Timeline'!V152</f>
        <v/>
      </c>
      <c r="C637" s="84">
        <f>'Timeline'!T152</f>
        <v/>
      </c>
      <c r="D637" s="46">
        <f>'Timeline'!U152</f>
        <v/>
      </c>
      <c r="E637" s="46">
        <f>IF(OR(B637="",C637="",D637=""),"",D637*100000+(C637-DATE(2000,1,1))+ROW()/100000)</f>
        <v/>
      </c>
      <c r="F637" s="46">
        <f>IF(E637="","",IF(C637&gt;WeekEndDate,"",E637))</f>
        <v/>
      </c>
    </row>
    <row r="638">
      <c r="A638" t="inlineStr">
        <is>
          <t>Timeline</t>
        </is>
      </c>
      <c r="B638" s="46">
        <f>'Timeline'!V153</f>
        <v/>
      </c>
      <c r="C638" s="84">
        <f>'Timeline'!T153</f>
        <v/>
      </c>
      <c r="D638" s="46">
        <f>'Timeline'!U153</f>
        <v/>
      </c>
      <c r="E638" s="46">
        <f>IF(OR(B638="",C638="",D638=""),"",D638*100000+(C638-DATE(2000,1,1))+ROW()/100000)</f>
        <v/>
      </c>
      <c r="F638" s="46">
        <f>IF(E638="","",IF(C638&gt;WeekEndDate,"",E638))</f>
        <v/>
      </c>
    </row>
    <row r="639">
      <c r="A639" t="inlineStr">
        <is>
          <t>Timeline</t>
        </is>
      </c>
      <c r="B639" s="46">
        <f>'Timeline'!V154</f>
        <v/>
      </c>
      <c r="C639" s="84">
        <f>'Timeline'!T154</f>
        <v/>
      </c>
      <c r="D639" s="46">
        <f>'Timeline'!U154</f>
        <v/>
      </c>
      <c r="E639" s="46">
        <f>IF(OR(B639="",C639="",D639=""),"",D639*100000+(C639-DATE(2000,1,1))+ROW()/100000)</f>
        <v/>
      </c>
      <c r="F639" s="46">
        <f>IF(E639="","",IF(C639&gt;WeekEndDate,"",E639))</f>
        <v/>
      </c>
    </row>
    <row r="640">
      <c r="A640" t="inlineStr">
        <is>
          <t>Timeline</t>
        </is>
      </c>
      <c r="B640" s="46">
        <f>'Timeline'!V155</f>
        <v/>
      </c>
      <c r="C640" s="84">
        <f>'Timeline'!T155</f>
        <v/>
      </c>
      <c r="D640" s="46">
        <f>'Timeline'!U155</f>
        <v/>
      </c>
      <c r="E640" s="46">
        <f>IF(OR(B640="",C640="",D640=""),"",D640*100000+(C640-DATE(2000,1,1))+ROW()/100000)</f>
        <v/>
      </c>
      <c r="F640" s="46">
        <f>IF(E640="","",IF(C640&gt;WeekEndDate,"",E640))</f>
        <v/>
      </c>
    </row>
    <row r="641">
      <c r="A641" t="inlineStr">
        <is>
          <t>Timeline</t>
        </is>
      </c>
      <c r="B641" s="46">
        <f>'Timeline'!V156</f>
        <v/>
      </c>
      <c r="C641" s="84">
        <f>'Timeline'!T156</f>
        <v/>
      </c>
      <c r="D641" s="46">
        <f>'Timeline'!U156</f>
        <v/>
      </c>
      <c r="E641" s="46">
        <f>IF(OR(B641="",C641="",D641=""),"",D641*100000+(C641-DATE(2000,1,1))+ROW()/100000)</f>
        <v/>
      </c>
      <c r="F641" s="46">
        <f>IF(E641="","",IF(C641&gt;WeekEndDate,"",E641))</f>
        <v/>
      </c>
    </row>
    <row r="642">
      <c r="A642" t="inlineStr">
        <is>
          <t>Contractors</t>
        </is>
      </c>
      <c r="B642" s="46">
        <f>'Contractors'!Y6</f>
        <v/>
      </c>
      <c r="C642" s="84">
        <f>'Contractors'!W6</f>
        <v/>
      </c>
      <c r="D642" s="46">
        <f>'Contractors'!X6</f>
        <v/>
      </c>
      <c r="E642" s="46">
        <f>IF(OR(B642="",C642="",D642=""),"",D642*100000+(C642-DATE(2000,1,1))+ROW()/100000)</f>
        <v/>
      </c>
      <c r="F642" s="46">
        <f>IF(E642="","",IF(C642&gt;WeekEndDate,"",E642))</f>
        <v/>
      </c>
    </row>
    <row r="643">
      <c r="A643" t="inlineStr">
        <is>
          <t>Contractors</t>
        </is>
      </c>
      <c r="B643" s="46">
        <f>'Contractors'!Y7</f>
        <v/>
      </c>
      <c r="C643" s="84">
        <f>'Contractors'!W7</f>
        <v/>
      </c>
      <c r="D643" s="46">
        <f>'Contractors'!X7</f>
        <v/>
      </c>
      <c r="E643" s="46">
        <f>IF(OR(B643="",C643="",D643=""),"",D643*100000+(C643-DATE(2000,1,1))+ROW()/100000)</f>
        <v/>
      </c>
      <c r="F643" s="46">
        <f>IF(E643="","",IF(C643&gt;WeekEndDate,"",E643))</f>
        <v/>
      </c>
    </row>
    <row r="644">
      <c r="A644" t="inlineStr">
        <is>
          <t>Contractors</t>
        </is>
      </c>
      <c r="B644" s="46">
        <f>'Contractors'!Y8</f>
        <v/>
      </c>
      <c r="C644" s="84">
        <f>'Contractors'!W8</f>
        <v/>
      </c>
      <c r="D644" s="46">
        <f>'Contractors'!X8</f>
        <v/>
      </c>
      <c r="E644" s="46">
        <f>IF(OR(B644="",C644="",D644=""),"",D644*100000+(C644-DATE(2000,1,1))+ROW()/100000)</f>
        <v/>
      </c>
      <c r="F644" s="46">
        <f>IF(E644="","",IF(C644&gt;WeekEndDate,"",E644))</f>
        <v/>
      </c>
    </row>
    <row r="645">
      <c r="A645" t="inlineStr">
        <is>
          <t>Contractors</t>
        </is>
      </c>
      <c r="B645" s="46">
        <f>'Contractors'!Y9</f>
        <v/>
      </c>
      <c r="C645" s="84">
        <f>'Contractors'!W9</f>
        <v/>
      </c>
      <c r="D645" s="46">
        <f>'Contractors'!X9</f>
        <v/>
      </c>
      <c r="E645" s="46">
        <f>IF(OR(B645="",C645="",D645=""),"",D645*100000+(C645-DATE(2000,1,1))+ROW()/100000)</f>
        <v/>
      </c>
      <c r="F645" s="46">
        <f>IF(E645="","",IF(C645&gt;WeekEndDate,"",E645))</f>
        <v/>
      </c>
    </row>
    <row r="646">
      <c r="A646" t="inlineStr">
        <is>
          <t>Contractors</t>
        </is>
      </c>
      <c r="B646" s="46">
        <f>'Contractors'!Y10</f>
        <v/>
      </c>
      <c r="C646" s="84">
        <f>'Contractors'!W10</f>
        <v/>
      </c>
      <c r="D646" s="46">
        <f>'Contractors'!X10</f>
        <v/>
      </c>
      <c r="E646" s="46">
        <f>IF(OR(B646="",C646="",D646=""),"",D646*100000+(C646-DATE(2000,1,1))+ROW()/100000)</f>
        <v/>
      </c>
      <c r="F646" s="46">
        <f>IF(E646="","",IF(C646&gt;WeekEndDate,"",E646))</f>
        <v/>
      </c>
    </row>
    <row r="647">
      <c r="A647" t="inlineStr">
        <is>
          <t>Contractors</t>
        </is>
      </c>
      <c r="B647" s="46">
        <f>'Contractors'!Y11</f>
        <v/>
      </c>
      <c r="C647" s="84">
        <f>'Contractors'!W11</f>
        <v/>
      </c>
      <c r="D647" s="46">
        <f>'Contractors'!X11</f>
        <v/>
      </c>
      <c r="E647" s="46">
        <f>IF(OR(B647="",C647="",D647=""),"",D647*100000+(C647-DATE(2000,1,1))+ROW()/100000)</f>
        <v/>
      </c>
      <c r="F647" s="46">
        <f>IF(E647="","",IF(C647&gt;WeekEndDate,"",E647))</f>
        <v/>
      </c>
    </row>
    <row r="648">
      <c r="A648" t="inlineStr">
        <is>
          <t>Contractors</t>
        </is>
      </c>
      <c r="B648" s="46">
        <f>'Contractors'!Y12</f>
        <v/>
      </c>
      <c r="C648" s="84">
        <f>'Contractors'!W12</f>
        <v/>
      </c>
      <c r="D648" s="46">
        <f>'Contractors'!X12</f>
        <v/>
      </c>
      <c r="E648" s="46">
        <f>IF(OR(B648="",C648="",D648=""),"",D648*100000+(C648-DATE(2000,1,1))+ROW()/100000)</f>
        <v/>
      </c>
      <c r="F648" s="46">
        <f>IF(E648="","",IF(C648&gt;WeekEndDate,"",E648))</f>
        <v/>
      </c>
    </row>
    <row r="649">
      <c r="A649" t="inlineStr">
        <is>
          <t>Contractors</t>
        </is>
      </c>
      <c r="B649" s="46">
        <f>'Contractors'!Y13</f>
        <v/>
      </c>
      <c r="C649" s="84">
        <f>'Contractors'!W13</f>
        <v/>
      </c>
      <c r="D649" s="46">
        <f>'Contractors'!X13</f>
        <v/>
      </c>
      <c r="E649" s="46">
        <f>IF(OR(B649="",C649="",D649=""),"",D649*100000+(C649-DATE(2000,1,1))+ROW()/100000)</f>
        <v/>
      </c>
      <c r="F649" s="46">
        <f>IF(E649="","",IF(C649&gt;WeekEndDate,"",E649))</f>
        <v/>
      </c>
    </row>
    <row r="650">
      <c r="A650" t="inlineStr">
        <is>
          <t>Contractors</t>
        </is>
      </c>
      <c r="B650" s="46">
        <f>'Contractors'!Y14</f>
        <v/>
      </c>
      <c r="C650" s="84">
        <f>'Contractors'!W14</f>
        <v/>
      </c>
      <c r="D650" s="46">
        <f>'Contractors'!X14</f>
        <v/>
      </c>
      <c r="E650" s="46">
        <f>IF(OR(B650="",C650="",D650=""),"",D650*100000+(C650-DATE(2000,1,1))+ROW()/100000)</f>
        <v/>
      </c>
      <c r="F650" s="46">
        <f>IF(E650="","",IF(C650&gt;WeekEndDate,"",E650))</f>
        <v/>
      </c>
    </row>
    <row r="651">
      <c r="A651" t="inlineStr">
        <is>
          <t>Contractors</t>
        </is>
      </c>
      <c r="B651" s="46">
        <f>'Contractors'!Y15</f>
        <v/>
      </c>
      <c r="C651" s="84">
        <f>'Contractors'!W15</f>
        <v/>
      </c>
      <c r="D651" s="46">
        <f>'Contractors'!X15</f>
        <v/>
      </c>
      <c r="E651" s="46">
        <f>IF(OR(B651="",C651="",D651=""),"",D651*100000+(C651-DATE(2000,1,1))+ROW()/100000)</f>
        <v/>
      </c>
      <c r="F651" s="46">
        <f>IF(E651="","",IF(C651&gt;WeekEndDate,"",E651))</f>
        <v/>
      </c>
    </row>
    <row r="652">
      <c r="A652" t="inlineStr">
        <is>
          <t>Contractors</t>
        </is>
      </c>
      <c r="B652" s="46">
        <f>'Contractors'!Y16</f>
        <v/>
      </c>
      <c r="C652" s="84">
        <f>'Contractors'!W16</f>
        <v/>
      </c>
      <c r="D652" s="46">
        <f>'Contractors'!X16</f>
        <v/>
      </c>
      <c r="E652" s="46">
        <f>IF(OR(B652="",C652="",D652=""),"",D652*100000+(C652-DATE(2000,1,1))+ROW()/100000)</f>
        <v/>
      </c>
      <c r="F652" s="46">
        <f>IF(E652="","",IF(C652&gt;WeekEndDate,"",E652))</f>
        <v/>
      </c>
    </row>
    <row r="653">
      <c r="A653" t="inlineStr">
        <is>
          <t>Contractors</t>
        </is>
      </c>
      <c r="B653" s="46">
        <f>'Contractors'!Y17</f>
        <v/>
      </c>
      <c r="C653" s="84">
        <f>'Contractors'!W17</f>
        <v/>
      </c>
      <c r="D653" s="46">
        <f>'Contractors'!X17</f>
        <v/>
      </c>
      <c r="E653" s="46">
        <f>IF(OR(B653="",C653="",D653=""),"",D653*100000+(C653-DATE(2000,1,1))+ROW()/100000)</f>
        <v/>
      </c>
      <c r="F653" s="46">
        <f>IF(E653="","",IF(C653&gt;WeekEndDate,"",E653))</f>
        <v/>
      </c>
    </row>
    <row r="654">
      <c r="A654" t="inlineStr">
        <is>
          <t>Contractors</t>
        </is>
      </c>
      <c r="B654" s="46">
        <f>'Contractors'!Y18</f>
        <v/>
      </c>
      <c r="C654" s="84">
        <f>'Contractors'!W18</f>
        <v/>
      </c>
      <c r="D654" s="46">
        <f>'Contractors'!X18</f>
        <v/>
      </c>
      <c r="E654" s="46">
        <f>IF(OR(B654="",C654="",D654=""),"",D654*100000+(C654-DATE(2000,1,1))+ROW()/100000)</f>
        <v/>
      </c>
      <c r="F654" s="46">
        <f>IF(E654="","",IF(C654&gt;WeekEndDate,"",E654))</f>
        <v/>
      </c>
    </row>
    <row r="655">
      <c r="A655" t="inlineStr">
        <is>
          <t>Contractors</t>
        </is>
      </c>
      <c r="B655" s="46">
        <f>'Contractors'!Y19</f>
        <v/>
      </c>
      <c r="C655" s="84">
        <f>'Contractors'!W19</f>
        <v/>
      </c>
      <c r="D655" s="46">
        <f>'Contractors'!X19</f>
        <v/>
      </c>
      <c r="E655" s="46">
        <f>IF(OR(B655="",C655="",D655=""),"",D655*100000+(C655-DATE(2000,1,1))+ROW()/100000)</f>
        <v/>
      </c>
      <c r="F655" s="46">
        <f>IF(E655="","",IF(C655&gt;WeekEndDate,"",E655))</f>
        <v/>
      </c>
    </row>
    <row r="656">
      <c r="A656" t="inlineStr">
        <is>
          <t>Contractors</t>
        </is>
      </c>
      <c r="B656" s="46">
        <f>'Contractors'!Y20</f>
        <v/>
      </c>
      <c r="C656" s="84">
        <f>'Contractors'!W20</f>
        <v/>
      </c>
      <c r="D656" s="46">
        <f>'Contractors'!X20</f>
        <v/>
      </c>
      <c r="E656" s="46">
        <f>IF(OR(B656="",C656="",D656=""),"",D656*100000+(C656-DATE(2000,1,1))+ROW()/100000)</f>
        <v/>
      </c>
      <c r="F656" s="46">
        <f>IF(E656="","",IF(C656&gt;WeekEndDate,"",E656))</f>
        <v/>
      </c>
    </row>
    <row r="657">
      <c r="A657" t="inlineStr">
        <is>
          <t>Contractors</t>
        </is>
      </c>
      <c r="B657" s="46">
        <f>'Contractors'!Y21</f>
        <v/>
      </c>
      <c r="C657" s="84">
        <f>'Contractors'!W21</f>
        <v/>
      </c>
      <c r="D657" s="46">
        <f>'Contractors'!X21</f>
        <v/>
      </c>
      <c r="E657" s="46">
        <f>IF(OR(B657="",C657="",D657=""),"",D657*100000+(C657-DATE(2000,1,1))+ROW()/100000)</f>
        <v/>
      </c>
      <c r="F657" s="46">
        <f>IF(E657="","",IF(C657&gt;WeekEndDate,"",E657))</f>
        <v/>
      </c>
    </row>
    <row r="658">
      <c r="A658" t="inlineStr">
        <is>
          <t>Contractors</t>
        </is>
      </c>
      <c r="B658" s="46">
        <f>'Contractors'!Y22</f>
        <v/>
      </c>
      <c r="C658" s="84">
        <f>'Contractors'!W22</f>
        <v/>
      </c>
      <c r="D658" s="46">
        <f>'Contractors'!X22</f>
        <v/>
      </c>
      <c r="E658" s="46">
        <f>IF(OR(B658="",C658="",D658=""),"",D658*100000+(C658-DATE(2000,1,1))+ROW()/100000)</f>
        <v/>
      </c>
      <c r="F658" s="46">
        <f>IF(E658="","",IF(C658&gt;WeekEndDate,"",E658))</f>
        <v/>
      </c>
    </row>
    <row r="659">
      <c r="A659" t="inlineStr">
        <is>
          <t>Contractors</t>
        </is>
      </c>
      <c r="B659" s="46">
        <f>'Contractors'!Y23</f>
        <v/>
      </c>
      <c r="C659" s="84">
        <f>'Contractors'!W23</f>
        <v/>
      </c>
      <c r="D659" s="46">
        <f>'Contractors'!X23</f>
        <v/>
      </c>
      <c r="E659" s="46">
        <f>IF(OR(B659="",C659="",D659=""),"",D659*100000+(C659-DATE(2000,1,1))+ROW()/100000)</f>
        <v/>
      </c>
      <c r="F659" s="46">
        <f>IF(E659="","",IF(C659&gt;WeekEndDate,"",E659))</f>
        <v/>
      </c>
    </row>
    <row r="660">
      <c r="A660" t="inlineStr">
        <is>
          <t>Contractors</t>
        </is>
      </c>
      <c r="B660" s="46">
        <f>'Contractors'!Y24</f>
        <v/>
      </c>
      <c r="C660" s="84">
        <f>'Contractors'!W24</f>
        <v/>
      </c>
      <c r="D660" s="46">
        <f>'Contractors'!X24</f>
        <v/>
      </c>
      <c r="E660" s="46">
        <f>IF(OR(B660="",C660="",D660=""),"",D660*100000+(C660-DATE(2000,1,1))+ROW()/100000)</f>
        <v/>
      </c>
      <c r="F660" s="46">
        <f>IF(E660="","",IF(C660&gt;WeekEndDate,"",E660))</f>
        <v/>
      </c>
    </row>
    <row r="661">
      <c r="A661" t="inlineStr">
        <is>
          <t>Contractors</t>
        </is>
      </c>
      <c r="B661" s="46">
        <f>'Contractors'!Y25</f>
        <v/>
      </c>
      <c r="C661" s="84">
        <f>'Contractors'!W25</f>
        <v/>
      </c>
      <c r="D661" s="46">
        <f>'Contractors'!X25</f>
        <v/>
      </c>
      <c r="E661" s="46">
        <f>IF(OR(B661="",C661="",D661=""),"",D661*100000+(C661-DATE(2000,1,1))+ROW()/100000)</f>
        <v/>
      </c>
      <c r="F661" s="46">
        <f>IF(E661="","",IF(C661&gt;WeekEndDate,"",E661))</f>
        <v/>
      </c>
    </row>
    <row r="662">
      <c r="A662" t="inlineStr">
        <is>
          <t>Contractors</t>
        </is>
      </c>
      <c r="B662" s="46">
        <f>'Contractors'!Y26</f>
        <v/>
      </c>
      <c r="C662" s="84">
        <f>'Contractors'!W26</f>
        <v/>
      </c>
      <c r="D662" s="46">
        <f>'Contractors'!X26</f>
        <v/>
      </c>
      <c r="E662" s="46">
        <f>IF(OR(B662="",C662="",D662=""),"",D662*100000+(C662-DATE(2000,1,1))+ROW()/100000)</f>
        <v/>
      </c>
      <c r="F662" s="46">
        <f>IF(E662="","",IF(C662&gt;WeekEndDate,"",E662))</f>
        <v/>
      </c>
    </row>
    <row r="663">
      <c r="A663" t="inlineStr">
        <is>
          <t>Contractors</t>
        </is>
      </c>
      <c r="B663" s="46">
        <f>'Contractors'!Y27</f>
        <v/>
      </c>
      <c r="C663" s="84">
        <f>'Contractors'!W27</f>
        <v/>
      </c>
      <c r="D663" s="46">
        <f>'Contractors'!X27</f>
        <v/>
      </c>
      <c r="E663" s="46">
        <f>IF(OR(B663="",C663="",D663=""),"",D663*100000+(C663-DATE(2000,1,1))+ROW()/100000)</f>
        <v/>
      </c>
      <c r="F663" s="46">
        <f>IF(E663="","",IF(C663&gt;WeekEndDate,"",E663))</f>
        <v/>
      </c>
    </row>
    <row r="664">
      <c r="A664" t="inlineStr">
        <is>
          <t>Contractors</t>
        </is>
      </c>
      <c r="B664" s="46">
        <f>'Contractors'!Y28</f>
        <v/>
      </c>
      <c r="C664" s="84">
        <f>'Contractors'!W28</f>
        <v/>
      </c>
      <c r="D664" s="46">
        <f>'Contractors'!X28</f>
        <v/>
      </c>
      <c r="E664" s="46">
        <f>IF(OR(B664="",C664="",D664=""),"",D664*100000+(C664-DATE(2000,1,1))+ROW()/100000)</f>
        <v/>
      </c>
      <c r="F664" s="46">
        <f>IF(E664="","",IF(C664&gt;WeekEndDate,"",E664))</f>
        <v/>
      </c>
    </row>
    <row r="665">
      <c r="A665" t="inlineStr">
        <is>
          <t>Contractors</t>
        </is>
      </c>
      <c r="B665" s="46">
        <f>'Contractors'!Y29</f>
        <v/>
      </c>
      <c r="C665" s="84">
        <f>'Contractors'!W29</f>
        <v/>
      </c>
      <c r="D665" s="46">
        <f>'Contractors'!X29</f>
        <v/>
      </c>
      <c r="E665" s="46">
        <f>IF(OR(B665="",C665="",D665=""),"",D665*100000+(C665-DATE(2000,1,1))+ROW()/100000)</f>
        <v/>
      </c>
      <c r="F665" s="46">
        <f>IF(E665="","",IF(C665&gt;WeekEndDate,"",E665))</f>
        <v/>
      </c>
    </row>
    <row r="666">
      <c r="A666" t="inlineStr">
        <is>
          <t>Contractors</t>
        </is>
      </c>
      <c r="B666" s="46">
        <f>'Contractors'!Y30</f>
        <v/>
      </c>
      <c r="C666" s="84">
        <f>'Contractors'!W30</f>
        <v/>
      </c>
      <c r="D666" s="46">
        <f>'Contractors'!X30</f>
        <v/>
      </c>
      <c r="E666" s="46">
        <f>IF(OR(B666="",C666="",D666=""),"",D666*100000+(C666-DATE(2000,1,1))+ROW()/100000)</f>
        <v/>
      </c>
      <c r="F666" s="46">
        <f>IF(E666="","",IF(C666&gt;WeekEndDate,"",E666))</f>
        <v/>
      </c>
    </row>
    <row r="667">
      <c r="A667" t="inlineStr">
        <is>
          <t>Contractors</t>
        </is>
      </c>
      <c r="B667" s="46">
        <f>'Contractors'!Y31</f>
        <v/>
      </c>
      <c r="C667" s="84">
        <f>'Contractors'!W31</f>
        <v/>
      </c>
      <c r="D667" s="46">
        <f>'Contractors'!X31</f>
        <v/>
      </c>
      <c r="E667" s="46">
        <f>IF(OR(B667="",C667="",D667=""),"",D667*100000+(C667-DATE(2000,1,1))+ROW()/100000)</f>
        <v/>
      </c>
      <c r="F667" s="46">
        <f>IF(E667="","",IF(C667&gt;WeekEndDate,"",E667))</f>
        <v/>
      </c>
    </row>
    <row r="668">
      <c r="A668" t="inlineStr">
        <is>
          <t>Contractors</t>
        </is>
      </c>
      <c r="B668" s="46">
        <f>'Contractors'!Y32</f>
        <v/>
      </c>
      <c r="C668" s="84">
        <f>'Contractors'!W32</f>
        <v/>
      </c>
      <c r="D668" s="46">
        <f>'Contractors'!X32</f>
        <v/>
      </c>
      <c r="E668" s="46">
        <f>IF(OR(B668="",C668="",D668=""),"",D668*100000+(C668-DATE(2000,1,1))+ROW()/100000)</f>
        <v/>
      </c>
      <c r="F668" s="46">
        <f>IF(E668="","",IF(C668&gt;WeekEndDate,"",E668))</f>
        <v/>
      </c>
    </row>
    <row r="669">
      <c r="A669" t="inlineStr">
        <is>
          <t>Contractors</t>
        </is>
      </c>
      <c r="B669" s="46">
        <f>'Contractors'!Y33</f>
        <v/>
      </c>
      <c r="C669" s="84">
        <f>'Contractors'!W33</f>
        <v/>
      </c>
      <c r="D669" s="46">
        <f>'Contractors'!X33</f>
        <v/>
      </c>
      <c r="E669" s="46">
        <f>IF(OR(B669="",C669="",D669=""),"",D669*100000+(C669-DATE(2000,1,1))+ROW()/100000)</f>
        <v/>
      </c>
      <c r="F669" s="46">
        <f>IF(E669="","",IF(C669&gt;WeekEndDate,"",E669))</f>
        <v/>
      </c>
    </row>
    <row r="670">
      <c r="A670" t="inlineStr">
        <is>
          <t>Contractors</t>
        </is>
      </c>
      <c r="B670" s="46">
        <f>'Contractors'!Y34</f>
        <v/>
      </c>
      <c r="C670" s="84">
        <f>'Contractors'!W34</f>
        <v/>
      </c>
      <c r="D670" s="46">
        <f>'Contractors'!X34</f>
        <v/>
      </c>
      <c r="E670" s="46">
        <f>IF(OR(B670="",C670="",D670=""),"",D670*100000+(C670-DATE(2000,1,1))+ROW()/100000)</f>
        <v/>
      </c>
      <c r="F670" s="46">
        <f>IF(E670="","",IF(C670&gt;WeekEndDate,"",E670))</f>
        <v/>
      </c>
    </row>
    <row r="671">
      <c r="A671" t="inlineStr">
        <is>
          <t>Contractors</t>
        </is>
      </c>
      <c r="B671" s="46">
        <f>'Contractors'!Y35</f>
        <v/>
      </c>
      <c r="C671" s="84">
        <f>'Contractors'!W35</f>
        <v/>
      </c>
      <c r="D671" s="46">
        <f>'Contractors'!X35</f>
        <v/>
      </c>
      <c r="E671" s="46">
        <f>IF(OR(B671="",C671="",D671=""),"",D671*100000+(C671-DATE(2000,1,1))+ROW()/100000)</f>
        <v/>
      </c>
      <c r="F671" s="46">
        <f>IF(E671="","",IF(C671&gt;WeekEndDate,"",E671))</f>
        <v/>
      </c>
    </row>
    <row r="672">
      <c r="A672" t="inlineStr">
        <is>
          <t>Contractors</t>
        </is>
      </c>
      <c r="B672" s="46">
        <f>'Contractors'!Y41</f>
        <v/>
      </c>
      <c r="C672" s="84">
        <f>'Contractors'!W41</f>
        <v/>
      </c>
      <c r="D672" s="46">
        <f>'Contractors'!X41</f>
        <v/>
      </c>
      <c r="E672" s="46">
        <f>IF(OR(B672="",C672="",D672=""),"",D672*100000+(C672-DATE(2000,1,1))+ROW()/100000)</f>
        <v/>
      </c>
      <c r="F672" s="46">
        <f>IF(E672="","",IF(C672&gt;WeekEndDate,"",E672))</f>
        <v/>
      </c>
    </row>
    <row r="673">
      <c r="A673" t="inlineStr">
        <is>
          <t>Contractors</t>
        </is>
      </c>
      <c r="B673" s="46">
        <f>'Contractors'!Y42</f>
        <v/>
      </c>
      <c r="C673" s="84">
        <f>'Contractors'!W42</f>
        <v/>
      </c>
      <c r="D673" s="46">
        <f>'Contractors'!X42</f>
        <v/>
      </c>
      <c r="E673" s="46">
        <f>IF(OR(B673="",C673="",D673=""),"",D673*100000+(C673-DATE(2000,1,1))+ROW()/100000)</f>
        <v/>
      </c>
      <c r="F673" s="46">
        <f>IF(E673="","",IF(C673&gt;WeekEndDate,"",E673))</f>
        <v/>
      </c>
    </row>
    <row r="674">
      <c r="A674" t="inlineStr">
        <is>
          <t>Contractors</t>
        </is>
      </c>
      <c r="B674" s="46">
        <f>'Contractors'!Y43</f>
        <v/>
      </c>
      <c r="C674" s="84">
        <f>'Contractors'!W43</f>
        <v/>
      </c>
      <c r="D674" s="46">
        <f>'Contractors'!X43</f>
        <v/>
      </c>
      <c r="E674" s="46">
        <f>IF(OR(B674="",C674="",D674=""),"",D674*100000+(C674-DATE(2000,1,1))+ROW()/100000)</f>
        <v/>
      </c>
      <c r="F674" s="46">
        <f>IF(E674="","",IF(C674&gt;WeekEndDate,"",E674))</f>
        <v/>
      </c>
    </row>
    <row r="675">
      <c r="A675" t="inlineStr">
        <is>
          <t>Contractors</t>
        </is>
      </c>
      <c r="B675" s="46">
        <f>'Contractors'!Y44</f>
        <v/>
      </c>
      <c r="C675" s="84">
        <f>'Contractors'!W44</f>
        <v/>
      </c>
      <c r="D675" s="46">
        <f>'Contractors'!X44</f>
        <v/>
      </c>
      <c r="E675" s="46">
        <f>IF(OR(B675="",C675="",D675=""),"",D675*100000+(C675-DATE(2000,1,1))+ROW()/100000)</f>
        <v/>
      </c>
      <c r="F675" s="46">
        <f>IF(E675="","",IF(C675&gt;WeekEndDate,"",E675))</f>
        <v/>
      </c>
    </row>
    <row r="676">
      <c r="A676" t="inlineStr">
        <is>
          <t>Contractors</t>
        </is>
      </c>
      <c r="B676" s="46">
        <f>'Contractors'!Y45</f>
        <v/>
      </c>
      <c r="C676" s="84">
        <f>'Contractors'!W45</f>
        <v/>
      </c>
      <c r="D676" s="46">
        <f>'Contractors'!X45</f>
        <v/>
      </c>
      <c r="E676" s="46">
        <f>IF(OR(B676="",C676="",D676=""),"",D676*100000+(C676-DATE(2000,1,1))+ROW()/100000)</f>
        <v/>
      </c>
      <c r="F676" s="46">
        <f>IF(E676="","",IF(C676&gt;WeekEndDate,"",E676))</f>
        <v/>
      </c>
    </row>
    <row r="677">
      <c r="A677" t="inlineStr">
        <is>
          <t>Contractors</t>
        </is>
      </c>
      <c r="B677" s="46">
        <f>'Contractors'!Y46</f>
        <v/>
      </c>
      <c r="C677" s="84">
        <f>'Contractors'!W46</f>
        <v/>
      </c>
      <c r="D677" s="46">
        <f>'Contractors'!X46</f>
        <v/>
      </c>
      <c r="E677" s="46">
        <f>IF(OR(B677="",C677="",D677=""),"",D677*100000+(C677-DATE(2000,1,1))+ROW()/100000)</f>
        <v/>
      </c>
      <c r="F677" s="46">
        <f>IF(E677="","",IF(C677&gt;WeekEndDate,"",E677))</f>
        <v/>
      </c>
    </row>
    <row r="678">
      <c r="A678" t="inlineStr">
        <is>
          <t>Contractors</t>
        </is>
      </c>
      <c r="B678" s="46">
        <f>'Contractors'!Y47</f>
        <v/>
      </c>
      <c r="C678" s="84">
        <f>'Contractors'!W47</f>
        <v/>
      </c>
      <c r="D678" s="46">
        <f>'Contractors'!X47</f>
        <v/>
      </c>
      <c r="E678" s="46">
        <f>IF(OR(B678="",C678="",D678=""),"",D678*100000+(C678-DATE(2000,1,1))+ROW()/100000)</f>
        <v/>
      </c>
      <c r="F678" s="46">
        <f>IF(E678="","",IF(C678&gt;WeekEndDate,"",E678))</f>
        <v/>
      </c>
    </row>
    <row r="679">
      <c r="A679" t="inlineStr">
        <is>
          <t>Contractors</t>
        </is>
      </c>
      <c r="B679" s="46">
        <f>'Contractors'!Y48</f>
        <v/>
      </c>
      <c r="C679" s="84">
        <f>'Contractors'!W48</f>
        <v/>
      </c>
      <c r="D679" s="46">
        <f>'Contractors'!X48</f>
        <v/>
      </c>
      <c r="E679" s="46">
        <f>IF(OR(B679="",C679="",D679=""),"",D679*100000+(C679-DATE(2000,1,1))+ROW()/100000)</f>
        <v/>
      </c>
      <c r="F679" s="46">
        <f>IF(E679="","",IF(C679&gt;WeekEndDate,"",E679))</f>
        <v/>
      </c>
    </row>
    <row r="680">
      <c r="A680" t="inlineStr">
        <is>
          <t>Contractors</t>
        </is>
      </c>
      <c r="B680" s="46">
        <f>'Contractors'!Y49</f>
        <v/>
      </c>
      <c r="C680" s="84">
        <f>'Contractors'!W49</f>
        <v/>
      </c>
      <c r="D680" s="46">
        <f>'Contractors'!X49</f>
        <v/>
      </c>
      <c r="E680" s="46">
        <f>IF(OR(B680="",C680="",D680=""),"",D680*100000+(C680-DATE(2000,1,1))+ROW()/100000)</f>
        <v/>
      </c>
      <c r="F680" s="46">
        <f>IF(E680="","",IF(C680&gt;WeekEndDate,"",E680))</f>
        <v/>
      </c>
    </row>
    <row r="681">
      <c r="A681" t="inlineStr">
        <is>
          <t>Contractors</t>
        </is>
      </c>
      <c r="B681" s="46">
        <f>'Contractors'!Y50</f>
        <v/>
      </c>
      <c r="C681" s="84">
        <f>'Contractors'!W50</f>
        <v/>
      </c>
      <c r="D681" s="46">
        <f>'Contractors'!X50</f>
        <v/>
      </c>
      <c r="E681" s="46">
        <f>IF(OR(B681="",C681="",D681=""),"",D681*100000+(C681-DATE(2000,1,1))+ROW()/100000)</f>
        <v/>
      </c>
      <c r="F681" s="46">
        <f>IF(E681="","",IF(C681&gt;WeekEndDate,"",E681))</f>
        <v/>
      </c>
    </row>
    <row r="682">
      <c r="A682" t="inlineStr">
        <is>
          <t>Contractors</t>
        </is>
      </c>
      <c r="B682" s="46">
        <f>'Contractors'!Y51</f>
        <v/>
      </c>
      <c r="C682" s="84">
        <f>'Contractors'!W51</f>
        <v/>
      </c>
      <c r="D682" s="46">
        <f>'Contractors'!X51</f>
        <v/>
      </c>
      <c r="E682" s="46">
        <f>IF(OR(B682="",C682="",D682=""),"",D682*100000+(C682-DATE(2000,1,1))+ROW()/100000)</f>
        <v/>
      </c>
      <c r="F682" s="46">
        <f>IF(E682="","",IF(C682&gt;WeekEndDate,"",E682))</f>
        <v/>
      </c>
    </row>
    <row r="683">
      <c r="A683" t="inlineStr">
        <is>
          <t>Contractors</t>
        </is>
      </c>
      <c r="B683" s="46">
        <f>'Contractors'!Y52</f>
        <v/>
      </c>
      <c r="C683" s="84">
        <f>'Contractors'!W52</f>
        <v/>
      </c>
      <c r="D683" s="46">
        <f>'Contractors'!X52</f>
        <v/>
      </c>
      <c r="E683" s="46">
        <f>IF(OR(B683="",C683="",D683=""),"",D683*100000+(C683-DATE(2000,1,1))+ROW()/100000)</f>
        <v/>
      </c>
      <c r="F683" s="46">
        <f>IF(E683="","",IF(C683&gt;WeekEndDate,"",E683))</f>
        <v/>
      </c>
    </row>
    <row r="684">
      <c r="A684" t="inlineStr">
        <is>
          <t>Contractors</t>
        </is>
      </c>
      <c r="B684" s="46">
        <f>'Contractors'!Y53</f>
        <v/>
      </c>
      <c r="C684" s="84">
        <f>'Contractors'!W53</f>
        <v/>
      </c>
      <c r="D684" s="46">
        <f>'Contractors'!X53</f>
        <v/>
      </c>
      <c r="E684" s="46">
        <f>IF(OR(B684="",C684="",D684=""),"",D684*100000+(C684-DATE(2000,1,1))+ROW()/100000)</f>
        <v/>
      </c>
      <c r="F684" s="46">
        <f>IF(E684="","",IF(C684&gt;WeekEndDate,"",E684))</f>
        <v/>
      </c>
    </row>
    <row r="685">
      <c r="A685" t="inlineStr">
        <is>
          <t>Contractors</t>
        </is>
      </c>
      <c r="B685" s="46">
        <f>'Contractors'!Y54</f>
        <v/>
      </c>
      <c r="C685" s="84">
        <f>'Contractors'!W54</f>
        <v/>
      </c>
      <c r="D685" s="46">
        <f>'Contractors'!X54</f>
        <v/>
      </c>
      <c r="E685" s="46">
        <f>IF(OR(B685="",C685="",D685=""),"",D685*100000+(C685-DATE(2000,1,1))+ROW()/100000)</f>
        <v/>
      </c>
      <c r="F685" s="46">
        <f>IF(E685="","",IF(C685&gt;WeekEndDate,"",E685))</f>
        <v/>
      </c>
    </row>
    <row r="686">
      <c r="A686" t="inlineStr">
        <is>
          <t>Contractors</t>
        </is>
      </c>
      <c r="B686" s="46">
        <f>'Contractors'!Y55</f>
        <v/>
      </c>
      <c r="C686" s="84">
        <f>'Contractors'!W55</f>
        <v/>
      </c>
      <c r="D686" s="46">
        <f>'Contractors'!X55</f>
        <v/>
      </c>
      <c r="E686" s="46">
        <f>IF(OR(B686="",C686="",D686=""),"",D686*100000+(C686-DATE(2000,1,1))+ROW()/100000)</f>
        <v/>
      </c>
      <c r="F686" s="46">
        <f>IF(E686="","",IF(C686&gt;WeekEndDate,"",E686))</f>
        <v/>
      </c>
    </row>
    <row r="687">
      <c r="A687" t="inlineStr">
        <is>
          <t>Contractors</t>
        </is>
      </c>
      <c r="B687" s="46">
        <f>'Contractors'!Y56</f>
        <v/>
      </c>
      <c r="C687" s="84">
        <f>'Contractors'!W56</f>
        <v/>
      </c>
      <c r="D687" s="46">
        <f>'Contractors'!X56</f>
        <v/>
      </c>
      <c r="E687" s="46">
        <f>IF(OR(B687="",C687="",D687=""),"",D687*100000+(C687-DATE(2000,1,1))+ROW()/100000)</f>
        <v/>
      </c>
      <c r="F687" s="46">
        <f>IF(E687="","",IF(C687&gt;WeekEndDate,"",E687))</f>
        <v/>
      </c>
    </row>
    <row r="688">
      <c r="A688" t="inlineStr">
        <is>
          <t>Contractors</t>
        </is>
      </c>
      <c r="B688" s="46">
        <f>'Contractors'!Y57</f>
        <v/>
      </c>
      <c r="C688" s="84">
        <f>'Contractors'!W57</f>
        <v/>
      </c>
      <c r="D688" s="46">
        <f>'Contractors'!X57</f>
        <v/>
      </c>
      <c r="E688" s="46">
        <f>IF(OR(B688="",C688="",D688=""),"",D688*100000+(C688-DATE(2000,1,1))+ROW()/100000)</f>
        <v/>
      </c>
      <c r="F688" s="46">
        <f>IF(E688="","",IF(C688&gt;WeekEndDate,"",E688))</f>
        <v/>
      </c>
    </row>
    <row r="689">
      <c r="A689" t="inlineStr">
        <is>
          <t>Contractors</t>
        </is>
      </c>
      <c r="B689" s="46">
        <f>'Contractors'!Y58</f>
        <v/>
      </c>
      <c r="C689" s="84">
        <f>'Contractors'!W58</f>
        <v/>
      </c>
      <c r="D689" s="46">
        <f>'Contractors'!X58</f>
        <v/>
      </c>
      <c r="E689" s="46">
        <f>IF(OR(B689="",C689="",D689=""),"",D689*100000+(C689-DATE(2000,1,1))+ROW()/100000)</f>
        <v/>
      </c>
      <c r="F689" s="46">
        <f>IF(E689="","",IF(C689&gt;WeekEndDate,"",E689))</f>
        <v/>
      </c>
    </row>
    <row r="690">
      <c r="A690" t="inlineStr">
        <is>
          <t>Contractors</t>
        </is>
      </c>
      <c r="B690" s="46">
        <f>'Contractors'!Y59</f>
        <v/>
      </c>
      <c r="C690" s="84">
        <f>'Contractors'!W59</f>
        <v/>
      </c>
      <c r="D690" s="46">
        <f>'Contractors'!X59</f>
        <v/>
      </c>
      <c r="E690" s="46">
        <f>IF(OR(B690="",C690="",D690=""),"",D690*100000+(C690-DATE(2000,1,1))+ROW()/100000)</f>
        <v/>
      </c>
      <c r="F690" s="46">
        <f>IF(E690="","",IF(C690&gt;WeekEndDate,"",E690))</f>
        <v/>
      </c>
    </row>
    <row r="691">
      <c r="A691" t="inlineStr">
        <is>
          <t>Contractors</t>
        </is>
      </c>
      <c r="B691" s="46">
        <f>'Contractors'!Y60</f>
        <v/>
      </c>
      <c r="C691" s="84">
        <f>'Contractors'!W60</f>
        <v/>
      </c>
      <c r="D691" s="46">
        <f>'Contractors'!X60</f>
        <v/>
      </c>
      <c r="E691" s="46">
        <f>IF(OR(B691="",C691="",D691=""),"",D691*100000+(C691-DATE(2000,1,1))+ROW()/100000)</f>
        <v/>
      </c>
      <c r="F691" s="46">
        <f>IF(E691="","",IF(C691&gt;WeekEndDate,"",E691))</f>
        <v/>
      </c>
    </row>
    <row r="692">
      <c r="A692" t="inlineStr">
        <is>
          <t>Contractors</t>
        </is>
      </c>
      <c r="B692" s="46">
        <f>'Contractors'!Y61</f>
        <v/>
      </c>
      <c r="C692" s="84">
        <f>'Contractors'!W61</f>
        <v/>
      </c>
      <c r="D692" s="46">
        <f>'Contractors'!X61</f>
        <v/>
      </c>
      <c r="E692" s="46">
        <f>IF(OR(B692="",C692="",D692=""),"",D692*100000+(C692-DATE(2000,1,1))+ROW()/100000)</f>
        <v/>
      </c>
      <c r="F692" s="46">
        <f>IF(E692="","",IF(C692&gt;WeekEndDate,"",E692))</f>
        <v/>
      </c>
    </row>
    <row r="693">
      <c r="A693" t="inlineStr">
        <is>
          <t>Contractors</t>
        </is>
      </c>
      <c r="B693" s="46">
        <f>'Contractors'!Y62</f>
        <v/>
      </c>
      <c r="C693" s="84">
        <f>'Contractors'!W62</f>
        <v/>
      </c>
      <c r="D693" s="46">
        <f>'Contractors'!X62</f>
        <v/>
      </c>
      <c r="E693" s="46">
        <f>IF(OR(B693="",C693="",D693=""),"",D693*100000+(C693-DATE(2000,1,1))+ROW()/100000)</f>
        <v/>
      </c>
      <c r="F693" s="46">
        <f>IF(E693="","",IF(C693&gt;WeekEndDate,"",E693))</f>
        <v/>
      </c>
    </row>
    <row r="694">
      <c r="A694" t="inlineStr">
        <is>
          <t>Contractors</t>
        </is>
      </c>
      <c r="B694" s="46">
        <f>'Contractors'!Y63</f>
        <v/>
      </c>
      <c r="C694" s="84">
        <f>'Contractors'!W63</f>
        <v/>
      </c>
      <c r="D694" s="46">
        <f>'Contractors'!X63</f>
        <v/>
      </c>
      <c r="E694" s="46">
        <f>IF(OR(B694="",C694="",D694=""),"",D694*100000+(C694-DATE(2000,1,1))+ROW()/100000)</f>
        <v/>
      </c>
      <c r="F694" s="46">
        <f>IF(E694="","",IF(C694&gt;WeekEndDate,"",E694))</f>
        <v/>
      </c>
    </row>
    <row r="695">
      <c r="A695" t="inlineStr">
        <is>
          <t>Contractors</t>
        </is>
      </c>
      <c r="B695" s="46">
        <f>'Contractors'!Y64</f>
        <v/>
      </c>
      <c r="C695" s="84">
        <f>'Contractors'!W64</f>
        <v/>
      </c>
      <c r="D695" s="46">
        <f>'Contractors'!X64</f>
        <v/>
      </c>
      <c r="E695" s="46">
        <f>IF(OR(B695="",C695="",D695=""),"",D695*100000+(C695-DATE(2000,1,1))+ROW()/100000)</f>
        <v/>
      </c>
      <c r="F695" s="46">
        <f>IF(E695="","",IF(C695&gt;WeekEndDate,"",E695))</f>
        <v/>
      </c>
    </row>
    <row r="696">
      <c r="A696" t="inlineStr">
        <is>
          <t>Contractors</t>
        </is>
      </c>
      <c r="B696" s="46">
        <f>'Contractors'!Y65</f>
        <v/>
      </c>
      <c r="C696" s="84">
        <f>'Contractors'!W65</f>
        <v/>
      </c>
      <c r="D696" s="46">
        <f>'Contractors'!X65</f>
        <v/>
      </c>
      <c r="E696" s="46">
        <f>IF(OR(B696="",C696="",D696=""),"",D696*100000+(C696-DATE(2000,1,1))+ROW()/100000)</f>
        <v/>
      </c>
      <c r="F696" s="46">
        <f>IF(E696="","",IF(C696&gt;WeekEndDate,"",E696))</f>
        <v/>
      </c>
    </row>
    <row r="697">
      <c r="A697" t="inlineStr">
        <is>
          <t>Contractors</t>
        </is>
      </c>
      <c r="B697" s="46">
        <f>'Contractors'!Y66</f>
        <v/>
      </c>
      <c r="C697" s="84">
        <f>'Contractors'!W66</f>
        <v/>
      </c>
      <c r="D697" s="46">
        <f>'Contractors'!X66</f>
        <v/>
      </c>
      <c r="E697" s="46">
        <f>IF(OR(B697="",C697="",D697=""),"",D697*100000+(C697-DATE(2000,1,1))+ROW()/100000)</f>
        <v/>
      </c>
      <c r="F697" s="46">
        <f>IF(E697="","",IF(C697&gt;WeekEndDate,"",E697))</f>
        <v/>
      </c>
    </row>
    <row r="698">
      <c r="A698" t="inlineStr">
        <is>
          <t>Contractors</t>
        </is>
      </c>
      <c r="B698" s="46">
        <f>'Contractors'!Y67</f>
        <v/>
      </c>
      <c r="C698" s="84">
        <f>'Contractors'!W67</f>
        <v/>
      </c>
      <c r="D698" s="46">
        <f>'Contractors'!X67</f>
        <v/>
      </c>
      <c r="E698" s="46">
        <f>IF(OR(B698="",C698="",D698=""),"",D698*100000+(C698-DATE(2000,1,1))+ROW()/100000)</f>
        <v/>
      </c>
      <c r="F698" s="46">
        <f>IF(E698="","",IF(C698&gt;WeekEndDate,"",E698))</f>
        <v/>
      </c>
    </row>
    <row r="699">
      <c r="A699" t="inlineStr">
        <is>
          <t>Contractors</t>
        </is>
      </c>
      <c r="B699" s="46">
        <f>'Contractors'!Y68</f>
        <v/>
      </c>
      <c r="C699" s="84">
        <f>'Contractors'!W68</f>
        <v/>
      </c>
      <c r="D699" s="46">
        <f>'Contractors'!X68</f>
        <v/>
      </c>
      <c r="E699" s="46">
        <f>IF(OR(B699="",C699="",D699=""),"",D699*100000+(C699-DATE(2000,1,1))+ROW()/100000)</f>
        <v/>
      </c>
      <c r="F699" s="46">
        <f>IF(E699="","",IF(C699&gt;WeekEndDate,"",E699))</f>
        <v/>
      </c>
    </row>
    <row r="700">
      <c r="A700" t="inlineStr">
        <is>
          <t>Contractors</t>
        </is>
      </c>
      <c r="B700" s="46">
        <f>'Contractors'!Y69</f>
        <v/>
      </c>
      <c r="C700" s="84">
        <f>'Contractors'!W69</f>
        <v/>
      </c>
      <c r="D700" s="46">
        <f>'Contractors'!X69</f>
        <v/>
      </c>
      <c r="E700" s="46">
        <f>IF(OR(B700="",C700="",D700=""),"",D700*100000+(C700-DATE(2000,1,1))+ROW()/100000)</f>
        <v/>
      </c>
      <c r="F700" s="46">
        <f>IF(E700="","",IF(C700&gt;WeekEndDate,"",E700))</f>
        <v/>
      </c>
    </row>
    <row r="701">
      <c r="A701" t="inlineStr">
        <is>
          <t>Contractors</t>
        </is>
      </c>
      <c r="B701" s="46">
        <f>'Contractors'!Y70</f>
        <v/>
      </c>
      <c r="C701" s="84">
        <f>'Contractors'!W70</f>
        <v/>
      </c>
      <c r="D701" s="46">
        <f>'Contractors'!X70</f>
        <v/>
      </c>
      <c r="E701" s="46">
        <f>IF(OR(B701="",C701="",D701=""),"",D701*100000+(C701-DATE(2000,1,1))+ROW()/100000)</f>
        <v/>
      </c>
      <c r="F701" s="46">
        <f>IF(E701="","",IF(C701&gt;WeekEndDate,"",E701))</f>
        <v/>
      </c>
    </row>
    <row r="702">
      <c r="A702" t="inlineStr">
        <is>
          <t>Contractors</t>
        </is>
      </c>
      <c r="B702" s="46">
        <f>'Contractors'!Y71</f>
        <v/>
      </c>
      <c r="C702" s="84">
        <f>'Contractors'!W71</f>
        <v/>
      </c>
      <c r="D702" s="46">
        <f>'Contractors'!X71</f>
        <v/>
      </c>
      <c r="E702" s="46">
        <f>IF(OR(B702="",C702="",D702=""),"",D702*100000+(C702-DATE(2000,1,1))+ROW()/100000)</f>
        <v/>
      </c>
      <c r="F702" s="46">
        <f>IF(E702="","",IF(C702&gt;WeekEndDate,"",E702))</f>
        <v/>
      </c>
    </row>
    <row r="703">
      <c r="A703" t="inlineStr">
        <is>
          <t>Contractors</t>
        </is>
      </c>
      <c r="B703" s="46">
        <f>'Contractors'!Y72</f>
        <v/>
      </c>
      <c r="C703" s="84">
        <f>'Contractors'!W72</f>
        <v/>
      </c>
      <c r="D703" s="46">
        <f>'Contractors'!X72</f>
        <v/>
      </c>
      <c r="E703" s="46">
        <f>IF(OR(B703="",C703="",D703=""),"",D703*100000+(C703-DATE(2000,1,1))+ROW()/100000)</f>
        <v/>
      </c>
      <c r="F703" s="46">
        <f>IF(E703="","",IF(C703&gt;WeekEndDate,"",E703))</f>
        <v/>
      </c>
    </row>
    <row r="704">
      <c r="A704" t="inlineStr">
        <is>
          <t>Contractors</t>
        </is>
      </c>
      <c r="B704" s="46">
        <f>'Contractors'!Y73</f>
        <v/>
      </c>
      <c r="C704" s="84">
        <f>'Contractors'!W73</f>
        <v/>
      </c>
      <c r="D704" s="46">
        <f>'Contractors'!X73</f>
        <v/>
      </c>
      <c r="E704" s="46">
        <f>IF(OR(B704="",C704="",D704=""),"",D704*100000+(C704-DATE(2000,1,1))+ROW()/100000)</f>
        <v/>
      </c>
      <c r="F704" s="46">
        <f>IF(E704="","",IF(C704&gt;WeekEndDate,"",E704))</f>
        <v/>
      </c>
    </row>
    <row r="705">
      <c r="A705" t="inlineStr">
        <is>
          <t>Contractors</t>
        </is>
      </c>
      <c r="B705" s="46">
        <f>'Contractors'!Y74</f>
        <v/>
      </c>
      <c r="C705" s="84">
        <f>'Contractors'!W74</f>
        <v/>
      </c>
      <c r="D705" s="46">
        <f>'Contractors'!X74</f>
        <v/>
      </c>
      <c r="E705" s="46">
        <f>IF(OR(B705="",C705="",D705=""),"",D705*100000+(C705-DATE(2000,1,1))+ROW()/100000)</f>
        <v/>
      </c>
      <c r="F705" s="46">
        <f>IF(E705="","",IF(C705&gt;WeekEndDate,"",E705))</f>
        <v/>
      </c>
    </row>
    <row r="706">
      <c r="A706" t="inlineStr">
        <is>
          <t>Contractors</t>
        </is>
      </c>
      <c r="B706" s="46">
        <f>'Contractors'!Y75</f>
        <v/>
      </c>
      <c r="C706" s="84">
        <f>'Contractors'!W75</f>
        <v/>
      </c>
      <c r="D706" s="46">
        <f>'Contractors'!X75</f>
        <v/>
      </c>
      <c r="E706" s="46">
        <f>IF(OR(B706="",C706="",D706=""),"",D706*100000+(C706-DATE(2000,1,1))+ROW()/100000)</f>
        <v/>
      </c>
      <c r="F706" s="46">
        <f>IF(E706="","",IF(C706&gt;WeekEndDate,"",E706))</f>
        <v/>
      </c>
    </row>
    <row r="707">
      <c r="A707" t="inlineStr">
        <is>
          <t>Contractors</t>
        </is>
      </c>
      <c r="B707" s="46">
        <f>'Contractors'!Y76</f>
        <v/>
      </c>
      <c r="C707" s="84">
        <f>'Contractors'!W76</f>
        <v/>
      </c>
      <c r="D707" s="46">
        <f>'Contractors'!X76</f>
        <v/>
      </c>
      <c r="E707" s="46">
        <f>IF(OR(B707="",C707="",D707=""),"",D707*100000+(C707-DATE(2000,1,1))+ROW()/100000)</f>
        <v/>
      </c>
      <c r="F707" s="46">
        <f>IF(E707="","",IF(C707&gt;WeekEndDate,"",E707))</f>
        <v/>
      </c>
    </row>
    <row r="708">
      <c r="A708" t="inlineStr">
        <is>
          <t>Contractors</t>
        </is>
      </c>
      <c r="B708" s="46">
        <f>'Contractors'!Y77</f>
        <v/>
      </c>
      <c r="C708" s="84">
        <f>'Contractors'!W77</f>
        <v/>
      </c>
      <c r="D708" s="46">
        <f>'Contractors'!X77</f>
        <v/>
      </c>
      <c r="E708" s="46">
        <f>IF(OR(B708="",C708="",D708=""),"",D708*100000+(C708-DATE(2000,1,1))+ROW()/100000)</f>
        <v/>
      </c>
      <c r="F708" s="46">
        <f>IF(E708="","",IF(C708&gt;WeekEndDate,"",E708))</f>
        <v/>
      </c>
    </row>
    <row r="709">
      <c r="A709" t="inlineStr">
        <is>
          <t>Contractors</t>
        </is>
      </c>
      <c r="B709" s="46">
        <f>'Contractors'!Y78</f>
        <v/>
      </c>
      <c r="C709" s="84">
        <f>'Contractors'!W78</f>
        <v/>
      </c>
      <c r="D709" s="46">
        <f>'Contractors'!X78</f>
        <v/>
      </c>
      <c r="E709" s="46">
        <f>IF(OR(B709="",C709="",D709=""),"",D709*100000+(C709-DATE(2000,1,1))+ROW()/100000)</f>
        <v/>
      </c>
      <c r="F709" s="46">
        <f>IF(E709="","",IF(C709&gt;WeekEndDate,"",E709))</f>
        <v/>
      </c>
    </row>
    <row r="710">
      <c r="A710" t="inlineStr">
        <is>
          <t>Contractors</t>
        </is>
      </c>
      <c r="B710" s="46">
        <f>'Contractors'!Y79</f>
        <v/>
      </c>
      <c r="C710" s="84">
        <f>'Contractors'!W79</f>
        <v/>
      </c>
      <c r="D710" s="46">
        <f>'Contractors'!X79</f>
        <v/>
      </c>
      <c r="E710" s="46">
        <f>IF(OR(B710="",C710="",D710=""),"",D710*100000+(C710-DATE(2000,1,1))+ROW()/100000)</f>
        <v/>
      </c>
      <c r="F710" s="46">
        <f>IF(E710="","",IF(C710&gt;WeekEndDate,"",E710))</f>
        <v/>
      </c>
    </row>
    <row r="711">
      <c r="A711" t="inlineStr">
        <is>
          <t>Contractors</t>
        </is>
      </c>
      <c r="B711" s="46">
        <f>'Contractors'!Y80</f>
        <v/>
      </c>
      <c r="C711" s="84">
        <f>'Contractors'!W80</f>
        <v/>
      </c>
      <c r="D711" s="46">
        <f>'Contractors'!X80</f>
        <v/>
      </c>
      <c r="E711" s="46">
        <f>IF(OR(B711="",C711="",D711=""),"",D711*100000+(C711-DATE(2000,1,1))+ROW()/100000)</f>
        <v/>
      </c>
      <c r="F711" s="46">
        <f>IF(E711="","",IF(C711&gt;WeekEndDate,"",E711))</f>
        <v/>
      </c>
    </row>
    <row r="712">
      <c r="A712" t="inlineStr">
        <is>
          <t>Contractors</t>
        </is>
      </c>
      <c r="B712" s="46">
        <f>'Contractors'!Y81</f>
        <v/>
      </c>
      <c r="C712" s="84">
        <f>'Contractors'!W81</f>
        <v/>
      </c>
      <c r="D712" s="46">
        <f>'Contractors'!X81</f>
        <v/>
      </c>
      <c r="E712" s="46">
        <f>IF(OR(B712="",C712="",D712=""),"",D712*100000+(C712-DATE(2000,1,1))+ROW()/100000)</f>
        <v/>
      </c>
      <c r="F712" s="46">
        <f>IF(E712="","",IF(C712&gt;WeekEndDate,"",E712))</f>
        <v/>
      </c>
    </row>
    <row r="713">
      <c r="A713" t="inlineStr">
        <is>
          <t>Contractors</t>
        </is>
      </c>
      <c r="B713" s="46">
        <f>'Contractors'!Y82</f>
        <v/>
      </c>
      <c r="C713" s="84">
        <f>'Contractors'!W82</f>
        <v/>
      </c>
      <c r="D713" s="46">
        <f>'Contractors'!X82</f>
        <v/>
      </c>
      <c r="E713" s="46">
        <f>IF(OR(B713="",C713="",D713=""),"",D713*100000+(C713-DATE(2000,1,1))+ROW()/100000)</f>
        <v/>
      </c>
      <c r="F713" s="46">
        <f>IF(E713="","",IF(C713&gt;WeekEndDate,"",E713))</f>
        <v/>
      </c>
    </row>
    <row r="714">
      <c r="A714" t="inlineStr">
        <is>
          <t>Contractors</t>
        </is>
      </c>
      <c r="B714" s="46">
        <f>'Contractors'!Y83</f>
        <v/>
      </c>
      <c r="C714" s="84">
        <f>'Contractors'!W83</f>
        <v/>
      </c>
      <c r="D714" s="46">
        <f>'Contractors'!X83</f>
        <v/>
      </c>
      <c r="E714" s="46">
        <f>IF(OR(B714="",C714="",D714=""),"",D714*100000+(C714-DATE(2000,1,1))+ROW()/100000)</f>
        <v/>
      </c>
      <c r="F714" s="46">
        <f>IF(E714="","",IF(C714&gt;WeekEndDate,"",E714))</f>
        <v/>
      </c>
    </row>
    <row r="715">
      <c r="A715" t="inlineStr">
        <is>
          <t>Contractors</t>
        </is>
      </c>
      <c r="B715" s="46">
        <f>'Contractors'!Y84</f>
        <v/>
      </c>
      <c r="C715" s="84">
        <f>'Contractors'!W84</f>
        <v/>
      </c>
      <c r="D715" s="46">
        <f>'Contractors'!X84</f>
        <v/>
      </c>
      <c r="E715" s="46">
        <f>IF(OR(B715="",C715="",D715=""),"",D715*100000+(C715-DATE(2000,1,1))+ROW()/100000)</f>
        <v/>
      </c>
      <c r="F715" s="46">
        <f>IF(E715="","",IF(C715&gt;WeekEndDate,"",E715))</f>
        <v/>
      </c>
    </row>
    <row r="716">
      <c r="A716" t="inlineStr">
        <is>
          <t>Contractors</t>
        </is>
      </c>
      <c r="B716" s="46">
        <f>'Contractors'!Y85</f>
        <v/>
      </c>
      <c r="C716" s="84">
        <f>'Contractors'!W85</f>
        <v/>
      </c>
      <c r="D716" s="46">
        <f>'Contractors'!X85</f>
        <v/>
      </c>
      <c r="E716" s="46">
        <f>IF(OR(B716="",C716="",D716=""),"",D716*100000+(C716-DATE(2000,1,1))+ROW()/100000)</f>
        <v/>
      </c>
      <c r="F716" s="46">
        <f>IF(E716="","",IF(C716&gt;WeekEndDate,"",E716))</f>
        <v/>
      </c>
    </row>
    <row r="717">
      <c r="A717" t="inlineStr">
        <is>
          <t>Contractors</t>
        </is>
      </c>
      <c r="B717" s="46">
        <f>'Contractors'!Y86</f>
        <v/>
      </c>
      <c r="C717" s="84">
        <f>'Contractors'!W86</f>
        <v/>
      </c>
      <c r="D717" s="46">
        <f>'Contractors'!X86</f>
        <v/>
      </c>
      <c r="E717" s="46">
        <f>IF(OR(B717="",C717="",D717=""),"",D717*100000+(C717-DATE(2000,1,1))+ROW()/100000)</f>
        <v/>
      </c>
      <c r="F717" s="46">
        <f>IF(E717="","",IF(C717&gt;WeekEndDate,"",E717))</f>
        <v/>
      </c>
    </row>
    <row r="718">
      <c r="A718" t="inlineStr">
        <is>
          <t>Contractors</t>
        </is>
      </c>
      <c r="B718" s="46">
        <f>'Contractors'!Y87</f>
        <v/>
      </c>
      <c r="C718" s="84">
        <f>'Contractors'!W87</f>
        <v/>
      </c>
      <c r="D718" s="46">
        <f>'Contractors'!X87</f>
        <v/>
      </c>
      <c r="E718" s="46">
        <f>IF(OR(B718="",C718="",D718=""),"",D718*100000+(C718-DATE(2000,1,1))+ROW()/100000)</f>
        <v/>
      </c>
      <c r="F718" s="46">
        <f>IF(E718="","",IF(C718&gt;WeekEndDate,"",E718))</f>
        <v/>
      </c>
    </row>
    <row r="719">
      <c r="A719" t="inlineStr">
        <is>
          <t>Contractors</t>
        </is>
      </c>
      <c r="B719" s="46">
        <f>'Contractors'!Y88</f>
        <v/>
      </c>
      <c r="C719" s="84">
        <f>'Contractors'!W88</f>
        <v/>
      </c>
      <c r="D719" s="46">
        <f>'Contractors'!X88</f>
        <v/>
      </c>
      <c r="E719" s="46">
        <f>IF(OR(B719="",C719="",D719=""),"",D719*100000+(C719-DATE(2000,1,1))+ROW()/100000)</f>
        <v/>
      </c>
      <c r="F719" s="46">
        <f>IF(E719="","",IF(C719&gt;WeekEndDate,"",E719))</f>
        <v/>
      </c>
    </row>
    <row r="720">
      <c r="A720" t="inlineStr">
        <is>
          <t>Contractors</t>
        </is>
      </c>
      <c r="B720" s="46">
        <f>'Contractors'!Y89</f>
        <v/>
      </c>
      <c r="C720" s="84">
        <f>'Contractors'!W89</f>
        <v/>
      </c>
      <c r="D720" s="46">
        <f>'Contractors'!X89</f>
        <v/>
      </c>
      <c r="E720" s="46">
        <f>IF(OR(B720="",C720="",D720=""),"",D720*100000+(C720-DATE(2000,1,1))+ROW()/100000)</f>
        <v/>
      </c>
      <c r="F720" s="46">
        <f>IF(E720="","",IF(C720&gt;WeekEndDate,"",E720))</f>
        <v/>
      </c>
    </row>
    <row r="721">
      <c r="A721" t="inlineStr">
        <is>
          <t>Contractors</t>
        </is>
      </c>
      <c r="B721" s="46">
        <f>'Contractors'!Y90</f>
        <v/>
      </c>
      <c r="C721" s="84">
        <f>'Contractors'!W90</f>
        <v/>
      </c>
      <c r="D721" s="46">
        <f>'Contractors'!X90</f>
        <v/>
      </c>
      <c r="E721" s="46">
        <f>IF(OR(B721="",C721="",D721=""),"",D721*100000+(C721-DATE(2000,1,1))+ROW()/100000)</f>
        <v/>
      </c>
      <c r="F721" s="46">
        <f>IF(E721="","",IF(C721&gt;WeekEndDate,"",E721))</f>
        <v/>
      </c>
    </row>
    <row r="722">
      <c r="A722" t="inlineStr">
        <is>
          <t>Contractors</t>
        </is>
      </c>
      <c r="B722" s="46">
        <f>'Contractors'!Y91</f>
        <v/>
      </c>
      <c r="C722" s="84">
        <f>'Contractors'!W91</f>
        <v/>
      </c>
      <c r="D722" s="46">
        <f>'Contractors'!X91</f>
        <v/>
      </c>
      <c r="E722" s="46">
        <f>IF(OR(B722="",C722="",D722=""),"",D722*100000+(C722-DATE(2000,1,1))+ROW()/100000)</f>
        <v/>
      </c>
      <c r="F722" s="46">
        <f>IF(E722="","",IF(C722&gt;WeekEndDate,"",E722))</f>
        <v/>
      </c>
    </row>
    <row r="723">
      <c r="A723" t="inlineStr">
        <is>
          <t>Contractors</t>
        </is>
      </c>
      <c r="B723" s="46">
        <f>'Contractors'!Y92</f>
        <v/>
      </c>
      <c r="C723" s="84">
        <f>'Contractors'!W92</f>
        <v/>
      </c>
      <c r="D723" s="46">
        <f>'Contractors'!X92</f>
        <v/>
      </c>
      <c r="E723" s="46">
        <f>IF(OR(B723="",C723="",D723=""),"",D723*100000+(C723-DATE(2000,1,1))+ROW()/100000)</f>
        <v/>
      </c>
      <c r="F723" s="46">
        <f>IF(E723="","",IF(C723&gt;WeekEndDate,"",E723))</f>
        <v/>
      </c>
    </row>
    <row r="724">
      <c r="A724" t="inlineStr">
        <is>
          <t>Contractors</t>
        </is>
      </c>
      <c r="B724" s="46">
        <f>'Contractors'!Y93</f>
        <v/>
      </c>
      <c r="C724" s="84">
        <f>'Contractors'!W93</f>
        <v/>
      </c>
      <c r="D724" s="46">
        <f>'Contractors'!X93</f>
        <v/>
      </c>
      <c r="E724" s="46">
        <f>IF(OR(B724="",C724="",D724=""),"",D724*100000+(C724-DATE(2000,1,1))+ROW()/100000)</f>
        <v/>
      </c>
      <c r="F724" s="46">
        <f>IF(E724="","",IF(C724&gt;WeekEndDate,"",E724))</f>
        <v/>
      </c>
    </row>
    <row r="725">
      <c r="A725" t="inlineStr">
        <is>
          <t>Contractors</t>
        </is>
      </c>
      <c r="B725" s="46">
        <f>'Contractors'!Y94</f>
        <v/>
      </c>
      <c r="C725" s="84">
        <f>'Contractors'!W94</f>
        <v/>
      </c>
      <c r="D725" s="46">
        <f>'Contractors'!X94</f>
        <v/>
      </c>
      <c r="E725" s="46">
        <f>IF(OR(B725="",C725="",D725=""),"",D725*100000+(C725-DATE(2000,1,1))+ROW()/100000)</f>
        <v/>
      </c>
      <c r="F725" s="46">
        <f>IF(E725="","",IF(C725&gt;WeekEndDate,"",E725))</f>
        <v/>
      </c>
    </row>
    <row r="726">
      <c r="A726" t="inlineStr">
        <is>
          <t>Contractors</t>
        </is>
      </c>
      <c r="B726" s="46">
        <f>'Contractors'!Y95</f>
        <v/>
      </c>
      <c r="C726" s="84">
        <f>'Contractors'!W95</f>
        <v/>
      </c>
      <c r="D726" s="46">
        <f>'Contractors'!X95</f>
        <v/>
      </c>
      <c r="E726" s="46">
        <f>IF(OR(B726="",C726="",D726=""),"",D726*100000+(C726-DATE(2000,1,1))+ROW()/100000)</f>
        <v/>
      </c>
      <c r="F726" s="46">
        <f>IF(E726="","",IF(C726&gt;WeekEndDate,"",E726))</f>
        <v/>
      </c>
    </row>
    <row r="727">
      <c r="A727" t="inlineStr">
        <is>
          <t>Contractors</t>
        </is>
      </c>
      <c r="B727" s="46">
        <f>'Contractors'!Y96</f>
        <v/>
      </c>
      <c r="C727" s="84">
        <f>'Contractors'!W96</f>
        <v/>
      </c>
      <c r="D727" s="46">
        <f>'Contractors'!X96</f>
        <v/>
      </c>
      <c r="E727" s="46">
        <f>IF(OR(B727="",C727="",D727=""),"",D727*100000+(C727-DATE(2000,1,1))+ROW()/100000)</f>
        <v/>
      </c>
      <c r="F727" s="46">
        <f>IF(E727="","",IF(C727&gt;WeekEndDate,"",E727))</f>
        <v/>
      </c>
    </row>
    <row r="728">
      <c r="A728" t="inlineStr">
        <is>
          <t>Contractors</t>
        </is>
      </c>
      <c r="B728" s="46">
        <f>'Contractors'!Y97</f>
        <v/>
      </c>
      <c r="C728" s="84">
        <f>'Contractors'!W97</f>
        <v/>
      </c>
      <c r="D728" s="46">
        <f>'Contractors'!X97</f>
        <v/>
      </c>
      <c r="E728" s="46">
        <f>IF(OR(B728="",C728="",D728=""),"",D728*100000+(C728-DATE(2000,1,1))+ROW()/100000)</f>
        <v/>
      </c>
      <c r="F728" s="46">
        <f>IF(E728="","",IF(C728&gt;WeekEndDate,"",E728))</f>
        <v/>
      </c>
    </row>
    <row r="729">
      <c r="A729" t="inlineStr">
        <is>
          <t>Contractors</t>
        </is>
      </c>
      <c r="B729" s="46">
        <f>'Contractors'!Y98</f>
        <v/>
      </c>
      <c r="C729" s="84">
        <f>'Contractors'!W98</f>
        <v/>
      </c>
      <c r="D729" s="46">
        <f>'Contractors'!X98</f>
        <v/>
      </c>
      <c r="E729" s="46">
        <f>IF(OR(B729="",C729="",D729=""),"",D729*100000+(C729-DATE(2000,1,1))+ROW()/100000)</f>
        <v/>
      </c>
      <c r="F729" s="46">
        <f>IF(E729="","",IF(C729&gt;WeekEndDate,"",E729))</f>
        <v/>
      </c>
    </row>
    <row r="730">
      <c r="A730" t="inlineStr">
        <is>
          <t>Contractors</t>
        </is>
      </c>
      <c r="B730" s="46">
        <f>'Contractors'!Y99</f>
        <v/>
      </c>
      <c r="C730" s="84">
        <f>'Contractors'!W99</f>
        <v/>
      </c>
      <c r="D730" s="46">
        <f>'Contractors'!X99</f>
        <v/>
      </c>
      <c r="E730" s="46">
        <f>IF(OR(B730="",C730="",D730=""),"",D730*100000+(C730-DATE(2000,1,1))+ROW()/100000)</f>
        <v/>
      </c>
      <c r="F730" s="46">
        <f>IF(E730="","",IF(C730&gt;WeekEndDate,"",E730))</f>
        <v/>
      </c>
    </row>
    <row r="731">
      <c r="A731" t="inlineStr">
        <is>
          <t>Contractors</t>
        </is>
      </c>
      <c r="B731" s="46">
        <f>'Contractors'!Y100</f>
        <v/>
      </c>
      <c r="C731" s="84">
        <f>'Contractors'!W100</f>
        <v/>
      </c>
      <c r="D731" s="46">
        <f>'Contractors'!X100</f>
        <v/>
      </c>
      <c r="E731" s="46">
        <f>IF(OR(B731="",C731="",D731=""),"",D731*100000+(C731-DATE(2000,1,1))+ROW()/100000)</f>
        <v/>
      </c>
      <c r="F731" s="46">
        <f>IF(E731="","",IF(C731&gt;WeekEndDate,"",E731))</f>
        <v/>
      </c>
    </row>
    <row r="732">
      <c r="A732" t="inlineStr">
        <is>
          <t>Contractors</t>
        </is>
      </c>
      <c r="B732" s="46">
        <f>'Contractors'!Y101</f>
        <v/>
      </c>
      <c r="C732" s="84">
        <f>'Contractors'!W101</f>
        <v/>
      </c>
      <c r="D732" s="46">
        <f>'Contractors'!X101</f>
        <v/>
      </c>
      <c r="E732" s="46">
        <f>IF(OR(B732="",C732="",D732=""),"",D732*100000+(C732-DATE(2000,1,1))+ROW()/100000)</f>
        <v/>
      </c>
      <c r="F732" s="46">
        <f>IF(E732="","",IF(C732&gt;WeekEndDate,"",E732))</f>
        <v/>
      </c>
    </row>
    <row r="733">
      <c r="A733" t="inlineStr">
        <is>
          <t>Contractors</t>
        </is>
      </c>
      <c r="B733" s="46">
        <f>'Contractors'!Y102</f>
        <v/>
      </c>
      <c r="C733" s="84">
        <f>'Contractors'!W102</f>
        <v/>
      </c>
      <c r="D733" s="46">
        <f>'Contractors'!X102</f>
        <v/>
      </c>
      <c r="E733" s="46">
        <f>IF(OR(B733="",C733="",D733=""),"",D733*100000+(C733-DATE(2000,1,1))+ROW()/100000)</f>
        <v/>
      </c>
      <c r="F733" s="46">
        <f>IF(E733="","",IF(C733&gt;WeekEndDate,"",E733))</f>
        <v/>
      </c>
    </row>
    <row r="734">
      <c r="A734" t="inlineStr">
        <is>
          <t>Contractors</t>
        </is>
      </c>
      <c r="B734" s="46">
        <f>'Contractors'!Y103</f>
        <v/>
      </c>
      <c r="C734" s="84">
        <f>'Contractors'!W103</f>
        <v/>
      </c>
      <c r="D734" s="46">
        <f>'Contractors'!X103</f>
        <v/>
      </c>
      <c r="E734" s="46">
        <f>IF(OR(B734="",C734="",D734=""),"",D734*100000+(C734-DATE(2000,1,1))+ROW()/100000)</f>
        <v/>
      </c>
      <c r="F734" s="46">
        <f>IF(E734="","",IF(C734&gt;WeekEndDate,"",E734))</f>
        <v/>
      </c>
    </row>
    <row r="735">
      <c r="A735" t="inlineStr">
        <is>
          <t>Contractors</t>
        </is>
      </c>
      <c r="B735" s="46">
        <f>'Contractors'!Y104</f>
        <v/>
      </c>
      <c r="C735" s="84">
        <f>'Contractors'!W104</f>
        <v/>
      </c>
      <c r="D735" s="46">
        <f>'Contractors'!X104</f>
        <v/>
      </c>
      <c r="E735" s="46">
        <f>IF(OR(B735="",C735="",D735=""),"",D735*100000+(C735-DATE(2000,1,1))+ROW()/100000)</f>
        <v/>
      </c>
      <c r="F735" s="46">
        <f>IF(E735="","",IF(C735&gt;WeekEndDate,"",E735))</f>
        <v/>
      </c>
    </row>
    <row r="736">
      <c r="A736" t="inlineStr">
        <is>
          <t>Contractors</t>
        </is>
      </c>
      <c r="B736" s="46">
        <f>'Contractors'!Y105</f>
        <v/>
      </c>
      <c r="C736" s="84">
        <f>'Contractors'!W105</f>
        <v/>
      </c>
      <c r="D736" s="46">
        <f>'Contractors'!X105</f>
        <v/>
      </c>
      <c r="E736" s="46">
        <f>IF(OR(B736="",C736="",D736=""),"",D736*100000+(C736-DATE(2000,1,1))+ROW()/100000)</f>
        <v/>
      </c>
      <c r="F736" s="46">
        <f>IF(E736="","",IF(C736&gt;WeekEndDate,"",E736))</f>
        <v/>
      </c>
    </row>
    <row r="737">
      <c r="A737" t="inlineStr">
        <is>
          <t>Contractors</t>
        </is>
      </c>
      <c r="B737" s="46">
        <f>'Contractors'!Y106</f>
        <v/>
      </c>
      <c r="C737" s="84">
        <f>'Contractors'!W106</f>
        <v/>
      </c>
      <c r="D737" s="46">
        <f>'Contractors'!X106</f>
        <v/>
      </c>
      <c r="E737" s="46">
        <f>IF(OR(B737="",C737="",D737=""),"",D737*100000+(C737-DATE(2000,1,1))+ROW()/100000)</f>
        <v/>
      </c>
      <c r="F737" s="46">
        <f>IF(E737="","",IF(C737&gt;WeekEndDate,"",E737))</f>
        <v/>
      </c>
    </row>
    <row r="738">
      <c r="A738" t="inlineStr">
        <is>
          <t>Contractors</t>
        </is>
      </c>
      <c r="B738" s="46">
        <f>'Contractors'!Y107</f>
        <v/>
      </c>
      <c r="C738" s="84">
        <f>'Contractors'!W107</f>
        <v/>
      </c>
      <c r="D738" s="46">
        <f>'Contractors'!X107</f>
        <v/>
      </c>
      <c r="E738" s="46">
        <f>IF(OR(B738="",C738="",D738=""),"",D738*100000+(C738-DATE(2000,1,1))+ROW()/100000)</f>
        <v/>
      </c>
      <c r="F738" s="46">
        <f>IF(E738="","",IF(C738&gt;WeekEndDate,"",E738))</f>
        <v/>
      </c>
    </row>
    <row r="739">
      <c r="A739" t="inlineStr">
        <is>
          <t>Contractors</t>
        </is>
      </c>
      <c r="B739" s="46">
        <f>'Contractors'!Y108</f>
        <v/>
      </c>
      <c r="C739" s="84">
        <f>'Contractors'!W108</f>
        <v/>
      </c>
      <c r="D739" s="46">
        <f>'Contractors'!X108</f>
        <v/>
      </c>
      <c r="E739" s="46">
        <f>IF(OR(B739="",C739="",D739=""),"",D739*100000+(C739-DATE(2000,1,1))+ROW()/100000)</f>
        <v/>
      </c>
      <c r="F739" s="46">
        <f>IF(E739="","",IF(C739&gt;WeekEndDate,"",E739))</f>
        <v/>
      </c>
    </row>
    <row r="740">
      <c r="A740" t="inlineStr">
        <is>
          <t>Contractors</t>
        </is>
      </c>
      <c r="B740" s="46">
        <f>'Contractors'!Y109</f>
        <v/>
      </c>
      <c r="C740" s="84">
        <f>'Contractors'!W109</f>
        <v/>
      </c>
      <c r="D740" s="46">
        <f>'Contractors'!X109</f>
        <v/>
      </c>
      <c r="E740" s="46">
        <f>IF(OR(B740="",C740="",D740=""),"",D740*100000+(C740-DATE(2000,1,1))+ROW()/100000)</f>
        <v/>
      </c>
      <c r="F740" s="46">
        <f>IF(E740="","",IF(C740&gt;WeekEndDate,"",E740))</f>
        <v/>
      </c>
    </row>
    <row r="741">
      <c r="A741" t="inlineStr">
        <is>
          <t>Contractors</t>
        </is>
      </c>
      <c r="B741" s="46">
        <f>'Contractors'!Y110</f>
        <v/>
      </c>
      <c r="C741" s="84">
        <f>'Contractors'!W110</f>
        <v/>
      </c>
      <c r="D741" s="46">
        <f>'Contractors'!X110</f>
        <v/>
      </c>
      <c r="E741" s="46">
        <f>IF(OR(B741="",C741="",D741=""),"",D741*100000+(C741-DATE(2000,1,1))+ROW()/100000)</f>
        <v/>
      </c>
      <c r="F741" s="46">
        <f>IF(E741="","",IF(C741&gt;WeekEndDate,"",E741))</f>
        <v/>
      </c>
    </row>
    <row r="742">
      <c r="A742" t="inlineStr">
        <is>
          <t>Contractors</t>
        </is>
      </c>
      <c r="B742" s="46">
        <f>'Contractors'!Y111</f>
        <v/>
      </c>
      <c r="C742" s="84">
        <f>'Contractors'!W111</f>
        <v/>
      </c>
      <c r="D742" s="46">
        <f>'Contractors'!X111</f>
        <v/>
      </c>
      <c r="E742" s="46">
        <f>IF(OR(B742="",C742="",D742=""),"",D742*100000+(C742-DATE(2000,1,1))+ROW()/100000)</f>
        <v/>
      </c>
      <c r="F742" s="46">
        <f>IF(E742="","",IF(C742&gt;WeekEndDate,"",E742))</f>
        <v/>
      </c>
    </row>
    <row r="743">
      <c r="A743" t="inlineStr">
        <is>
          <t>Contractors</t>
        </is>
      </c>
      <c r="B743" s="46">
        <f>'Contractors'!Y112</f>
        <v/>
      </c>
      <c r="C743" s="84">
        <f>'Contractors'!W112</f>
        <v/>
      </c>
      <c r="D743" s="46">
        <f>'Contractors'!X112</f>
        <v/>
      </c>
      <c r="E743" s="46">
        <f>IF(OR(B743="",C743="",D743=""),"",D743*100000+(C743-DATE(2000,1,1))+ROW()/100000)</f>
        <v/>
      </c>
      <c r="F743" s="46">
        <f>IF(E743="","",IF(C743&gt;WeekEndDate,"",E743))</f>
        <v/>
      </c>
    </row>
    <row r="744">
      <c r="A744" t="inlineStr">
        <is>
          <t>Contractors</t>
        </is>
      </c>
      <c r="B744" s="46">
        <f>'Contractors'!Y113</f>
        <v/>
      </c>
      <c r="C744" s="84">
        <f>'Contractors'!W113</f>
        <v/>
      </c>
      <c r="D744" s="46">
        <f>'Contractors'!X113</f>
        <v/>
      </c>
      <c r="E744" s="46">
        <f>IF(OR(B744="",C744="",D744=""),"",D744*100000+(C744-DATE(2000,1,1))+ROW()/100000)</f>
        <v/>
      </c>
      <c r="F744" s="46">
        <f>IF(E744="","",IF(C744&gt;WeekEndDate,"",E744))</f>
        <v/>
      </c>
    </row>
    <row r="745">
      <c r="A745" t="inlineStr">
        <is>
          <t>Contractors</t>
        </is>
      </c>
      <c r="B745" s="46">
        <f>'Contractors'!Y114</f>
        <v/>
      </c>
      <c r="C745" s="84">
        <f>'Contractors'!W114</f>
        <v/>
      </c>
      <c r="D745" s="46">
        <f>'Contractors'!X114</f>
        <v/>
      </c>
      <c r="E745" s="46">
        <f>IF(OR(B745="",C745="",D745=""),"",D745*100000+(C745-DATE(2000,1,1))+ROW()/100000)</f>
        <v/>
      </c>
      <c r="F745" s="46">
        <f>IF(E745="","",IF(C745&gt;WeekEndDate,"",E745))</f>
        <v/>
      </c>
    </row>
    <row r="746">
      <c r="A746" t="inlineStr">
        <is>
          <t>Contractors</t>
        </is>
      </c>
      <c r="B746" s="46">
        <f>'Contractors'!Y115</f>
        <v/>
      </c>
      <c r="C746" s="84">
        <f>'Contractors'!W115</f>
        <v/>
      </c>
      <c r="D746" s="46">
        <f>'Contractors'!X115</f>
        <v/>
      </c>
      <c r="E746" s="46">
        <f>IF(OR(B746="",C746="",D746=""),"",D746*100000+(C746-DATE(2000,1,1))+ROW()/100000)</f>
        <v/>
      </c>
      <c r="F746" s="46">
        <f>IF(E746="","",IF(C746&gt;WeekEndDate,"",E746))</f>
        <v/>
      </c>
    </row>
    <row r="747">
      <c r="A747" t="inlineStr">
        <is>
          <t>Contractors</t>
        </is>
      </c>
      <c r="B747" s="46">
        <f>'Contractors'!Y116</f>
        <v/>
      </c>
      <c r="C747" s="84">
        <f>'Contractors'!W116</f>
        <v/>
      </c>
      <c r="D747" s="46">
        <f>'Contractors'!X116</f>
        <v/>
      </c>
      <c r="E747" s="46">
        <f>IF(OR(B747="",C747="",D747=""),"",D747*100000+(C747-DATE(2000,1,1))+ROW()/100000)</f>
        <v/>
      </c>
      <c r="F747" s="46">
        <f>IF(E747="","",IF(C747&gt;WeekEndDate,"",E747))</f>
        <v/>
      </c>
    </row>
    <row r="748">
      <c r="A748" t="inlineStr">
        <is>
          <t>Contractors</t>
        </is>
      </c>
      <c r="B748" s="46">
        <f>'Contractors'!Y117</f>
        <v/>
      </c>
      <c r="C748" s="84">
        <f>'Contractors'!W117</f>
        <v/>
      </c>
      <c r="D748" s="46">
        <f>'Contractors'!X117</f>
        <v/>
      </c>
      <c r="E748" s="46">
        <f>IF(OR(B748="",C748="",D748=""),"",D748*100000+(C748-DATE(2000,1,1))+ROW()/100000)</f>
        <v/>
      </c>
      <c r="F748" s="46">
        <f>IF(E748="","",IF(C748&gt;WeekEndDate,"",E748))</f>
        <v/>
      </c>
    </row>
    <row r="749">
      <c r="A749" t="inlineStr">
        <is>
          <t>Contractors</t>
        </is>
      </c>
      <c r="B749" s="46">
        <f>'Contractors'!Y118</f>
        <v/>
      </c>
      <c r="C749" s="84">
        <f>'Contractors'!W118</f>
        <v/>
      </c>
      <c r="D749" s="46">
        <f>'Contractors'!X118</f>
        <v/>
      </c>
      <c r="E749" s="46">
        <f>IF(OR(B749="",C749="",D749=""),"",D749*100000+(C749-DATE(2000,1,1))+ROW()/100000)</f>
        <v/>
      </c>
      <c r="F749" s="46">
        <f>IF(E749="","",IF(C749&gt;WeekEndDate,"",E749))</f>
        <v/>
      </c>
    </row>
    <row r="750">
      <c r="A750" t="inlineStr">
        <is>
          <t>Contractors</t>
        </is>
      </c>
      <c r="B750" s="46">
        <f>'Contractors'!Y119</f>
        <v/>
      </c>
      <c r="C750" s="84">
        <f>'Contractors'!W119</f>
        <v/>
      </c>
      <c r="D750" s="46">
        <f>'Contractors'!X119</f>
        <v/>
      </c>
      <c r="E750" s="46">
        <f>IF(OR(B750="",C750="",D750=""),"",D750*100000+(C750-DATE(2000,1,1))+ROW()/100000)</f>
        <v/>
      </c>
      <c r="F750" s="46">
        <f>IF(E750="","",IF(C750&gt;WeekEndDate,"",E750))</f>
        <v/>
      </c>
    </row>
    <row r="751">
      <c r="A751" t="inlineStr">
        <is>
          <t>Contractors</t>
        </is>
      </c>
      <c r="B751" s="46">
        <f>'Contractors'!Y120</f>
        <v/>
      </c>
      <c r="C751" s="84">
        <f>'Contractors'!W120</f>
        <v/>
      </c>
      <c r="D751" s="46">
        <f>'Contractors'!X120</f>
        <v/>
      </c>
      <c r="E751" s="46">
        <f>IF(OR(B751="",C751="",D751=""),"",D751*100000+(C751-DATE(2000,1,1))+ROW()/100000)</f>
        <v/>
      </c>
      <c r="F751" s="46">
        <f>IF(E751="","",IF(C751&gt;WeekEndDate,"",E751))</f>
        <v/>
      </c>
    </row>
    <row r="752">
      <c r="A752" t="inlineStr">
        <is>
          <t>Contractors</t>
        </is>
      </c>
      <c r="B752" s="46">
        <f>'Contractors'!Y121</f>
        <v/>
      </c>
      <c r="C752" s="84">
        <f>'Contractors'!W121</f>
        <v/>
      </c>
      <c r="D752" s="46">
        <f>'Contractors'!X121</f>
        <v/>
      </c>
      <c r="E752" s="46">
        <f>IF(OR(B752="",C752="",D752=""),"",D752*100000+(C752-DATE(2000,1,1))+ROW()/100000)</f>
        <v/>
      </c>
      <c r="F752" s="46">
        <f>IF(E752="","",IF(C752&gt;WeekEndDate,"",E752))</f>
        <v/>
      </c>
    </row>
    <row r="753">
      <c r="A753" t="inlineStr">
        <is>
          <t>Contractors</t>
        </is>
      </c>
      <c r="B753" s="46">
        <f>'Contractors'!Y122</f>
        <v/>
      </c>
      <c r="C753" s="84">
        <f>'Contractors'!W122</f>
        <v/>
      </c>
      <c r="D753" s="46">
        <f>'Contractors'!X122</f>
        <v/>
      </c>
      <c r="E753" s="46">
        <f>IF(OR(B753="",C753="",D753=""),"",D753*100000+(C753-DATE(2000,1,1))+ROW()/100000)</f>
        <v/>
      </c>
      <c r="F753" s="46">
        <f>IF(E753="","",IF(C753&gt;WeekEndDate,"",E753))</f>
        <v/>
      </c>
    </row>
    <row r="754">
      <c r="A754" t="inlineStr">
        <is>
          <t>Contractors</t>
        </is>
      </c>
      <c r="B754" s="46">
        <f>'Contractors'!Y123</f>
        <v/>
      </c>
      <c r="C754" s="84">
        <f>'Contractors'!W123</f>
        <v/>
      </c>
      <c r="D754" s="46">
        <f>'Contractors'!X123</f>
        <v/>
      </c>
      <c r="E754" s="46">
        <f>IF(OR(B754="",C754="",D754=""),"",D754*100000+(C754-DATE(2000,1,1))+ROW()/100000)</f>
        <v/>
      </c>
      <c r="F754" s="46">
        <f>IF(E754="","",IF(C754&gt;WeekEndDate,"",E754))</f>
        <v/>
      </c>
    </row>
    <row r="755">
      <c r="A755" t="inlineStr">
        <is>
          <t>Contractors</t>
        </is>
      </c>
      <c r="B755" s="46">
        <f>'Contractors'!Y124</f>
        <v/>
      </c>
      <c r="C755" s="84">
        <f>'Contractors'!W124</f>
        <v/>
      </c>
      <c r="D755" s="46">
        <f>'Contractors'!X124</f>
        <v/>
      </c>
      <c r="E755" s="46">
        <f>IF(OR(B755="",C755="",D755=""),"",D755*100000+(C755-DATE(2000,1,1))+ROW()/100000)</f>
        <v/>
      </c>
      <c r="F755" s="46">
        <f>IF(E755="","",IF(C755&gt;WeekEndDate,"",E755))</f>
        <v/>
      </c>
    </row>
    <row r="756">
      <c r="A756" t="inlineStr">
        <is>
          <t>Contractors</t>
        </is>
      </c>
      <c r="B756" s="46">
        <f>'Contractors'!Y125</f>
        <v/>
      </c>
      <c r="C756" s="84">
        <f>'Contractors'!W125</f>
        <v/>
      </c>
      <c r="D756" s="46">
        <f>'Contractors'!X125</f>
        <v/>
      </c>
      <c r="E756" s="46">
        <f>IF(OR(B756="",C756="",D756=""),"",D756*100000+(C756-DATE(2000,1,1))+ROW()/100000)</f>
        <v/>
      </c>
      <c r="F756" s="46">
        <f>IF(E756="","",IF(C756&gt;WeekEndDate,"",E756))</f>
        <v/>
      </c>
    </row>
    <row r="757">
      <c r="A757" t="inlineStr">
        <is>
          <t>Contractors</t>
        </is>
      </c>
      <c r="B757" s="46">
        <f>'Contractors'!Y126</f>
        <v/>
      </c>
      <c r="C757" s="84">
        <f>'Contractors'!W126</f>
        <v/>
      </c>
      <c r="D757" s="46">
        <f>'Contractors'!X126</f>
        <v/>
      </c>
      <c r="E757" s="46">
        <f>IF(OR(B757="",C757="",D757=""),"",D757*100000+(C757-DATE(2000,1,1))+ROW()/100000)</f>
        <v/>
      </c>
      <c r="F757" s="46">
        <f>IF(E757="","",IF(C757&gt;WeekEndDate,"",E757))</f>
        <v/>
      </c>
    </row>
    <row r="758">
      <c r="A758" t="inlineStr">
        <is>
          <t>Contractors</t>
        </is>
      </c>
      <c r="B758" s="46">
        <f>'Contractors'!Y127</f>
        <v/>
      </c>
      <c r="C758" s="84">
        <f>'Contractors'!W127</f>
        <v/>
      </c>
      <c r="D758" s="46">
        <f>'Contractors'!X127</f>
        <v/>
      </c>
      <c r="E758" s="46">
        <f>IF(OR(B758="",C758="",D758=""),"",D758*100000+(C758-DATE(2000,1,1))+ROW()/100000)</f>
        <v/>
      </c>
      <c r="F758" s="46">
        <f>IF(E758="","",IF(C758&gt;WeekEndDate,"",E758))</f>
        <v/>
      </c>
    </row>
    <row r="759">
      <c r="A759" t="inlineStr">
        <is>
          <t>Contractors</t>
        </is>
      </c>
      <c r="B759" s="46">
        <f>'Contractors'!Y128</f>
        <v/>
      </c>
      <c r="C759" s="84">
        <f>'Contractors'!W128</f>
        <v/>
      </c>
      <c r="D759" s="46">
        <f>'Contractors'!X128</f>
        <v/>
      </c>
      <c r="E759" s="46">
        <f>IF(OR(B759="",C759="",D759=""),"",D759*100000+(C759-DATE(2000,1,1))+ROW()/100000)</f>
        <v/>
      </c>
      <c r="F759" s="46">
        <f>IF(E759="","",IF(C759&gt;WeekEndDate,"",E759))</f>
        <v/>
      </c>
    </row>
    <row r="760">
      <c r="A760" t="inlineStr">
        <is>
          <t>Contractors</t>
        </is>
      </c>
      <c r="B760" s="46">
        <f>'Contractors'!Y129</f>
        <v/>
      </c>
      <c r="C760" s="84">
        <f>'Contractors'!W129</f>
        <v/>
      </c>
      <c r="D760" s="46">
        <f>'Contractors'!X129</f>
        <v/>
      </c>
      <c r="E760" s="46">
        <f>IF(OR(B760="",C760="",D760=""),"",D760*100000+(C760-DATE(2000,1,1))+ROW()/100000)</f>
        <v/>
      </c>
      <c r="F760" s="46">
        <f>IF(E760="","",IF(C760&gt;WeekEndDate,"",E760))</f>
        <v/>
      </c>
    </row>
    <row r="761">
      <c r="A761" t="inlineStr">
        <is>
          <t>Contractors</t>
        </is>
      </c>
      <c r="B761" s="46">
        <f>'Contractors'!Y130</f>
        <v/>
      </c>
      <c r="C761" s="84">
        <f>'Contractors'!W130</f>
        <v/>
      </c>
      <c r="D761" s="46">
        <f>'Contractors'!X130</f>
        <v/>
      </c>
      <c r="E761" s="46">
        <f>IF(OR(B761="",C761="",D761=""),"",D761*100000+(C761-DATE(2000,1,1))+ROW()/100000)</f>
        <v/>
      </c>
      <c r="F761" s="46">
        <f>IF(E761="","",IF(C761&gt;WeekEndDate,"",E761))</f>
        <v/>
      </c>
    </row>
    <row r="762">
      <c r="A762" t="inlineStr">
        <is>
          <t>Contractors</t>
        </is>
      </c>
      <c r="B762" s="46">
        <f>'Contractors'!Y131</f>
        <v/>
      </c>
      <c r="C762" s="84">
        <f>'Contractors'!W131</f>
        <v/>
      </c>
      <c r="D762" s="46">
        <f>'Contractors'!X131</f>
        <v/>
      </c>
      <c r="E762" s="46">
        <f>IF(OR(B762="",C762="",D762=""),"",D762*100000+(C762-DATE(2000,1,1))+ROW()/100000)</f>
        <v/>
      </c>
      <c r="F762" s="46">
        <f>IF(E762="","",IF(C762&gt;WeekEndDate,"",E762))</f>
        <v/>
      </c>
    </row>
    <row r="763">
      <c r="A763" t="inlineStr">
        <is>
          <t>Contractors</t>
        </is>
      </c>
      <c r="B763" s="46">
        <f>'Contractors'!Y132</f>
        <v/>
      </c>
      <c r="C763" s="84">
        <f>'Contractors'!W132</f>
        <v/>
      </c>
      <c r="D763" s="46">
        <f>'Contractors'!X132</f>
        <v/>
      </c>
      <c r="E763" s="46">
        <f>IF(OR(B763="",C763="",D763=""),"",D763*100000+(C763-DATE(2000,1,1))+ROW()/100000)</f>
        <v/>
      </c>
      <c r="F763" s="46">
        <f>IF(E763="","",IF(C763&gt;WeekEndDate,"",E763))</f>
        <v/>
      </c>
    </row>
    <row r="764">
      <c r="A764" t="inlineStr">
        <is>
          <t>Contractors</t>
        </is>
      </c>
      <c r="B764" s="46">
        <f>'Contractors'!Y133</f>
        <v/>
      </c>
      <c r="C764" s="84">
        <f>'Contractors'!W133</f>
        <v/>
      </c>
      <c r="D764" s="46">
        <f>'Contractors'!X133</f>
        <v/>
      </c>
      <c r="E764" s="46">
        <f>IF(OR(B764="",C764="",D764=""),"",D764*100000+(C764-DATE(2000,1,1))+ROW()/100000)</f>
        <v/>
      </c>
      <c r="F764" s="46">
        <f>IF(E764="","",IF(C764&gt;WeekEndDate,"",E764))</f>
        <v/>
      </c>
    </row>
    <row r="765">
      <c r="A765" t="inlineStr">
        <is>
          <t>Contractors</t>
        </is>
      </c>
      <c r="B765" s="46">
        <f>'Contractors'!Y134</f>
        <v/>
      </c>
      <c r="C765" s="84">
        <f>'Contractors'!W134</f>
        <v/>
      </c>
      <c r="D765" s="46">
        <f>'Contractors'!X134</f>
        <v/>
      </c>
      <c r="E765" s="46">
        <f>IF(OR(B765="",C765="",D765=""),"",D765*100000+(C765-DATE(2000,1,1))+ROW()/100000)</f>
        <v/>
      </c>
      <c r="F765" s="46">
        <f>IF(E765="","",IF(C765&gt;WeekEndDate,"",E765))</f>
        <v/>
      </c>
    </row>
    <row r="766">
      <c r="A766" t="inlineStr">
        <is>
          <t>Contractors</t>
        </is>
      </c>
      <c r="B766" s="46">
        <f>'Contractors'!Y135</f>
        <v/>
      </c>
      <c r="C766" s="84">
        <f>'Contractors'!W135</f>
        <v/>
      </c>
      <c r="D766" s="46">
        <f>'Contractors'!X135</f>
        <v/>
      </c>
      <c r="E766" s="46">
        <f>IF(OR(B766="",C766="",D766=""),"",D766*100000+(C766-DATE(2000,1,1))+ROW()/100000)</f>
        <v/>
      </c>
      <c r="F766" s="46">
        <f>IF(E766="","",IF(C766&gt;WeekEndDate,"",E766))</f>
        <v/>
      </c>
    </row>
    <row r="767">
      <c r="A767" t="inlineStr">
        <is>
          <t>Contractors</t>
        </is>
      </c>
      <c r="B767" s="46">
        <f>'Contractors'!Y136</f>
        <v/>
      </c>
      <c r="C767" s="84">
        <f>'Contractors'!W136</f>
        <v/>
      </c>
      <c r="D767" s="46">
        <f>'Contractors'!X136</f>
        <v/>
      </c>
      <c r="E767" s="46">
        <f>IF(OR(B767="",C767="",D767=""),"",D767*100000+(C767-DATE(2000,1,1))+ROW()/100000)</f>
        <v/>
      </c>
      <c r="F767" s="46">
        <f>IF(E767="","",IF(C767&gt;WeekEndDate,"",E767))</f>
        <v/>
      </c>
    </row>
    <row r="768">
      <c r="A768" t="inlineStr">
        <is>
          <t>Contractors</t>
        </is>
      </c>
      <c r="B768" s="46">
        <f>'Contractors'!Y137</f>
        <v/>
      </c>
      <c r="C768" s="84">
        <f>'Contractors'!W137</f>
        <v/>
      </c>
      <c r="D768" s="46">
        <f>'Contractors'!X137</f>
        <v/>
      </c>
      <c r="E768" s="46">
        <f>IF(OR(B768="",C768="",D768=""),"",D768*100000+(C768-DATE(2000,1,1))+ROW()/100000)</f>
        <v/>
      </c>
      <c r="F768" s="46">
        <f>IF(E768="","",IF(C768&gt;WeekEndDate,"",E768))</f>
        <v/>
      </c>
    </row>
    <row r="769">
      <c r="A769" t="inlineStr">
        <is>
          <t>Contractors</t>
        </is>
      </c>
      <c r="B769" s="46">
        <f>'Contractors'!Y138</f>
        <v/>
      </c>
      <c r="C769" s="84">
        <f>'Contractors'!W138</f>
        <v/>
      </c>
      <c r="D769" s="46">
        <f>'Contractors'!X138</f>
        <v/>
      </c>
      <c r="E769" s="46">
        <f>IF(OR(B769="",C769="",D769=""),"",D769*100000+(C769-DATE(2000,1,1))+ROW()/100000)</f>
        <v/>
      </c>
      <c r="F769" s="46">
        <f>IF(E769="","",IF(C769&gt;WeekEndDate,"",E769))</f>
        <v/>
      </c>
    </row>
    <row r="770">
      <c r="A770" t="inlineStr">
        <is>
          <t>Contractors</t>
        </is>
      </c>
      <c r="B770" s="46">
        <f>'Contractors'!Y139</f>
        <v/>
      </c>
      <c r="C770" s="84">
        <f>'Contractors'!W139</f>
        <v/>
      </c>
      <c r="D770" s="46">
        <f>'Contractors'!X139</f>
        <v/>
      </c>
      <c r="E770" s="46">
        <f>IF(OR(B770="",C770="",D770=""),"",D770*100000+(C770-DATE(2000,1,1))+ROW()/100000)</f>
        <v/>
      </c>
      <c r="F770" s="46">
        <f>IF(E770="","",IF(C770&gt;WeekEndDate,"",E770))</f>
        <v/>
      </c>
    </row>
    <row r="771">
      <c r="A771" t="inlineStr">
        <is>
          <t>Contractors</t>
        </is>
      </c>
      <c r="B771" s="46">
        <f>'Contractors'!Y140</f>
        <v/>
      </c>
      <c r="C771" s="84">
        <f>'Contractors'!W140</f>
        <v/>
      </c>
      <c r="D771" s="46">
        <f>'Contractors'!X140</f>
        <v/>
      </c>
      <c r="E771" s="46">
        <f>IF(OR(B771="",C771="",D771=""),"",D771*100000+(C771-DATE(2000,1,1))+ROW()/100000)</f>
        <v/>
      </c>
      <c r="F771" s="46">
        <f>IF(E771="","",IF(C771&gt;WeekEndDate,"",E771))</f>
        <v/>
      </c>
    </row>
    <row r="772">
      <c r="A772" t="inlineStr">
        <is>
          <t>Contractors</t>
        </is>
      </c>
      <c r="B772" s="46">
        <f>'Contractors'!Y141</f>
        <v/>
      </c>
      <c r="C772" s="84">
        <f>'Contractors'!W141</f>
        <v/>
      </c>
      <c r="D772" s="46">
        <f>'Contractors'!X141</f>
        <v/>
      </c>
      <c r="E772" s="46">
        <f>IF(OR(B772="",C772="",D772=""),"",D772*100000+(C772-DATE(2000,1,1))+ROW()/100000)</f>
        <v/>
      </c>
      <c r="F772" s="46">
        <f>IF(E772="","",IF(C772&gt;WeekEndDate,"",E772))</f>
        <v/>
      </c>
    </row>
    <row r="773">
      <c r="A773" t="inlineStr">
        <is>
          <t>Contractors</t>
        </is>
      </c>
      <c r="B773" s="46">
        <f>'Contractors'!Y142</f>
        <v/>
      </c>
      <c r="C773" s="84">
        <f>'Contractors'!W142</f>
        <v/>
      </c>
      <c r="D773" s="46">
        <f>'Contractors'!X142</f>
        <v/>
      </c>
      <c r="E773" s="46">
        <f>IF(OR(B773="",C773="",D773=""),"",D773*100000+(C773-DATE(2000,1,1))+ROW()/100000)</f>
        <v/>
      </c>
      <c r="F773" s="46">
        <f>IF(E773="","",IF(C773&gt;WeekEndDate,"",E773))</f>
        <v/>
      </c>
    </row>
    <row r="774">
      <c r="A774" t="inlineStr">
        <is>
          <t>Contractors</t>
        </is>
      </c>
      <c r="B774" s="46">
        <f>'Contractors'!Y143</f>
        <v/>
      </c>
      <c r="C774" s="84">
        <f>'Contractors'!W143</f>
        <v/>
      </c>
      <c r="D774" s="46">
        <f>'Contractors'!X143</f>
        <v/>
      </c>
      <c r="E774" s="46">
        <f>IF(OR(B774="",C774="",D774=""),"",D774*100000+(C774-DATE(2000,1,1))+ROW()/100000)</f>
        <v/>
      </c>
      <c r="F774" s="46">
        <f>IF(E774="","",IF(C774&gt;WeekEndDate,"",E774))</f>
        <v/>
      </c>
    </row>
    <row r="775">
      <c r="A775" t="inlineStr">
        <is>
          <t>Contractors</t>
        </is>
      </c>
      <c r="B775" s="46">
        <f>'Contractors'!Y144</f>
        <v/>
      </c>
      <c r="C775" s="84">
        <f>'Contractors'!W144</f>
        <v/>
      </c>
      <c r="D775" s="46">
        <f>'Contractors'!X144</f>
        <v/>
      </c>
      <c r="E775" s="46">
        <f>IF(OR(B775="",C775="",D775=""),"",D775*100000+(C775-DATE(2000,1,1))+ROW()/100000)</f>
        <v/>
      </c>
      <c r="F775" s="46">
        <f>IF(E775="","",IF(C775&gt;WeekEndDate,"",E775))</f>
        <v/>
      </c>
    </row>
    <row r="776">
      <c r="A776" t="inlineStr">
        <is>
          <t>Contractors</t>
        </is>
      </c>
      <c r="B776" s="46">
        <f>'Contractors'!Y145</f>
        <v/>
      </c>
      <c r="C776" s="84">
        <f>'Contractors'!W145</f>
        <v/>
      </c>
      <c r="D776" s="46">
        <f>'Contractors'!X145</f>
        <v/>
      </c>
      <c r="E776" s="46">
        <f>IF(OR(B776="",C776="",D776=""),"",D776*100000+(C776-DATE(2000,1,1))+ROW()/100000)</f>
        <v/>
      </c>
      <c r="F776" s="46">
        <f>IF(E776="","",IF(C776&gt;WeekEndDate,"",E776))</f>
        <v/>
      </c>
    </row>
    <row r="777">
      <c r="A777" t="inlineStr">
        <is>
          <t>Contractors</t>
        </is>
      </c>
      <c r="B777" s="46">
        <f>'Contractors'!Y146</f>
        <v/>
      </c>
      <c r="C777" s="84">
        <f>'Contractors'!W146</f>
        <v/>
      </c>
      <c r="D777" s="46">
        <f>'Contractors'!X146</f>
        <v/>
      </c>
      <c r="E777" s="46">
        <f>IF(OR(B777="",C777="",D777=""),"",D777*100000+(C777-DATE(2000,1,1))+ROW()/100000)</f>
        <v/>
      </c>
      <c r="F777" s="46">
        <f>IF(E777="","",IF(C777&gt;WeekEndDate,"",E777))</f>
        <v/>
      </c>
    </row>
    <row r="778">
      <c r="A778" t="inlineStr">
        <is>
          <t>Contractors</t>
        </is>
      </c>
      <c r="B778" s="46">
        <f>'Contractors'!Y147</f>
        <v/>
      </c>
      <c r="C778" s="84">
        <f>'Contractors'!W147</f>
        <v/>
      </c>
      <c r="D778" s="46">
        <f>'Contractors'!X147</f>
        <v/>
      </c>
      <c r="E778" s="46">
        <f>IF(OR(B778="",C778="",D778=""),"",D778*100000+(C778-DATE(2000,1,1))+ROW()/100000)</f>
        <v/>
      </c>
      <c r="F778" s="46">
        <f>IF(E778="","",IF(C778&gt;WeekEndDate,"",E778))</f>
        <v/>
      </c>
    </row>
    <row r="779">
      <c r="A779" t="inlineStr">
        <is>
          <t>Contractors</t>
        </is>
      </c>
      <c r="B779" s="46">
        <f>'Contractors'!Y148</f>
        <v/>
      </c>
      <c r="C779" s="84">
        <f>'Contractors'!W148</f>
        <v/>
      </c>
      <c r="D779" s="46">
        <f>'Contractors'!X148</f>
        <v/>
      </c>
      <c r="E779" s="46">
        <f>IF(OR(B779="",C779="",D779=""),"",D779*100000+(C779-DATE(2000,1,1))+ROW()/100000)</f>
        <v/>
      </c>
      <c r="F779" s="46">
        <f>IF(E779="","",IF(C779&gt;WeekEndDate,"",E779))</f>
        <v/>
      </c>
    </row>
    <row r="780">
      <c r="A780" t="inlineStr">
        <is>
          <t>Contractors</t>
        </is>
      </c>
      <c r="B780" s="46">
        <f>'Contractors'!Y149</f>
        <v/>
      </c>
      <c r="C780" s="84">
        <f>'Contractors'!W149</f>
        <v/>
      </c>
      <c r="D780" s="46">
        <f>'Contractors'!X149</f>
        <v/>
      </c>
      <c r="E780" s="46">
        <f>IF(OR(B780="",C780="",D780=""),"",D780*100000+(C780-DATE(2000,1,1))+ROW()/100000)</f>
        <v/>
      </c>
      <c r="F780" s="46">
        <f>IF(E780="","",IF(C780&gt;WeekEndDate,"",E780))</f>
        <v/>
      </c>
    </row>
    <row r="781">
      <c r="A781" t="inlineStr">
        <is>
          <t>Contractors</t>
        </is>
      </c>
      <c r="B781" s="46">
        <f>'Contractors'!Y150</f>
        <v/>
      </c>
      <c r="C781" s="84">
        <f>'Contractors'!W150</f>
        <v/>
      </c>
      <c r="D781" s="46">
        <f>'Contractors'!X150</f>
        <v/>
      </c>
      <c r="E781" s="46">
        <f>IF(OR(B781="",C781="",D781=""),"",D781*100000+(C781-DATE(2000,1,1))+ROW()/100000)</f>
        <v/>
      </c>
      <c r="F781" s="46">
        <f>IF(E781="","",IF(C781&gt;WeekEndDate,"",E781))</f>
        <v/>
      </c>
    </row>
    <row r="782">
      <c r="A782" t="inlineStr">
        <is>
          <t>Contractors</t>
        </is>
      </c>
      <c r="B782" s="46">
        <f>'Contractors'!Y151</f>
        <v/>
      </c>
      <c r="C782" s="84">
        <f>'Contractors'!W151</f>
        <v/>
      </c>
      <c r="D782" s="46">
        <f>'Contractors'!X151</f>
        <v/>
      </c>
      <c r="E782" s="46">
        <f>IF(OR(B782="",C782="",D782=""),"",D782*100000+(C782-DATE(2000,1,1))+ROW()/100000)</f>
        <v/>
      </c>
      <c r="F782" s="46">
        <f>IF(E782="","",IF(C782&gt;WeekEndDate,"",E782))</f>
        <v/>
      </c>
    </row>
    <row r="783">
      <c r="A783" t="inlineStr">
        <is>
          <t>Contractors</t>
        </is>
      </c>
      <c r="B783" s="46">
        <f>'Contractors'!Y152</f>
        <v/>
      </c>
      <c r="C783" s="84">
        <f>'Contractors'!W152</f>
        <v/>
      </c>
      <c r="D783" s="46">
        <f>'Contractors'!X152</f>
        <v/>
      </c>
      <c r="E783" s="46">
        <f>IF(OR(B783="",C783="",D783=""),"",D783*100000+(C783-DATE(2000,1,1))+ROW()/100000)</f>
        <v/>
      </c>
      <c r="F783" s="46">
        <f>IF(E783="","",IF(C783&gt;WeekEndDate,"",E783))</f>
        <v/>
      </c>
    </row>
    <row r="784">
      <c r="A784" t="inlineStr">
        <is>
          <t>Contractors</t>
        </is>
      </c>
      <c r="B784" s="46">
        <f>'Contractors'!Y153</f>
        <v/>
      </c>
      <c r="C784" s="84">
        <f>'Contractors'!W153</f>
        <v/>
      </c>
      <c r="D784" s="46">
        <f>'Contractors'!X153</f>
        <v/>
      </c>
      <c r="E784" s="46">
        <f>IF(OR(B784="",C784="",D784=""),"",D784*100000+(C784-DATE(2000,1,1))+ROW()/100000)</f>
        <v/>
      </c>
      <c r="F784" s="46">
        <f>IF(E784="","",IF(C784&gt;WeekEndDate,"",E784))</f>
        <v/>
      </c>
    </row>
    <row r="785">
      <c r="A785" t="inlineStr">
        <is>
          <t>Contractors</t>
        </is>
      </c>
      <c r="B785" s="46">
        <f>'Contractors'!Y154</f>
        <v/>
      </c>
      <c r="C785" s="84">
        <f>'Contractors'!W154</f>
        <v/>
      </c>
      <c r="D785" s="46">
        <f>'Contractors'!X154</f>
        <v/>
      </c>
      <c r="E785" s="46">
        <f>IF(OR(B785="",C785="",D785=""),"",D785*100000+(C785-DATE(2000,1,1))+ROW()/100000)</f>
        <v/>
      </c>
      <c r="F785" s="46">
        <f>IF(E785="","",IF(C785&gt;WeekEndDate,"",E785))</f>
        <v/>
      </c>
    </row>
    <row r="786">
      <c r="A786" t="inlineStr">
        <is>
          <t>Contractors</t>
        </is>
      </c>
      <c r="B786" s="46">
        <f>'Contractors'!Y155</f>
        <v/>
      </c>
      <c r="C786" s="84">
        <f>'Contractors'!W155</f>
        <v/>
      </c>
      <c r="D786" s="46">
        <f>'Contractors'!X155</f>
        <v/>
      </c>
      <c r="E786" s="46">
        <f>IF(OR(B786="",C786="",D786=""),"",D786*100000+(C786-DATE(2000,1,1))+ROW()/100000)</f>
        <v/>
      </c>
      <c r="F786" s="46">
        <f>IF(E786="","",IF(C786&gt;WeekEndDate,"",E786))</f>
        <v/>
      </c>
    </row>
    <row r="787">
      <c r="A787" t="inlineStr">
        <is>
          <t>Contractors</t>
        </is>
      </c>
      <c r="B787" s="46">
        <f>'Contractors'!Y156</f>
        <v/>
      </c>
      <c r="C787" s="84">
        <f>'Contractors'!W156</f>
        <v/>
      </c>
      <c r="D787" s="46">
        <f>'Contractors'!X156</f>
        <v/>
      </c>
      <c r="E787" s="46">
        <f>IF(OR(B787="",C787="",D787=""),"",D787*100000+(C787-DATE(2000,1,1))+ROW()/100000)</f>
        <v/>
      </c>
      <c r="F787" s="46">
        <f>IF(E787="","",IF(C787&gt;WeekEndDate,"",E787))</f>
        <v/>
      </c>
    </row>
    <row r="788">
      <c r="A788" t="inlineStr">
        <is>
          <t>Contractors</t>
        </is>
      </c>
      <c r="B788" s="46">
        <f>'Contractors'!Y157</f>
        <v/>
      </c>
      <c r="C788" s="84">
        <f>'Contractors'!W157</f>
        <v/>
      </c>
      <c r="D788" s="46">
        <f>'Contractors'!X157</f>
        <v/>
      </c>
      <c r="E788" s="46">
        <f>IF(OR(B788="",C788="",D788=""),"",D788*100000+(C788-DATE(2000,1,1))+ROW()/100000)</f>
        <v/>
      </c>
      <c r="F788" s="46">
        <f>IF(E788="","",IF(C788&gt;WeekEndDate,"",E788))</f>
        <v/>
      </c>
    </row>
    <row r="789">
      <c r="A789" t="inlineStr">
        <is>
          <t>Contractors</t>
        </is>
      </c>
      <c r="B789" s="46">
        <f>'Contractors'!Y158</f>
        <v/>
      </c>
      <c r="C789" s="84">
        <f>'Contractors'!W158</f>
        <v/>
      </c>
      <c r="D789" s="46">
        <f>'Contractors'!X158</f>
        <v/>
      </c>
      <c r="E789" s="46">
        <f>IF(OR(B789="",C789="",D789=""),"",D789*100000+(C789-DATE(2000,1,1))+ROW()/100000)</f>
        <v/>
      </c>
      <c r="F789" s="46">
        <f>IF(E789="","",IF(C789&gt;WeekEndDate,"",E789))</f>
        <v/>
      </c>
    </row>
    <row r="790">
      <c r="A790" t="inlineStr">
        <is>
          <t>Contractors</t>
        </is>
      </c>
      <c r="B790" s="46">
        <f>'Contractors'!Y159</f>
        <v/>
      </c>
      <c r="C790" s="84">
        <f>'Contractors'!W159</f>
        <v/>
      </c>
      <c r="D790" s="46">
        <f>'Contractors'!X159</f>
        <v/>
      </c>
      <c r="E790" s="46">
        <f>IF(OR(B790="",C790="",D790=""),"",D790*100000+(C790-DATE(2000,1,1))+ROW()/100000)</f>
        <v/>
      </c>
      <c r="F790" s="46">
        <f>IF(E790="","",IF(C790&gt;WeekEndDate,"",E790))</f>
        <v/>
      </c>
    </row>
    <row r="791">
      <c r="A791" t="inlineStr">
        <is>
          <t>Contractors</t>
        </is>
      </c>
      <c r="B791" s="46">
        <f>'Contractors'!Y160</f>
        <v/>
      </c>
      <c r="C791" s="84">
        <f>'Contractors'!W160</f>
        <v/>
      </c>
      <c r="D791" s="46">
        <f>'Contractors'!X160</f>
        <v/>
      </c>
      <c r="E791" s="46">
        <f>IF(OR(B791="",C791="",D791=""),"",D791*100000+(C791-DATE(2000,1,1))+ROW()/100000)</f>
        <v/>
      </c>
      <c r="F791" s="46">
        <f>IF(E791="","",IF(C791&gt;WeekEndDate,"",E791))</f>
        <v/>
      </c>
    </row>
    <row r="792">
      <c r="A792" t="inlineStr">
        <is>
          <t>Contractors</t>
        </is>
      </c>
      <c r="B792" s="46">
        <f>'Contractors'!Y161</f>
        <v/>
      </c>
      <c r="C792" s="84">
        <f>'Contractors'!W161</f>
        <v/>
      </c>
      <c r="D792" s="46">
        <f>'Contractors'!X161</f>
        <v/>
      </c>
      <c r="E792" s="46">
        <f>IF(OR(B792="",C792="",D792=""),"",D792*100000+(C792-DATE(2000,1,1))+ROW()/100000)</f>
        <v/>
      </c>
      <c r="F792" s="46">
        <f>IF(E792="","",IF(C792&gt;WeekEndDate,"",E792))</f>
        <v/>
      </c>
    </row>
    <row r="793">
      <c r="A793" t="inlineStr">
        <is>
          <t>Contractors</t>
        </is>
      </c>
      <c r="B793" s="46">
        <f>'Contractors'!Y162</f>
        <v/>
      </c>
      <c r="C793" s="84">
        <f>'Contractors'!W162</f>
        <v/>
      </c>
      <c r="D793" s="46">
        <f>'Contractors'!X162</f>
        <v/>
      </c>
      <c r="E793" s="46">
        <f>IF(OR(B793="",C793="",D793=""),"",D793*100000+(C793-DATE(2000,1,1))+ROW()/100000)</f>
        <v/>
      </c>
      <c r="F793" s="46">
        <f>IF(E793="","",IF(C793&gt;WeekEndDate,"",E793))</f>
        <v/>
      </c>
    </row>
    <row r="794">
      <c r="A794" t="inlineStr">
        <is>
          <t>Contractors</t>
        </is>
      </c>
      <c r="B794" s="46">
        <f>'Contractors'!Y163</f>
        <v/>
      </c>
      <c r="C794" s="84">
        <f>'Contractors'!W163</f>
        <v/>
      </c>
      <c r="D794" s="46">
        <f>'Contractors'!X163</f>
        <v/>
      </c>
      <c r="E794" s="46">
        <f>IF(OR(B794="",C794="",D794=""),"",D794*100000+(C794-DATE(2000,1,1))+ROW()/100000)</f>
        <v/>
      </c>
      <c r="F794" s="46">
        <f>IF(E794="","",IF(C794&gt;WeekEndDate,"",E794))</f>
        <v/>
      </c>
    </row>
    <row r="795">
      <c r="A795" t="inlineStr">
        <is>
          <t>Contractors</t>
        </is>
      </c>
      <c r="B795" s="46">
        <f>'Contractors'!Y164</f>
        <v/>
      </c>
      <c r="C795" s="84">
        <f>'Contractors'!W164</f>
        <v/>
      </c>
      <c r="D795" s="46">
        <f>'Contractors'!X164</f>
        <v/>
      </c>
      <c r="E795" s="46">
        <f>IF(OR(B795="",C795="",D795=""),"",D795*100000+(C795-DATE(2000,1,1))+ROW()/100000)</f>
        <v/>
      </c>
      <c r="F795" s="46">
        <f>IF(E795="","",IF(C795&gt;WeekEndDate,"",E795))</f>
        <v/>
      </c>
    </row>
    <row r="796">
      <c r="A796" t="inlineStr">
        <is>
          <t>Contractors</t>
        </is>
      </c>
      <c r="B796" s="46">
        <f>'Contractors'!Y165</f>
        <v/>
      </c>
      <c r="C796" s="84">
        <f>'Contractors'!W165</f>
        <v/>
      </c>
      <c r="D796" s="46">
        <f>'Contractors'!X165</f>
        <v/>
      </c>
      <c r="E796" s="46">
        <f>IF(OR(B796="",C796="",D796=""),"",D796*100000+(C796-DATE(2000,1,1))+ROW()/100000)</f>
        <v/>
      </c>
      <c r="F796" s="46">
        <f>IF(E796="","",IF(C796&gt;WeekEndDate,"",E796))</f>
        <v/>
      </c>
    </row>
    <row r="797">
      <c r="A797" t="inlineStr">
        <is>
          <t>Contractors</t>
        </is>
      </c>
      <c r="B797" s="46">
        <f>'Contractors'!Y166</f>
        <v/>
      </c>
      <c r="C797" s="84">
        <f>'Contractors'!W166</f>
        <v/>
      </c>
      <c r="D797" s="46">
        <f>'Contractors'!X166</f>
        <v/>
      </c>
      <c r="E797" s="46">
        <f>IF(OR(B797="",C797="",D797=""),"",D797*100000+(C797-DATE(2000,1,1))+ROW()/100000)</f>
        <v/>
      </c>
      <c r="F797" s="46">
        <f>IF(E797="","",IF(C797&gt;WeekEndDate,"",E797))</f>
        <v/>
      </c>
    </row>
    <row r="798">
      <c r="A798" t="inlineStr">
        <is>
          <t>Contractors</t>
        </is>
      </c>
      <c r="B798" s="46">
        <f>'Contractors'!Y167</f>
        <v/>
      </c>
      <c r="C798" s="84">
        <f>'Contractors'!W167</f>
        <v/>
      </c>
      <c r="D798" s="46">
        <f>'Contractors'!X167</f>
        <v/>
      </c>
      <c r="E798" s="46">
        <f>IF(OR(B798="",C798="",D798=""),"",D798*100000+(C798-DATE(2000,1,1))+ROW()/100000)</f>
        <v/>
      </c>
      <c r="F798" s="46">
        <f>IF(E798="","",IF(C798&gt;WeekEndDate,"",E798))</f>
        <v/>
      </c>
    </row>
    <row r="799">
      <c r="A799" t="inlineStr">
        <is>
          <t>Contractors</t>
        </is>
      </c>
      <c r="B799" s="46">
        <f>'Contractors'!Y168</f>
        <v/>
      </c>
      <c r="C799" s="84">
        <f>'Contractors'!W168</f>
        <v/>
      </c>
      <c r="D799" s="46">
        <f>'Contractors'!X168</f>
        <v/>
      </c>
      <c r="E799" s="46">
        <f>IF(OR(B799="",C799="",D799=""),"",D799*100000+(C799-DATE(2000,1,1))+ROW()/100000)</f>
        <v/>
      </c>
      <c r="F799" s="46">
        <f>IF(E799="","",IF(C799&gt;WeekEndDate,"",E799))</f>
        <v/>
      </c>
    </row>
    <row r="800">
      <c r="A800" t="inlineStr">
        <is>
          <t>Contractors</t>
        </is>
      </c>
      <c r="B800" s="46">
        <f>'Contractors'!Y169</f>
        <v/>
      </c>
      <c r="C800" s="84">
        <f>'Contractors'!W169</f>
        <v/>
      </c>
      <c r="D800" s="46">
        <f>'Contractors'!X169</f>
        <v/>
      </c>
      <c r="E800" s="46">
        <f>IF(OR(B800="",C800="",D800=""),"",D800*100000+(C800-DATE(2000,1,1))+ROW()/100000)</f>
        <v/>
      </c>
      <c r="F800" s="46">
        <f>IF(E800="","",IF(C800&gt;WeekEndDate,"",E800))</f>
        <v/>
      </c>
    </row>
    <row r="801">
      <c r="A801" t="inlineStr">
        <is>
          <t>Contractors</t>
        </is>
      </c>
      <c r="B801" s="46">
        <f>'Contractors'!Y170</f>
        <v/>
      </c>
      <c r="C801" s="84">
        <f>'Contractors'!W170</f>
        <v/>
      </c>
      <c r="D801" s="46">
        <f>'Contractors'!X170</f>
        <v/>
      </c>
      <c r="E801" s="46">
        <f>IF(OR(B801="",C801="",D801=""),"",D801*100000+(C801-DATE(2000,1,1))+ROW()/100000)</f>
        <v/>
      </c>
      <c r="F801" s="46">
        <f>IF(E801="","",IF(C801&gt;WeekEndDate,"",E801))</f>
        <v/>
      </c>
    </row>
    <row r="802">
      <c r="A802" t="inlineStr">
        <is>
          <t>Contractors</t>
        </is>
      </c>
      <c r="B802" s="46">
        <f>'Contractors'!Y171</f>
        <v/>
      </c>
      <c r="C802" s="84">
        <f>'Contractors'!W171</f>
        <v/>
      </c>
      <c r="D802" s="46">
        <f>'Contractors'!X171</f>
        <v/>
      </c>
      <c r="E802" s="46">
        <f>IF(OR(B802="",C802="",D802=""),"",D802*100000+(C802-DATE(2000,1,1))+ROW()/100000)</f>
        <v/>
      </c>
      <c r="F802" s="46">
        <f>IF(E802="","",IF(C802&gt;WeekEndDate,"",E802))</f>
        <v/>
      </c>
    </row>
    <row r="803">
      <c r="A803" t="inlineStr">
        <is>
          <t>Contractors</t>
        </is>
      </c>
      <c r="B803" s="46">
        <f>'Contractors'!Y172</f>
        <v/>
      </c>
      <c r="C803" s="84">
        <f>'Contractors'!W172</f>
        <v/>
      </c>
      <c r="D803" s="46">
        <f>'Contractors'!X172</f>
        <v/>
      </c>
      <c r="E803" s="46">
        <f>IF(OR(B803="",C803="",D803=""),"",D803*100000+(C803-DATE(2000,1,1))+ROW()/100000)</f>
        <v/>
      </c>
      <c r="F803" s="46">
        <f>IF(E803="","",IF(C803&gt;WeekEndDate,"",E803))</f>
        <v/>
      </c>
    </row>
    <row r="804">
      <c r="A804" t="inlineStr">
        <is>
          <t>Contractors</t>
        </is>
      </c>
      <c r="B804" s="46">
        <f>'Contractors'!Y173</f>
        <v/>
      </c>
      <c r="C804" s="84">
        <f>'Contractors'!W173</f>
        <v/>
      </c>
      <c r="D804" s="46">
        <f>'Contractors'!X173</f>
        <v/>
      </c>
      <c r="E804" s="46">
        <f>IF(OR(B804="",C804="",D804=""),"",D804*100000+(C804-DATE(2000,1,1))+ROW()/100000)</f>
        <v/>
      </c>
      <c r="F804" s="46">
        <f>IF(E804="","",IF(C804&gt;WeekEndDate,"",E804))</f>
        <v/>
      </c>
    </row>
    <row r="805">
      <c r="A805" t="inlineStr">
        <is>
          <t>Contractors</t>
        </is>
      </c>
      <c r="B805" s="46">
        <f>'Contractors'!Y174</f>
        <v/>
      </c>
      <c r="C805" s="84">
        <f>'Contractors'!W174</f>
        <v/>
      </c>
      <c r="D805" s="46">
        <f>'Contractors'!X174</f>
        <v/>
      </c>
      <c r="E805" s="46">
        <f>IF(OR(B805="",C805="",D805=""),"",D805*100000+(C805-DATE(2000,1,1))+ROW()/100000)</f>
        <v/>
      </c>
      <c r="F805" s="46">
        <f>IF(E805="","",IF(C805&gt;WeekEndDate,"",E805))</f>
        <v/>
      </c>
    </row>
    <row r="806">
      <c r="A806" t="inlineStr">
        <is>
          <t>Contractors</t>
        </is>
      </c>
      <c r="B806" s="46">
        <f>'Contractors'!Y175</f>
        <v/>
      </c>
      <c r="C806" s="84">
        <f>'Contractors'!W175</f>
        <v/>
      </c>
      <c r="D806" s="46">
        <f>'Contractors'!X175</f>
        <v/>
      </c>
      <c r="E806" s="46">
        <f>IF(OR(B806="",C806="",D806=""),"",D806*100000+(C806-DATE(2000,1,1))+ROW()/100000)</f>
        <v/>
      </c>
      <c r="F806" s="46">
        <f>IF(E806="","",IF(C806&gt;WeekEndDate,"",E806))</f>
        <v/>
      </c>
    </row>
    <row r="807">
      <c r="A807" t="inlineStr">
        <is>
          <t>Contractors</t>
        </is>
      </c>
      <c r="B807" s="46">
        <f>'Contractors'!Y176</f>
        <v/>
      </c>
      <c r="C807" s="84">
        <f>'Contractors'!W176</f>
        <v/>
      </c>
      <c r="D807" s="46">
        <f>'Contractors'!X176</f>
        <v/>
      </c>
      <c r="E807" s="46">
        <f>IF(OR(B807="",C807="",D807=""),"",D807*100000+(C807-DATE(2000,1,1))+ROW()/100000)</f>
        <v/>
      </c>
      <c r="F807" s="46">
        <f>IF(E807="","",IF(C807&gt;WeekEndDate,"",E807))</f>
        <v/>
      </c>
    </row>
    <row r="808">
      <c r="A808" t="inlineStr">
        <is>
          <t>Contractors</t>
        </is>
      </c>
      <c r="B808" s="46">
        <f>'Contractors'!Y177</f>
        <v/>
      </c>
      <c r="C808" s="84">
        <f>'Contractors'!W177</f>
        <v/>
      </c>
      <c r="D808" s="46">
        <f>'Contractors'!X177</f>
        <v/>
      </c>
      <c r="E808" s="46">
        <f>IF(OR(B808="",C808="",D808=""),"",D808*100000+(C808-DATE(2000,1,1))+ROW()/100000)</f>
        <v/>
      </c>
      <c r="F808" s="46">
        <f>IF(E808="","",IF(C808&gt;WeekEndDate,"",E808))</f>
        <v/>
      </c>
    </row>
    <row r="809">
      <c r="A809" t="inlineStr">
        <is>
          <t>Contractors</t>
        </is>
      </c>
      <c r="B809" s="46">
        <f>'Contractors'!Y178</f>
        <v/>
      </c>
      <c r="C809" s="84">
        <f>'Contractors'!W178</f>
        <v/>
      </c>
      <c r="D809" s="46">
        <f>'Contractors'!X178</f>
        <v/>
      </c>
      <c r="E809" s="46">
        <f>IF(OR(B809="",C809="",D809=""),"",D809*100000+(C809-DATE(2000,1,1))+ROW()/100000)</f>
        <v/>
      </c>
      <c r="F809" s="46">
        <f>IF(E809="","",IF(C809&gt;WeekEndDate,"",E809))</f>
        <v/>
      </c>
    </row>
    <row r="810">
      <c r="A810" t="inlineStr">
        <is>
          <t>Contractors</t>
        </is>
      </c>
      <c r="B810" s="46">
        <f>'Contractors'!Y179</f>
        <v/>
      </c>
      <c r="C810" s="84">
        <f>'Contractors'!W179</f>
        <v/>
      </c>
      <c r="D810" s="46">
        <f>'Contractors'!X179</f>
        <v/>
      </c>
      <c r="E810" s="46">
        <f>IF(OR(B810="",C810="",D810=""),"",D810*100000+(C810-DATE(2000,1,1))+ROW()/100000)</f>
        <v/>
      </c>
      <c r="F810" s="46">
        <f>IF(E810="","",IF(C810&gt;WeekEndDate,"",E810))</f>
        <v/>
      </c>
    </row>
    <row r="811">
      <c r="A811" t="inlineStr">
        <is>
          <t>Contractors</t>
        </is>
      </c>
      <c r="B811" s="46">
        <f>'Contractors'!Y180</f>
        <v/>
      </c>
      <c r="C811" s="84">
        <f>'Contractors'!W180</f>
        <v/>
      </c>
      <c r="D811" s="46">
        <f>'Contractors'!X180</f>
        <v/>
      </c>
      <c r="E811" s="46">
        <f>IF(OR(B811="",C811="",D811=""),"",D811*100000+(C811-DATE(2000,1,1))+ROW()/100000)</f>
        <v/>
      </c>
      <c r="F811" s="46">
        <f>IF(E811="","",IF(C811&gt;WeekEndDate,"",E811))</f>
        <v/>
      </c>
    </row>
    <row r="812">
      <c r="A812" t="inlineStr">
        <is>
          <t>Contractors</t>
        </is>
      </c>
      <c r="B812" s="46">
        <f>'Contractors'!Y181</f>
        <v/>
      </c>
      <c r="C812" s="84">
        <f>'Contractors'!W181</f>
        <v/>
      </c>
      <c r="D812" s="46">
        <f>'Contractors'!X181</f>
        <v/>
      </c>
      <c r="E812" s="46">
        <f>IF(OR(B812="",C812="",D812=""),"",D812*100000+(C812-DATE(2000,1,1))+ROW()/100000)</f>
        <v/>
      </c>
      <c r="F812" s="46">
        <f>IF(E812="","",IF(C812&gt;WeekEndDate,"",E812))</f>
        <v/>
      </c>
    </row>
    <row r="813">
      <c r="A813" t="inlineStr">
        <is>
          <t>Contractors</t>
        </is>
      </c>
      <c r="B813" s="46">
        <f>'Contractors'!Y182</f>
        <v/>
      </c>
      <c r="C813" s="84">
        <f>'Contractors'!W182</f>
        <v/>
      </c>
      <c r="D813" s="46">
        <f>'Contractors'!X182</f>
        <v/>
      </c>
      <c r="E813" s="46">
        <f>IF(OR(B813="",C813="",D813=""),"",D813*100000+(C813-DATE(2000,1,1))+ROW()/100000)</f>
        <v/>
      </c>
      <c r="F813" s="46">
        <f>IF(E813="","",IF(C813&gt;WeekEndDate,"",E813))</f>
        <v/>
      </c>
    </row>
    <row r="814">
      <c r="A814" t="inlineStr">
        <is>
          <t>Contractors</t>
        </is>
      </c>
      <c r="B814" s="46">
        <f>'Contractors'!Y183</f>
        <v/>
      </c>
      <c r="C814" s="84">
        <f>'Contractors'!W183</f>
        <v/>
      </c>
      <c r="D814" s="46">
        <f>'Contractors'!X183</f>
        <v/>
      </c>
      <c r="E814" s="46">
        <f>IF(OR(B814="",C814="",D814=""),"",D814*100000+(C814-DATE(2000,1,1))+ROW()/100000)</f>
        <v/>
      </c>
      <c r="F814" s="46">
        <f>IF(E814="","",IF(C814&gt;WeekEndDate,"",E814))</f>
        <v/>
      </c>
    </row>
    <row r="815">
      <c r="A815" t="inlineStr">
        <is>
          <t>Contractors</t>
        </is>
      </c>
      <c r="B815" s="46">
        <f>'Contractors'!Y184</f>
        <v/>
      </c>
      <c r="C815" s="84">
        <f>'Contractors'!W184</f>
        <v/>
      </c>
      <c r="D815" s="46">
        <f>'Contractors'!X184</f>
        <v/>
      </c>
      <c r="E815" s="46">
        <f>IF(OR(B815="",C815="",D815=""),"",D815*100000+(C815-DATE(2000,1,1))+ROW()/100000)</f>
        <v/>
      </c>
      <c r="F815" s="46">
        <f>IF(E815="","",IF(C815&gt;WeekEndDate,"",E815))</f>
        <v/>
      </c>
    </row>
    <row r="816">
      <c r="A816" t="inlineStr">
        <is>
          <t>Contractors</t>
        </is>
      </c>
      <c r="B816" s="46">
        <f>'Contractors'!Y185</f>
        <v/>
      </c>
      <c r="C816" s="84">
        <f>'Contractors'!W185</f>
        <v/>
      </c>
      <c r="D816" s="46">
        <f>'Contractors'!X185</f>
        <v/>
      </c>
      <c r="E816" s="46">
        <f>IF(OR(B816="",C816="",D816=""),"",D816*100000+(C816-DATE(2000,1,1))+ROW()/100000)</f>
        <v/>
      </c>
      <c r="F816" s="46">
        <f>IF(E816="","",IF(C816&gt;WeekEndDate,"",E816))</f>
        <v/>
      </c>
    </row>
    <row r="817">
      <c r="A817" t="inlineStr">
        <is>
          <t>Contractors</t>
        </is>
      </c>
      <c r="B817" s="46">
        <f>'Contractors'!Y186</f>
        <v/>
      </c>
      <c r="C817" s="84">
        <f>'Contractors'!W186</f>
        <v/>
      </c>
      <c r="D817" s="46">
        <f>'Contractors'!X186</f>
        <v/>
      </c>
      <c r="E817" s="46">
        <f>IF(OR(B817="",C817="",D817=""),"",D817*100000+(C817-DATE(2000,1,1))+ROW()/100000)</f>
        <v/>
      </c>
      <c r="F817" s="46">
        <f>IF(E817="","",IF(C817&gt;WeekEndDate,"",E817))</f>
        <v/>
      </c>
    </row>
    <row r="818">
      <c r="A818" t="inlineStr">
        <is>
          <t>Contractors</t>
        </is>
      </c>
      <c r="B818" s="46">
        <f>'Contractors'!Y187</f>
        <v/>
      </c>
      <c r="C818" s="84">
        <f>'Contractors'!W187</f>
        <v/>
      </c>
      <c r="D818" s="46">
        <f>'Contractors'!X187</f>
        <v/>
      </c>
      <c r="E818" s="46">
        <f>IF(OR(B818="",C818="",D818=""),"",D818*100000+(C818-DATE(2000,1,1))+ROW()/100000)</f>
        <v/>
      </c>
      <c r="F818" s="46">
        <f>IF(E818="","",IF(C818&gt;WeekEndDate,"",E818))</f>
        <v/>
      </c>
    </row>
    <row r="819">
      <c r="A819" t="inlineStr">
        <is>
          <t>Contractors</t>
        </is>
      </c>
      <c r="B819" s="46">
        <f>'Contractors'!Y188</f>
        <v/>
      </c>
      <c r="C819" s="84">
        <f>'Contractors'!W188</f>
        <v/>
      </c>
      <c r="D819" s="46">
        <f>'Contractors'!X188</f>
        <v/>
      </c>
      <c r="E819" s="46">
        <f>IF(OR(B819="",C819="",D819=""),"",D819*100000+(C819-DATE(2000,1,1))+ROW()/100000)</f>
        <v/>
      </c>
      <c r="F819" s="46">
        <f>IF(E819="","",IF(C819&gt;WeekEndDate,"",E819))</f>
        <v/>
      </c>
    </row>
    <row r="820">
      <c r="A820" t="inlineStr">
        <is>
          <t>Contractors</t>
        </is>
      </c>
      <c r="B820" s="46">
        <f>'Contractors'!Y189</f>
        <v/>
      </c>
      <c r="C820" s="84">
        <f>'Contractors'!W189</f>
        <v/>
      </c>
      <c r="D820" s="46">
        <f>'Contractors'!X189</f>
        <v/>
      </c>
      <c r="E820" s="46">
        <f>IF(OR(B820="",C820="",D820=""),"",D820*100000+(C820-DATE(2000,1,1))+ROW()/100000)</f>
        <v/>
      </c>
      <c r="F820" s="46">
        <f>IF(E820="","",IF(C820&gt;WeekEndDate,"",E820))</f>
        <v/>
      </c>
    </row>
    <row r="821">
      <c r="A821" t="inlineStr">
        <is>
          <t>Contractors</t>
        </is>
      </c>
      <c r="B821" s="46">
        <f>'Contractors'!Y190</f>
        <v/>
      </c>
      <c r="C821" s="84">
        <f>'Contractors'!W190</f>
        <v/>
      </c>
      <c r="D821" s="46">
        <f>'Contractors'!X190</f>
        <v/>
      </c>
      <c r="E821" s="46">
        <f>IF(OR(B821="",C821="",D821=""),"",D821*100000+(C821-DATE(2000,1,1))+ROW()/100000)</f>
        <v/>
      </c>
      <c r="F821" s="46">
        <f>IF(E821="","",IF(C821&gt;WeekEndDate,"",E821))</f>
        <v/>
      </c>
    </row>
    <row r="822">
      <c r="A822" t="inlineStr">
        <is>
          <t>Issues &amp; Punch List</t>
        </is>
      </c>
      <c r="B822" s="46">
        <f>'Issues &amp; Punch List'!S8</f>
        <v/>
      </c>
      <c r="C822" s="84">
        <f>'Issues &amp; Punch List'!Q8</f>
        <v/>
      </c>
      <c r="D822" s="46">
        <f>'Issues &amp; Punch List'!R8</f>
        <v/>
      </c>
      <c r="E822" s="46">
        <f>IF(OR(B822="",C822="",D822=""),"",D822*100000+(C822-DATE(2000,1,1))+ROW()/100000)</f>
        <v/>
      </c>
      <c r="F822" s="46">
        <f>IF(E822="","",IF(C822&gt;WeekEndDate,"",E822))</f>
        <v/>
      </c>
    </row>
    <row r="823">
      <c r="A823" t="inlineStr">
        <is>
          <t>Issues &amp; Punch List</t>
        </is>
      </c>
      <c r="B823" s="46">
        <f>'Issues &amp; Punch List'!S9</f>
        <v/>
      </c>
      <c r="C823" s="84">
        <f>'Issues &amp; Punch List'!Q9</f>
        <v/>
      </c>
      <c r="D823" s="46">
        <f>'Issues &amp; Punch List'!R9</f>
        <v/>
      </c>
      <c r="E823" s="46">
        <f>IF(OR(B823="",C823="",D823=""),"",D823*100000+(C823-DATE(2000,1,1))+ROW()/100000)</f>
        <v/>
      </c>
      <c r="F823" s="46">
        <f>IF(E823="","",IF(C823&gt;WeekEndDate,"",E823))</f>
        <v/>
      </c>
    </row>
    <row r="824">
      <c r="A824" t="inlineStr">
        <is>
          <t>Issues &amp; Punch List</t>
        </is>
      </c>
      <c r="B824" s="46">
        <f>'Issues &amp; Punch List'!S10</f>
        <v/>
      </c>
      <c r="C824" s="84">
        <f>'Issues &amp; Punch List'!Q10</f>
        <v/>
      </c>
      <c r="D824" s="46">
        <f>'Issues &amp; Punch List'!R10</f>
        <v/>
      </c>
      <c r="E824" s="46">
        <f>IF(OR(B824="",C824="",D824=""),"",D824*100000+(C824-DATE(2000,1,1))+ROW()/100000)</f>
        <v/>
      </c>
      <c r="F824" s="46">
        <f>IF(E824="","",IF(C824&gt;WeekEndDate,"",E824))</f>
        <v/>
      </c>
    </row>
    <row r="825">
      <c r="A825" t="inlineStr">
        <is>
          <t>Issues &amp; Punch List</t>
        </is>
      </c>
      <c r="B825" s="46">
        <f>'Issues &amp; Punch List'!S11</f>
        <v/>
      </c>
      <c r="C825" s="84">
        <f>'Issues &amp; Punch List'!Q11</f>
        <v/>
      </c>
      <c r="D825" s="46">
        <f>'Issues &amp; Punch List'!R11</f>
        <v/>
      </c>
      <c r="E825" s="46">
        <f>IF(OR(B825="",C825="",D825=""),"",D825*100000+(C825-DATE(2000,1,1))+ROW()/100000)</f>
        <v/>
      </c>
      <c r="F825" s="46">
        <f>IF(E825="","",IF(C825&gt;WeekEndDate,"",E825))</f>
        <v/>
      </c>
    </row>
    <row r="826">
      <c r="A826" t="inlineStr">
        <is>
          <t>Issues &amp; Punch List</t>
        </is>
      </c>
      <c r="B826" s="46">
        <f>'Issues &amp; Punch List'!S12</f>
        <v/>
      </c>
      <c r="C826" s="84">
        <f>'Issues &amp; Punch List'!Q12</f>
        <v/>
      </c>
      <c r="D826" s="46">
        <f>'Issues &amp; Punch List'!R12</f>
        <v/>
      </c>
      <c r="E826" s="46">
        <f>IF(OR(B826="",C826="",D826=""),"",D826*100000+(C826-DATE(2000,1,1))+ROW()/100000)</f>
        <v/>
      </c>
      <c r="F826" s="46">
        <f>IF(E826="","",IF(C826&gt;WeekEndDate,"",E826))</f>
        <v/>
      </c>
    </row>
    <row r="827">
      <c r="A827" t="inlineStr">
        <is>
          <t>Issues &amp; Punch List</t>
        </is>
      </c>
      <c r="B827" s="46">
        <f>'Issues &amp; Punch List'!S13</f>
        <v/>
      </c>
      <c r="C827" s="84">
        <f>'Issues &amp; Punch List'!Q13</f>
        <v/>
      </c>
      <c r="D827" s="46">
        <f>'Issues &amp; Punch List'!R13</f>
        <v/>
      </c>
      <c r="E827" s="46">
        <f>IF(OR(B827="",C827="",D827=""),"",D827*100000+(C827-DATE(2000,1,1))+ROW()/100000)</f>
        <v/>
      </c>
      <c r="F827" s="46">
        <f>IF(E827="","",IF(C827&gt;WeekEndDate,"",E827))</f>
        <v/>
      </c>
    </row>
    <row r="828">
      <c r="A828" t="inlineStr">
        <is>
          <t>Issues &amp; Punch List</t>
        </is>
      </c>
      <c r="B828" s="46">
        <f>'Issues &amp; Punch List'!S14</f>
        <v/>
      </c>
      <c r="C828" s="84">
        <f>'Issues &amp; Punch List'!Q14</f>
        <v/>
      </c>
      <c r="D828" s="46">
        <f>'Issues &amp; Punch List'!R14</f>
        <v/>
      </c>
      <c r="E828" s="46">
        <f>IF(OR(B828="",C828="",D828=""),"",D828*100000+(C828-DATE(2000,1,1))+ROW()/100000)</f>
        <v/>
      </c>
      <c r="F828" s="46">
        <f>IF(E828="","",IF(C828&gt;WeekEndDate,"",E828))</f>
        <v/>
      </c>
    </row>
    <row r="829">
      <c r="A829" t="inlineStr">
        <is>
          <t>Issues &amp; Punch List</t>
        </is>
      </c>
      <c r="B829" s="46">
        <f>'Issues &amp; Punch List'!S15</f>
        <v/>
      </c>
      <c r="C829" s="84">
        <f>'Issues &amp; Punch List'!Q15</f>
        <v/>
      </c>
      <c r="D829" s="46">
        <f>'Issues &amp; Punch List'!R15</f>
        <v/>
      </c>
      <c r="E829" s="46">
        <f>IF(OR(B829="",C829="",D829=""),"",D829*100000+(C829-DATE(2000,1,1))+ROW()/100000)</f>
        <v/>
      </c>
      <c r="F829" s="46">
        <f>IF(E829="","",IF(C829&gt;WeekEndDate,"",E829))</f>
        <v/>
      </c>
    </row>
    <row r="830">
      <c r="A830" t="inlineStr">
        <is>
          <t>Issues &amp; Punch List</t>
        </is>
      </c>
      <c r="B830" s="46">
        <f>'Issues &amp; Punch List'!S16</f>
        <v/>
      </c>
      <c r="C830" s="84">
        <f>'Issues &amp; Punch List'!Q16</f>
        <v/>
      </c>
      <c r="D830" s="46">
        <f>'Issues &amp; Punch List'!R16</f>
        <v/>
      </c>
      <c r="E830" s="46">
        <f>IF(OR(B830="",C830="",D830=""),"",D830*100000+(C830-DATE(2000,1,1))+ROW()/100000)</f>
        <v/>
      </c>
      <c r="F830" s="46">
        <f>IF(E830="","",IF(C830&gt;WeekEndDate,"",E830))</f>
        <v/>
      </c>
    </row>
    <row r="831">
      <c r="A831" t="inlineStr">
        <is>
          <t>Issues &amp; Punch List</t>
        </is>
      </c>
      <c r="B831" s="46">
        <f>'Issues &amp; Punch List'!S17</f>
        <v/>
      </c>
      <c r="C831" s="84">
        <f>'Issues &amp; Punch List'!Q17</f>
        <v/>
      </c>
      <c r="D831" s="46">
        <f>'Issues &amp; Punch List'!R17</f>
        <v/>
      </c>
      <c r="E831" s="46">
        <f>IF(OR(B831="",C831="",D831=""),"",D831*100000+(C831-DATE(2000,1,1))+ROW()/100000)</f>
        <v/>
      </c>
      <c r="F831" s="46">
        <f>IF(E831="","",IF(C831&gt;WeekEndDate,"",E831))</f>
        <v/>
      </c>
    </row>
    <row r="832">
      <c r="A832" t="inlineStr">
        <is>
          <t>Issues &amp; Punch List</t>
        </is>
      </c>
      <c r="B832" s="46">
        <f>'Issues &amp; Punch List'!S18</f>
        <v/>
      </c>
      <c r="C832" s="84">
        <f>'Issues &amp; Punch List'!Q18</f>
        <v/>
      </c>
      <c r="D832" s="46">
        <f>'Issues &amp; Punch List'!R18</f>
        <v/>
      </c>
      <c r="E832" s="46">
        <f>IF(OR(B832="",C832="",D832=""),"",D832*100000+(C832-DATE(2000,1,1))+ROW()/100000)</f>
        <v/>
      </c>
      <c r="F832" s="46">
        <f>IF(E832="","",IF(C832&gt;WeekEndDate,"",E832))</f>
        <v/>
      </c>
    </row>
    <row r="833">
      <c r="A833" t="inlineStr">
        <is>
          <t>Issues &amp; Punch List</t>
        </is>
      </c>
      <c r="B833" s="46">
        <f>'Issues &amp; Punch List'!S19</f>
        <v/>
      </c>
      <c r="C833" s="84">
        <f>'Issues &amp; Punch List'!Q19</f>
        <v/>
      </c>
      <c r="D833" s="46">
        <f>'Issues &amp; Punch List'!R19</f>
        <v/>
      </c>
      <c r="E833" s="46">
        <f>IF(OR(B833="",C833="",D833=""),"",D833*100000+(C833-DATE(2000,1,1))+ROW()/100000)</f>
        <v/>
      </c>
      <c r="F833" s="46">
        <f>IF(E833="","",IF(C833&gt;WeekEndDate,"",E833))</f>
        <v/>
      </c>
    </row>
    <row r="834">
      <c r="A834" t="inlineStr">
        <is>
          <t>Issues &amp; Punch List</t>
        </is>
      </c>
      <c r="B834" s="46">
        <f>'Issues &amp; Punch List'!S20</f>
        <v/>
      </c>
      <c r="C834" s="84">
        <f>'Issues &amp; Punch List'!Q20</f>
        <v/>
      </c>
      <c r="D834" s="46">
        <f>'Issues &amp; Punch List'!R20</f>
        <v/>
      </c>
      <c r="E834" s="46">
        <f>IF(OR(B834="",C834="",D834=""),"",D834*100000+(C834-DATE(2000,1,1))+ROW()/100000)</f>
        <v/>
      </c>
      <c r="F834" s="46">
        <f>IF(E834="","",IF(C834&gt;WeekEndDate,"",E834))</f>
        <v/>
      </c>
    </row>
    <row r="835">
      <c r="A835" t="inlineStr">
        <is>
          <t>Issues &amp; Punch List</t>
        </is>
      </c>
      <c r="B835" s="46">
        <f>'Issues &amp; Punch List'!S21</f>
        <v/>
      </c>
      <c r="C835" s="84">
        <f>'Issues &amp; Punch List'!Q21</f>
        <v/>
      </c>
      <c r="D835" s="46">
        <f>'Issues &amp; Punch List'!R21</f>
        <v/>
      </c>
      <c r="E835" s="46">
        <f>IF(OR(B835="",C835="",D835=""),"",D835*100000+(C835-DATE(2000,1,1))+ROW()/100000)</f>
        <v/>
      </c>
      <c r="F835" s="46">
        <f>IF(E835="","",IF(C835&gt;WeekEndDate,"",E835))</f>
        <v/>
      </c>
    </row>
    <row r="836">
      <c r="A836" t="inlineStr">
        <is>
          <t>Issues &amp; Punch List</t>
        </is>
      </c>
      <c r="B836" s="46">
        <f>'Issues &amp; Punch List'!S22</f>
        <v/>
      </c>
      <c r="C836" s="84">
        <f>'Issues &amp; Punch List'!Q22</f>
        <v/>
      </c>
      <c r="D836" s="46">
        <f>'Issues &amp; Punch List'!R22</f>
        <v/>
      </c>
      <c r="E836" s="46">
        <f>IF(OR(B836="",C836="",D836=""),"",D836*100000+(C836-DATE(2000,1,1))+ROW()/100000)</f>
        <v/>
      </c>
      <c r="F836" s="46">
        <f>IF(E836="","",IF(C836&gt;WeekEndDate,"",E836))</f>
        <v/>
      </c>
    </row>
    <row r="837">
      <c r="A837" t="inlineStr">
        <is>
          <t>Issues &amp; Punch List</t>
        </is>
      </c>
      <c r="B837" s="46">
        <f>'Issues &amp; Punch List'!S23</f>
        <v/>
      </c>
      <c r="C837" s="84">
        <f>'Issues &amp; Punch List'!Q23</f>
        <v/>
      </c>
      <c r="D837" s="46">
        <f>'Issues &amp; Punch List'!R23</f>
        <v/>
      </c>
      <c r="E837" s="46">
        <f>IF(OR(B837="",C837="",D837=""),"",D837*100000+(C837-DATE(2000,1,1))+ROW()/100000)</f>
        <v/>
      </c>
      <c r="F837" s="46">
        <f>IF(E837="","",IF(C837&gt;WeekEndDate,"",E837))</f>
        <v/>
      </c>
    </row>
    <row r="838">
      <c r="A838" t="inlineStr">
        <is>
          <t>Issues &amp; Punch List</t>
        </is>
      </c>
      <c r="B838" s="46">
        <f>'Issues &amp; Punch List'!S24</f>
        <v/>
      </c>
      <c r="C838" s="84">
        <f>'Issues &amp; Punch List'!Q24</f>
        <v/>
      </c>
      <c r="D838" s="46">
        <f>'Issues &amp; Punch List'!R24</f>
        <v/>
      </c>
      <c r="E838" s="46">
        <f>IF(OR(B838="",C838="",D838=""),"",D838*100000+(C838-DATE(2000,1,1))+ROW()/100000)</f>
        <v/>
      </c>
      <c r="F838" s="46">
        <f>IF(E838="","",IF(C838&gt;WeekEndDate,"",E838))</f>
        <v/>
      </c>
    </row>
    <row r="839">
      <c r="A839" t="inlineStr">
        <is>
          <t>Issues &amp; Punch List</t>
        </is>
      </c>
      <c r="B839" s="46">
        <f>'Issues &amp; Punch List'!S25</f>
        <v/>
      </c>
      <c r="C839" s="84">
        <f>'Issues &amp; Punch List'!Q25</f>
        <v/>
      </c>
      <c r="D839" s="46">
        <f>'Issues &amp; Punch List'!R25</f>
        <v/>
      </c>
      <c r="E839" s="46">
        <f>IF(OR(B839="",C839="",D839=""),"",D839*100000+(C839-DATE(2000,1,1))+ROW()/100000)</f>
        <v/>
      </c>
      <c r="F839" s="46">
        <f>IF(E839="","",IF(C839&gt;WeekEndDate,"",E839))</f>
        <v/>
      </c>
    </row>
    <row r="840">
      <c r="A840" t="inlineStr">
        <is>
          <t>Issues &amp; Punch List</t>
        </is>
      </c>
      <c r="B840" s="46">
        <f>'Issues &amp; Punch List'!S26</f>
        <v/>
      </c>
      <c r="C840" s="84">
        <f>'Issues &amp; Punch List'!Q26</f>
        <v/>
      </c>
      <c r="D840" s="46">
        <f>'Issues &amp; Punch List'!R26</f>
        <v/>
      </c>
      <c r="E840" s="46">
        <f>IF(OR(B840="",C840="",D840=""),"",D840*100000+(C840-DATE(2000,1,1))+ROW()/100000)</f>
        <v/>
      </c>
      <c r="F840" s="46">
        <f>IF(E840="","",IF(C840&gt;WeekEndDate,"",E840))</f>
        <v/>
      </c>
    </row>
    <row r="841">
      <c r="A841" t="inlineStr">
        <is>
          <t>Issues &amp; Punch List</t>
        </is>
      </c>
      <c r="B841" s="46">
        <f>'Issues &amp; Punch List'!S27</f>
        <v/>
      </c>
      <c r="C841" s="84">
        <f>'Issues &amp; Punch List'!Q27</f>
        <v/>
      </c>
      <c r="D841" s="46">
        <f>'Issues &amp; Punch List'!R27</f>
        <v/>
      </c>
      <c r="E841" s="46">
        <f>IF(OR(B841="",C841="",D841=""),"",D841*100000+(C841-DATE(2000,1,1))+ROW()/100000)</f>
        <v/>
      </c>
      <c r="F841" s="46">
        <f>IF(E841="","",IF(C841&gt;WeekEndDate,"",E841))</f>
        <v/>
      </c>
    </row>
    <row r="842">
      <c r="A842" t="inlineStr">
        <is>
          <t>Issues &amp; Punch List</t>
        </is>
      </c>
      <c r="B842" s="46">
        <f>'Issues &amp; Punch List'!S28</f>
        <v/>
      </c>
      <c r="C842" s="84">
        <f>'Issues &amp; Punch List'!Q28</f>
        <v/>
      </c>
      <c r="D842" s="46">
        <f>'Issues &amp; Punch List'!R28</f>
        <v/>
      </c>
      <c r="E842" s="46">
        <f>IF(OR(B842="",C842="",D842=""),"",D842*100000+(C842-DATE(2000,1,1))+ROW()/100000)</f>
        <v/>
      </c>
      <c r="F842" s="46">
        <f>IF(E842="","",IF(C842&gt;WeekEndDate,"",E842))</f>
        <v/>
      </c>
    </row>
    <row r="843">
      <c r="A843" t="inlineStr">
        <is>
          <t>Issues &amp; Punch List</t>
        </is>
      </c>
      <c r="B843" s="46">
        <f>'Issues &amp; Punch List'!S29</f>
        <v/>
      </c>
      <c r="C843" s="84">
        <f>'Issues &amp; Punch List'!Q29</f>
        <v/>
      </c>
      <c r="D843" s="46">
        <f>'Issues &amp; Punch List'!R29</f>
        <v/>
      </c>
      <c r="E843" s="46">
        <f>IF(OR(B843="",C843="",D843=""),"",D843*100000+(C843-DATE(2000,1,1))+ROW()/100000)</f>
        <v/>
      </c>
      <c r="F843" s="46">
        <f>IF(E843="","",IF(C843&gt;WeekEndDate,"",E843))</f>
        <v/>
      </c>
    </row>
    <row r="844">
      <c r="A844" t="inlineStr">
        <is>
          <t>Issues &amp; Punch List</t>
        </is>
      </c>
      <c r="B844" s="46">
        <f>'Issues &amp; Punch List'!S30</f>
        <v/>
      </c>
      <c r="C844" s="84">
        <f>'Issues &amp; Punch List'!Q30</f>
        <v/>
      </c>
      <c r="D844" s="46">
        <f>'Issues &amp; Punch List'!R30</f>
        <v/>
      </c>
      <c r="E844" s="46">
        <f>IF(OR(B844="",C844="",D844=""),"",D844*100000+(C844-DATE(2000,1,1))+ROW()/100000)</f>
        <v/>
      </c>
      <c r="F844" s="46">
        <f>IF(E844="","",IF(C844&gt;WeekEndDate,"",E844))</f>
        <v/>
      </c>
    </row>
    <row r="845">
      <c r="A845" t="inlineStr">
        <is>
          <t>Issues &amp; Punch List</t>
        </is>
      </c>
      <c r="B845" s="46">
        <f>'Issues &amp; Punch List'!S31</f>
        <v/>
      </c>
      <c r="C845" s="84">
        <f>'Issues &amp; Punch List'!Q31</f>
        <v/>
      </c>
      <c r="D845" s="46">
        <f>'Issues &amp; Punch List'!R31</f>
        <v/>
      </c>
      <c r="E845" s="46">
        <f>IF(OR(B845="",C845="",D845=""),"",D845*100000+(C845-DATE(2000,1,1))+ROW()/100000)</f>
        <v/>
      </c>
      <c r="F845" s="46">
        <f>IF(E845="","",IF(C845&gt;WeekEndDate,"",E845))</f>
        <v/>
      </c>
    </row>
    <row r="846">
      <c r="A846" t="inlineStr">
        <is>
          <t>Issues &amp; Punch List</t>
        </is>
      </c>
      <c r="B846" s="46">
        <f>'Issues &amp; Punch List'!S32</f>
        <v/>
      </c>
      <c r="C846" s="84">
        <f>'Issues &amp; Punch List'!Q32</f>
        <v/>
      </c>
      <c r="D846" s="46">
        <f>'Issues &amp; Punch List'!R32</f>
        <v/>
      </c>
      <c r="E846" s="46">
        <f>IF(OR(B846="",C846="",D846=""),"",D846*100000+(C846-DATE(2000,1,1))+ROW()/100000)</f>
        <v/>
      </c>
      <c r="F846" s="46">
        <f>IF(E846="","",IF(C846&gt;WeekEndDate,"",E846))</f>
        <v/>
      </c>
    </row>
    <row r="847">
      <c r="A847" t="inlineStr">
        <is>
          <t>Issues &amp; Punch List</t>
        </is>
      </c>
      <c r="B847" s="46">
        <f>'Issues &amp; Punch List'!S33</f>
        <v/>
      </c>
      <c r="C847" s="84">
        <f>'Issues &amp; Punch List'!Q33</f>
        <v/>
      </c>
      <c r="D847" s="46">
        <f>'Issues &amp; Punch List'!R33</f>
        <v/>
      </c>
      <c r="E847" s="46">
        <f>IF(OR(B847="",C847="",D847=""),"",D847*100000+(C847-DATE(2000,1,1))+ROW()/100000)</f>
        <v/>
      </c>
      <c r="F847" s="46">
        <f>IF(E847="","",IF(C847&gt;WeekEndDate,"",E847))</f>
        <v/>
      </c>
    </row>
    <row r="848">
      <c r="A848" t="inlineStr">
        <is>
          <t>Issues &amp; Punch List</t>
        </is>
      </c>
      <c r="B848" s="46">
        <f>'Issues &amp; Punch List'!S34</f>
        <v/>
      </c>
      <c r="C848" s="84">
        <f>'Issues &amp; Punch List'!Q34</f>
        <v/>
      </c>
      <c r="D848" s="46">
        <f>'Issues &amp; Punch List'!R34</f>
        <v/>
      </c>
      <c r="E848" s="46">
        <f>IF(OR(B848="",C848="",D848=""),"",D848*100000+(C848-DATE(2000,1,1))+ROW()/100000)</f>
        <v/>
      </c>
      <c r="F848" s="46">
        <f>IF(E848="","",IF(C848&gt;WeekEndDate,"",E848))</f>
        <v/>
      </c>
    </row>
    <row r="849">
      <c r="A849" t="inlineStr">
        <is>
          <t>Issues &amp; Punch List</t>
        </is>
      </c>
      <c r="B849" s="46">
        <f>'Issues &amp; Punch List'!S35</f>
        <v/>
      </c>
      <c r="C849" s="84">
        <f>'Issues &amp; Punch List'!Q35</f>
        <v/>
      </c>
      <c r="D849" s="46">
        <f>'Issues &amp; Punch List'!R35</f>
        <v/>
      </c>
      <c r="E849" s="46">
        <f>IF(OR(B849="",C849="",D849=""),"",D849*100000+(C849-DATE(2000,1,1))+ROW()/100000)</f>
        <v/>
      </c>
      <c r="F849" s="46">
        <f>IF(E849="","",IF(C849&gt;WeekEndDate,"",E849))</f>
        <v/>
      </c>
    </row>
    <row r="850">
      <c r="A850" t="inlineStr">
        <is>
          <t>Issues &amp; Punch List</t>
        </is>
      </c>
      <c r="B850" s="46">
        <f>'Issues &amp; Punch List'!S36</f>
        <v/>
      </c>
      <c r="C850" s="84">
        <f>'Issues &amp; Punch List'!Q36</f>
        <v/>
      </c>
      <c r="D850" s="46">
        <f>'Issues &amp; Punch List'!R36</f>
        <v/>
      </c>
      <c r="E850" s="46">
        <f>IF(OR(B850="",C850="",D850=""),"",D850*100000+(C850-DATE(2000,1,1))+ROW()/100000)</f>
        <v/>
      </c>
      <c r="F850" s="46">
        <f>IF(E850="","",IF(C850&gt;WeekEndDate,"",E850))</f>
        <v/>
      </c>
    </row>
    <row r="851">
      <c r="A851" t="inlineStr">
        <is>
          <t>Issues &amp; Punch List</t>
        </is>
      </c>
      <c r="B851" s="46">
        <f>'Issues &amp; Punch List'!S37</f>
        <v/>
      </c>
      <c r="C851" s="84">
        <f>'Issues &amp; Punch List'!Q37</f>
        <v/>
      </c>
      <c r="D851" s="46">
        <f>'Issues &amp; Punch List'!R37</f>
        <v/>
      </c>
      <c r="E851" s="46">
        <f>IF(OR(B851="",C851="",D851=""),"",D851*100000+(C851-DATE(2000,1,1))+ROW()/100000)</f>
        <v/>
      </c>
      <c r="F851" s="46">
        <f>IF(E851="","",IF(C851&gt;WeekEndDate,"",E851))</f>
        <v/>
      </c>
    </row>
    <row r="852">
      <c r="A852" t="inlineStr">
        <is>
          <t>Issues &amp; Punch List</t>
        </is>
      </c>
      <c r="B852" s="46">
        <f>'Issues &amp; Punch List'!S38</f>
        <v/>
      </c>
      <c r="C852" s="84">
        <f>'Issues &amp; Punch List'!Q38</f>
        <v/>
      </c>
      <c r="D852" s="46">
        <f>'Issues &amp; Punch List'!R38</f>
        <v/>
      </c>
      <c r="E852" s="46">
        <f>IF(OR(B852="",C852="",D852=""),"",D852*100000+(C852-DATE(2000,1,1))+ROW()/100000)</f>
        <v/>
      </c>
      <c r="F852" s="46">
        <f>IF(E852="","",IF(C852&gt;WeekEndDate,"",E852))</f>
        <v/>
      </c>
    </row>
    <row r="853">
      <c r="A853" t="inlineStr">
        <is>
          <t>Issues &amp; Punch List</t>
        </is>
      </c>
      <c r="B853" s="46">
        <f>'Issues &amp; Punch List'!S39</f>
        <v/>
      </c>
      <c r="C853" s="84">
        <f>'Issues &amp; Punch List'!Q39</f>
        <v/>
      </c>
      <c r="D853" s="46">
        <f>'Issues &amp; Punch List'!R39</f>
        <v/>
      </c>
      <c r="E853" s="46">
        <f>IF(OR(B853="",C853="",D853=""),"",D853*100000+(C853-DATE(2000,1,1))+ROW()/100000)</f>
        <v/>
      </c>
      <c r="F853" s="46">
        <f>IF(E853="","",IF(C853&gt;WeekEndDate,"",E853))</f>
        <v/>
      </c>
    </row>
    <row r="854">
      <c r="A854" t="inlineStr">
        <is>
          <t>Issues &amp; Punch List</t>
        </is>
      </c>
      <c r="B854" s="46">
        <f>'Issues &amp; Punch List'!S40</f>
        <v/>
      </c>
      <c r="C854" s="84">
        <f>'Issues &amp; Punch List'!Q40</f>
        <v/>
      </c>
      <c r="D854" s="46">
        <f>'Issues &amp; Punch List'!R40</f>
        <v/>
      </c>
      <c r="E854" s="46">
        <f>IF(OR(B854="",C854="",D854=""),"",D854*100000+(C854-DATE(2000,1,1))+ROW()/100000)</f>
        <v/>
      </c>
      <c r="F854" s="46">
        <f>IF(E854="","",IF(C854&gt;WeekEndDate,"",E854))</f>
        <v/>
      </c>
    </row>
    <row r="855">
      <c r="A855" t="inlineStr">
        <is>
          <t>Issues &amp; Punch List</t>
        </is>
      </c>
      <c r="B855" s="46">
        <f>'Issues &amp; Punch List'!S41</f>
        <v/>
      </c>
      <c r="C855" s="84">
        <f>'Issues &amp; Punch List'!Q41</f>
        <v/>
      </c>
      <c r="D855" s="46">
        <f>'Issues &amp; Punch List'!R41</f>
        <v/>
      </c>
      <c r="E855" s="46">
        <f>IF(OR(B855="",C855="",D855=""),"",D855*100000+(C855-DATE(2000,1,1))+ROW()/100000)</f>
        <v/>
      </c>
      <c r="F855" s="46">
        <f>IF(E855="","",IF(C855&gt;WeekEndDate,"",E855))</f>
        <v/>
      </c>
    </row>
    <row r="856">
      <c r="A856" t="inlineStr">
        <is>
          <t>Issues &amp; Punch List</t>
        </is>
      </c>
      <c r="B856" s="46">
        <f>'Issues &amp; Punch List'!S42</f>
        <v/>
      </c>
      <c r="C856" s="84">
        <f>'Issues &amp; Punch List'!Q42</f>
        <v/>
      </c>
      <c r="D856" s="46">
        <f>'Issues &amp; Punch List'!R42</f>
        <v/>
      </c>
      <c r="E856" s="46">
        <f>IF(OR(B856="",C856="",D856=""),"",D856*100000+(C856-DATE(2000,1,1))+ROW()/100000)</f>
        <v/>
      </c>
      <c r="F856" s="46">
        <f>IF(E856="","",IF(C856&gt;WeekEndDate,"",E856))</f>
        <v/>
      </c>
    </row>
    <row r="857">
      <c r="A857" t="inlineStr">
        <is>
          <t>Issues &amp; Punch List</t>
        </is>
      </c>
      <c r="B857" s="46">
        <f>'Issues &amp; Punch List'!S43</f>
        <v/>
      </c>
      <c r="C857" s="84">
        <f>'Issues &amp; Punch List'!Q43</f>
        <v/>
      </c>
      <c r="D857" s="46">
        <f>'Issues &amp; Punch List'!R43</f>
        <v/>
      </c>
      <c r="E857" s="46">
        <f>IF(OR(B857="",C857="",D857=""),"",D857*100000+(C857-DATE(2000,1,1))+ROW()/100000)</f>
        <v/>
      </c>
      <c r="F857" s="46">
        <f>IF(E857="","",IF(C857&gt;WeekEndDate,"",E857))</f>
        <v/>
      </c>
    </row>
    <row r="858">
      <c r="A858" t="inlineStr">
        <is>
          <t>Issues &amp; Punch List</t>
        </is>
      </c>
      <c r="B858" s="46">
        <f>'Issues &amp; Punch List'!S44</f>
        <v/>
      </c>
      <c r="C858" s="84">
        <f>'Issues &amp; Punch List'!Q44</f>
        <v/>
      </c>
      <c r="D858" s="46">
        <f>'Issues &amp; Punch List'!R44</f>
        <v/>
      </c>
      <c r="E858" s="46">
        <f>IF(OR(B858="",C858="",D858=""),"",D858*100000+(C858-DATE(2000,1,1))+ROW()/100000)</f>
        <v/>
      </c>
      <c r="F858" s="46">
        <f>IF(E858="","",IF(C858&gt;WeekEndDate,"",E858))</f>
        <v/>
      </c>
    </row>
    <row r="859">
      <c r="A859" t="inlineStr">
        <is>
          <t>Issues &amp; Punch List</t>
        </is>
      </c>
      <c r="B859" s="46">
        <f>'Issues &amp; Punch List'!S45</f>
        <v/>
      </c>
      <c r="C859" s="84">
        <f>'Issues &amp; Punch List'!Q45</f>
        <v/>
      </c>
      <c r="D859" s="46">
        <f>'Issues &amp; Punch List'!R45</f>
        <v/>
      </c>
      <c r="E859" s="46">
        <f>IF(OR(B859="",C859="",D859=""),"",D859*100000+(C859-DATE(2000,1,1))+ROW()/100000)</f>
        <v/>
      </c>
      <c r="F859" s="46">
        <f>IF(E859="","",IF(C859&gt;WeekEndDate,"",E859))</f>
        <v/>
      </c>
    </row>
    <row r="860">
      <c r="A860" t="inlineStr">
        <is>
          <t>Issues &amp; Punch List</t>
        </is>
      </c>
      <c r="B860" s="46">
        <f>'Issues &amp; Punch List'!S46</f>
        <v/>
      </c>
      <c r="C860" s="84">
        <f>'Issues &amp; Punch List'!Q46</f>
        <v/>
      </c>
      <c r="D860" s="46">
        <f>'Issues &amp; Punch List'!R46</f>
        <v/>
      </c>
      <c r="E860" s="46">
        <f>IF(OR(B860="",C860="",D860=""),"",D860*100000+(C860-DATE(2000,1,1))+ROW()/100000)</f>
        <v/>
      </c>
      <c r="F860" s="46">
        <f>IF(E860="","",IF(C860&gt;WeekEndDate,"",E860))</f>
        <v/>
      </c>
    </row>
    <row r="861">
      <c r="A861" t="inlineStr">
        <is>
          <t>Issues &amp; Punch List</t>
        </is>
      </c>
      <c r="B861" s="46">
        <f>'Issues &amp; Punch List'!S47</f>
        <v/>
      </c>
      <c r="C861" s="84">
        <f>'Issues &amp; Punch List'!Q47</f>
        <v/>
      </c>
      <c r="D861" s="46">
        <f>'Issues &amp; Punch List'!R47</f>
        <v/>
      </c>
      <c r="E861" s="46">
        <f>IF(OR(B861="",C861="",D861=""),"",D861*100000+(C861-DATE(2000,1,1))+ROW()/100000)</f>
        <v/>
      </c>
      <c r="F861" s="46">
        <f>IF(E861="","",IF(C861&gt;WeekEndDate,"",E861))</f>
        <v/>
      </c>
    </row>
    <row r="862">
      <c r="A862" t="inlineStr">
        <is>
          <t>Issues &amp; Punch List</t>
        </is>
      </c>
      <c r="B862" s="46">
        <f>'Issues &amp; Punch List'!S48</f>
        <v/>
      </c>
      <c r="C862" s="84">
        <f>'Issues &amp; Punch List'!Q48</f>
        <v/>
      </c>
      <c r="D862" s="46">
        <f>'Issues &amp; Punch List'!R48</f>
        <v/>
      </c>
      <c r="E862" s="46">
        <f>IF(OR(B862="",C862="",D862=""),"",D862*100000+(C862-DATE(2000,1,1))+ROW()/100000)</f>
        <v/>
      </c>
      <c r="F862" s="46">
        <f>IF(E862="","",IF(C862&gt;WeekEndDate,"",E862))</f>
        <v/>
      </c>
    </row>
    <row r="863">
      <c r="A863" t="inlineStr">
        <is>
          <t>Issues &amp; Punch List</t>
        </is>
      </c>
      <c r="B863" s="46">
        <f>'Issues &amp; Punch List'!S49</f>
        <v/>
      </c>
      <c r="C863" s="84">
        <f>'Issues &amp; Punch List'!Q49</f>
        <v/>
      </c>
      <c r="D863" s="46">
        <f>'Issues &amp; Punch List'!R49</f>
        <v/>
      </c>
      <c r="E863" s="46">
        <f>IF(OR(B863="",C863="",D863=""),"",D863*100000+(C863-DATE(2000,1,1))+ROW()/100000)</f>
        <v/>
      </c>
      <c r="F863" s="46">
        <f>IF(E863="","",IF(C863&gt;WeekEndDate,"",E863))</f>
        <v/>
      </c>
    </row>
    <row r="864">
      <c r="A864" t="inlineStr">
        <is>
          <t>Issues &amp; Punch List</t>
        </is>
      </c>
      <c r="B864" s="46">
        <f>'Issues &amp; Punch List'!S50</f>
        <v/>
      </c>
      <c r="C864" s="84">
        <f>'Issues &amp; Punch List'!Q50</f>
        <v/>
      </c>
      <c r="D864" s="46">
        <f>'Issues &amp; Punch List'!R50</f>
        <v/>
      </c>
      <c r="E864" s="46">
        <f>IF(OR(B864="",C864="",D864=""),"",D864*100000+(C864-DATE(2000,1,1))+ROW()/100000)</f>
        <v/>
      </c>
      <c r="F864" s="46">
        <f>IF(E864="","",IF(C864&gt;WeekEndDate,"",E864))</f>
        <v/>
      </c>
    </row>
    <row r="865">
      <c r="A865" t="inlineStr">
        <is>
          <t>Issues &amp; Punch List</t>
        </is>
      </c>
      <c r="B865" s="46">
        <f>'Issues &amp; Punch List'!S51</f>
        <v/>
      </c>
      <c r="C865" s="84">
        <f>'Issues &amp; Punch List'!Q51</f>
        <v/>
      </c>
      <c r="D865" s="46">
        <f>'Issues &amp; Punch List'!R51</f>
        <v/>
      </c>
      <c r="E865" s="46">
        <f>IF(OR(B865="",C865="",D865=""),"",D865*100000+(C865-DATE(2000,1,1))+ROW()/100000)</f>
        <v/>
      </c>
      <c r="F865" s="46">
        <f>IF(E865="","",IF(C865&gt;WeekEndDate,"",E865))</f>
        <v/>
      </c>
    </row>
    <row r="866">
      <c r="A866" t="inlineStr">
        <is>
          <t>Issues &amp; Punch List</t>
        </is>
      </c>
      <c r="B866" s="46">
        <f>'Issues &amp; Punch List'!S52</f>
        <v/>
      </c>
      <c r="C866" s="84">
        <f>'Issues &amp; Punch List'!Q52</f>
        <v/>
      </c>
      <c r="D866" s="46">
        <f>'Issues &amp; Punch List'!R52</f>
        <v/>
      </c>
      <c r="E866" s="46">
        <f>IF(OR(B866="",C866="",D866=""),"",D866*100000+(C866-DATE(2000,1,1))+ROW()/100000)</f>
        <v/>
      </c>
      <c r="F866" s="46">
        <f>IF(E866="","",IF(C866&gt;WeekEndDate,"",E866))</f>
        <v/>
      </c>
    </row>
    <row r="867">
      <c r="A867" t="inlineStr">
        <is>
          <t>Issues &amp; Punch List</t>
        </is>
      </c>
      <c r="B867" s="46">
        <f>'Issues &amp; Punch List'!S53</f>
        <v/>
      </c>
      <c r="C867" s="84">
        <f>'Issues &amp; Punch List'!Q53</f>
        <v/>
      </c>
      <c r="D867" s="46">
        <f>'Issues &amp; Punch List'!R53</f>
        <v/>
      </c>
      <c r="E867" s="46">
        <f>IF(OR(B867="",C867="",D867=""),"",D867*100000+(C867-DATE(2000,1,1))+ROW()/100000)</f>
        <v/>
      </c>
      <c r="F867" s="46">
        <f>IF(E867="","",IF(C867&gt;WeekEndDate,"",E867))</f>
        <v/>
      </c>
    </row>
    <row r="868">
      <c r="A868" t="inlineStr">
        <is>
          <t>Issues &amp; Punch List</t>
        </is>
      </c>
      <c r="B868" s="46">
        <f>'Issues &amp; Punch List'!S54</f>
        <v/>
      </c>
      <c r="C868" s="84">
        <f>'Issues &amp; Punch List'!Q54</f>
        <v/>
      </c>
      <c r="D868" s="46">
        <f>'Issues &amp; Punch List'!R54</f>
        <v/>
      </c>
      <c r="E868" s="46">
        <f>IF(OR(B868="",C868="",D868=""),"",D868*100000+(C868-DATE(2000,1,1))+ROW()/100000)</f>
        <v/>
      </c>
      <c r="F868" s="46">
        <f>IF(E868="","",IF(C868&gt;WeekEndDate,"",E868))</f>
        <v/>
      </c>
    </row>
    <row r="869">
      <c r="A869" t="inlineStr">
        <is>
          <t>Issues &amp; Punch List</t>
        </is>
      </c>
      <c r="B869" s="46">
        <f>'Issues &amp; Punch List'!S55</f>
        <v/>
      </c>
      <c r="C869" s="84">
        <f>'Issues &amp; Punch List'!Q55</f>
        <v/>
      </c>
      <c r="D869" s="46">
        <f>'Issues &amp; Punch List'!R55</f>
        <v/>
      </c>
      <c r="E869" s="46">
        <f>IF(OR(B869="",C869="",D869=""),"",D869*100000+(C869-DATE(2000,1,1))+ROW()/100000)</f>
        <v/>
      </c>
      <c r="F869" s="46">
        <f>IF(E869="","",IF(C869&gt;WeekEndDate,"",E869))</f>
        <v/>
      </c>
    </row>
    <row r="870">
      <c r="A870" t="inlineStr">
        <is>
          <t>Issues &amp; Punch List</t>
        </is>
      </c>
      <c r="B870" s="46">
        <f>'Issues &amp; Punch List'!S56</f>
        <v/>
      </c>
      <c r="C870" s="84">
        <f>'Issues &amp; Punch List'!Q56</f>
        <v/>
      </c>
      <c r="D870" s="46">
        <f>'Issues &amp; Punch List'!R56</f>
        <v/>
      </c>
      <c r="E870" s="46">
        <f>IF(OR(B870="",C870="",D870=""),"",D870*100000+(C870-DATE(2000,1,1))+ROW()/100000)</f>
        <v/>
      </c>
      <c r="F870" s="46">
        <f>IF(E870="","",IF(C870&gt;WeekEndDate,"",E870))</f>
        <v/>
      </c>
    </row>
    <row r="871">
      <c r="A871" t="inlineStr">
        <is>
          <t>Issues &amp; Punch List</t>
        </is>
      </c>
      <c r="B871" s="46">
        <f>'Issues &amp; Punch List'!S57</f>
        <v/>
      </c>
      <c r="C871" s="84">
        <f>'Issues &amp; Punch List'!Q57</f>
        <v/>
      </c>
      <c r="D871" s="46">
        <f>'Issues &amp; Punch List'!R57</f>
        <v/>
      </c>
      <c r="E871" s="46">
        <f>IF(OR(B871="",C871="",D871=""),"",D871*100000+(C871-DATE(2000,1,1))+ROW()/100000)</f>
        <v/>
      </c>
      <c r="F871" s="46">
        <f>IF(E871="","",IF(C871&gt;WeekEndDate,"",E871))</f>
        <v/>
      </c>
    </row>
    <row r="872">
      <c r="A872" t="inlineStr">
        <is>
          <t>Issues &amp; Punch List</t>
        </is>
      </c>
      <c r="B872" s="46">
        <f>'Issues &amp; Punch List'!S58</f>
        <v/>
      </c>
      <c r="C872" s="84">
        <f>'Issues &amp; Punch List'!Q58</f>
        <v/>
      </c>
      <c r="D872" s="46">
        <f>'Issues &amp; Punch List'!R58</f>
        <v/>
      </c>
      <c r="E872" s="46">
        <f>IF(OR(B872="",C872="",D872=""),"",D872*100000+(C872-DATE(2000,1,1))+ROW()/100000)</f>
        <v/>
      </c>
      <c r="F872" s="46">
        <f>IF(E872="","",IF(C872&gt;WeekEndDate,"",E872))</f>
        <v/>
      </c>
    </row>
    <row r="873">
      <c r="A873" t="inlineStr">
        <is>
          <t>Issues &amp; Punch List</t>
        </is>
      </c>
      <c r="B873" s="46">
        <f>'Issues &amp; Punch List'!S59</f>
        <v/>
      </c>
      <c r="C873" s="84">
        <f>'Issues &amp; Punch List'!Q59</f>
        <v/>
      </c>
      <c r="D873" s="46">
        <f>'Issues &amp; Punch List'!R59</f>
        <v/>
      </c>
      <c r="E873" s="46">
        <f>IF(OR(B873="",C873="",D873=""),"",D873*100000+(C873-DATE(2000,1,1))+ROW()/100000)</f>
        <v/>
      </c>
      <c r="F873" s="46">
        <f>IF(E873="","",IF(C873&gt;WeekEndDate,"",E873))</f>
        <v/>
      </c>
    </row>
    <row r="874">
      <c r="A874" t="inlineStr">
        <is>
          <t>Issues &amp; Punch List</t>
        </is>
      </c>
      <c r="B874" s="46">
        <f>'Issues &amp; Punch List'!S60</f>
        <v/>
      </c>
      <c r="C874" s="84">
        <f>'Issues &amp; Punch List'!Q60</f>
        <v/>
      </c>
      <c r="D874" s="46">
        <f>'Issues &amp; Punch List'!R60</f>
        <v/>
      </c>
      <c r="E874" s="46">
        <f>IF(OR(B874="",C874="",D874=""),"",D874*100000+(C874-DATE(2000,1,1))+ROW()/100000)</f>
        <v/>
      </c>
      <c r="F874" s="46">
        <f>IF(E874="","",IF(C874&gt;WeekEndDate,"",E874))</f>
        <v/>
      </c>
    </row>
    <row r="875">
      <c r="A875" t="inlineStr">
        <is>
          <t>Issues &amp; Punch List</t>
        </is>
      </c>
      <c r="B875" s="46">
        <f>'Issues &amp; Punch List'!S61</f>
        <v/>
      </c>
      <c r="C875" s="84">
        <f>'Issues &amp; Punch List'!Q61</f>
        <v/>
      </c>
      <c r="D875" s="46">
        <f>'Issues &amp; Punch List'!R61</f>
        <v/>
      </c>
      <c r="E875" s="46">
        <f>IF(OR(B875="",C875="",D875=""),"",D875*100000+(C875-DATE(2000,1,1))+ROW()/100000)</f>
        <v/>
      </c>
      <c r="F875" s="46">
        <f>IF(E875="","",IF(C875&gt;WeekEndDate,"",E875))</f>
        <v/>
      </c>
    </row>
    <row r="876">
      <c r="A876" t="inlineStr">
        <is>
          <t>Issues &amp; Punch List</t>
        </is>
      </c>
      <c r="B876" s="46">
        <f>'Issues &amp; Punch List'!S62</f>
        <v/>
      </c>
      <c r="C876" s="84">
        <f>'Issues &amp; Punch List'!Q62</f>
        <v/>
      </c>
      <c r="D876" s="46">
        <f>'Issues &amp; Punch List'!R62</f>
        <v/>
      </c>
      <c r="E876" s="46">
        <f>IF(OR(B876="",C876="",D876=""),"",D876*100000+(C876-DATE(2000,1,1))+ROW()/100000)</f>
        <v/>
      </c>
      <c r="F876" s="46">
        <f>IF(E876="","",IF(C876&gt;WeekEndDate,"",E876))</f>
        <v/>
      </c>
    </row>
    <row r="877">
      <c r="A877" t="inlineStr">
        <is>
          <t>Issues &amp; Punch List</t>
        </is>
      </c>
      <c r="B877" s="46">
        <f>'Issues &amp; Punch List'!S63</f>
        <v/>
      </c>
      <c r="C877" s="84">
        <f>'Issues &amp; Punch List'!Q63</f>
        <v/>
      </c>
      <c r="D877" s="46">
        <f>'Issues &amp; Punch List'!R63</f>
        <v/>
      </c>
      <c r="E877" s="46">
        <f>IF(OR(B877="",C877="",D877=""),"",D877*100000+(C877-DATE(2000,1,1))+ROW()/100000)</f>
        <v/>
      </c>
      <c r="F877" s="46">
        <f>IF(E877="","",IF(C877&gt;WeekEndDate,"",E877))</f>
        <v/>
      </c>
    </row>
    <row r="878">
      <c r="A878" t="inlineStr">
        <is>
          <t>Issues &amp; Punch List</t>
        </is>
      </c>
      <c r="B878" s="46">
        <f>'Issues &amp; Punch List'!S64</f>
        <v/>
      </c>
      <c r="C878" s="84">
        <f>'Issues &amp; Punch List'!Q64</f>
        <v/>
      </c>
      <c r="D878" s="46">
        <f>'Issues &amp; Punch List'!R64</f>
        <v/>
      </c>
      <c r="E878" s="46">
        <f>IF(OR(B878="",C878="",D878=""),"",D878*100000+(C878-DATE(2000,1,1))+ROW()/100000)</f>
        <v/>
      </c>
      <c r="F878" s="46">
        <f>IF(E878="","",IF(C878&gt;WeekEndDate,"",E878))</f>
        <v/>
      </c>
    </row>
    <row r="879">
      <c r="A879" t="inlineStr">
        <is>
          <t>Issues &amp; Punch List</t>
        </is>
      </c>
      <c r="B879" s="46">
        <f>'Issues &amp; Punch List'!S65</f>
        <v/>
      </c>
      <c r="C879" s="84">
        <f>'Issues &amp; Punch List'!Q65</f>
        <v/>
      </c>
      <c r="D879" s="46">
        <f>'Issues &amp; Punch List'!R65</f>
        <v/>
      </c>
      <c r="E879" s="46">
        <f>IF(OR(B879="",C879="",D879=""),"",D879*100000+(C879-DATE(2000,1,1))+ROW()/100000)</f>
        <v/>
      </c>
      <c r="F879" s="46">
        <f>IF(E879="","",IF(C879&gt;WeekEndDate,"",E879))</f>
        <v/>
      </c>
    </row>
    <row r="880">
      <c r="A880" t="inlineStr">
        <is>
          <t>Issues &amp; Punch List</t>
        </is>
      </c>
      <c r="B880" s="46">
        <f>'Issues &amp; Punch List'!S66</f>
        <v/>
      </c>
      <c r="C880" s="84">
        <f>'Issues &amp; Punch List'!Q66</f>
        <v/>
      </c>
      <c r="D880" s="46">
        <f>'Issues &amp; Punch List'!R66</f>
        <v/>
      </c>
      <c r="E880" s="46">
        <f>IF(OR(B880="",C880="",D880=""),"",D880*100000+(C880-DATE(2000,1,1))+ROW()/100000)</f>
        <v/>
      </c>
      <c r="F880" s="46">
        <f>IF(E880="","",IF(C880&gt;WeekEndDate,"",E880))</f>
        <v/>
      </c>
    </row>
    <row r="881">
      <c r="A881" t="inlineStr">
        <is>
          <t>Issues &amp; Punch List</t>
        </is>
      </c>
      <c r="B881" s="46">
        <f>'Issues &amp; Punch List'!S67</f>
        <v/>
      </c>
      <c r="C881" s="84">
        <f>'Issues &amp; Punch List'!Q67</f>
        <v/>
      </c>
      <c r="D881" s="46">
        <f>'Issues &amp; Punch List'!R67</f>
        <v/>
      </c>
      <c r="E881" s="46">
        <f>IF(OR(B881="",C881="",D881=""),"",D881*100000+(C881-DATE(2000,1,1))+ROW()/100000)</f>
        <v/>
      </c>
      <c r="F881" s="46">
        <f>IF(E881="","",IF(C881&gt;WeekEndDate,"",E881))</f>
        <v/>
      </c>
    </row>
    <row r="882">
      <c r="A882" t="inlineStr">
        <is>
          <t>Issues &amp; Punch List</t>
        </is>
      </c>
      <c r="B882" s="46">
        <f>'Issues &amp; Punch List'!S68</f>
        <v/>
      </c>
      <c r="C882" s="84">
        <f>'Issues &amp; Punch List'!Q68</f>
        <v/>
      </c>
      <c r="D882" s="46">
        <f>'Issues &amp; Punch List'!R68</f>
        <v/>
      </c>
      <c r="E882" s="46">
        <f>IF(OR(B882="",C882="",D882=""),"",D882*100000+(C882-DATE(2000,1,1))+ROW()/100000)</f>
        <v/>
      </c>
      <c r="F882" s="46">
        <f>IF(E882="","",IF(C882&gt;WeekEndDate,"",E882))</f>
        <v/>
      </c>
    </row>
    <row r="883">
      <c r="A883" t="inlineStr">
        <is>
          <t>Issues &amp; Punch List</t>
        </is>
      </c>
      <c r="B883" s="46">
        <f>'Issues &amp; Punch List'!S69</f>
        <v/>
      </c>
      <c r="C883" s="84">
        <f>'Issues &amp; Punch List'!Q69</f>
        <v/>
      </c>
      <c r="D883" s="46">
        <f>'Issues &amp; Punch List'!R69</f>
        <v/>
      </c>
      <c r="E883" s="46">
        <f>IF(OR(B883="",C883="",D883=""),"",D883*100000+(C883-DATE(2000,1,1))+ROW()/100000)</f>
        <v/>
      </c>
      <c r="F883" s="46">
        <f>IF(E883="","",IF(C883&gt;WeekEndDate,"",E883))</f>
        <v/>
      </c>
    </row>
    <row r="884">
      <c r="A884" t="inlineStr">
        <is>
          <t>Issues &amp; Punch List</t>
        </is>
      </c>
      <c r="B884" s="46">
        <f>'Issues &amp; Punch List'!S70</f>
        <v/>
      </c>
      <c r="C884" s="84">
        <f>'Issues &amp; Punch List'!Q70</f>
        <v/>
      </c>
      <c r="D884" s="46">
        <f>'Issues &amp; Punch List'!R70</f>
        <v/>
      </c>
      <c r="E884" s="46">
        <f>IF(OR(B884="",C884="",D884=""),"",D884*100000+(C884-DATE(2000,1,1))+ROW()/100000)</f>
        <v/>
      </c>
      <c r="F884" s="46">
        <f>IF(E884="","",IF(C884&gt;WeekEndDate,"",E884))</f>
        <v/>
      </c>
    </row>
    <row r="885">
      <c r="A885" t="inlineStr">
        <is>
          <t>Issues &amp; Punch List</t>
        </is>
      </c>
      <c r="B885" s="46">
        <f>'Issues &amp; Punch List'!S71</f>
        <v/>
      </c>
      <c r="C885" s="84">
        <f>'Issues &amp; Punch List'!Q71</f>
        <v/>
      </c>
      <c r="D885" s="46">
        <f>'Issues &amp; Punch List'!R71</f>
        <v/>
      </c>
      <c r="E885" s="46">
        <f>IF(OR(B885="",C885="",D885=""),"",D885*100000+(C885-DATE(2000,1,1))+ROW()/100000)</f>
        <v/>
      </c>
      <c r="F885" s="46">
        <f>IF(E885="","",IF(C885&gt;WeekEndDate,"",E885))</f>
        <v/>
      </c>
    </row>
    <row r="886">
      <c r="A886" t="inlineStr">
        <is>
          <t>Issues &amp; Punch List</t>
        </is>
      </c>
      <c r="B886" s="46">
        <f>'Issues &amp; Punch List'!S72</f>
        <v/>
      </c>
      <c r="C886" s="84">
        <f>'Issues &amp; Punch List'!Q72</f>
        <v/>
      </c>
      <c r="D886" s="46">
        <f>'Issues &amp; Punch List'!R72</f>
        <v/>
      </c>
      <c r="E886" s="46">
        <f>IF(OR(B886="",C886="",D886=""),"",D886*100000+(C886-DATE(2000,1,1))+ROW()/100000)</f>
        <v/>
      </c>
      <c r="F886" s="46">
        <f>IF(E886="","",IF(C886&gt;WeekEndDate,"",E886))</f>
        <v/>
      </c>
    </row>
    <row r="887">
      <c r="A887" t="inlineStr">
        <is>
          <t>Issues &amp; Punch List</t>
        </is>
      </c>
      <c r="B887" s="46">
        <f>'Issues &amp; Punch List'!S73</f>
        <v/>
      </c>
      <c r="C887" s="84">
        <f>'Issues &amp; Punch List'!Q73</f>
        <v/>
      </c>
      <c r="D887" s="46">
        <f>'Issues &amp; Punch List'!R73</f>
        <v/>
      </c>
      <c r="E887" s="46">
        <f>IF(OR(B887="",C887="",D887=""),"",D887*100000+(C887-DATE(2000,1,1))+ROW()/100000)</f>
        <v/>
      </c>
      <c r="F887" s="46">
        <f>IF(E887="","",IF(C887&gt;WeekEndDate,"",E887))</f>
        <v/>
      </c>
    </row>
    <row r="888">
      <c r="A888" t="inlineStr">
        <is>
          <t>Issues &amp; Punch List</t>
        </is>
      </c>
      <c r="B888" s="46">
        <f>'Issues &amp; Punch List'!S74</f>
        <v/>
      </c>
      <c r="C888" s="84">
        <f>'Issues &amp; Punch List'!Q74</f>
        <v/>
      </c>
      <c r="D888" s="46">
        <f>'Issues &amp; Punch List'!R74</f>
        <v/>
      </c>
      <c r="E888" s="46">
        <f>IF(OR(B888="",C888="",D888=""),"",D888*100000+(C888-DATE(2000,1,1))+ROW()/100000)</f>
        <v/>
      </c>
      <c r="F888" s="46">
        <f>IF(E888="","",IF(C888&gt;WeekEndDate,"",E888))</f>
        <v/>
      </c>
    </row>
    <row r="889">
      <c r="A889" t="inlineStr">
        <is>
          <t>Issues &amp; Punch List</t>
        </is>
      </c>
      <c r="B889" s="46">
        <f>'Issues &amp; Punch List'!S75</f>
        <v/>
      </c>
      <c r="C889" s="84">
        <f>'Issues &amp; Punch List'!Q75</f>
        <v/>
      </c>
      <c r="D889" s="46">
        <f>'Issues &amp; Punch List'!R75</f>
        <v/>
      </c>
      <c r="E889" s="46">
        <f>IF(OR(B889="",C889="",D889=""),"",D889*100000+(C889-DATE(2000,1,1))+ROW()/100000)</f>
        <v/>
      </c>
      <c r="F889" s="46">
        <f>IF(E889="","",IF(C889&gt;WeekEndDate,"",E889))</f>
        <v/>
      </c>
    </row>
    <row r="890">
      <c r="A890" t="inlineStr">
        <is>
          <t>Issues &amp; Punch List</t>
        </is>
      </c>
      <c r="B890" s="46">
        <f>'Issues &amp; Punch List'!S76</f>
        <v/>
      </c>
      <c r="C890" s="84">
        <f>'Issues &amp; Punch List'!Q76</f>
        <v/>
      </c>
      <c r="D890" s="46">
        <f>'Issues &amp; Punch List'!R76</f>
        <v/>
      </c>
      <c r="E890" s="46">
        <f>IF(OR(B890="",C890="",D890=""),"",D890*100000+(C890-DATE(2000,1,1))+ROW()/100000)</f>
        <v/>
      </c>
      <c r="F890" s="46">
        <f>IF(E890="","",IF(C890&gt;WeekEndDate,"",E890))</f>
        <v/>
      </c>
    </row>
    <row r="891">
      <c r="A891" t="inlineStr">
        <is>
          <t>Issues &amp; Punch List</t>
        </is>
      </c>
      <c r="B891" s="46">
        <f>'Issues &amp; Punch List'!S77</f>
        <v/>
      </c>
      <c r="C891" s="84">
        <f>'Issues &amp; Punch List'!Q77</f>
        <v/>
      </c>
      <c r="D891" s="46">
        <f>'Issues &amp; Punch List'!R77</f>
        <v/>
      </c>
      <c r="E891" s="46">
        <f>IF(OR(B891="",C891="",D891=""),"",D891*100000+(C891-DATE(2000,1,1))+ROW()/100000)</f>
        <v/>
      </c>
      <c r="F891" s="46">
        <f>IF(E891="","",IF(C891&gt;WeekEndDate,"",E891))</f>
        <v/>
      </c>
    </row>
    <row r="892">
      <c r="A892" t="inlineStr">
        <is>
          <t>Issues &amp; Punch List</t>
        </is>
      </c>
      <c r="B892" s="46">
        <f>'Issues &amp; Punch List'!S78</f>
        <v/>
      </c>
      <c r="C892" s="84">
        <f>'Issues &amp; Punch List'!Q78</f>
        <v/>
      </c>
      <c r="D892" s="46">
        <f>'Issues &amp; Punch List'!R78</f>
        <v/>
      </c>
      <c r="E892" s="46">
        <f>IF(OR(B892="",C892="",D892=""),"",D892*100000+(C892-DATE(2000,1,1))+ROW()/100000)</f>
        <v/>
      </c>
      <c r="F892" s="46">
        <f>IF(E892="","",IF(C892&gt;WeekEndDate,"",E892))</f>
        <v/>
      </c>
    </row>
    <row r="893">
      <c r="A893" t="inlineStr">
        <is>
          <t>Issues &amp; Punch List</t>
        </is>
      </c>
      <c r="B893" s="46">
        <f>'Issues &amp; Punch List'!S79</f>
        <v/>
      </c>
      <c r="C893" s="84">
        <f>'Issues &amp; Punch List'!Q79</f>
        <v/>
      </c>
      <c r="D893" s="46">
        <f>'Issues &amp; Punch List'!R79</f>
        <v/>
      </c>
      <c r="E893" s="46">
        <f>IF(OR(B893="",C893="",D893=""),"",D893*100000+(C893-DATE(2000,1,1))+ROW()/100000)</f>
        <v/>
      </c>
      <c r="F893" s="46">
        <f>IF(E893="","",IF(C893&gt;WeekEndDate,"",E893))</f>
        <v/>
      </c>
    </row>
    <row r="894">
      <c r="A894" t="inlineStr">
        <is>
          <t>Issues &amp; Punch List</t>
        </is>
      </c>
      <c r="B894" s="46">
        <f>'Issues &amp; Punch List'!S80</f>
        <v/>
      </c>
      <c r="C894" s="84">
        <f>'Issues &amp; Punch List'!Q80</f>
        <v/>
      </c>
      <c r="D894" s="46">
        <f>'Issues &amp; Punch List'!R80</f>
        <v/>
      </c>
      <c r="E894" s="46">
        <f>IF(OR(B894="",C894="",D894=""),"",D894*100000+(C894-DATE(2000,1,1))+ROW()/100000)</f>
        <v/>
      </c>
      <c r="F894" s="46">
        <f>IF(E894="","",IF(C894&gt;WeekEndDate,"",E894))</f>
        <v/>
      </c>
    </row>
    <row r="895">
      <c r="A895" t="inlineStr">
        <is>
          <t>Issues &amp; Punch List</t>
        </is>
      </c>
      <c r="B895" s="46">
        <f>'Issues &amp; Punch List'!S81</f>
        <v/>
      </c>
      <c r="C895" s="84">
        <f>'Issues &amp; Punch List'!Q81</f>
        <v/>
      </c>
      <c r="D895" s="46">
        <f>'Issues &amp; Punch List'!R81</f>
        <v/>
      </c>
      <c r="E895" s="46">
        <f>IF(OR(B895="",C895="",D895=""),"",D895*100000+(C895-DATE(2000,1,1))+ROW()/100000)</f>
        <v/>
      </c>
      <c r="F895" s="46">
        <f>IF(E895="","",IF(C895&gt;WeekEndDate,"",E895))</f>
        <v/>
      </c>
    </row>
    <row r="896">
      <c r="A896" t="inlineStr">
        <is>
          <t>Issues &amp; Punch List</t>
        </is>
      </c>
      <c r="B896" s="46">
        <f>'Issues &amp; Punch List'!S82</f>
        <v/>
      </c>
      <c r="C896" s="84">
        <f>'Issues &amp; Punch List'!Q82</f>
        <v/>
      </c>
      <c r="D896" s="46">
        <f>'Issues &amp; Punch List'!R82</f>
        <v/>
      </c>
      <c r="E896" s="46">
        <f>IF(OR(B896="",C896="",D896=""),"",D896*100000+(C896-DATE(2000,1,1))+ROW()/100000)</f>
        <v/>
      </c>
      <c r="F896" s="46">
        <f>IF(E896="","",IF(C896&gt;WeekEndDate,"",E896))</f>
        <v/>
      </c>
    </row>
    <row r="897">
      <c r="A897" t="inlineStr">
        <is>
          <t>Issues &amp; Punch List</t>
        </is>
      </c>
      <c r="B897" s="46">
        <f>'Issues &amp; Punch List'!S83</f>
        <v/>
      </c>
      <c r="C897" s="84">
        <f>'Issues &amp; Punch List'!Q83</f>
        <v/>
      </c>
      <c r="D897" s="46">
        <f>'Issues &amp; Punch List'!R83</f>
        <v/>
      </c>
      <c r="E897" s="46">
        <f>IF(OR(B897="",C897="",D897=""),"",D897*100000+(C897-DATE(2000,1,1))+ROW()/100000)</f>
        <v/>
      </c>
      <c r="F897" s="46">
        <f>IF(E897="","",IF(C897&gt;WeekEndDate,"",E897))</f>
        <v/>
      </c>
    </row>
    <row r="898">
      <c r="A898" t="inlineStr">
        <is>
          <t>Issues &amp; Punch List</t>
        </is>
      </c>
      <c r="B898" s="46">
        <f>'Issues &amp; Punch List'!S84</f>
        <v/>
      </c>
      <c r="C898" s="84">
        <f>'Issues &amp; Punch List'!Q84</f>
        <v/>
      </c>
      <c r="D898" s="46">
        <f>'Issues &amp; Punch List'!R84</f>
        <v/>
      </c>
      <c r="E898" s="46">
        <f>IF(OR(B898="",C898="",D898=""),"",D898*100000+(C898-DATE(2000,1,1))+ROW()/100000)</f>
        <v/>
      </c>
      <c r="F898" s="46">
        <f>IF(E898="","",IF(C898&gt;WeekEndDate,"",E898))</f>
        <v/>
      </c>
    </row>
    <row r="899">
      <c r="A899" t="inlineStr">
        <is>
          <t>Issues &amp; Punch List</t>
        </is>
      </c>
      <c r="B899" s="46">
        <f>'Issues &amp; Punch List'!S85</f>
        <v/>
      </c>
      <c r="C899" s="84">
        <f>'Issues &amp; Punch List'!Q85</f>
        <v/>
      </c>
      <c r="D899" s="46">
        <f>'Issues &amp; Punch List'!R85</f>
        <v/>
      </c>
      <c r="E899" s="46">
        <f>IF(OR(B899="",C899="",D899=""),"",D899*100000+(C899-DATE(2000,1,1))+ROW()/100000)</f>
        <v/>
      </c>
      <c r="F899" s="46">
        <f>IF(E899="","",IF(C899&gt;WeekEndDate,"",E899))</f>
        <v/>
      </c>
    </row>
    <row r="900">
      <c r="A900" t="inlineStr">
        <is>
          <t>Issues &amp; Punch List</t>
        </is>
      </c>
      <c r="B900" s="46">
        <f>'Issues &amp; Punch List'!S86</f>
        <v/>
      </c>
      <c r="C900" s="84">
        <f>'Issues &amp; Punch List'!Q86</f>
        <v/>
      </c>
      <c r="D900" s="46">
        <f>'Issues &amp; Punch List'!R86</f>
        <v/>
      </c>
      <c r="E900" s="46">
        <f>IF(OR(B900="",C900="",D900=""),"",D900*100000+(C900-DATE(2000,1,1))+ROW()/100000)</f>
        <v/>
      </c>
      <c r="F900" s="46">
        <f>IF(E900="","",IF(C900&gt;WeekEndDate,"",E900))</f>
        <v/>
      </c>
    </row>
    <row r="901">
      <c r="A901" t="inlineStr">
        <is>
          <t>Issues &amp; Punch List</t>
        </is>
      </c>
      <c r="B901" s="46">
        <f>'Issues &amp; Punch List'!S87</f>
        <v/>
      </c>
      <c r="C901" s="84">
        <f>'Issues &amp; Punch List'!Q87</f>
        <v/>
      </c>
      <c r="D901" s="46">
        <f>'Issues &amp; Punch List'!R87</f>
        <v/>
      </c>
      <c r="E901" s="46">
        <f>IF(OR(B901="",C901="",D901=""),"",D901*100000+(C901-DATE(2000,1,1))+ROW()/100000)</f>
        <v/>
      </c>
      <c r="F901" s="46">
        <f>IF(E901="","",IF(C901&gt;WeekEndDate,"",E901))</f>
        <v/>
      </c>
    </row>
    <row r="902">
      <c r="A902" t="inlineStr">
        <is>
          <t>Issues &amp; Punch List</t>
        </is>
      </c>
      <c r="B902" s="46">
        <f>'Issues &amp; Punch List'!S88</f>
        <v/>
      </c>
      <c r="C902" s="84">
        <f>'Issues &amp; Punch List'!Q88</f>
        <v/>
      </c>
      <c r="D902" s="46">
        <f>'Issues &amp; Punch List'!R88</f>
        <v/>
      </c>
      <c r="E902" s="46">
        <f>IF(OR(B902="",C902="",D902=""),"",D902*100000+(C902-DATE(2000,1,1))+ROW()/100000)</f>
        <v/>
      </c>
      <c r="F902" s="46">
        <f>IF(E902="","",IF(C902&gt;WeekEndDate,"",E902))</f>
        <v/>
      </c>
    </row>
    <row r="903">
      <c r="A903" t="inlineStr">
        <is>
          <t>Issues &amp; Punch List</t>
        </is>
      </c>
      <c r="B903" s="46">
        <f>'Issues &amp; Punch List'!S89</f>
        <v/>
      </c>
      <c r="C903" s="84">
        <f>'Issues &amp; Punch List'!Q89</f>
        <v/>
      </c>
      <c r="D903" s="46">
        <f>'Issues &amp; Punch List'!R89</f>
        <v/>
      </c>
      <c r="E903" s="46">
        <f>IF(OR(B903="",C903="",D903=""),"",D903*100000+(C903-DATE(2000,1,1))+ROW()/100000)</f>
        <v/>
      </c>
      <c r="F903" s="46">
        <f>IF(E903="","",IF(C903&gt;WeekEndDate,"",E903))</f>
        <v/>
      </c>
    </row>
    <row r="904">
      <c r="A904" t="inlineStr">
        <is>
          <t>Issues &amp; Punch List</t>
        </is>
      </c>
      <c r="B904" s="46">
        <f>'Issues &amp; Punch List'!S90</f>
        <v/>
      </c>
      <c r="C904" s="84">
        <f>'Issues &amp; Punch List'!Q90</f>
        <v/>
      </c>
      <c r="D904" s="46">
        <f>'Issues &amp; Punch List'!R90</f>
        <v/>
      </c>
      <c r="E904" s="46">
        <f>IF(OR(B904="",C904="",D904=""),"",D904*100000+(C904-DATE(2000,1,1))+ROW()/100000)</f>
        <v/>
      </c>
      <c r="F904" s="46">
        <f>IF(E904="","",IF(C904&gt;WeekEndDate,"",E904))</f>
        <v/>
      </c>
    </row>
    <row r="905">
      <c r="A905" t="inlineStr">
        <is>
          <t>Issues &amp; Punch List</t>
        </is>
      </c>
      <c r="B905" s="46">
        <f>'Issues &amp; Punch List'!S91</f>
        <v/>
      </c>
      <c r="C905" s="84">
        <f>'Issues &amp; Punch List'!Q91</f>
        <v/>
      </c>
      <c r="D905" s="46">
        <f>'Issues &amp; Punch List'!R91</f>
        <v/>
      </c>
      <c r="E905" s="46">
        <f>IF(OR(B905="",C905="",D905=""),"",D905*100000+(C905-DATE(2000,1,1))+ROW()/100000)</f>
        <v/>
      </c>
      <c r="F905" s="46">
        <f>IF(E905="","",IF(C905&gt;WeekEndDate,"",E905))</f>
        <v/>
      </c>
    </row>
    <row r="906">
      <c r="A906" t="inlineStr">
        <is>
          <t>Issues &amp; Punch List</t>
        </is>
      </c>
      <c r="B906" s="46">
        <f>'Issues &amp; Punch List'!S92</f>
        <v/>
      </c>
      <c r="C906" s="84">
        <f>'Issues &amp; Punch List'!Q92</f>
        <v/>
      </c>
      <c r="D906" s="46">
        <f>'Issues &amp; Punch List'!R92</f>
        <v/>
      </c>
      <c r="E906" s="46">
        <f>IF(OR(B906="",C906="",D906=""),"",D906*100000+(C906-DATE(2000,1,1))+ROW()/100000)</f>
        <v/>
      </c>
      <c r="F906" s="46">
        <f>IF(E906="","",IF(C906&gt;WeekEndDate,"",E906))</f>
        <v/>
      </c>
    </row>
    <row r="907">
      <c r="A907" t="inlineStr">
        <is>
          <t>Issues &amp; Punch List</t>
        </is>
      </c>
      <c r="B907" s="46">
        <f>'Issues &amp; Punch List'!S93</f>
        <v/>
      </c>
      <c r="C907" s="84">
        <f>'Issues &amp; Punch List'!Q93</f>
        <v/>
      </c>
      <c r="D907" s="46">
        <f>'Issues &amp; Punch List'!R93</f>
        <v/>
      </c>
      <c r="E907" s="46">
        <f>IF(OR(B907="",C907="",D907=""),"",D907*100000+(C907-DATE(2000,1,1))+ROW()/100000)</f>
        <v/>
      </c>
      <c r="F907" s="46">
        <f>IF(E907="","",IF(C907&gt;WeekEndDate,"",E907))</f>
        <v/>
      </c>
    </row>
    <row r="908">
      <c r="A908" t="inlineStr">
        <is>
          <t>Issues &amp; Punch List</t>
        </is>
      </c>
      <c r="B908" s="46">
        <f>'Issues &amp; Punch List'!S94</f>
        <v/>
      </c>
      <c r="C908" s="84">
        <f>'Issues &amp; Punch List'!Q94</f>
        <v/>
      </c>
      <c r="D908" s="46">
        <f>'Issues &amp; Punch List'!R94</f>
        <v/>
      </c>
      <c r="E908" s="46">
        <f>IF(OR(B908="",C908="",D908=""),"",D908*100000+(C908-DATE(2000,1,1))+ROW()/100000)</f>
        <v/>
      </c>
      <c r="F908" s="46">
        <f>IF(E908="","",IF(C908&gt;WeekEndDate,"",E908))</f>
        <v/>
      </c>
    </row>
    <row r="909">
      <c r="A909" t="inlineStr">
        <is>
          <t>Issues &amp; Punch List</t>
        </is>
      </c>
      <c r="B909" s="46">
        <f>'Issues &amp; Punch List'!S95</f>
        <v/>
      </c>
      <c r="C909" s="84">
        <f>'Issues &amp; Punch List'!Q95</f>
        <v/>
      </c>
      <c r="D909" s="46">
        <f>'Issues &amp; Punch List'!R95</f>
        <v/>
      </c>
      <c r="E909" s="46">
        <f>IF(OR(B909="",C909="",D909=""),"",D909*100000+(C909-DATE(2000,1,1))+ROW()/100000)</f>
        <v/>
      </c>
      <c r="F909" s="46">
        <f>IF(E909="","",IF(C909&gt;WeekEndDate,"",E909))</f>
        <v/>
      </c>
    </row>
    <row r="910">
      <c r="A910" t="inlineStr">
        <is>
          <t>Issues &amp; Punch List</t>
        </is>
      </c>
      <c r="B910" s="46">
        <f>'Issues &amp; Punch List'!S96</f>
        <v/>
      </c>
      <c r="C910" s="84">
        <f>'Issues &amp; Punch List'!Q96</f>
        <v/>
      </c>
      <c r="D910" s="46">
        <f>'Issues &amp; Punch List'!R96</f>
        <v/>
      </c>
      <c r="E910" s="46">
        <f>IF(OR(B910="",C910="",D910=""),"",D910*100000+(C910-DATE(2000,1,1))+ROW()/100000)</f>
        <v/>
      </c>
      <c r="F910" s="46">
        <f>IF(E910="","",IF(C910&gt;WeekEndDate,"",E910))</f>
        <v/>
      </c>
    </row>
    <row r="911">
      <c r="A911" t="inlineStr">
        <is>
          <t>Issues &amp; Punch List</t>
        </is>
      </c>
      <c r="B911" s="46">
        <f>'Issues &amp; Punch List'!S97</f>
        <v/>
      </c>
      <c r="C911" s="84">
        <f>'Issues &amp; Punch List'!Q97</f>
        <v/>
      </c>
      <c r="D911" s="46">
        <f>'Issues &amp; Punch List'!R97</f>
        <v/>
      </c>
      <c r="E911" s="46">
        <f>IF(OR(B911="",C911="",D911=""),"",D911*100000+(C911-DATE(2000,1,1))+ROW()/100000)</f>
        <v/>
      </c>
      <c r="F911" s="46">
        <f>IF(E911="","",IF(C911&gt;WeekEndDate,"",E911))</f>
        <v/>
      </c>
    </row>
    <row r="912">
      <c r="A912" t="inlineStr">
        <is>
          <t>Issues &amp; Punch List</t>
        </is>
      </c>
      <c r="B912" s="46">
        <f>'Issues &amp; Punch List'!S98</f>
        <v/>
      </c>
      <c r="C912" s="84">
        <f>'Issues &amp; Punch List'!Q98</f>
        <v/>
      </c>
      <c r="D912" s="46">
        <f>'Issues &amp; Punch List'!R98</f>
        <v/>
      </c>
      <c r="E912" s="46">
        <f>IF(OR(B912="",C912="",D912=""),"",D912*100000+(C912-DATE(2000,1,1))+ROW()/100000)</f>
        <v/>
      </c>
      <c r="F912" s="46">
        <f>IF(E912="","",IF(C912&gt;WeekEndDate,"",E912))</f>
        <v/>
      </c>
    </row>
    <row r="913">
      <c r="A913" t="inlineStr">
        <is>
          <t>Issues &amp; Punch List</t>
        </is>
      </c>
      <c r="B913" s="46">
        <f>'Issues &amp; Punch List'!S99</f>
        <v/>
      </c>
      <c r="C913" s="84">
        <f>'Issues &amp; Punch List'!Q99</f>
        <v/>
      </c>
      <c r="D913" s="46">
        <f>'Issues &amp; Punch List'!R99</f>
        <v/>
      </c>
      <c r="E913" s="46">
        <f>IF(OR(B913="",C913="",D913=""),"",D913*100000+(C913-DATE(2000,1,1))+ROW()/100000)</f>
        <v/>
      </c>
      <c r="F913" s="46">
        <f>IF(E913="","",IF(C913&gt;WeekEndDate,"",E913))</f>
        <v/>
      </c>
    </row>
    <row r="914">
      <c r="A914" t="inlineStr">
        <is>
          <t>Issues &amp; Punch List</t>
        </is>
      </c>
      <c r="B914" s="46">
        <f>'Issues &amp; Punch List'!S100</f>
        <v/>
      </c>
      <c r="C914" s="84">
        <f>'Issues &amp; Punch List'!Q100</f>
        <v/>
      </c>
      <c r="D914" s="46">
        <f>'Issues &amp; Punch List'!R100</f>
        <v/>
      </c>
      <c r="E914" s="46">
        <f>IF(OR(B914="",C914="",D914=""),"",D914*100000+(C914-DATE(2000,1,1))+ROW()/100000)</f>
        <v/>
      </c>
      <c r="F914" s="46">
        <f>IF(E914="","",IF(C914&gt;WeekEndDate,"",E914))</f>
        <v/>
      </c>
    </row>
    <row r="915">
      <c r="A915" t="inlineStr">
        <is>
          <t>Issues &amp; Punch List</t>
        </is>
      </c>
      <c r="B915" s="46">
        <f>'Issues &amp; Punch List'!S101</f>
        <v/>
      </c>
      <c r="C915" s="84">
        <f>'Issues &amp; Punch List'!Q101</f>
        <v/>
      </c>
      <c r="D915" s="46">
        <f>'Issues &amp; Punch List'!R101</f>
        <v/>
      </c>
      <c r="E915" s="46">
        <f>IF(OR(B915="",C915="",D915=""),"",D915*100000+(C915-DATE(2000,1,1))+ROW()/100000)</f>
        <v/>
      </c>
      <c r="F915" s="46">
        <f>IF(E915="","",IF(C915&gt;WeekEndDate,"",E915))</f>
        <v/>
      </c>
    </row>
    <row r="916">
      <c r="A916" t="inlineStr">
        <is>
          <t>Issues &amp; Punch List</t>
        </is>
      </c>
      <c r="B916" s="46">
        <f>'Issues &amp; Punch List'!S102</f>
        <v/>
      </c>
      <c r="C916" s="84">
        <f>'Issues &amp; Punch List'!Q102</f>
        <v/>
      </c>
      <c r="D916" s="46">
        <f>'Issues &amp; Punch List'!R102</f>
        <v/>
      </c>
      <c r="E916" s="46">
        <f>IF(OR(B916="",C916="",D916=""),"",D916*100000+(C916-DATE(2000,1,1))+ROW()/100000)</f>
        <v/>
      </c>
      <c r="F916" s="46">
        <f>IF(E916="","",IF(C916&gt;WeekEndDate,"",E916))</f>
        <v/>
      </c>
    </row>
    <row r="917">
      <c r="A917" t="inlineStr">
        <is>
          <t>Issues &amp; Punch List</t>
        </is>
      </c>
      <c r="B917" s="46">
        <f>'Issues &amp; Punch List'!S103</f>
        <v/>
      </c>
      <c r="C917" s="84">
        <f>'Issues &amp; Punch List'!Q103</f>
        <v/>
      </c>
      <c r="D917" s="46">
        <f>'Issues &amp; Punch List'!R103</f>
        <v/>
      </c>
      <c r="E917" s="46">
        <f>IF(OR(B917="",C917="",D917=""),"",D917*100000+(C917-DATE(2000,1,1))+ROW()/100000)</f>
        <v/>
      </c>
      <c r="F917" s="46">
        <f>IF(E917="","",IF(C917&gt;WeekEndDate,"",E917))</f>
        <v/>
      </c>
    </row>
    <row r="918">
      <c r="A918" t="inlineStr">
        <is>
          <t>Issues &amp; Punch List</t>
        </is>
      </c>
      <c r="B918" s="46">
        <f>'Issues &amp; Punch List'!S104</f>
        <v/>
      </c>
      <c r="C918" s="84">
        <f>'Issues &amp; Punch List'!Q104</f>
        <v/>
      </c>
      <c r="D918" s="46">
        <f>'Issues &amp; Punch List'!R104</f>
        <v/>
      </c>
      <c r="E918" s="46">
        <f>IF(OR(B918="",C918="",D918=""),"",D918*100000+(C918-DATE(2000,1,1))+ROW()/100000)</f>
        <v/>
      </c>
      <c r="F918" s="46">
        <f>IF(E918="","",IF(C918&gt;WeekEndDate,"",E918))</f>
        <v/>
      </c>
    </row>
    <row r="919">
      <c r="A919" t="inlineStr">
        <is>
          <t>Issues &amp; Punch List</t>
        </is>
      </c>
      <c r="B919" s="46">
        <f>'Issues &amp; Punch List'!S105</f>
        <v/>
      </c>
      <c r="C919" s="84">
        <f>'Issues &amp; Punch List'!Q105</f>
        <v/>
      </c>
      <c r="D919" s="46">
        <f>'Issues &amp; Punch List'!R105</f>
        <v/>
      </c>
      <c r="E919" s="46">
        <f>IF(OR(B919="",C919="",D919=""),"",D919*100000+(C919-DATE(2000,1,1))+ROW()/100000)</f>
        <v/>
      </c>
      <c r="F919" s="46">
        <f>IF(E919="","",IF(C919&gt;WeekEndDate,"",E919))</f>
        <v/>
      </c>
    </row>
    <row r="920">
      <c r="A920" t="inlineStr">
        <is>
          <t>Issues &amp; Punch List</t>
        </is>
      </c>
      <c r="B920" s="46">
        <f>'Issues &amp; Punch List'!S106</f>
        <v/>
      </c>
      <c r="C920" s="84">
        <f>'Issues &amp; Punch List'!Q106</f>
        <v/>
      </c>
      <c r="D920" s="46">
        <f>'Issues &amp; Punch List'!R106</f>
        <v/>
      </c>
      <c r="E920" s="46">
        <f>IF(OR(B920="",C920="",D920=""),"",D920*100000+(C920-DATE(2000,1,1))+ROW()/100000)</f>
        <v/>
      </c>
      <c r="F920" s="46">
        <f>IF(E920="","",IF(C920&gt;WeekEndDate,"",E920))</f>
        <v/>
      </c>
    </row>
    <row r="921">
      <c r="A921" t="inlineStr">
        <is>
          <t>Issues &amp; Punch List</t>
        </is>
      </c>
      <c r="B921" s="46">
        <f>'Issues &amp; Punch List'!S107</f>
        <v/>
      </c>
      <c r="C921" s="84">
        <f>'Issues &amp; Punch List'!Q107</f>
        <v/>
      </c>
      <c r="D921" s="46">
        <f>'Issues &amp; Punch List'!R107</f>
        <v/>
      </c>
      <c r="E921" s="46">
        <f>IF(OR(B921="",C921="",D921=""),"",D921*100000+(C921-DATE(2000,1,1))+ROW()/100000)</f>
        <v/>
      </c>
      <c r="F921" s="46">
        <f>IF(E921="","",IF(C921&gt;WeekEndDate,"",E921))</f>
        <v/>
      </c>
    </row>
    <row r="922">
      <c r="A922" t="inlineStr">
        <is>
          <t>Issues &amp; Punch List</t>
        </is>
      </c>
      <c r="B922" s="46">
        <f>'Issues &amp; Punch List'!S108</f>
        <v/>
      </c>
      <c r="C922" s="84">
        <f>'Issues &amp; Punch List'!Q108</f>
        <v/>
      </c>
      <c r="D922" s="46">
        <f>'Issues &amp; Punch List'!R108</f>
        <v/>
      </c>
      <c r="E922" s="46">
        <f>IF(OR(B922="",C922="",D922=""),"",D922*100000+(C922-DATE(2000,1,1))+ROW()/100000)</f>
        <v/>
      </c>
      <c r="F922" s="46">
        <f>IF(E922="","",IF(C922&gt;WeekEndDate,"",E922))</f>
        <v/>
      </c>
    </row>
    <row r="923">
      <c r="A923" t="inlineStr">
        <is>
          <t>Issues &amp; Punch List</t>
        </is>
      </c>
      <c r="B923" s="46">
        <f>'Issues &amp; Punch List'!S109</f>
        <v/>
      </c>
      <c r="C923" s="84">
        <f>'Issues &amp; Punch List'!Q109</f>
        <v/>
      </c>
      <c r="D923" s="46">
        <f>'Issues &amp; Punch List'!R109</f>
        <v/>
      </c>
      <c r="E923" s="46">
        <f>IF(OR(B923="",C923="",D923=""),"",D923*100000+(C923-DATE(2000,1,1))+ROW()/100000)</f>
        <v/>
      </c>
      <c r="F923" s="46">
        <f>IF(E923="","",IF(C923&gt;WeekEndDate,"",E923))</f>
        <v/>
      </c>
    </row>
    <row r="924">
      <c r="A924" t="inlineStr">
        <is>
          <t>Issues &amp; Punch List</t>
        </is>
      </c>
      <c r="B924" s="46">
        <f>'Issues &amp; Punch List'!S110</f>
        <v/>
      </c>
      <c r="C924" s="84">
        <f>'Issues &amp; Punch List'!Q110</f>
        <v/>
      </c>
      <c r="D924" s="46">
        <f>'Issues &amp; Punch List'!R110</f>
        <v/>
      </c>
      <c r="E924" s="46">
        <f>IF(OR(B924="",C924="",D924=""),"",D924*100000+(C924-DATE(2000,1,1))+ROW()/100000)</f>
        <v/>
      </c>
      <c r="F924" s="46">
        <f>IF(E924="","",IF(C924&gt;WeekEndDate,"",E924))</f>
        <v/>
      </c>
    </row>
    <row r="925">
      <c r="A925" t="inlineStr">
        <is>
          <t>Issues &amp; Punch List</t>
        </is>
      </c>
      <c r="B925" s="46">
        <f>'Issues &amp; Punch List'!S111</f>
        <v/>
      </c>
      <c r="C925" s="84">
        <f>'Issues &amp; Punch List'!Q111</f>
        <v/>
      </c>
      <c r="D925" s="46">
        <f>'Issues &amp; Punch List'!R111</f>
        <v/>
      </c>
      <c r="E925" s="46">
        <f>IF(OR(B925="",C925="",D925=""),"",D925*100000+(C925-DATE(2000,1,1))+ROW()/100000)</f>
        <v/>
      </c>
      <c r="F925" s="46">
        <f>IF(E925="","",IF(C925&gt;WeekEndDate,"",E925))</f>
        <v/>
      </c>
    </row>
    <row r="926">
      <c r="A926" t="inlineStr">
        <is>
          <t>Issues &amp; Punch List</t>
        </is>
      </c>
      <c r="B926" s="46">
        <f>'Issues &amp; Punch List'!S112</f>
        <v/>
      </c>
      <c r="C926" s="84">
        <f>'Issues &amp; Punch List'!Q112</f>
        <v/>
      </c>
      <c r="D926" s="46">
        <f>'Issues &amp; Punch List'!R112</f>
        <v/>
      </c>
      <c r="E926" s="46">
        <f>IF(OR(B926="",C926="",D926=""),"",D926*100000+(C926-DATE(2000,1,1))+ROW()/100000)</f>
        <v/>
      </c>
      <c r="F926" s="46">
        <f>IF(E926="","",IF(C926&gt;WeekEndDate,"",E926))</f>
        <v/>
      </c>
    </row>
    <row r="927">
      <c r="A927" t="inlineStr">
        <is>
          <t>Issues &amp; Punch List</t>
        </is>
      </c>
      <c r="B927" s="46">
        <f>'Issues &amp; Punch List'!S113</f>
        <v/>
      </c>
      <c r="C927" s="84">
        <f>'Issues &amp; Punch List'!Q113</f>
        <v/>
      </c>
      <c r="D927" s="46">
        <f>'Issues &amp; Punch List'!R113</f>
        <v/>
      </c>
      <c r="E927" s="46">
        <f>IF(OR(B927="",C927="",D927=""),"",D927*100000+(C927-DATE(2000,1,1))+ROW()/100000)</f>
        <v/>
      </c>
      <c r="F927" s="46">
        <f>IF(E927="","",IF(C927&gt;WeekEndDate,"",E927))</f>
        <v/>
      </c>
    </row>
    <row r="928">
      <c r="A928" t="inlineStr">
        <is>
          <t>Issues &amp; Punch List</t>
        </is>
      </c>
      <c r="B928" s="46">
        <f>'Issues &amp; Punch List'!S114</f>
        <v/>
      </c>
      <c r="C928" s="84">
        <f>'Issues &amp; Punch List'!Q114</f>
        <v/>
      </c>
      <c r="D928" s="46">
        <f>'Issues &amp; Punch List'!R114</f>
        <v/>
      </c>
      <c r="E928" s="46">
        <f>IF(OR(B928="",C928="",D928=""),"",D928*100000+(C928-DATE(2000,1,1))+ROW()/100000)</f>
        <v/>
      </c>
      <c r="F928" s="46">
        <f>IF(E928="","",IF(C928&gt;WeekEndDate,"",E928))</f>
        <v/>
      </c>
    </row>
    <row r="929">
      <c r="A929" t="inlineStr">
        <is>
          <t>Issues &amp; Punch List</t>
        </is>
      </c>
      <c r="B929" s="46">
        <f>'Issues &amp; Punch List'!S115</f>
        <v/>
      </c>
      <c r="C929" s="84">
        <f>'Issues &amp; Punch List'!Q115</f>
        <v/>
      </c>
      <c r="D929" s="46">
        <f>'Issues &amp; Punch List'!R115</f>
        <v/>
      </c>
      <c r="E929" s="46">
        <f>IF(OR(B929="",C929="",D929=""),"",D929*100000+(C929-DATE(2000,1,1))+ROW()/100000)</f>
        <v/>
      </c>
      <c r="F929" s="46">
        <f>IF(E929="","",IF(C929&gt;WeekEndDate,"",E929))</f>
        <v/>
      </c>
    </row>
    <row r="930">
      <c r="A930" t="inlineStr">
        <is>
          <t>Issues &amp; Punch List</t>
        </is>
      </c>
      <c r="B930" s="46">
        <f>'Issues &amp; Punch List'!S116</f>
        <v/>
      </c>
      <c r="C930" s="84">
        <f>'Issues &amp; Punch List'!Q116</f>
        <v/>
      </c>
      <c r="D930" s="46">
        <f>'Issues &amp; Punch List'!R116</f>
        <v/>
      </c>
      <c r="E930" s="46">
        <f>IF(OR(B930="",C930="",D930=""),"",D930*100000+(C930-DATE(2000,1,1))+ROW()/100000)</f>
        <v/>
      </c>
      <c r="F930" s="46">
        <f>IF(E930="","",IF(C930&gt;WeekEndDate,"",E930))</f>
        <v/>
      </c>
    </row>
    <row r="931">
      <c r="A931" t="inlineStr">
        <is>
          <t>Issues &amp; Punch List</t>
        </is>
      </c>
      <c r="B931" s="46">
        <f>'Issues &amp; Punch List'!S117</f>
        <v/>
      </c>
      <c r="C931" s="84">
        <f>'Issues &amp; Punch List'!Q117</f>
        <v/>
      </c>
      <c r="D931" s="46">
        <f>'Issues &amp; Punch List'!R117</f>
        <v/>
      </c>
      <c r="E931" s="46">
        <f>IF(OR(B931="",C931="",D931=""),"",D931*100000+(C931-DATE(2000,1,1))+ROW()/100000)</f>
        <v/>
      </c>
      <c r="F931" s="46">
        <f>IF(E931="","",IF(C931&gt;WeekEndDate,"",E931))</f>
        <v/>
      </c>
    </row>
    <row r="932">
      <c r="A932" t="inlineStr">
        <is>
          <t>Issues &amp; Punch List</t>
        </is>
      </c>
      <c r="B932" s="46">
        <f>'Issues &amp; Punch List'!S118</f>
        <v/>
      </c>
      <c r="C932" s="84">
        <f>'Issues &amp; Punch List'!Q118</f>
        <v/>
      </c>
      <c r="D932" s="46">
        <f>'Issues &amp; Punch List'!R118</f>
        <v/>
      </c>
      <c r="E932" s="46">
        <f>IF(OR(B932="",C932="",D932=""),"",D932*100000+(C932-DATE(2000,1,1))+ROW()/100000)</f>
        <v/>
      </c>
      <c r="F932" s="46">
        <f>IF(E932="","",IF(C932&gt;WeekEndDate,"",E932))</f>
        <v/>
      </c>
    </row>
    <row r="933">
      <c r="A933" t="inlineStr">
        <is>
          <t>Issues &amp; Punch List</t>
        </is>
      </c>
      <c r="B933" s="46">
        <f>'Issues &amp; Punch List'!S119</f>
        <v/>
      </c>
      <c r="C933" s="84">
        <f>'Issues &amp; Punch List'!Q119</f>
        <v/>
      </c>
      <c r="D933" s="46">
        <f>'Issues &amp; Punch List'!R119</f>
        <v/>
      </c>
      <c r="E933" s="46">
        <f>IF(OR(B933="",C933="",D933=""),"",D933*100000+(C933-DATE(2000,1,1))+ROW()/100000)</f>
        <v/>
      </c>
      <c r="F933" s="46">
        <f>IF(E933="","",IF(C933&gt;WeekEndDate,"",E933))</f>
        <v/>
      </c>
    </row>
    <row r="934">
      <c r="A934" t="inlineStr">
        <is>
          <t>Issues &amp; Punch List</t>
        </is>
      </c>
      <c r="B934" s="46">
        <f>'Issues &amp; Punch List'!S120</f>
        <v/>
      </c>
      <c r="C934" s="84">
        <f>'Issues &amp; Punch List'!Q120</f>
        <v/>
      </c>
      <c r="D934" s="46">
        <f>'Issues &amp; Punch List'!R120</f>
        <v/>
      </c>
      <c r="E934" s="46">
        <f>IF(OR(B934="",C934="",D934=""),"",D934*100000+(C934-DATE(2000,1,1))+ROW()/100000)</f>
        <v/>
      </c>
      <c r="F934" s="46">
        <f>IF(E934="","",IF(C934&gt;WeekEndDate,"",E934))</f>
        <v/>
      </c>
    </row>
    <row r="935">
      <c r="A935" t="inlineStr">
        <is>
          <t>Issues &amp; Punch List</t>
        </is>
      </c>
      <c r="B935" s="46">
        <f>'Issues &amp; Punch List'!S121</f>
        <v/>
      </c>
      <c r="C935" s="84">
        <f>'Issues &amp; Punch List'!Q121</f>
        <v/>
      </c>
      <c r="D935" s="46">
        <f>'Issues &amp; Punch List'!R121</f>
        <v/>
      </c>
      <c r="E935" s="46">
        <f>IF(OR(B935="",C935="",D935=""),"",D935*100000+(C935-DATE(2000,1,1))+ROW()/100000)</f>
        <v/>
      </c>
      <c r="F935" s="46">
        <f>IF(E935="","",IF(C935&gt;WeekEndDate,"",E935))</f>
        <v/>
      </c>
    </row>
    <row r="936">
      <c r="A936" t="inlineStr">
        <is>
          <t>Issues &amp; Punch List</t>
        </is>
      </c>
      <c r="B936" s="46">
        <f>'Issues &amp; Punch List'!S122</f>
        <v/>
      </c>
      <c r="C936" s="84">
        <f>'Issues &amp; Punch List'!Q122</f>
        <v/>
      </c>
      <c r="D936" s="46">
        <f>'Issues &amp; Punch List'!R122</f>
        <v/>
      </c>
      <c r="E936" s="46">
        <f>IF(OR(B936="",C936="",D936=""),"",D936*100000+(C936-DATE(2000,1,1))+ROW()/100000)</f>
        <v/>
      </c>
      <c r="F936" s="46">
        <f>IF(E936="","",IF(C936&gt;WeekEndDate,"",E936))</f>
        <v/>
      </c>
    </row>
    <row r="937">
      <c r="A937" t="inlineStr">
        <is>
          <t>Issues &amp; Punch List</t>
        </is>
      </c>
      <c r="B937" s="46">
        <f>'Issues &amp; Punch List'!S123</f>
        <v/>
      </c>
      <c r="C937" s="84">
        <f>'Issues &amp; Punch List'!Q123</f>
        <v/>
      </c>
      <c r="D937" s="46">
        <f>'Issues &amp; Punch List'!R123</f>
        <v/>
      </c>
      <c r="E937" s="46">
        <f>IF(OR(B937="",C937="",D937=""),"",D937*100000+(C937-DATE(2000,1,1))+ROW()/100000)</f>
        <v/>
      </c>
      <c r="F937" s="46">
        <f>IF(E937="","",IF(C937&gt;WeekEndDate,"",E937))</f>
        <v/>
      </c>
    </row>
    <row r="938">
      <c r="A938" t="inlineStr">
        <is>
          <t>Issues &amp; Punch List</t>
        </is>
      </c>
      <c r="B938" s="46">
        <f>'Issues &amp; Punch List'!S124</f>
        <v/>
      </c>
      <c r="C938" s="84">
        <f>'Issues &amp; Punch List'!Q124</f>
        <v/>
      </c>
      <c r="D938" s="46">
        <f>'Issues &amp; Punch List'!R124</f>
        <v/>
      </c>
      <c r="E938" s="46">
        <f>IF(OR(B938="",C938="",D938=""),"",D938*100000+(C938-DATE(2000,1,1))+ROW()/100000)</f>
        <v/>
      </c>
      <c r="F938" s="46">
        <f>IF(E938="","",IF(C938&gt;WeekEndDate,"",E938))</f>
        <v/>
      </c>
    </row>
    <row r="939">
      <c r="A939" t="inlineStr">
        <is>
          <t>Issues &amp; Punch List</t>
        </is>
      </c>
      <c r="B939" s="46">
        <f>'Issues &amp; Punch List'!S125</f>
        <v/>
      </c>
      <c r="C939" s="84">
        <f>'Issues &amp; Punch List'!Q125</f>
        <v/>
      </c>
      <c r="D939" s="46">
        <f>'Issues &amp; Punch List'!R125</f>
        <v/>
      </c>
      <c r="E939" s="46">
        <f>IF(OR(B939="",C939="",D939=""),"",D939*100000+(C939-DATE(2000,1,1))+ROW()/100000)</f>
        <v/>
      </c>
      <c r="F939" s="46">
        <f>IF(E939="","",IF(C939&gt;WeekEndDate,"",E939))</f>
        <v/>
      </c>
    </row>
    <row r="940">
      <c r="A940" t="inlineStr">
        <is>
          <t>Issues &amp; Punch List</t>
        </is>
      </c>
      <c r="B940" s="46">
        <f>'Issues &amp; Punch List'!S126</f>
        <v/>
      </c>
      <c r="C940" s="84">
        <f>'Issues &amp; Punch List'!Q126</f>
        <v/>
      </c>
      <c r="D940" s="46">
        <f>'Issues &amp; Punch List'!R126</f>
        <v/>
      </c>
      <c r="E940" s="46">
        <f>IF(OR(B940="",C940="",D940=""),"",D940*100000+(C940-DATE(2000,1,1))+ROW()/100000)</f>
        <v/>
      </c>
      <c r="F940" s="46">
        <f>IF(E940="","",IF(C940&gt;WeekEndDate,"",E940))</f>
        <v/>
      </c>
    </row>
    <row r="941">
      <c r="A941" t="inlineStr">
        <is>
          <t>Issues &amp; Punch List</t>
        </is>
      </c>
      <c r="B941" s="46">
        <f>'Issues &amp; Punch List'!S127</f>
        <v/>
      </c>
      <c r="C941" s="84">
        <f>'Issues &amp; Punch List'!Q127</f>
        <v/>
      </c>
      <c r="D941" s="46">
        <f>'Issues &amp; Punch List'!R127</f>
        <v/>
      </c>
      <c r="E941" s="46">
        <f>IF(OR(B941="",C941="",D941=""),"",D941*100000+(C941-DATE(2000,1,1))+ROW()/100000)</f>
        <v/>
      </c>
      <c r="F941" s="46">
        <f>IF(E941="","",IF(C941&gt;WeekEndDate,"",E941))</f>
        <v/>
      </c>
    </row>
    <row r="942">
      <c r="A942" t="inlineStr">
        <is>
          <t>Issues &amp; Punch List</t>
        </is>
      </c>
      <c r="B942" s="46">
        <f>'Issues &amp; Punch List'!S128</f>
        <v/>
      </c>
      <c r="C942" s="84">
        <f>'Issues &amp; Punch List'!Q128</f>
        <v/>
      </c>
      <c r="D942" s="46">
        <f>'Issues &amp; Punch List'!R128</f>
        <v/>
      </c>
      <c r="E942" s="46">
        <f>IF(OR(B942="",C942="",D942=""),"",D942*100000+(C942-DATE(2000,1,1))+ROW()/100000)</f>
        <v/>
      </c>
      <c r="F942" s="46">
        <f>IF(E942="","",IF(C942&gt;WeekEndDate,"",E942))</f>
        <v/>
      </c>
    </row>
    <row r="943">
      <c r="A943" t="inlineStr">
        <is>
          <t>Issues &amp; Punch List</t>
        </is>
      </c>
      <c r="B943" s="46">
        <f>'Issues &amp; Punch List'!S129</f>
        <v/>
      </c>
      <c r="C943" s="84">
        <f>'Issues &amp; Punch List'!Q129</f>
        <v/>
      </c>
      <c r="D943" s="46">
        <f>'Issues &amp; Punch List'!R129</f>
        <v/>
      </c>
      <c r="E943" s="46">
        <f>IF(OR(B943="",C943="",D943=""),"",D943*100000+(C943-DATE(2000,1,1))+ROW()/100000)</f>
        <v/>
      </c>
      <c r="F943" s="46">
        <f>IF(E943="","",IF(C943&gt;WeekEndDate,"",E943))</f>
        <v/>
      </c>
    </row>
    <row r="944">
      <c r="A944" t="inlineStr">
        <is>
          <t>Issues &amp; Punch List</t>
        </is>
      </c>
      <c r="B944" s="46">
        <f>'Issues &amp; Punch List'!S130</f>
        <v/>
      </c>
      <c r="C944" s="84">
        <f>'Issues &amp; Punch List'!Q130</f>
        <v/>
      </c>
      <c r="D944" s="46">
        <f>'Issues &amp; Punch List'!R130</f>
        <v/>
      </c>
      <c r="E944" s="46">
        <f>IF(OR(B944="",C944="",D944=""),"",D944*100000+(C944-DATE(2000,1,1))+ROW()/100000)</f>
        <v/>
      </c>
      <c r="F944" s="46">
        <f>IF(E944="","",IF(C944&gt;WeekEndDate,"",E944))</f>
        <v/>
      </c>
    </row>
    <row r="945">
      <c r="A945" t="inlineStr">
        <is>
          <t>Issues &amp; Punch List</t>
        </is>
      </c>
      <c r="B945" s="46">
        <f>'Issues &amp; Punch List'!S131</f>
        <v/>
      </c>
      <c r="C945" s="84">
        <f>'Issues &amp; Punch List'!Q131</f>
        <v/>
      </c>
      <c r="D945" s="46">
        <f>'Issues &amp; Punch List'!R131</f>
        <v/>
      </c>
      <c r="E945" s="46">
        <f>IF(OR(B945="",C945="",D945=""),"",D945*100000+(C945-DATE(2000,1,1))+ROW()/100000)</f>
        <v/>
      </c>
      <c r="F945" s="46">
        <f>IF(E945="","",IF(C945&gt;WeekEndDate,"",E945))</f>
        <v/>
      </c>
    </row>
    <row r="946">
      <c r="A946" t="inlineStr">
        <is>
          <t>Issues &amp; Punch List</t>
        </is>
      </c>
      <c r="B946" s="46">
        <f>'Issues &amp; Punch List'!S132</f>
        <v/>
      </c>
      <c r="C946" s="84">
        <f>'Issues &amp; Punch List'!Q132</f>
        <v/>
      </c>
      <c r="D946" s="46">
        <f>'Issues &amp; Punch List'!R132</f>
        <v/>
      </c>
      <c r="E946" s="46">
        <f>IF(OR(B946="",C946="",D946=""),"",D946*100000+(C946-DATE(2000,1,1))+ROW()/100000)</f>
        <v/>
      </c>
      <c r="F946" s="46">
        <f>IF(E946="","",IF(C946&gt;WeekEndDate,"",E946))</f>
        <v/>
      </c>
    </row>
    <row r="947">
      <c r="A947" t="inlineStr">
        <is>
          <t>Issues &amp; Punch List</t>
        </is>
      </c>
      <c r="B947" s="46">
        <f>'Issues &amp; Punch List'!S133</f>
        <v/>
      </c>
      <c r="C947" s="84">
        <f>'Issues &amp; Punch List'!Q133</f>
        <v/>
      </c>
      <c r="D947" s="46">
        <f>'Issues &amp; Punch List'!R133</f>
        <v/>
      </c>
      <c r="E947" s="46">
        <f>IF(OR(B947="",C947="",D947=""),"",D947*100000+(C947-DATE(2000,1,1))+ROW()/100000)</f>
        <v/>
      </c>
      <c r="F947" s="46">
        <f>IF(E947="","",IF(C947&gt;WeekEndDate,"",E947))</f>
        <v/>
      </c>
    </row>
    <row r="948">
      <c r="A948" t="inlineStr">
        <is>
          <t>Issues &amp; Punch List</t>
        </is>
      </c>
      <c r="B948" s="46">
        <f>'Issues &amp; Punch List'!S134</f>
        <v/>
      </c>
      <c r="C948" s="84">
        <f>'Issues &amp; Punch List'!Q134</f>
        <v/>
      </c>
      <c r="D948" s="46">
        <f>'Issues &amp; Punch List'!R134</f>
        <v/>
      </c>
      <c r="E948" s="46">
        <f>IF(OR(B948="",C948="",D948=""),"",D948*100000+(C948-DATE(2000,1,1))+ROW()/100000)</f>
        <v/>
      </c>
      <c r="F948" s="46">
        <f>IF(E948="","",IF(C948&gt;WeekEndDate,"",E948))</f>
        <v/>
      </c>
    </row>
    <row r="949">
      <c r="A949" t="inlineStr">
        <is>
          <t>Issues &amp; Punch List</t>
        </is>
      </c>
      <c r="B949" s="46">
        <f>'Issues &amp; Punch List'!S135</f>
        <v/>
      </c>
      <c r="C949" s="84">
        <f>'Issues &amp; Punch List'!Q135</f>
        <v/>
      </c>
      <c r="D949" s="46">
        <f>'Issues &amp; Punch List'!R135</f>
        <v/>
      </c>
      <c r="E949" s="46">
        <f>IF(OR(B949="",C949="",D949=""),"",D949*100000+(C949-DATE(2000,1,1))+ROW()/100000)</f>
        <v/>
      </c>
      <c r="F949" s="46">
        <f>IF(E949="","",IF(C949&gt;WeekEndDate,"",E949))</f>
        <v/>
      </c>
    </row>
    <row r="950">
      <c r="A950" t="inlineStr">
        <is>
          <t>Issues &amp; Punch List</t>
        </is>
      </c>
      <c r="B950" s="46">
        <f>'Issues &amp; Punch List'!S136</f>
        <v/>
      </c>
      <c r="C950" s="84">
        <f>'Issues &amp; Punch List'!Q136</f>
        <v/>
      </c>
      <c r="D950" s="46">
        <f>'Issues &amp; Punch List'!R136</f>
        <v/>
      </c>
      <c r="E950" s="46">
        <f>IF(OR(B950="",C950="",D950=""),"",D950*100000+(C950-DATE(2000,1,1))+ROW()/100000)</f>
        <v/>
      </c>
      <c r="F950" s="46">
        <f>IF(E950="","",IF(C950&gt;WeekEndDate,"",E950))</f>
        <v/>
      </c>
    </row>
    <row r="951">
      <c r="A951" t="inlineStr">
        <is>
          <t>Issues &amp; Punch List</t>
        </is>
      </c>
      <c r="B951" s="46">
        <f>'Issues &amp; Punch List'!S137</f>
        <v/>
      </c>
      <c r="C951" s="84">
        <f>'Issues &amp; Punch List'!Q137</f>
        <v/>
      </c>
      <c r="D951" s="46">
        <f>'Issues &amp; Punch List'!R137</f>
        <v/>
      </c>
      <c r="E951" s="46">
        <f>IF(OR(B951="",C951="",D951=""),"",D951*100000+(C951-DATE(2000,1,1))+ROW()/100000)</f>
        <v/>
      </c>
      <c r="F951" s="46">
        <f>IF(E951="","",IF(C951&gt;WeekEndDate,"",E951))</f>
        <v/>
      </c>
    </row>
    <row r="952">
      <c r="A952" t="inlineStr">
        <is>
          <t>Issues &amp; Punch List</t>
        </is>
      </c>
      <c r="B952" s="46">
        <f>'Issues &amp; Punch List'!S138</f>
        <v/>
      </c>
      <c r="C952" s="84">
        <f>'Issues &amp; Punch List'!Q138</f>
        <v/>
      </c>
      <c r="D952" s="46">
        <f>'Issues &amp; Punch List'!R138</f>
        <v/>
      </c>
      <c r="E952" s="46">
        <f>IF(OR(B952="",C952="",D952=""),"",D952*100000+(C952-DATE(2000,1,1))+ROW()/100000)</f>
        <v/>
      </c>
      <c r="F952" s="46">
        <f>IF(E952="","",IF(C952&gt;WeekEndDate,"",E952))</f>
        <v/>
      </c>
    </row>
    <row r="953">
      <c r="A953" t="inlineStr">
        <is>
          <t>Issues &amp; Punch List</t>
        </is>
      </c>
      <c r="B953" s="46">
        <f>'Issues &amp; Punch List'!S139</f>
        <v/>
      </c>
      <c r="C953" s="84">
        <f>'Issues &amp; Punch List'!Q139</f>
        <v/>
      </c>
      <c r="D953" s="46">
        <f>'Issues &amp; Punch List'!R139</f>
        <v/>
      </c>
      <c r="E953" s="46">
        <f>IF(OR(B953="",C953="",D953=""),"",D953*100000+(C953-DATE(2000,1,1))+ROW()/100000)</f>
        <v/>
      </c>
      <c r="F953" s="46">
        <f>IF(E953="","",IF(C953&gt;WeekEndDate,"",E953))</f>
        <v/>
      </c>
    </row>
    <row r="954">
      <c r="A954" t="inlineStr">
        <is>
          <t>Issues &amp; Punch List</t>
        </is>
      </c>
      <c r="B954" s="46">
        <f>'Issues &amp; Punch List'!S140</f>
        <v/>
      </c>
      <c r="C954" s="84">
        <f>'Issues &amp; Punch List'!Q140</f>
        <v/>
      </c>
      <c r="D954" s="46">
        <f>'Issues &amp; Punch List'!R140</f>
        <v/>
      </c>
      <c r="E954" s="46">
        <f>IF(OR(B954="",C954="",D954=""),"",D954*100000+(C954-DATE(2000,1,1))+ROW()/100000)</f>
        <v/>
      </c>
      <c r="F954" s="46">
        <f>IF(E954="","",IF(C954&gt;WeekEndDate,"",E954))</f>
        <v/>
      </c>
    </row>
    <row r="955">
      <c r="A955" t="inlineStr">
        <is>
          <t>Issues &amp; Punch List</t>
        </is>
      </c>
      <c r="B955" s="46">
        <f>'Issues &amp; Punch List'!S141</f>
        <v/>
      </c>
      <c r="C955" s="84">
        <f>'Issues &amp; Punch List'!Q141</f>
        <v/>
      </c>
      <c r="D955" s="46">
        <f>'Issues &amp; Punch List'!R141</f>
        <v/>
      </c>
      <c r="E955" s="46">
        <f>IF(OR(B955="",C955="",D955=""),"",D955*100000+(C955-DATE(2000,1,1))+ROW()/100000)</f>
        <v/>
      </c>
      <c r="F955" s="46">
        <f>IF(E955="","",IF(C955&gt;WeekEndDate,"",E955))</f>
        <v/>
      </c>
    </row>
    <row r="956">
      <c r="A956" t="inlineStr">
        <is>
          <t>Issues &amp; Punch List</t>
        </is>
      </c>
      <c r="B956" s="46">
        <f>'Issues &amp; Punch List'!S142</f>
        <v/>
      </c>
      <c r="C956" s="84">
        <f>'Issues &amp; Punch List'!Q142</f>
        <v/>
      </c>
      <c r="D956" s="46">
        <f>'Issues &amp; Punch List'!R142</f>
        <v/>
      </c>
      <c r="E956" s="46">
        <f>IF(OR(B956="",C956="",D956=""),"",D956*100000+(C956-DATE(2000,1,1))+ROW()/100000)</f>
        <v/>
      </c>
      <c r="F956" s="46">
        <f>IF(E956="","",IF(C956&gt;WeekEndDate,"",E956))</f>
        <v/>
      </c>
    </row>
    <row r="957">
      <c r="A957" t="inlineStr">
        <is>
          <t>Issues &amp; Punch List</t>
        </is>
      </c>
      <c r="B957" s="46">
        <f>'Issues &amp; Punch List'!S143</f>
        <v/>
      </c>
      <c r="C957" s="84">
        <f>'Issues &amp; Punch List'!Q143</f>
        <v/>
      </c>
      <c r="D957" s="46">
        <f>'Issues &amp; Punch List'!R143</f>
        <v/>
      </c>
      <c r="E957" s="46">
        <f>IF(OR(B957="",C957="",D957=""),"",D957*100000+(C957-DATE(2000,1,1))+ROW()/100000)</f>
        <v/>
      </c>
      <c r="F957" s="46">
        <f>IF(E957="","",IF(C957&gt;WeekEndDate,"",E957))</f>
        <v/>
      </c>
    </row>
    <row r="958">
      <c r="A958" t="inlineStr">
        <is>
          <t>Issues &amp; Punch List</t>
        </is>
      </c>
      <c r="B958" s="46">
        <f>'Issues &amp; Punch List'!S144</f>
        <v/>
      </c>
      <c r="C958" s="84">
        <f>'Issues &amp; Punch List'!Q144</f>
        <v/>
      </c>
      <c r="D958" s="46">
        <f>'Issues &amp; Punch List'!R144</f>
        <v/>
      </c>
      <c r="E958" s="46">
        <f>IF(OR(B958="",C958="",D958=""),"",D958*100000+(C958-DATE(2000,1,1))+ROW()/100000)</f>
        <v/>
      </c>
      <c r="F958" s="46">
        <f>IF(E958="","",IF(C958&gt;WeekEndDate,"",E958))</f>
        <v/>
      </c>
    </row>
    <row r="959">
      <c r="A959" t="inlineStr">
        <is>
          <t>Issues &amp; Punch List</t>
        </is>
      </c>
      <c r="B959" s="46">
        <f>'Issues &amp; Punch List'!S145</f>
        <v/>
      </c>
      <c r="C959" s="84">
        <f>'Issues &amp; Punch List'!Q145</f>
        <v/>
      </c>
      <c r="D959" s="46">
        <f>'Issues &amp; Punch List'!R145</f>
        <v/>
      </c>
      <c r="E959" s="46">
        <f>IF(OR(B959="",C959="",D959=""),"",D959*100000+(C959-DATE(2000,1,1))+ROW()/100000)</f>
        <v/>
      </c>
      <c r="F959" s="46">
        <f>IF(E959="","",IF(C959&gt;WeekEndDate,"",E959))</f>
        <v/>
      </c>
    </row>
    <row r="960">
      <c r="A960" t="inlineStr">
        <is>
          <t>Issues &amp; Punch List</t>
        </is>
      </c>
      <c r="B960" s="46">
        <f>'Issues &amp; Punch List'!S146</f>
        <v/>
      </c>
      <c r="C960" s="84">
        <f>'Issues &amp; Punch List'!Q146</f>
        <v/>
      </c>
      <c r="D960" s="46">
        <f>'Issues &amp; Punch List'!R146</f>
        <v/>
      </c>
      <c r="E960" s="46">
        <f>IF(OR(B960="",C960="",D960=""),"",D960*100000+(C960-DATE(2000,1,1))+ROW()/100000)</f>
        <v/>
      </c>
      <c r="F960" s="46">
        <f>IF(E960="","",IF(C960&gt;WeekEndDate,"",E960))</f>
        <v/>
      </c>
    </row>
    <row r="961">
      <c r="A961" t="inlineStr">
        <is>
          <t>Issues &amp; Punch List</t>
        </is>
      </c>
      <c r="B961" s="46">
        <f>'Issues &amp; Punch List'!S147</f>
        <v/>
      </c>
      <c r="C961" s="84">
        <f>'Issues &amp; Punch List'!Q147</f>
        <v/>
      </c>
      <c r="D961" s="46">
        <f>'Issues &amp; Punch List'!R147</f>
        <v/>
      </c>
      <c r="E961" s="46">
        <f>IF(OR(B961="",C961="",D961=""),"",D961*100000+(C961-DATE(2000,1,1))+ROW()/100000)</f>
        <v/>
      </c>
      <c r="F961" s="46">
        <f>IF(E961="","",IF(C961&gt;WeekEndDate,"",E961))</f>
        <v/>
      </c>
    </row>
    <row r="962">
      <c r="A962" t="inlineStr">
        <is>
          <t>Issues &amp; Punch List</t>
        </is>
      </c>
      <c r="B962" s="46">
        <f>'Issues &amp; Punch List'!S148</f>
        <v/>
      </c>
      <c r="C962" s="84">
        <f>'Issues &amp; Punch List'!Q148</f>
        <v/>
      </c>
      <c r="D962" s="46">
        <f>'Issues &amp; Punch List'!R148</f>
        <v/>
      </c>
      <c r="E962" s="46">
        <f>IF(OR(B962="",C962="",D962=""),"",D962*100000+(C962-DATE(2000,1,1))+ROW()/100000)</f>
        <v/>
      </c>
      <c r="F962" s="46">
        <f>IF(E962="","",IF(C962&gt;WeekEndDate,"",E962))</f>
        <v/>
      </c>
    </row>
    <row r="963">
      <c r="A963" t="inlineStr">
        <is>
          <t>Issues &amp; Punch List</t>
        </is>
      </c>
      <c r="B963" s="46">
        <f>'Issues &amp; Punch List'!S149</f>
        <v/>
      </c>
      <c r="C963" s="84">
        <f>'Issues &amp; Punch List'!Q149</f>
        <v/>
      </c>
      <c r="D963" s="46">
        <f>'Issues &amp; Punch List'!R149</f>
        <v/>
      </c>
      <c r="E963" s="46">
        <f>IF(OR(B963="",C963="",D963=""),"",D963*100000+(C963-DATE(2000,1,1))+ROW()/100000)</f>
        <v/>
      </c>
      <c r="F963" s="46">
        <f>IF(E963="","",IF(C963&gt;WeekEndDate,"",E963))</f>
        <v/>
      </c>
    </row>
    <row r="964">
      <c r="A964" t="inlineStr">
        <is>
          <t>Issues &amp; Punch List</t>
        </is>
      </c>
      <c r="B964" s="46">
        <f>'Issues &amp; Punch List'!S150</f>
        <v/>
      </c>
      <c r="C964" s="84">
        <f>'Issues &amp; Punch List'!Q150</f>
        <v/>
      </c>
      <c r="D964" s="46">
        <f>'Issues &amp; Punch List'!R150</f>
        <v/>
      </c>
      <c r="E964" s="46">
        <f>IF(OR(B964="",C964="",D964=""),"",D964*100000+(C964-DATE(2000,1,1))+ROW()/100000)</f>
        <v/>
      </c>
      <c r="F964" s="46">
        <f>IF(E964="","",IF(C964&gt;WeekEndDate,"",E964))</f>
        <v/>
      </c>
    </row>
    <row r="965">
      <c r="A965" t="inlineStr">
        <is>
          <t>Issues &amp; Punch List</t>
        </is>
      </c>
      <c r="B965" s="46">
        <f>'Issues &amp; Punch List'!S151</f>
        <v/>
      </c>
      <c r="C965" s="84">
        <f>'Issues &amp; Punch List'!Q151</f>
        <v/>
      </c>
      <c r="D965" s="46">
        <f>'Issues &amp; Punch List'!R151</f>
        <v/>
      </c>
      <c r="E965" s="46">
        <f>IF(OR(B965="",C965="",D965=""),"",D965*100000+(C965-DATE(2000,1,1))+ROW()/100000)</f>
        <v/>
      </c>
      <c r="F965" s="46">
        <f>IF(E965="","",IF(C965&gt;WeekEndDate,"",E965))</f>
        <v/>
      </c>
    </row>
    <row r="966">
      <c r="A966" t="inlineStr">
        <is>
          <t>Issues &amp; Punch List</t>
        </is>
      </c>
      <c r="B966" s="46">
        <f>'Issues &amp; Punch List'!S152</f>
        <v/>
      </c>
      <c r="C966" s="84">
        <f>'Issues &amp; Punch List'!Q152</f>
        <v/>
      </c>
      <c r="D966" s="46">
        <f>'Issues &amp; Punch List'!R152</f>
        <v/>
      </c>
      <c r="E966" s="46">
        <f>IF(OR(B966="",C966="",D966=""),"",D966*100000+(C966-DATE(2000,1,1))+ROW()/100000)</f>
        <v/>
      </c>
      <c r="F966" s="46">
        <f>IF(E966="","",IF(C966&gt;WeekEndDate,"",E966))</f>
        <v/>
      </c>
    </row>
    <row r="967">
      <c r="A967" t="inlineStr">
        <is>
          <t>Issues &amp; Punch List</t>
        </is>
      </c>
      <c r="B967" s="46">
        <f>'Issues &amp; Punch List'!S153</f>
        <v/>
      </c>
      <c r="C967" s="84">
        <f>'Issues &amp; Punch List'!Q153</f>
        <v/>
      </c>
      <c r="D967" s="46">
        <f>'Issues &amp; Punch List'!R153</f>
        <v/>
      </c>
      <c r="E967" s="46">
        <f>IF(OR(B967="",C967="",D967=""),"",D967*100000+(C967-DATE(2000,1,1))+ROW()/100000)</f>
        <v/>
      </c>
      <c r="F967" s="46">
        <f>IF(E967="","",IF(C967&gt;WeekEndDate,"",E967))</f>
        <v/>
      </c>
    </row>
    <row r="968">
      <c r="A968" t="inlineStr">
        <is>
          <t>Issues &amp; Punch List</t>
        </is>
      </c>
      <c r="B968" s="46">
        <f>'Issues &amp; Punch List'!S154</f>
        <v/>
      </c>
      <c r="C968" s="84">
        <f>'Issues &amp; Punch List'!Q154</f>
        <v/>
      </c>
      <c r="D968" s="46">
        <f>'Issues &amp; Punch List'!R154</f>
        <v/>
      </c>
      <c r="E968" s="46">
        <f>IF(OR(B968="",C968="",D968=""),"",D968*100000+(C968-DATE(2000,1,1))+ROW()/100000)</f>
        <v/>
      </c>
      <c r="F968" s="46">
        <f>IF(E968="","",IF(C968&gt;WeekEndDate,"",E968))</f>
        <v/>
      </c>
    </row>
    <row r="969">
      <c r="A969" t="inlineStr">
        <is>
          <t>Issues &amp; Punch List</t>
        </is>
      </c>
      <c r="B969" s="46">
        <f>'Issues &amp; Punch List'!S155</f>
        <v/>
      </c>
      <c r="C969" s="84">
        <f>'Issues &amp; Punch List'!Q155</f>
        <v/>
      </c>
      <c r="D969" s="46">
        <f>'Issues &amp; Punch List'!R155</f>
        <v/>
      </c>
      <c r="E969" s="46">
        <f>IF(OR(B969="",C969="",D969=""),"",D969*100000+(C969-DATE(2000,1,1))+ROW()/100000)</f>
        <v/>
      </c>
      <c r="F969" s="46">
        <f>IF(E969="","",IF(C969&gt;WeekEndDate,"",E969))</f>
        <v/>
      </c>
    </row>
    <row r="970">
      <c r="A970" t="inlineStr">
        <is>
          <t>Issues &amp; Punch List</t>
        </is>
      </c>
      <c r="B970" s="46">
        <f>'Issues &amp; Punch List'!S156</f>
        <v/>
      </c>
      <c r="C970" s="84">
        <f>'Issues &amp; Punch List'!Q156</f>
        <v/>
      </c>
      <c r="D970" s="46">
        <f>'Issues &amp; Punch List'!R156</f>
        <v/>
      </c>
      <c r="E970" s="46">
        <f>IF(OR(B970="",C970="",D970=""),"",D970*100000+(C970-DATE(2000,1,1))+ROW()/100000)</f>
        <v/>
      </c>
      <c r="F970" s="46">
        <f>IF(E970="","",IF(C970&gt;WeekEndDate,"",E970))</f>
        <v/>
      </c>
    </row>
    <row r="971">
      <c r="A971" t="inlineStr">
        <is>
          <t>Issues &amp; Punch List</t>
        </is>
      </c>
      <c r="B971" s="46">
        <f>'Issues &amp; Punch List'!S157</f>
        <v/>
      </c>
      <c r="C971" s="84">
        <f>'Issues &amp; Punch List'!Q157</f>
        <v/>
      </c>
      <c r="D971" s="46">
        <f>'Issues &amp; Punch List'!R157</f>
        <v/>
      </c>
      <c r="E971" s="46">
        <f>IF(OR(B971="",C971="",D971=""),"",D971*100000+(C971-DATE(2000,1,1))+ROW()/100000)</f>
        <v/>
      </c>
      <c r="F971" s="46">
        <f>IF(E971="","",IF(C971&gt;WeekEndDate,"",E971))</f>
        <v/>
      </c>
    </row>
    <row r="972">
      <c r="A972" t="inlineStr">
        <is>
          <t>Issues &amp; Punch List</t>
        </is>
      </c>
      <c r="B972" s="46">
        <f>'Issues &amp; Punch List'!S158</f>
        <v/>
      </c>
      <c r="C972" s="84">
        <f>'Issues &amp; Punch List'!Q158</f>
        <v/>
      </c>
      <c r="D972" s="46">
        <f>'Issues &amp; Punch List'!R158</f>
        <v/>
      </c>
      <c r="E972" s="46">
        <f>IF(OR(B972="",C972="",D972=""),"",D972*100000+(C972-DATE(2000,1,1))+ROW()/100000)</f>
        <v/>
      </c>
      <c r="F972" s="46">
        <f>IF(E972="","",IF(C972&gt;WeekEndDate,"",E972))</f>
        <v/>
      </c>
    </row>
    <row r="973">
      <c r="A973" t="inlineStr">
        <is>
          <t>Issues &amp; Punch List</t>
        </is>
      </c>
      <c r="B973" s="46">
        <f>'Issues &amp; Punch List'!S159</f>
        <v/>
      </c>
      <c r="C973" s="84">
        <f>'Issues &amp; Punch List'!Q159</f>
        <v/>
      </c>
      <c r="D973" s="46">
        <f>'Issues &amp; Punch List'!R159</f>
        <v/>
      </c>
      <c r="E973" s="46">
        <f>IF(OR(B973="",C973="",D973=""),"",D973*100000+(C973-DATE(2000,1,1))+ROW()/100000)</f>
        <v/>
      </c>
      <c r="F973" s="46">
        <f>IF(E973="","",IF(C973&gt;WeekEndDate,"",E973))</f>
        <v/>
      </c>
    </row>
    <row r="974">
      <c r="A974" t="inlineStr">
        <is>
          <t>Issues &amp; Punch List</t>
        </is>
      </c>
      <c r="B974" s="46">
        <f>'Issues &amp; Punch List'!S160</f>
        <v/>
      </c>
      <c r="C974" s="84">
        <f>'Issues &amp; Punch List'!Q160</f>
        <v/>
      </c>
      <c r="D974" s="46">
        <f>'Issues &amp; Punch List'!R160</f>
        <v/>
      </c>
      <c r="E974" s="46">
        <f>IF(OR(B974="",C974="",D974=""),"",D974*100000+(C974-DATE(2000,1,1))+ROW()/100000)</f>
        <v/>
      </c>
      <c r="F974" s="46">
        <f>IF(E974="","",IF(C974&gt;WeekEndDate,"",E974))</f>
        <v/>
      </c>
    </row>
    <row r="975">
      <c r="A975" t="inlineStr">
        <is>
          <t>Issues &amp; Punch List</t>
        </is>
      </c>
      <c r="B975" s="46">
        <f>'Issues &amp; Punch List'!S161</f>
        <v/>
      </c>
      <c r="C975" s="84">
        <f>'Issues &amp; Punch List'!Q161</f>
        <v/>
      </c>
      <c r="D975" s="46">
        <f>'Issues &amp; Punch List'!R161</f>
        <v/>
      </c>
      <c r="E975" s="46">
        <f>IF(OR(B975="",C975="",D975=""),"",D975*100000+(C975-DATE(2000,1,1))+ROW()/100000)</f>
        <v/>
      </c>
      <c r="F975" s="46">
        <f>IF(E975="","",IF(C975&gt;WeekEndDate,"",E975))</f>
        <v/>
      </c>
    </row>
    <row r="976">
      <c r="A976" t="inlineStr">
        <is>
          <t>Issues &amp; Punch List</t>
        </is>
      </c>
      <c r="B976" s="46">
        <f>'Issues &amp; Punch List'!S162</f>
        <v/>
      </c>
      <c r="C976" s="84">
        <f>'Issues &amp; Punch List'!Q162</f>
        <v/>
      </c>
      <c r="D976" s="46">
        <f>'Issues &amp; Punch List'!R162</f>
        <v/>
      </c>
      <c r="E976" s="46">
        <f>IF(OR(B976="",C976="",D976=""),"",D976*100000+(C976-DATE(2000,1,1))+ROW()/100000)</f>
        <v/>
      </c>
      <c r="F976" s="46">
        <f>IF(E976="","",IF(C976&gt;WeekEndDate,"",E976))</f>
        <v/>
      </c>
    </row>
    <row r="977">
      <c r="A977" t="inlineStr">
        <is>
          <t>Issues &amp; Punch List</t>
        </is>
      </c>
      <c r="B977" s="46">
        <f>'Issues &amp; Punch List'!S163</f>
        <v/>
      </c>
      <c r="C977" s="84">
        <f>'Issues &amp; Punch List'!Q163</f>
        <v/>
      </c>
      <c r="D977" s="46">
        <f>'Issues &amp; Punch List'!R163</f>
        <v/>
      </c>
      <c r="E977" s="46">
        <f>IF(OR(B977="",C977="",D977=""),"",D977*100000+(C977-DATE(2000,1,1))+ROW()/100000)</f>
        <v/>
      </c>
      <c r="F977" s="46">
        <f>IF(E977="","",IF(C977&gt;WeekEndDate,"",E977))</f>
        <v/>
      </c>
    </row>
    <row r="978">
      <c r="A978" t="inlineStr">
        <is>
          <t>Issues &amp; Punch List</t>
        </is>
      </c>
      <c r="B978" s="46">
        <f>'Issues &amp; Punch List'!S164</f>
        <v/>
      </c>
      <c r="C978" s="84">
        <f>'Issues &amp; Punch List'!Q164</f>
        <v/>
      </c>
      <c r="D978" s="46">
        <f>'Issues &amp; Punch List'!R164</f>
        <v/>
      </c>
      <c r="E978" s="46">
        <f>IF(OR(B978="",C978="",D978=""),"",D978*100000+(C978-DATE(2000,1,1))+ROW()/100000)</f>
        <v/>
      </c>
      <c r="F978" s="46">
        <f>IF(E978="","",IF(C978&gt;WeekEndDate,"",E978))</f>
        <v/>
      </c>
    </row>
    <row r="979">
      <c r="A979" t="inlineStr">
        <is>
          <t>Issues &amp; Punch List</t>
        </is>
      </c>
      <c r="B979" s="46">
        <f>'Issues &amp; Punch List'!S165</f>
        <v/>
      </c>
      <c r="C979" s="84">
        <f>'Issues &amp; Punch List'!Q165</f>
        <v/>
      </c>
      <c r="D979" s="46">
        <f>'Issues &amp; Punch List'!R165</f>
        <v/>
      </c>
      <c r="E979" s="46">
        <f>IF(OR(B979="",C979="",D979=""),"",D979*100000+(C979-DATE(2000,1,1))+ROW()/100000)</f>
        <v/>
      </c>
      <c r="F979" s="46">
        <f>IF(E979="","",IF(C979&gt;WeekEndDate,"",E979))</f>
        <v/>
      </c>
    </row>
    <row r="980">
      <c r="A980" t="inlineStr">
        <is>
          <t>Issues &amp; Punch List</t>
        </is>
      </c>
      <c r="B980" s="46">
        <f>'Issues &amp; Punch List'!S166</f>
        <v/>
      </c>
      <c r="C980" s="84">
        <f>'Issues &amp; Punch List'!Q166</f>
        <v/>
      </c>
      <c r="D980" s="46">
        <f>'Issues &amp; Punch List'!R166</f>
        <v/>
      </c>
      <c r="E980" s="46">
        <f>IF(OR(B980="",C980="",D980=""),"",D980*100000+(C980-DATE(2000,1,1))+ROW()/100000)</f>
        <v/>
      </c>
      <c r="F980" s="46">
        <f>IF(E980="","",IF(C980&gt;WeekEndDate,"",E980))</f>
        <v/>
      </c>
    </row>
    <row r="981">
      <c r="A981" t="inlineStr">
        <is>
          <t>Issues &amp; Punch List</t>
        </is>
      </c>
      <c r="B981" s="46">
        <f>'Issues &amp; Punch List'!S167</f>
        <v/>
      </c>
      <c r="C981" s="84">
        <f>'Issues &amp; Punch List'!Q167</f>
        <v/>
      </c>
      <c r="D981" s="46">
        <f>'Issues &amp; Punch List'!R167</f>
        <v/>
      </c>
      <c r="E981" s="46">
        <f>IF(OR(B981="",C981="",D981=""),"",D981*100000+(C981-DATE(2000,1,1))+ROW()/100000)</f>
        <v/>
      </c>
      <c r="F981" s="46">
        <f>IF(E981="","",IF(C981&gt;WeekEndDate,"",E981))</f>
        <v/>
      </c>
    </row>
    <row r="982">
      <c r="A982" t="inlineStr">
        <is>
          <t>Issues &amp; Punch List</t>
        </is>
      </c>
      <c r="B982" s="46">
        <f>'Issues &amp; Punch List'!S168</f>
        <v/>
      </c>
      <c r="C982" s="84">
        <f>'Issues &amp; Punch List'!Q168</f>
        <v/>
      </c>
      <c r="D982" s="46">
        <f>'Issues &amp; Punch List'!R168</f>
        <v/>
      </c>
      <c r="E982" s="46">
        <f>IF(OR(B982="",C982="",D982=""),"",D982*100000+(C982-DATE(2000,1,1))+ROW()/100000)</f>
        <v/>
      </c>
      <c r="F982" s="46">
        <f>IF(E982="","",IF(C982&gt;WeekEndDate,"",E982))</f>
        <v/>
      </c>
    </row>
    <row r="983">
      <c r="A983" t="inlineStr">
        <is>
          <t>Issues &amp; Punch List</t>
        </is>
      </c>
      <c r="B983" s="46">
        <f>'Issues &amp; Punch List'!S169</f>
        <v/>
      </c>
      <c r="C983" s="84">
        <f>'Issues &amp; Punch List'!Q169</f>
        <v/>
      </c>
      <c r="D983" s="46">
        <f>'Issues &amp; Punch List'!R169</f>
        <v/>
      </c>
      <c r="E983" s="46">
        <f>IF(OR(B983="",C983="",D983=""),"",D983*100000+(C983-DATE(2000,1,1))+ROW()/100000)</f>
        <v/>
      </c>
      <c r="F983" s="46">
        <f>IF(E983="","",IF(C983&gt;WeekEndDate,"",E983))</f>
        <v/>
      </c>
    </row>
    <row r="984">
      <c r="A984" t="inlineStr">
        <is>
          <t>Issues &amp; Punch List</t>
        </is>
      </c>
      <c r="B984" s="46">
        <f>'Issues &amp; Punch List'!S170</f>
        <v/>
      </c>
      <c r="C984" s="84">
        <f>'Issues &amp; Punch List'!Q170</f>
        <v/>
      </c>
      <c r="D984" s="46">
        <f>'Issues &amp; Punch List'!R170</f>
        <v/>
      </c>
      <c r="E984" s="46">
        <f>IF(OR(B984="",C984="",D984=""),"",D984*100000+(C984-DATE(2000,1,1))+ROW()/100000)</f>
        <v/>
      </c>
      <c r="F984" s="46">
        <f>IF(E984="","",IF(C984&gt;WeekEndDate,"",E984))</f>
        <v/>
      </c>
    </row>
    <row r="985">
      <c r="A985" t="inlineStr">
        <is>
          <t>Issues &amp; Punch List</t>
        </is>
      </c>
      <c r="B985" s="46">
        <f>'Issues &amp; Punch List'!S171</f>
        <v/>
      </c>
      <c r="C985" s="84">
        <f>'Issues &amp; Punch List'!Q171</f>
        <v/>
      </c>
      <c r="D985" s="46">
        <f>'Issues &amp; Punch List'!R171</f>
        <v/>
      </c>
      <c r="E985" s="46">
        <f>IF(OR(B985="",C985="",D985=""),"",D985*100000+(C985-DATE(2000,1,1))+ROW()/100000)</f>
        <v/>
      </c>
      <c r="F985" s="46">
        <f>IF(E985="","",IF(C985&gt;WeekEndDate,"",E985))</f>
        <v/>
      </c>
    </row>
    <row r="986">
      <c r="A986" t="inlineStr">
        <is>
          <t>Issues &amp; Punch List</t>
        </is>
      </c>
      <c r="B986" s="46">
        <f>'Issues &amp; Punch List'!S172</f>
        <v/>
      </c>
      <c r="C986" s="84">
        <f>'Issues &amp; Punch List'!Q172</f>
        <v/>
      </c>
      <c r="D986" s="46">
        <f>'Issues &amp; Punch List'!R172</f>
        <v/>
      </c>
      <c r="E986" s="46">
        <f>IF(OR(B986="",C986="",D986=""),"",D986*100000+(C986-DATE(2000,1,1))+ROW()/100000)</f>
        <v/>
      </c>
      <c r="F986" s="46">
        <f>IF(E986="","",IF(C986&gt;WeekEndDate,"",E986))</f>
        <v/>
      </c>
    </row>
    <row r="987">
      <c r="A987" t="inlineStr">
        <is>
          <t>Issues &amp; Punch List</t>
        </is>
      </c>
      <c r="B987" s="46">
        <f>'Issues &amp; Punch List'!S173</f>
        <v/>
      </c>
      <c r="C987" s="84">
        <f>'Issues &amp; Punch List'!Q173</f>
        <v/>
      </c>
      <c r="D987" s="46">
        <f>'Issues &amp; Punch List'!R173</f>
        <v/>
      </c>
      <c r="E987" s="46">
        <f>IF(OR(B987="",C987="",D987=""),"",D987*100000+(C987-DATE(2000,1,1))+ROW()/100000)</f>
        <v/>
      </c>
      <c r="F987" s="46">
        <f>IF(E987="","",IF(C987&gt;WeekEndDate,"",E987))</f>
        <v/>
      </c>
    </row>
    <row r="988">
      <c r="A988" t="inlineStr">
        <is>
          <t>Issues &amp; Punch List</t>
        </is>
      </c>
      <c r="B988" s="46">
        <f>'Issues &amp; Punch List'!S174</f>
        <v/>
      </c>
      <c r="C988" s="84">
        <f>'Issues &amp; Punch List'!Q174</f>
        <v/>
      </c>
      <c r="D988" s="46">
        <f>'Issues &amp; Punch List'!R174</f>
        <v/>
      </c>
      <c r="E988" s="46">
        <f>IF(OR(B988="",C988="",D988=""),"",D988*100000+(C988-DATE(2000,1,1))+ROW()/100000)</f>
        <v/>
      </c>
      <c r="F988" s="46">
        <f>IF(E988="","",IF(C988&gt;WeekEndDate,"",E988))</f>
        <v/>
      </c>
    </row>
    <row r="989">
      <c r="A989" t="inlineStr">
        <is>
          <t>Issues &amp; Punch List</t>
        </is>
      </c>
      <c r="B989" s="46">
        <f>'Issues &amp; Punch List'!S175</f>
        <v/>
      </c>
      <c r="C989" s="84">
        <f>'Issues &amp; Punch List'!Q175</f>
        <v/>
      </c>
      <c r="D989" s="46">
        <f>'Issues &amp; Punch List'!R175</f>
        <v/>
      </c>
      <c r="E989" s="46">
        <f>IF(OR(B989="",C989="",D989=""),"",D989*100000+(C989-DATE(2000,1,1))+ROW()/100000)</f>
        <v/>
      </c>
      <c r="F989" s="46">
        <f>IF(E989="","",IF(C989&gt;WeekEndDate,"",E989))</f>
        <v/>
      </c>
    </row>
    <row r="990">
      <c r="A990" t="inlineStr">
        <is>
          <t>Issues &amp; Punch List</t>
        </is>
      </c>
      <c r="B990" s="46">
        <f>'Issues &amp; Punch List'!S176</f>
        <v/>
      </c>
      <c r="C990" s="84">
        <f>'Issues &amp; Punch List'!Q176</f>
        <v/>
      </c>
      <c r="D990" s="46">
        <f>'Issues &amp; Punch List'!R176</f>
        <v/>
      </c>
      <c r="E990" s="46">
        <f>IF(OR(B990="",C990="",D990=""),"",D990*100000+(C990-DATE(2000,1,1))+ROW()/100000)</f>
        <v/>
      </c>
      <c r="F990" s="46">
        <f>IF(E990="","",IF(C990&gt;WeekEndDate,"",E990))</f>
        <v/>
      </c>
    </row>
    <row r="991">
      <c r="A991" t="inlineStr">
        <is>
          <t>Issues &amp; Punch List</t>
        </is>
      </c>
      <c r="B991" s="46">
        <f>'Issues &amp; Punch List'!S177</f>
        <v/>
      </c>
      <c r="C991" s="84">
        <f>'Issues &amp; Punch List'!Q177</f>
        <v/>
      </c>
      <c r="D991" s="46">
        <f>'Issues &amp; Punch List'!R177</f>
        <v/>
      </c>
      <c r="E991" s="46">
        <f>IF(OR(B991="",C991="",D991=""),"",D991*100000+(C991-DATE(2000,1,1))+ROW()/100000)</f>
        <v/>
      </c>
      <c r="F991" s="46">
        <f>IF(E991="","",IF(C991&gt;WeekEndDate,"",E991))</f>
        <v/>
      </c>
    </row>
    <row r="992">
      <c r="A992" t="inlineStr">
        <is>
          <t>Issues &amp; Punch List</t>
        </is>
      </c>
      <c r="B992" s="46">
        <f>'Issues &amp; Punch List'!S178</f>
        <v/>
      </c>
      <c r="C992" s="84">
        <f>'Issues &amp; Punch List'!Q178</f>
        <v/>
      </c>
      <c r="D992" s="46">
        <f>'Issues &amp; Punch List'!R178</f>
        <v/>
      </c>
      <c r="E992" s="46">
        <f>IF(OR(B992="",C992="",D992=""),"",D992*100000+(C992-DATE(2000,1,1))+ROW()/100000)</f>
        <v/>
      </c>
      <c r="F992" s="46">
        <f>IF(E992="","",IF(C992&gt;WeekEndDate,"",E992))</f>
        <v/>
      </c>
    </row>
    <row r="993">
      <c r="A993" t="inlineStr">
        <is>
          <t>Issues &amp; Punch List</t>
        </is>
      </c>
      <c r="B993" s="46">
        <f>'Issues &amp; Punch List'!S179</f>
        <v/>
      </c>
      <c r="C993" s="84">
        <f>'Issues &amp; Punch List'!Q179</f>
        <v/>
      </c>
      <c r="D993" s="46">
        <f>'Issues &amp; Punch List'!R179</f>
        <v/>
      </c>
      <c r="E993" s="46">
        <f>IF(OR(B993="",C993="",D993=""),"",D993*100000+(C993-DATE(2000,1,1))+ROW()/100000)</f>
        <v/>
      </c>
      <c r="F993" s="46">
        <f>IF(E993="","",IF(C993&gt;WeekEndDate,"",E993))</f>
        <v/>
      </c>
    </row>
    <row r="994">
      <c r="A994" t="inlineStr">
        <is>
          <t>Issues &amp; Punch List</t>
        </is>
      </c>
      <c r="B994" s="46">
        <f>'Issues &amp; Punch List'!S180</f>
        <v/>
      </c>
      <c r="C994" s="84">
        <f>'Issues &amp; Punch List'!Q180</f>
        <v/>
      </c>
      <c r="D994" s="46">
        <f>'Issues &amp; Punch List'!R180</f>
        <v/>
      </c>
      <c r="E994" s="46">
        <f>IF(OR(B994="",C994="",D994=""),"",D994*100000+(C994-DATE(2000,1,1))+ROW()/100000)</f>
        <v/>
      </c>
      <c r="F994" s="46">
        <f>IF(E994="","",IF(C994&gt;WeekEndDate,"",E994))</f>
        <v/>
      </c>
    </row>
    <row r="995">
      <c r="A995" t="inlineStr">
        <is>
          <t>Issues &amp; Punch List</t>
        </is>
      </c>
      <c r="B995" s="46">
        <f>'Issues &amp; Punch List'!S181</f>
        <v/>
      </c>
      <c r="C995" s="84">
        <f>'Issues &amp; Punch List'!Q181</f>
        <v/>
      </c>
      <c r="D995" s="46">
        <f>'Issues &amp; Punch List'!R181</f>
        <v/>
      </c>
      <c r="E995" s="46">
        <f>IF(OR(B995="",C995="",D995=""),"",D995*100000+(C995-DATE(2000,1,1))+ROW()/100000)</f>
        <v/>
      </c>
      <c r="F995" s="46">
        <f>IF(E995="","",IF(C995&gt;WeekEndDate,"",E995))</f>
        <v/>
      </c>
    </row>
    <row r="996">
      <c r="A996" t="inlineStr">
        <is>
          <t>Issues &amp; Punch List</t>
        </is>
      </c>
      <c r="B996" s="46">
        <f>'Issues &amp; Punch List'!S182</f>
        <v/>
      </c>
      <c r="C996" s="84">
        <f>'Issues &amp; Punch List'!Q182</f>
        <v/>
      </c>
      <c r="D996" s="46">
        <f>'Issues &amp; Punch List'!R182</f>
        <v/>
      </c>
      <c r="E996" s="46">
        <f>IF(OR(B996="",C996="",D996=""),"",D996*100000+(C996-DATE(2000,1,1))+ROW()/100000)</f>
        <v/>
      </c>
      <c r="F996" s="46">
        <f>IF(E996="","",IF(C996&gt;WeekEndDate,"",E996))</f>
        <v/>
      </c>
    </row>
    <row r="997">
      <c r="A997" t="inlineStr">
        <is>
          <t>Issues &amp; Punch List</t>
        </is>
      </c>
      <c r="B997" s="46">
        <f>'Issues &amp; Punch List'!S183</f>
        <v/>
      </c>
      <c r="C997" s="84">
        <f>'Issues &amp; Punch List'!Q183</f>
        <v/>
      </c>
      <c r="D997" s="46">
        <f>'Issues &amp; Punch List'!R183</f>
        <v/>
      </c>
      <c r="E997" s="46">
        <f>IF(OR(B997="",C997="",D997=""),"",D997*100000+(C997-DATE(2000,1,1))+ROW()/100000)</f>
        <v/>
      </c>
      <c r="F997" s="46">
        <f>IF(E997="","",IF(C997&gt;WeekEndDate,"",E997))</f>
        <v/>
      </c>
    </row>
    <row r="998">
      <c r="A998" t="inlineStr">
        <is>
          <t>Issues &amp; Punch List</t>
        </is>
      </c>
      <c r="B998" s="46">
        <f>'Issues &amp; Punch List'!S184</f>
        <v/>
      </c>
      <c r="C998" s="84">
        <f>'Issues &amp; Punch List'!Q184</f>
        <v/>
      </c>
      <c r="D998" s="46">
        <f>'Issues &amp; Punch List'!R184</f>
        <v/>
      </c>
      <c r="E998" s="46">
        <f>IF(OR(B998="",C998="",D998=""),"",D998*100000+(C998-DATE(2000,1,1))+ROW()/100000)</f>
        <v/>
      </c>
      <c r="F998" s="46">
        <f>IF(E998="","",IF(C998&gt;WeekEndDate,"",E998))</f>
        <v/>
      </c>
    </row>
    <row r="999">
      <c r="A999" t="inlineStr">
        <is>
          <t>Issues &amp; Punch List</t>
        </is>
      </c>
      <c r="B999" s="46">
        <f>'Issues &amp; Punch List'!S185</f>
        <v/>
      </c>
      <c r="C999" s="84">
        <f>'Issues &amp; Punch List'!Q185</f>
        <v/>
      </c>
      <c r="D999" s="46">
        <f>'Issues &amp; Punch List'!R185</f>
        <v/>
      </c>
      <c r="E999" s="46">
        <f>IF(OR(B999="",C999="",D999=""),"",D999*100000+(C999-DATE(2000,1,1))+ROW()/100000)</f>
        <v/>
      </c>
      <c r="F999" s="46">
        <f>IF(E999="","",IF(C999&gt;WeekEndDate,"",E999))</f>
        <v/>
      </c>
    </row>
    <row r="1000">
      <c r="A1000" t="inlineStr">
        <is>
          <t>Issues &amp; Punch List</t>
        </is>
      </c>
      <c r="B1000" s="46">
        <f>'Issues &amp; Punch List'!S186</f>
        <v/>
      </c>
      <c r="C1000" s="84">
        <f>'Issues &amp; Punch List'!Q186</f>
        <v/>
      </c>
      <c r="D1000" s="46">
        <f>'Issues &amp; Punch List'!R186</f>
        <v/>
      </c>
      <c r="E1000" s="46">
        <f>IF(OR(B1000="",C1000="",D1000=""),"",D1000*100000+(C1000-DATE(2000,1,1))+ROW()/100000)</f>
        <v/>
      </c>
      <c r="F1000" s="46">
        <f>IF(E1000="","",IF(C1000&gt;WeekEndDate,"",E1000))</f>
        <v/>
      </c>
    </row>
    <row r="1001">
      <c r="A1001" t="inlineStr">
        <is>
          <t>Issues &amp; Punch List</t>
        </is>
      </c>
      <c r="B1001" s="46">
        <f>'Issues &amp; Punch List'!S187</f>
        <v/>
      </c>
      <c r="C1001" s="84">
        <f>'Issues &amp; Punch List'!Q187</f>
        <v/>
      </c>
      <c r="D1001" s="46">
        <f>'Issues &amp; Punch List'!R187</f>
        <v/>
      </c>
      <c r="E1001" s="46">
        <f>IF(OR(B1001="",C1001="",D1001=""),"",D1001*100000+(C1001-DATE(2000,1,1))+ROW()/100000)</f>
        <v/>
      </c>
      <c r="F1001" s="46">
        <f>IF(E1001="","",IF(C1001&gt;WeekEndDate,"",E1001))</f>
        <v/>
      </c>
    </row>
    <row r="1002">
      <c r="A1002" t="inlineStr">
        <is>
          <t>Issues &amp; Punch List</t>
        </is>
      </c>
      <c r="B1002" s="46">
        <f>'Issues &amp; Punch List'!S188</f>
        <v/>
      </c>
      <c r="C1002" s="84">
        <f>'Issues &amp; Punch List'!Q188</f>
        <v/>
      </c>
      <c r="D1002" s="46">
        <f>'Issues &amp; Punch List'!R188</f>
        <v/>
      </c>
      <c r="E1002" s="46">
        <f>IF(OR(B1002="",C1002="",D1002=""),"",D1002*100000+(C1002-DATE(2000,1,1))+ROW()/100000)</f>
        <v/>
      </c>
      <c r="F1002" s="46">
        <f>IF(E1002="","",IF(C1002&gt;WeekEndDate,"",E1002))</f>
        <v/>
      </c>
    </row>
    <row r="1003">
      <c r="A1003" t="inlineStr">
        <is>
          <t>Issues &amp; Punch List</t>
        </is>
      </c>
      <c r="B1003" s="46">
        <f>'Issues &amp; Punch List'!S189</f>
        <v/>
      </c>
      <c r="C1003" s="84">
        <f>'Issues &amp; Punch List'!Q189</f>
        <v/>
      </c>
      <c r="D1003" s="46">
        <f>'Issues &amp; Punch List'!R189</f>
        <v/>
      </c>
      <c r="E1003" s="46">
        <f>IF(OR(B1003="",C1003="",D1003=""),"",D1003*100000+(C1003-DATE(2000,1,1))+ROW()/100000)</f>
        <v/>
      </c>
      <c r="F1003" s="46">
        <f>IF(E1003="","",IF(C1003&gt;WeekEndDate,"",E1003))</f>
        <v/>
      </c>
    </row>
    <row r="1004">
      <c r="A1004" t="inlineStr">
        <is>
          <t>Issues &amp; Punch List</t>
        </is>
      </c>
      <c r="B1004" s="46">
        <f>'Issues &amp; Punch List'!S190</f>
        <v/>
      </c>
      <c r="C1004" s="84">
        <f>'Issues &amp; Punch List'!Q190</f>
        <v/>
      </c>
      <c r="D1004" s="46">
        <f>'Issues &amp; Punch List'!R190</f>
        <v/>
      </c>
      <c r="E1004" s="46">
        <f>IF(OR(B1004="",C1004="",D1004=""),"",D1004*100000+(C1004-DATE(2000,1,1))+ROW()/100000)</f>
        <v/>
      </c>
      <c r="F1004" s="46">
        <f>IF(E1004="","",IF(C1004&gt;WeekEndDate,"",E1004))</f>
        <v/>
      </c>
    </row>
    <row r="1005">
      <c r="A1005" t="inlineStr">
        <is>
          <t>Issues &amp; Punch List</t>
        </is>
      </c>
      <c r="B1005" s="46">
        <f>'Issues &amp; Punch List'!S191</f>
        <v/>
      </c>
      <c r="C1005" s="84">
        <f>'Issues &amp; Punch List'!Q191</f>
        <v/>
      </c>
      <c r="D1005" s="46">
        <f>'Issues &amp; Punch List'!R191</f>
        <v/>
      </c>
      <c r="E1005" s="46">
        <f>IF(OR(B1005="",C1005="",D1005=""),"",D1005*100000+(C1005-DATE(2000,1,1))+ROW()/100000)</f>
        <v/>
      </c>
      <c r="F1005" s="46">
        <f>IF(E1005="","",IF(C1005&gt;WeekEndDate,"",E1005))</f>
        <v/>
      </c>
    </row>
    <row r="1006">
      <c r="A1006" t="inlineStr">
        <is>
          <t>Issues &amp; Punch List</t>
        </is>
      </c>
      <c r="B1006" s="46">
        <f>'Issues &amp; Punch List'!S192</f>
        <v/>
      </c>
      <c r="C1006" s="84">
        <f>'Issues &amp; Punch List'!Q192</f>
        <v/>
      </c>
      <c r="D1006" s="46">
        <f>'Issues &amp; Punch List'!R192</f>
        <v/>
      </c>
      <c r="E1006" s="46">
        <f>IF(OR(B1006="",C1006="",D1006=""),"",D1006*100000+(C1006-DATE(2000,1,1))+ROW()/100000)</f>
        <v/>
      </c>
      <c r="F1006" s="46">
        <f>IF(E1006="","",IF(C1006&gt;WeekEndDate,"",E1006))</f>
        <v/>
      </c>
    </row>
    <row r="1007">
      <c r="A1007" t="inlineStr">
        <is>
          <t>Issues &amp; Punch List</t>
        </is>
      </c>
      <c r="B1007" s="46">
        <f>'Issues &amp; Punch List'!S193</f>
        <v/>
      </c>
      <c r="C1007" s="84">
        <f>'Issues &amp; Punch List'!Q193</f>
        <v/>
      </c>
      <c r="D1007" s="46">
        <f>'Issues &amp; Punch List'!R193</f>
        <v/>
      </c>
      <c r="E1007" s="46">
        <f>IF(OR(B1007="",C1007="",D1007=""),"",D1007*100000+(C1007-DATE(2000,1,1))+ROW()/100000)</f>
        <v/>
      </c>
      <c r="F1007" s="46">
        <f>IF(E1007="","",IF(C1007&gt;WeekEndDate,"",E1007))</f>
        <v/>
      </c>
    </row>
    <row r="1008">
      <c r="A1008" t="inlineStr">
        <is>
          <t>Issues &amp; Punch List</t>
        </is>
      </c>
      <c r="B1008" s="46">
        <f>'Issues &amp; Punch List'!S194</f>
        <v/>
      </c>
      <c r="C1008" s="84">
        <f>'Issues &amp; Punch List'!Q194</f>
        <v/>
      </c>
      <c r="D1008" s="46">
        <f>'Issues &amp; Punch List'!R194</f>
        <v/>
      </c>
      <c r="E1008" s="46">
        <f>IF(OR(B1008="",C1008="",D1008=""),"",D1008*100000+(C1008-DATE(2000,1,1))+ROW()/100000)</f>
        <v/>
      </c>
      <c r="F1008" s="46">
        <f>IF(E1008="","",IF(C1008&gt;WeekEndDate,"",E1008))</f>
        <v/>
      </c>
    </row>
    <row r="1009">
      <c r="A1009" t="inlineStr">
        <is>
          <t>Issues &amp; Punch List</t>
        </is>
      </c>
      <c r="B1009" s="46">
        <f>'Issues &amp; Punch List'!S195</f>
        <v/>
      </c>
      <c r="C1009" s="84">
        <f>'Issues &amp; Punch List'!Q195</f>
        <v/>
      </c>
      <c r="D1009" s="46">
        <f>'Issues &amp; Punch List'!R195</f>
        <v/>
      </c>
      <c r="E1009" s="46">
        <f>IF(OR(B1009="",C1009="",D1009=""),"",D1009*100000+(C1009-DATE(2000,1,1))+ROW()/100000)</f>
        <v/>
      </c>
      <c r="F1009" s="46">
        <f>IF(E1009="","",IF(C1009&gt;WeekEndDate,"",E1009))</f>
        <v/>
      </c>
    </row>
    <row r="1010">
      <c r="A1010" t="inlineStr">
        <is>
          <t>Issues &amp; Punch List</t>
        </is>
      </c>
      <c r="B1010" s="46">
        <f>'Issues &amp; Punch List'!S196</f>
        <v/>
      </c>
      <c r="C1010" s="84">
        <f>'Issues &amp; Punch List'!Q196</f>
        <v/>
      </c>
      <c r="D1010" s="46">
        <f>'Issues &amp; Punch List'!R196</f>
        <v/>
      </c>
      <c r="E1010" s="46">
        <f>IF(OR(B1010="",C1010="",D1010=""),"",D1010*100000+(C1010-DATE(2000,1,1))+ROW()/100000)</f>
        <v/>
      </c>
      <c r="F1010" s="46">
        <f>IF(E1010="","",IF(C1010&gt;WeekEndDate,"",E1010))</f>
        <v/>
      </c>
    </row>
    <row r="1011">
      <c r="A1011" t="inlineStr">
        <is>
          <t>Issues &amp; Punch List</t>
        </is>
      </c>
      <c r="B1011" s="46">
        <f>'Issues &amp; Punch List'!S197</f>
        <v/>
      </c>
      <c r="C1011" s="84">
        <f>'Issues &amp; Punch List'!Q197</f>
        <v/>
      </c>
      <c r="D1011" s="46">
        <f>'Issues &amp; Punch List'!R197</f>
        <v/>
      </c>
      <c r="E1011" s="46">
        <f>IF(OR(B1011="",C1011="",D1011=""),"",D1011*100000+(C1011-DATE(2000,1,1))+ROW()/100000)</f>
        <v/>
      </c>
      <c r="F1011" s="46">
        <f>IF(E1011="","",IF(C1011&gt;WeekEndDate,"",E1011))</f>
        <v/>
      </c>
    </row>
    <row r="1012">
      <c r="A1012" t="inlineStr">
        <is>
          <t>Issues &amp; Punch List</t>
        </is>
      </c>
      <c r="B1012" s="46">
        <f>'Issues &amp; Punch List'!S198</f>
        <v/>
      </c>
      <c r="C1012" s="84">
        <f>'Issues &amp; Punch List'!Q198</f>
        <v/>
      </c>
      <c r="D1012" s="46">
        <f>'Issues &amp; Punch List'!R198</f>
        <v/>
      </c>
      <c r="E1012" s="46">
        <f>IF(OR(B1012="",C1012="",D1012=""),"",D1012*100000+(C1012-DATE(2000,1,1))+ROW()/100000)</f>
        <v/>
      </c>
      <c r="F1012" s="46">
        <f>IF(E1012="","",IF(C1012&gt;WeekEndDate,"",E1012))</f>
        <v/>
      </c>
    </row>
    <row r="1013">
      <c r="A1013" t="inlineStr">
        <is>
          <t>Issues &amp; Punch List</t>
        </is>
      </c>
      <c r="B1013" s="46">
        <f>'Issues &amp; Punch List'!S199</f>
        <v/>
      </c>
      <c r="C1013" s="84">
        <f>'Issues &amp; Punch List'!Q199</f>
        <v/>
      </c>
      <c r="D1013" s="46">
        <f>'Issues &amp; Punch List'!R199</f>
        <v/>
      </c>
      <c r="E1013" s="46">
        <f>IF(OR(B1013="",C1013="",D1013=""),"",D1013*100000+(C1013-DATE(2000,1,1))+ROW()/100000)</f>
        <v/>
      </c>
      <c r="F1013" s="46">
        <f>IF(E1013="","",IF(C1013&gt;WeekEndDate,"",E1013))</f>
        <v/>
      </c>
    </row>
    <row r="1014">
      <c r="A1014" t="inlineStr">
        <is>
          <t>Issues &amp; Punch List</t>
        </is>
      </c>
      <c r="B1014" s="46">
        <f>'Issues &amp; Punch List'!S200</f>
        <v/>
      </c>
      <c r="C1014" s="84">
        <f>'Issues &amp; Punch List'!Q200</f>
        <v/>
      </c>
      <c r="D1014" s="46">
        <f>'Issues &amp; Punch List'!R200</f>
        <v/>
      </c>
      <c r="E1014" s="46">
        <f>IF(OR(B1014="",C1014="",D1014=""),"",D1014*100000+(C1014-DATE(2000,1,1))+ROW()/100000)</f>
        <v/>
      </c>
      <c r="F1014" s="46">
        <f>IF(E1014="","",IF(C1014&gt;WeekEndDate,"",E1014))</f>
        <v/>
      </c>
    </row>
    <row r="1015">
      <c r="A1015" t="inlineStr">
        <is>
          <t>Issues &amp; Punch List</t>
        </is>
      </c>
      <c r="B1015" s="46">
        <f>'Issues &amp; Punch List'!S201</f>
        <v/>
      </c>
      <c r="C1015" s="84">
        <f>'Issues &amp; Punch List'!Q201</f>
        <v/>
      </c>
      <c r="D1015" s="46">
        <f>'Issues &amp; Punch List'!R201</f>
        <v/>
      </c>
      <c r="E1015" s="46">
        <f>IF(OR(B1015="",C1015="",D1015=""),"",D1015*100000+(C1015-DATE(2000,1,1))+ROW()/100000)</f>
        <v/>
      </c>
      <c r="F1015" s="46">
        <f>IF(E1015="","",IF(C1015&gt;WeekEndDate,"",E1015))</f>
        <v/>
      </c>
    </row>
    <row r="1016">
      <c r="A1016" t="inlineStr">
        <is>
          <t>Issues &amp; Punch List</t>
        </is>
      </c>
      <c r="B1016" s="46">
        <f>'Issues &amp; Punch List'!S202</f>
        <v/>
      </c>
      <c r="C1016" s="84">
        <f>'Issues &amp; Punch List'!Q202</f>
        <v/>
      </c>
      <c r="D1016" s="46">
        <f>'Issues &amp; Punch List'!R202</f>
        <v/>
      </c>
      <c r="E1016" s="46">
        <f>IF(OR(B1016="",C1016="",D1016=""),"",D1016*100000+(C1016-DATE(2000,1,1))+ROW()/100000)</f>
        <v/>
      </c>
      <c r="F1016" s="46">
        <f>IF(E1016="","",IF(C1016&gt;WeekEndDate,"",E1016))</f>
        <v/>
      </c>
    </row>
    <row r="1017">
      <c r="A1017" t="inlineStr">
        <is>
          <t>Issues &amp; Punch List</t>
        </is>
      </c>
      <c r="B1017" s="46">
        <f>'Issues &amp; Punch List'!S203</f>
        <v/>
      </c>
      <c r="C1017" s="84">
        <f>'Issues &amp; Punch List'!Q203</f>
        <v/>
      </c>
      <c r="D1017" s="46">
        <f>'Issues &amp; Punch List'!R203</f>
        <v/>
      </c>
      <c r="E1017" s="46">
        <f>IF(OR(B1017="",C1017="",D1017=""),"",D1017*100000+(C1017-DATE(2000,1,1))+ROW()/100000)</f>
        <v/>
      </c>
      <c r="F1017" s="46">
        <f>IF(E1017="","",IF(C1017&gt;WeekEndDate,"",E1017))</f>
        <v/>
      </c>
    </row>
    <row r="1018">
      <c r="A1018" t="inlineStr">
        <is>
          <t>Issues &amp; Punch List</t>
        </is>
      </c>
      <c r="B1018" s="46">
        <f>'Issues &amp; Punch List'!S204</f>
        <v/>
      </c>
      <c r="C1018" s="84">
        <f>'Issues &amp; Punch List'!Q204</f>
        <v/>
      </c>
      <c r="D1018" s="46">
        <f>'Issues &amp; Punch List'!R204</f>
        <v/>
      </c>
      <c r="E1018" s="46">
        <f>IF(OR(B1018="",C1018="",D1018=""),"",D1018*100000+(C1018-DATE(2000,1,1))+ROW()/100000)</f>
        <v/>
      </c>
      <c r="F1018" s="46">
        <f>IF(E1018="","",IF(C1018&gt;WeekEndDate,"",E1018))</f>
        <v/>
      </c>
    </row>
    <row r="1019">
      <c r="A1019" t="inlineStr">
        <is>
          <t>Issues &amp; Punch List</t>
        </is>
      </c>
      <c r="B1019" s="46">
        <f>'Issues &amp; Punch List'!S205</f>
        <v/>
      </c>
      <c r="C1019" s="84">
        <f>'Issues &amp; Punch List'!Q205</f>
        <v/>
      </c>
      <c r="D1019" s="46">
        <f>'Issues &amp; Punch List'!R205</f>
        <v/>
      </c>
      <c r="E1019" s="46">
        <f>IF(OR(B1019="",C1019="",D1019=""),"",D1019*100000+(C1019-DATE(2000,1,1))+ROW()/100000)</f>
        <v/>
      </c>
      <c r="F1019" s="46">
        <f>IF(E1019="","",IF(C1019&gt;WeekEndDate,"",E1019))</f>
        <v/>
      </c>
    </row>
    <row r="1020">
      <c r="A1020" t="inlineStr">
        <is>
          <t>Issues &amp; Punch List</t>
        </is>
      </c>
      <c r="B1020" s="46">
        <f>'Issues &amp; Punch List'!S206</f>
        <v/>
      </c>
      <c r="C1020" s="84">
        <f>'Issues &amp; Punch List'!Q206</f>
        <v/>
      </c>
      <c r="D1020" s="46">
        <f>'Issues &amp; Punch List'!R206</f>
        <v/>
      </c>
      <c r="E1020" s="46">
        <f>IF(OR(B1020="",C1020="",D1020=""),"",D1020*100000+(C1020-DATE(2000,1,1))+ROW()/100000)</f>
        <v/>
      </c>
      <c r="F1020" s="46">
        <f>IF(E1020="","",IF(C1020&gt;WeekEndDate,"",E1020))</f>
        <v/>
      </c>
    </row>
    <row r="1021">
      <c r="A1021" t="inlineStr">
        <is>
          <t>Issues &amp; Punch List</t>
        </is>
      </c>
      <c r="B1021" s="46">
        <f>'Issues &amp; Punch List'!S207</f>
        <v/>
      </c>
      <c r="C1021" s="84">
        <f>'Issues &amp; Punch List'!Q207</f>
        <v/>
      </c>
      <c r="D1021" s="46">
        <f>'Issues &amp; Punch List'!R207</f>
        <v/>
      </c>
      <c r="E1021" s="46">
        <f>IF(OR(B1021="",C1021="",D1021=""),"",D1021*100000+(C1021-DATE(2000,1,1))+ROW()/100000)</f>
        <v/>
      </c>
      <c r="F1021" s="46">
        <f>IF(E1021="","",IF(C1021&gt;WeekEndDate,"",E1021))</f>
        <v/>
      </c>
    </row>
    <row r="1022">
      <c r="A1022" t="inlineStr">
        <is>
          <t>Warranty &amp; Maintenance</t>
        </is>
      </c>
      <c r="B1022" s="46">
        <f>'Warranty &amp; Maintenance'!N7</f>
        <v/>
      </c>
      <c r="C1022" s="84">
        <f>'Warranty &amp; Maintenance'!L7</f>
        <v/>
      </c>
      <c r="D1022" s="46">
        <f>'Warranty &amp; Maintenance'!M7</f>
        <v/>
      </c>
      <c r="E1022" s="46">
        <f>IF(OR(B1022="",C1022="",D1022=""),"",D1022*100000+(C1022-DATE(2000,1,1))+ROW()/100000)</f>
        <v/>
      </c>
      <c r="F1022" s="46">
        <f>IF(E1022="","",IF(C1022&gt;WeekEndDate,"",E1022))</f>
        <v/>
      </c>
    </row>
    <row r="1023">
      <c r="A1023" t="inlineStr">
        <is>
          <t>Warranty &amp; Maintenance</t>
        </is>
      </c>
      <c r="B1023" s="46">
        <f>'Warranty &amp; Maintenance'!N8</f>
        <v/>
      </c>
      <c r="C1023" s="84">
        <f>'Warranty &amp; Maintenance'!L8</f>
        <v/>
      </c>
      <c r="D1023" s="46">
        <f>'Warranty &amp; Maintenance'!M8</f>
        <v/>
      </c>
      <c r="E1023" s="46">
        <f>IF(OR(B1023="",C1023="",D1023=""),"",D1023*100000+(C1023-DATE(2000,1,1))+ROW()/100000)</f>
        <v/>
      </c>
      <c r="F1023" s="46">
        <f>IF(E1023="","",IF(C1023&gt;WeekEndDate,"",E1023))</f>
        <v/>
      </c>
    </row>
    <row r="1024">
      <c r="A1024" t="inlineStr">
        <is>
          <t>Warranty &amp; Maintenance</t>
        </is>
      </c>
      <c r="B1024" s="46">
        <f>'Warranty &amp; Maintenance'!N9</f>
        <v/>
      </c>
      <c r="C1024" s="84">
        <f>'Warranty &amp; Maintenance'!L9</f>
        <v/>
      </c>
      <c r="D1024" s="46">
        <f>'Warranty &amp; Maintenance'!M9</f>
        <v/>
      </c>
      <c r="E1024" s="46">
        <f>IF(OR(B1024="",C1024="",D1024=""),"",D1024*100000+(C1024-DATE(2000,1,1))+ROW()/100000)</f>
        <v/>
      </c>
      <c r="F1024" s="46">
        <f>IF(E1024="","",IF(C1024&gt;WeekEndDate,"",E1024))</f>
        <v/>
      </c>
    </row>
    <row r="1025">
      <c r="A1025" t="inlineStr">
        <is>
          <t>Warranty &amp; Maintenance</t>
        </is>
      </c>
      <c r="B1025" s="46">
        <f>'Warranty &amp; Maintenance'!N10</f>
        <v/>
      </c>
      <c r="C1025" s="84">
        <f>'Warranty &amp; Maintenance'!L10</f>
        <v/>
      </c>
      <c r="D1025" s="46">
        <f>'Warranty &amp; Maintenance'!M10</f>
        <v/>
      </c>
      <c r="E1025" s="46">
        <f>IF(OR(B1025="",C1025="",D1025=""),"",D1025*100000+(C1025-DATE(2000,1,1))+ROW()/100000)</f>
        <v/>
      </c>
      <c r="F1025" s="46">
        <f>IF(E1025="","",IF(C1025&gt;WeekEndDate,"",E1025))</f>
        <v/>
      </c>
    </row>
    <row r="1026">
      <c r="A1026" t="inlineStr">
        <is>
          <t>Warranty &amp; Maintenance</t>
        </is>
      </c>
      <c r="B1026" s="46">
        <f>'Warranty &amp; Maintenance'!N11</f>
        <v/>
      </c>
      <c r="C1026" s="84">
        <f>'Warranty &amp; Maintenance'!L11</f>
        <v/>
      </c>
      <c r="D1026" s="46">
        <f>'Warranty &amp; Maintenance'!M11</f>
        <v/>
      </c>
      <c r="E1026" s="46">
        <f>IF(OR(B1026="",C1026="",D1026=""),"",D1026*100000+(C1026-DATE(2000,1,1))+ROW()/100000)</f>
        <v/>
      </c>
      <c r="F1026" s="46">
        <f>IF(E1026="","",IF(C1026&gt;WeekEndDate,"",E1026))</f>
        <v/>
      </c>
    </row>
    <row r="1027">
      <c r="A1027" t="inlineStr">
        <is>
          <t>Warranty &amp; Maintenance</t>
        </is>
      </c>
      <c r="B1027" s="46">
        <f>'Warranty &amp; Maintenance'!N12</f>
        <v/>
      </c>
      <c r="C1027" s="84">
        <f>'Warranty &amp; Maintenance'!L12</f>
        <v/>
      </c>
      <c r="D1027" s="46">
        <f>'Warranty &amp; Maintenance'!M12</f>
        <v/>
      </c>
      <c r="E1027" s="46">
        <f>IF(OR(B1027="",C1027="",D1027=""),"",D1027*100000+(C1027-DATE(2000,1,1))+ROW()/100000)</f>
        <v/>
      </c>
      <c r="F1027" s="46">
        <f>IF(E1027="","",IF(C1027&gt;WeekEndDate,"",E1027))</f>
        <v/>
      </c>
    </row>
    <row r="1028">
      <c r="A1028" t="inlineStr">
        <is>
          <t>Warranty &amp; Maintenance</t>
        </is>
      </c>
      <c r="B1028" s="46">
        <f>'Warranty &amp; Maintenance'!N13</f>
        <v/>
      </c>
      <c r="C1028" s="84">
        <f>'Warranty &amp; Maintenance'!L13</f>
        <v/>
      </c>
      <c r="D1028" s="46">
        <f>'Warranty &amp; Maintenance'!M13</f>
        <v/>
      </c>
      <c r="E1028" s="46">
        <f>IF(OR(B1028="",C1028="",D1028=""),"",D1028*100000+(C1028-DATE(2000,1,1))+ROW()/100000)</f>
        <v/>
      </c>
      <c r="F1028" s="46">
        <f>IF(E1028="","",IF(C1028&gt;WeekEndDate,"",E1028))</f>
        <v/>
      </c>
    </row>
    <row r="1029">
      <c r="A1029" t="inlineStr">
        <is>
          <t>Warranty &amp; Maintenance</t>
        </is>
      </c>
      <c r="B1029" s="46">
        <f>'Warranty &amp; Maintenance'!N14</f>
        <v/>
      </c>
      <c r="C1029" s="84">
        <f>'Warranty &amp; Maintenance'!L14</f>
        <v/>
      </c>
      <c r="D1029" s="46">
        <f>'Warranty &amp; Maintenance'!M14</f>
        <v/>
      </c>
      <c r="E1029" s="46">
        <f>IF(OR(B1029="",C1029="",D1029=""),"",D1029*100000+(C1029-DATE(2000,1,1))+ROW()/100000)</f>
        <v/>
      </c>
      <c r="F1029" s="46">
        <f>IF(E1029="","",IF(C1029&gt;WeekEndDate,"",E1029))</f>
        <v/>
      </c>
    </row>
    <row r="1030">
      <c r="A1030" t="inlineStr">
        <is>
          <t>Warranty &amp; Maintenance</t>
        </is>
      </c>
      <c r="B1030" s="46">
        <f>'Warranty &amp; Maintenance'!N15</f>
        <v/>
      </c>
      <c r="C1030" s="84">
        <f>'Warranty &amp; Maintenance'!L15</f>
        <v/>
      </c>
      <c r="D1030" s="46">
        <f>'Warranty &amp; Maintenance'!M15</f>
        <v/>
      </c>
      <c r="E1030" s="46">
        <f>IF(OR(B1030="",C1030="",D1030=""),"",D1030*100000+(C1030-DATE(2000,1,1))+ROW()/100000)</f>
        <v/>
      </c>
      <c r="F1030" s="46">
        <f>IF(E1030="","",IF(C1030&gt;WeekEndDate,"",E1030))</f>
        <v/>
      </c>
    </row>
    <row r="1031">
      <c r="A1031" t="inlineStr">
        <is>
          <t>Warranty &amp; Maintenance</t>
        </is>
      </c>
      <c r="B1031" s="46">
        <f>'Warranty &amp; Maintenance'!N16</f>
        <v/>
      </c>
      <c r="C1031" s="84">
        <f>'Warranty &amp; Maintenance'!L16</f>
        <v/>
      </c>
      <c r="D1031" s="46">
        <f>'Warranty &amp; Maintenance'!M16</f>
        <v/>
      </c>
      <c r="E1031" s="46">
        <f>IF(OR(B1031="",C1031="",D1031=""),"",D1031*100000+(C1031-DATE(2000,1,1))+ROW()/100000)</f>
        <v/>
      </c>
      <c r="F1031" s="46">
        <f>IF(E1031="","",IF(C1031&gt;WeekEndDate,"",E1031))</f>
        <v/>
      </c>
    </row>
    <row r="1032">
      <c r="A1032" t="inlineStr">
        <is>
          <t>Warranty &amp; Maintenance</t>
        </is>
      </c>
      <c r="B1032" s="46">
        <f>'Warranty &amp; Maintenance'!N17</f>
        <v/>
      </c>
      <c r="C1032" s="84">
        <f>'Warranty &amp; Maintenance'!L17</f>
        <v/>
      </c>
      <c r="D1032" s="46">
        <f>'Warranty &amp; Maintenance'!M17</f>
        <v/>
      </c>
      <c r="E1032" s="46">
        <f>IF(OR(B1032="",C1032="",D1032=""),"",D1032*100000+(C1032-DATE(2000,1,1))+ROW()/100000)</f>
        <v/>
      </c>
      <c r="F1032" s="46">
        <f>IF(E1032="","",IF(C1032&gt;WeekEndDate,"",E1032))</f>
        <v/>
      </c>
    </row>
    <row r="1033">
      <c r="A1033" t="inlineStr">
        <is>
          <t>Warranty &amp; Maintenance</t>
        </is>
      </c>
      <c r="B1033" s="46">
        <f>'Warranty &amp; Maintenance'!N18</f>
        <v/>
      </c>
      <c r="C1033" s="84">
        <f>'Warranty &amp; Maintenance'!L18</f>
        <v/>
      </c>
      <c r="D1033" s="46">
        <f>'Warranty &amp; Maintenance'!M18</f>
        <v/>
      </c>
      <c r="E1033" s="46">
        <f>IF(OR(B1033="",C1033="",D1033=""),"",D1033*100000+(C1033-DATE(2000,1,1))+ROW()/100000)</f>
        <v/>
      </c>
      <c r="F1033" s="46">
        <f>IF(E1033="","",IF(C1033&gt;WeekEndDate,"",E1033))</f>
        <v/>
      </c>
    </row>
    <row r="1034">
      <c r="A1034" t="inlineStr">
        <is>
          <t>Warranty &amp; Maintenance</t>
        </is>
      </c>
      <c r="B1034" s="46">
        <f>'Warranty &amp; Maintenance'!N19</f>
        <v/>
      </c>
      <c r="C1034" s="84">
        <f>'Warranty &amp; Maintenance'!L19</f>
        <v/>
      </c>
      <c r="D1034" s="46">
        <f>'Warranty &amp; Maintenance'!M19</f>
        <v/>
      </c>
      <c r="E1034" s="46">
        <f>IF(OR(B1034="",C1034="",D1034=""),"",D1034*100000+(C1034-DATE(2000,1,1))+ROW()/100000)</f>
        <v/>
      </c>
      <c r="F1034" s="46">
        <f>IF(E1034="","",IF(C1034&gt;WeekEndDate,"",E1034))</f>
        <v/>
      </c>
    </row>
    <row r="1035">
      <c r="A1035" t="inlineStr">
        <is>
          <t>Warranty &amp; Maintenance</t>
        </is>
      </c>
      <c r="B1035" s="46">
        <f>'Warranty &amp; Maintenance'!N20</f>
        <v/>
      </c>
      <c r="C1035" s="84">
        <f>'Warranty &amp; Maintenance'!L20</f>
        <v/>
      </c>
      <c r="D1035" s="46">
        <f>'Warranty &amp; Maintenance'!M20</f>
        <v/>
      </c>
      <c r="E1035" s="46">
        <f>IF(OR(B1035="",C1035="",D1035=""),"",D1035*100000+(C1035-DATE(2000,1,1))+ROW()/100000)</f>
        <v/>
      </c>
      <c r="F1035" s="46">
        <f>IF(E1035="","",IF(C1035&gt;WeekEndDate,"",E1035))</f>
        <v/>
      </c>
    </row>
    <row r="1036">
      <c r="A1036" t="inlineStr">
        <is>
          <t>Warranty &amp; Maintenance</t>
        </is>
      </c>
      <c r="B1036" s="46">
        <f>'Warranty &amp; Maintenance'!N21</f>
        <v/>
      </c>
      <c r="C1036" s="84">
        <f>'Warranty &amp; Maintenance'!L21</f>
        <v/>
      </c>
      <c r="D1036" s="46">
        <f>'Warranty &amp; Maintenance'!M21</f>
        <v/>
      </c>
      <c r="E1036" s="46">
        <f>IF(OR(B1036="",C1036="",D1036=""),"",D1036*100000+(C1036-DATE(2000,1,1))+ROW()/100000)</f>
        <v/>
      </c>
      <c r="F1036" s="46">
        <f>IF(E1036="","",IF(C1036&gt;WeekEndDate,"",E1036))</f>
        <v/>
      </c>
    </row>
    <row r="1037">
      <c r="A1037" t="inlineStr">
        <is>
          <t>Warranty &amp; Maintenance</t>
        </is>
      </c>
      <c r="B1037" s="46">
        <f>'Warranty &amp; Maintenance'!N22</f>
        <v/>
      </c>
      <c r="C1037" s="84">
        <f>'Warranty &amp; Maintenance'!L22</f>
        <v/>
      </c>
      <c r="D1037" s="46">
        <f>'Warranty &amp; Maintenance'!M22</f>
        <v/>
      </c>
      <c r="E1037" s="46">
        <f>IF(OR(B1037="",C1037="",D1037=""),"",D1037*100000+(C1037-DATE(2000,1,1))+ROW()/100000)</f>
        <v/>
      </c>
      <c r="F1037" s="46">
        <f>IF(E1037="","",IF(C1037&gt;WeekEndDate,"",E1037))</f>
        <v/>
      </c>
    </row>
    <row r="1038">
      <c r="A1038" t="inlineStr">
        <is>
          <t>Warranty &amp; Maintenance</t>
        </is>
      </c>
      <c r="B1038" s="46">
        <f>'Warranty &amp; Maintenance'!N23</f>
        <v/>
      </c>
      <c r="C1038" s="84">
        <f>'Warranty &amp; Maintenance'!L23</f>
        <v/>
      </c>
      <c r="D1038" s="46">
        <f>'Warranty &amp; Maintenance'!M23</f>
        <v/>
      </c>
      <c r="E1038" s="46">
        <f>IF(OR(B1038="",C1038="",D1038=""),"",D1038*100000+(C1038-DATE(2000,1,1))+ROW()/100000)</f>
        <v/>
      </c>
      <c r="F1038" s="46">
        <f>IF(E1038="","",IF(C1038&gt;WeekEndDate,"",E1038))</f>
        <v/>
      </c>
    </row>
    <row r="1039">
      <c r="A1039" t="inlineStr">
        <is>
          <t>Warranty &amp; Maintenance</t>
        </is>
      </c>
      <c r="B1039" s="46">
        <f>'Warranty &amp; Maintenance'!N24</f>
        <v/>
      </c>
      <c r="C1039" s="84">
        <f>'Warranty &amp; Maintenance'!L24</f>
        <v/>
      </c>
      <c r="D1039" s="46">
        <f>'Warranty &amp; Maintenance'!M24</f>
        <v/>
      </c>
      <c r="E1039" s="46">
        <f>IF(OR(B1039="",C1039="",D1039=""),"",D1039*100000+(C1039-DATE(2000,1,1))+ROW()/100000)</f>
        <v/>
      </c>
      <c r="F1039" s="46">
        <f>IF(E1039="","",IF(C1039&gt;WeekEndDate,"",E1039))</f>
        <v/>
      </c>
    </row>
    <row r="1040">
      <c r="A1040" t="inlineStr">
        <is>
          <t>Warranty &amp; Maintenance</t>
        </is>
      </c>
      <c r="B1040" s="46">
        <f>'Warranty &amp; Maintenance'!N25</f>
        <v/>
      </c>
      <c r="C1040" s="84">
        <f>'Warranty &amp; Maintenance'!L25</f>
        <v/>
      </c>
      <c r="D1040" s="46">
        <f>'Warranty &amp; Maintenance'!M25</f>
        <v/>
      </c>
      <c r="E1040" s="46">
        <f>IF(OR(B1040="",C1040="",D1040=""),"",D1040*100000+(C1040-DATE(2000,1,1))+ROW()/100000)</f>
        <v/>
      </c>
      <c r="F1040" s="46">
        <f>IF(E1040="","",IF(C1040&gt;WeekEndDate,"",E1040))</f>
        <v/>
      </c>
    </row>
    <row r="1041">
      <c r="A1041" t="inlineStr">
        <is>
          <t>Warranty &amp; Maintenance</t>
        </is>
      </c>
      <c r="B1041" s="46">
        <f>'Warranty &amp; Maintenance'!N26</f>
        <v/>
      </c>
      <c r="C1041" s="84">
        <f>'Warranty &amp; Maintenance'!L26</f>
        <v/>
      </c>
      <c r="D1041" s="46">
        <f>'Warranty &amp; Maintenance'!M26</f>
        <v/>
      </c>
      <c r="E1041" s="46">
        <f>IF(OR(B1041="",C1041="",D1041=""),"",D1041*100000+(C1041-DATE(2000,1,1))+ROW()/100000)</f>
        <v/>
      </c>
      <c r="F1041" s="46">
        <f>IF(E1041="","",IF(C1041&gt;WeekEndDate,"",E1041))</f>
        <v/>
      </c>
    </row>
    <row r="1042">
      <c r="A1042" t="inlineStr">
        <is>
          <t>Warranty &amp; Maintenance</t>
        </is>
      </c>
      <c r="B1042" s="46">
        <f>'Warranty &amp; Maintenance'!N27</f>
        <v/>
      </c>
      <c r="C1042" s="84">
        <f>'Warranty &amp; Maintenance'!L27</f>
        <v/>
      </c>
      <c r="D1042" s="46">
        <f>'Warranty &amp; Maintenance'!M27</f>
        <v/>
      </c>
      <c r="E1042" s="46">
        <f>IF(OR(B1042="",C1042="",D1042=""),"",D1042*100000+(C1042-DATE(2000,1,1))+ROW()/100000)</f>
        <v/>
      </c>
      <c r="F1042" s="46">
        <f>IF(E1042="","",IF(C1042&gt;WeekEndDate,"",E1042))</f>
        <v/>
      </c>
    </row>
    <row r="1043">
      <c r="A1043" t="inlineStr">
        <is>
          <t>Warranty &amp; Maintenance</t>
        </is>
      </c>
      <c r="B1043" s="46">
        <f>'Warranty &amp; Maintenance'!N28</f>
        <v/>
      </c>
      <c r="C1043" s="84">
        <f>'Warranty &amp; Maintenance'!L28</f>
        <v/>
      </c>
      <c r="D1043" s="46">
        <f>'Warranty &amp; Maintenance'!M28</f>
        <v/>
      </c>
      <c r="E1043" s="46">
        <f>IF(OR(B1043="",C1043="",D1043=""),"",D1043*100000+(C1043-DATE(2000,1,1))+ROW()/100000)</f>
        <v/>
      </c>
      <c r="F1043" s="46">
        <f>IF(E1043="","",IF(C1043&gt;WeekEndDate,"",E1043))</f>
        <v/>
      </c>
    </row>
    <row r="1044">
      <c r="A1044" t="inlineStr">
        <is>
          <t>Warranty &amp; Maintenance</t>
        </is>
      </c>
      <c r="B1044" s="46">
        <f>'Warranty &amp; Maintenance'!N29</f>
        <v/>
      </c>
      <c r="C1044" s="84">
        <f>'Warranty &amp; Maintenance'!L29</f>
        <v/>
      </c>
      <c r="D1044" s="46">
        <f>'Warranty &amp; Maintenance'!M29</f>
        <v/>
      </c>
      <c r="E1044" s="46">
        <f>IF(OR(B1044="",C1044="",D1044=""),"",D1044*100000+(C1044-DATE(2000,1,1))+ROW()/100000)</f>
        <v/>
      </c>
      <c r="F1044" s="46">
        <f>IF(E1044="","",IF(C1044&gt;WeekEndDate,"",E1044))</f>
        <v/>
      </c>
    </row>
    <row r="1045">
      <c r="A1045" t="inlineStr">
        <is>
          <t>Warranty &amp; Maintenance</t>
        </is>
      </c>
      <c r="B1045" s="46">
        <f>'Warranty &amp; Maintenance'!N30</f>
        <v/>
      </c>
      <c r="C1045" s="84">
        <f>'Warranty &amp; Maintenance'!L30</f>
        <v/>
      </c>
      <c r="D1045" s="46">
        <f>'Warranty &amp; Maintenance'!M30</f>
        <v/>
      </c>
      <c r="E1045" s="46">
        <f>IF(OR(B1045="",C1045="",D1045=""),"",D1045*100000+(C1045-DATE(2000,1,1))+ROW()/100000)</f>
        <v/>
      </c>
      <c r="F1045" s="46">
        <f>IF(E1045="","",IF(C1045&gt;WeekEndDate,"",E1045))</f>
        <v/>
      </c>
    </row>
    <row r="1046">
      <c r="A1046" t="inlineStr">
        <is>
          <t>Warranty &amp; Maintenance</t>
        </is>
      </c>
      <c r="B1046" s="46">
        <f>'Warranty &amp; Maintenance'!N31</f>
        <v/>
      </c>
      <c r="C1046" s="84">
        <f>'Warranty &amp; Maintenance'!L31</f>
        <v/>
      </c>
      <c r="D1046" s="46">
        <f>'Warranty &amp; Maintenance'!M31</f>
        <v/>
      </c>
      <c r="E1046" s="46">
        <f>IF(OR(B1046="",C1046="",D1046=""),"",D1046*100000+(C1046-DATE(2000,1,1))+ROW()/100000)</f>
        <v/>
      </c>
      <c r="F1046" s="46">
        <f>IF(E1046="","",IF(C1046&gt;WeekEndDate,"",E1046))</f>
        <v/>
      </c>
    </row>
    <row r="1047">
      <c r="A1047" t="inlineStr">
        <is>
          <t>Warranty &amp; Maintenance</t>
        </is>
      </c>
      <c r="B1047" s="46">
        <f>'Warranty &amp; Maintenance'!N32</f>
        <v/>
      </c>
      <c r="C1047" s="84">
        <f>'Warranty &amp; Maintenance'!L32</f>
        <v/>
      </c>
      <c r="D1047" s="46">
        <f>'Warranty &amp; Maintenance'!M32</f>
        <v/>
      </c>
      <c r="E1047" s="46">
        <f>IF(OR(B1047="",C1047="",D1047=""),"",D1047*100000+(C1047-DATE(2000,1,1))+ROW()/100000)</f>
        <v/>
      </c>
      <c r="F1047" s="46">
        <f>IF(E1047="","",IF(C1047&gt;WeekEndDate,"",E1047))</f>
        <v/>
      </c>
    </row>
    <row r="1048">
      <c r="A1048" t="inlineStr">
        <is>
          <t>Warranty &amp; Maintenance</t>
        </is>
      </c>
      <c r="B1048" s="46">
        <f>'Warranty &amp; Maintenance'!N33</f>
        <v/>
      </c>
      <c r="C1048" s="84">
        <f>'Warranty &amp; Maintenance'!L33</f>
        <v/>
      </c>
      <c r="D1048" s="46">
        <f>'Warranty &amp; Maintenance'!M33</f>
        <v/>
      </c>
      <c r="E1048" s="46">
        <f>IF(OR(B1048="",C1048="",D1048=""),"",D1048*100000+(C1048-DATE(2000,1,1))+ROW()/100000)</f>
        <v/>
      </c>
      <c r="F1048" s="46">
        <f>IF(E1048="","",IF(C1048&gt;WeekEndDate,"",E1048))</f>
        <v/>
      </c>
    </row>
    <row r="1049">
      <c r="A1049" t="inlineStr">
        <is>
          <t>Warranty &amp; Maintenance</t>
        </is>
      </c>
      <c r="B1049" s="46">
        <f>'Warranty &amp; Maintenance'!N34</f>
        <v/>
      </c>
      <c r="C1049" s="84">
        <f>'Warranty &amp; Maintenance'!L34</f>
        <v/>
      </c>
      <c r="D1049" s="46">
        <f>'Warranty &amp; Maintenance'!M34</f>
        <v/>
      </c>
      <c r="E1049" s="46">
        <f>IF(OR(B1049="",C1049="",D1049=""),"",D1049*100000+(C1049-DATE(2000,1,1))+ROW()/100000)</f>
        <v/>
      </c>
      <c r="F1049" s="46">
        <f>IF(E1049="","",IF(C1049&gt;WeekEndDate,"",E1049))</f>
        <v/>
      </c>
    </row>
    <row r="1050">
      <c r="A1050" t="inlineStr">
        <is>
          <t>Warranty &amp; Maintenance</t>
        </is>
      </c>
      <c r="B1050" s="46">
        <f>'Warranty &amp; Maintenance'!N35</f>
        <v/>
      </c>
      <c r="C1050" s="84">
        <f>'Warranty &amp; Maintenance'!L35</f>
        <v/>
      </c>
      <c r="D1050" s="46">
        <f>'Warranty &amp; Maintenance'!M35</f>
        <v/>
      </c>
      <c r="E1050" s="46">
        <f>IF(OR(B1050="",C1050="",D1050=""),"",D1050*100000+(C1050-DATE(2000,1,1))+ROW()/100000)</f>
        <v/>
      </c>
      <c r="F1050" s="46">
        <f>IF(E1050="","",IF(C1050&gt;WeekEndDate,"",E1050))</f>
        <v/>
      </c>
    </row>
    <row r="1051">
      <c r="A1051" t="inlineStr">
        <is>
          <t>Warranty &amp; Maintenance</t>
        </is>
      </c>
      <c r="B1051" s="46">
        <f>'Warranty &amp; Maintenance'!N36</f>
        <v/>
      </c>
      <c r="C1051" s="84">
        <f>'Warranty &amp; Maintenance'!L36</f>
        <v/>
      </c>
      <c r="D1051" s="46">
        <f>'Warranty &amp; Maintenance'!M36</f>
        <v/>
      </c>
      <c r="E1051" s="46">
        <f>IF(OR(B1051="",C1051="",D1051=""),"",D1051*100000+(C1051-DATE(2000,1,1))+ROW()/100000)</f>
        <v/>
      </c>
      <c r="F1051" s="46">
        <f>IF(E1051="","",IF(C1051&gt;WeekEndDate,"",E1051))</f>
        <v/>
      </c>
    </row>
    <row r="1052">
      <c r="A1052" t="inlineStr">
        <is>
          <t>Warranty &amp; Maintenance</t>
        </is>
      </c>
      <c r="B1052" s="46">
        <f>'Warranty &amp; Maintenance'!N37</f>
        <v/>
      </c>
      <c r="C1052" s="84">
        <f>'Warranty &amp; Maintenance'!L37</f>
        <v/>
      </c>
      <c r="D1052" s="46">
        <f>'Warranty &amp; Maintenance'!M37</f>
        <v/>
      </c>
      <c r="E1052" s="46">
        <f>IF(OR(B1052="",C1052="",D1052=""),"",D1052*100000+(C1052-DATE(2000,1,1))+ROW()/100000)</f>
        <v/>
      </c>
      <c r="F1052" s="46">
        <f>IF(E1052="","",IF(C1052&gt;WeekEndDate,"",E1052))</f>
        <v/>
      </c>
    </row>
    <row r="1053">
      <c r="A1053" t="inlineStr">
        <is>
          <t>Warranty &amp; Maintenance</t>
        </is>
      </c>
      <c r="B1053" s="46">
        <f>'Warranty &amp; Maintenance'!N38</f>
        <v/>
      </c>
      <c r="C1053" s="84">
        <f>'Warranty &amp; Maintenance'!L38</f>
        <v/>
      </c>
      <c r="D1053" s="46">
        <f>'Warranty &amp; Maintenance'!M38</f>
        <v/>
      </c>
      <c r="E1053" s="46">
        <f>IF(OR(B1053="",C1053="",D1053=""),"",D1053*100000+(C1053-DATE(2000,1,1))+ROW()/100000)</f>
        <v/>
      </c>
      <c r="F1053" s="46">
        <f>IF(E1053="","",IF(C1053&gt;WeekEndDate,"",E1053))</f>
        <v/>
      </c>
    </row>
    <row r="1054">
      <c r="A1054" t="inlineStr">
        <is>
          <t>Warranty &amp; Maintenance</t>
        </is>
      </c>
      <c r="B1054" s="46">
        <f>'Warranty &amp; Maintenance'!N39</f>
        <v/>
      </c>
      <c r="C1054" s="84">
        <f>'Warranty &amp; Maintenance'!L39</f>
        <v/>
      </c>
      <c r="D1054" s="46">
        <f>'Warranty &amp; Maintenance'!M39</f>
        <v/>
      </c>
      <c r="E1054" s="46">
        <f>IF(OR(B1054="",C1054="",D1054=""),"",D1054*100000+(C1054-DATE(2000,1,1))+ROW()/100000)</f>
        <v/>
      </c>
      <c r="F1054" s="46">
        <f>IF(E1054="","",IF(C1054&gt;WeekEndDate,"",E1054))</f>
        <v/>
      </c>
    </row>
    <row r="1055">
      <c r="A1055" t="inlineStr">
        <is>
          <t>Warranty &amp; Maintenance</t>
        </is>
      </c>
      <c r="B1055" s="46">
        <f>'Warranty &amp; Maintenance'!N40</f>
        <v/>
      </c>
      <c r="C1055" s="84">
        <f>'Warranty &amp; Maintenance'!L40</f>
        <v/>
      </c>
      <c r="D1055" s="46">
        <f>'Warranty &amp; Maintenance'!M40</f>
        <v/>
      </c>
      <c r="E1055" s="46">
        <f>IF(OR(B1055="",C1055="",D1055=""),"",D1055*100000+(C1055-DATE(2000,1,1))+ROW()/100000)</f>
        <v/>
      </c>
      <c r="F1055" s="46">
        <f>IF(E1055="","",IF(C1055&gt;WeekEndDate,"",E1055))</f>
        <v/>
      </c>
    </row>
    <row r="1056">
      <c r="A1056" t="inlineStr">
        <is>
          <t>Warranty &amp; Maintenance</t>
        </is>
      </c>
      <c r="B1056" s="46">
        <f>'Warranty &amp; Maintenance'!N41</f>
        <v/>
      </c>
      <c r="C1056" s="84">
        <f>'Warranty &amp; Maintenance'!L41</f>
        <v/>
      </c>
      <c r="D1056" s="46">
        <f>'Warranty &amp; Maintenance'!M41</f>
        <v/>
      </c>
      <c r="E1056" s="46">
        <f>IF(OR(B1056="",C1056="",D1056=""),"",D1056*100000+(C1056-DATE(2000,1,1))+ROW()/100000)</f>
        <v/>
      </c>
      <c r="F1056" s="46">
        <f>IF(E1056="","",IF(C1056&gt;WeekEndDate,"",E1056))</f>
        <v/>
      </c>
    </row>
    <row r="1057">
      <c r="A1057" t="inlineStr">
        <is>
          <t>Warranty &amp; Maintenance</t>
        </is>
      </c>
      <c r="B1057" s="46">
        <f>'Warranty &amp; Maintenance'!N42</f>
        <v/>
      </c>
      <c r="C1057" s="84">
        <f>'Warranty &amp; Maintenance'!L42</f>
        <v/>
      </c>
      <c r="D1057" s="46">
        <f>'Warranty &amp; Maintenance'!M42</f>
        <v/>
      </c>
      <c r="E1057" s="46">
        <f>IF(OR(B1057="",C1057="",D1057=""),"",D1057*100000+(C1057-DATE(2000,1,1))+ROW()/100000)</f>
        <v/>
      </c>
      <c r="F1057" s="46">
        <f>IF(E1057="","",IF(C1057&gt;WeekEndDate,"",E1057))</f>
        <v/>
      </c>
    </row>
    <row r="1058">
      <c r="A1058" t="inlineStr">
        <is>
          <t>Warranty &amp; Maintenance</t>
        </is>
      </c>
      <c r="B1058" s="46">
        <f>'Warranty &amp; Maintenance'!N43</f>
        <v/>
      </c>
      <c r="C1058" s="84">
        <f>'Warranty &amp; Maintenance'!L43</f>
        <v/>
      </c>
      <c r="D1058" s="46">
        <f>'Warranty &amp; Maintenance'!M43</f>
        <v/>
      </c>
      <c r="E1058" s="46">
        <f>IF(OR(B1058="",C1058="",D1058=""),"",D1058*100000+(C1058-DATE(2000,1,1))+ROW()/100000)</f>
        <v/>
      </c>
      <c r="F1058" s="46">
        <f>IF(E1058="","",IF(C1058&gt;WeekEndDate,"",E1058))</f>
        <v/>
      </c>
    </row>
    <row r="1059">
      <c r="A1059" t="inlineStr">
        <is>
          <t>Warranty &amp; Maintenance</t>
        </is>
      </c>
      <c r="B1059" s="46">
        <f>'Warranty &amp; Maintenance'!N44</f>
        <v/>
      </c>
      <c r="C1059" s="84">
        <f>'Warranty &amp; Maintenance'!L44</f>
        <v/>
      </c>
      <c r="D1059" s="46">
        <f>'Warranty &amp; Maintenance'!M44</f>
        <v/>
      </c>
      <c r="E1059" s="46">
        <f>IF(OR(B1059="",C1059="",D1059=""),"",D1059*100000+(C1059-DATE(2000,1,1))+ROW()/100000)</f>
        <v/>
      </c>
      <c r="F1059" s="46">
        <f>IF(E1059="","",IF(C1059&gt;WeekEndDate,"",E1059))</f>
        <v/>
      </c>
    </row>
    <row r="1060">
      <c r="A1060" t="inlineStr">
        <is>
          <t>Warranty &amp; Maintenance</t>
        </is>
      </c>
      <c r="B1060" s="46">
        <f>'Warranty &amp; Maintenance'!N45</f>
        <v/>
      </c>
      <c r="C1060" s="84">
        <f>'Warranty &amp; Maintenance'!L45</f>
        <v/>
      </c>
      <c r="D1060" s="46">
        <f>'Warranty &amp; Maintenance'!M45</f>
        <v/>
      </c>
      <c r="E1060" s="46">
        <f>IF(OR(B1060="",C1060="",D1060=""),"",D1060*100000+(C1060-DATE(2000,1,1))+ROW()/100000)</f>
        <v/>
      </c>
      <c r="F1060" s="46">
        <f>IF(E1060="","",IF(C1060&gt;WeekEndDate,"",E1060))</f>
        <v/>
      </c>
    </row>
    <row r="1061">
      <c r="A1061" t="inlineStr">
        <is>
          <t>Warranty &amp; Maintenance</t>
        </is>
      </c>
      <c r="B1061" s="46">
        <f>'Warranty &amp; Maintenance'!N46</f>
        <v/>
      </c>
      <c r="C1061" s="84">
        <f>'Warranty &amp; Maintenance'!L46</f>
        <v/>
      </c>
      <c r="D1061" s="46">
        <f>'Warranty &amp; Maintenance'!M46</f>
        <v/>
      </c>
      <c r="E1061" s="46">
        <f>IF(OR(B1061="",C1061="",D1061=""),"",D1061*100000+(C1061-DATE(2000,1,1))+ROW()/100000)</f>
        <v/>
      </c>
      <c r="F1061" s="46">
        <f>IF(E1061="","",IF(C1061&gt;WeekEndDate,"",E1061))</f>
        <v/>
      </c>
    </row>
    <row r="1062">
      <c r="A1062" t="inlineStr">
        <is>
          <t>Warranty &amp; Maintenance</t>
        </is>
      </c>
      <c r="B1062" s="46">
        <f>'Warranty &amp; Maintenance'!N47</f>
        <v/>
      </c>
      <c r="C1062" s="84">
        <f>'Warranty &amp; Maintenance'!L47</f>
        <v/>
      </c>
      <c r="D1062" s="46">
        <f>'Warranty &amp; Maintenance'!M47</f>
        <v/>
      </c>
      <c r="E1062" s="46">
        <f>IF(OR(B1062="",C1062="",D1062=""),"",D1062*100000+(C1062-DATE(2000,1,1))+ROW()/100000)</f>
        <v/>
      </c>
      <c r="F1062" s="46">
        <f>IF(E1062="","",IF(C1062&gt;WeekEndDate,"",E1062))</f>
        <v/>
      </c>
    </row>
    <row r="1063">
      <c r="A1063" t="inlineStr">
        <is>
          <t>Warranty &amp; Maintenance</t>
        </is>
      </c>
      <c r="B1063" s="46">
        <f>'Warranty &amp; Maintenance'!N48</f>
        <v/>
      </c>
      <c r="C1063" s="84">
        <f>'Warranty &amp; Maintenance'!L48</f>
        <v/>
      </c>
      <c r="D1063" s="46">
        <f>'Warranty &amp; Maintenance'!M48</f>
        <v/>
      </c>
      <c r="E1063" s="46">
        <f>IF(OR(B1063="",C1063="",D1063=""),"",D1063*100000+(C1063-DATE(2000,1,1))+ROW()/100000)</f>
        <v/>
      </c>
      <c r="F1063" s="46">
        <f>IF(E1063="","",IF(C1063&gt;WeekEndDate,"",E1063))</f>
        <v/>
      </c>
    </row>
    <row r="1064">
      <c r="A1064" t="inlineStr">
        <is>
          <t>Warranty &amp; Maintenance</t>
        </is>
      </c>
      <c r="B1064" s="46">
        <f>'Warranty &amp; Maintenance'!N49</f>
        <v/>
      </c>
      <c r="C1064" s="84">
        <f>'Warranty &amp; Maintenance'!L49</f>
        <v/>
      </c>
      <c r="D1064" s="46">
        <f>'Warranty &amp; Maintenance'!M49</f>
        <v/>
      </c>
      <c r="E1064" s="46">
        <f>IF(OR(B1064="",C1064="",D1064=""),"",D1064*100000+(C1064-DATE(2000,1,1))+ROW()/100000)</f>
        <v/>
      </c>
      <c r="F1064" s="46">
        <f>IF(E1064="","",IF(C1064&gt;WeekEndDate,"",E1064))</f>
        <v/>
      </c>
    </row>
    <row r="1065">
      <c r="A1065" t="inlineStr">
        <is>
          <t>Warranty &amp; Maintenance</t>
        </is>
      </c>
      <c r="B1065" s="46">
        <f>'Warranty &amp; Maintenance'!N50</f>
        <v/>
      </c>
      <c r="C1065" s="84">
        <f>'Warranty &amp; Maintenance'!L50</f>
        <v/>
      </c>
      <c r="D1065" s="46">
        <f>'Warranty &amp; Maintenance'!M50</f>
        <v/>
      </c>
      <c r="E1065" s="46">
        <f>IF(OR(B1065="",C1065="",D1065=""),"",D1065*100000+(C1065-DATE(2000,1,1))+ROW()/100000)</f>
        <v/>
      </c>
      <c r="F1065" s="46">
        <f>IF(E1065="","",IF(C1065&gt;WeekEndDate,"",E1065))</f>
        <v/>
      </c>
    </row>
    <row r="1066">
      <c r="A1066" t="inlineStr">
        <is>
          <t>Warranty &amp; Maintenance</t>
        </is>
      </c>
      <c r="B1066" s="46">
        <f>'Warranty &amp; Maintenance'!N51</f>
        <v/>
      </c>
      <c r="C1066" s="84">
        <f>'Warranty &amp; Maintenance'!L51</f>
        <v/>
      </c>
      <c r="D1066" s="46">
        <f>'Warranty &amp; Maintenance'!M51</f>
        <v/>
      </c>
      <c r="E1066" s="46">
        <f>IF(OR(B1066="",C1066="",D1066=""),"",D1066*100000+(C1066-DATE(2000,1,1))+ROW()/100000)</f>
        <v/>
      </c>
      <c r="F1066" s="46">
        <f>IF(E1066="","",IF(C1066&gt;WeekEndDate,"",E1066))</f>
        <v/>
      </c>
    </row>
    <row r="1067">
      <c r="A1067" t="inlineStr">
        <is>
          <t>Warranty &amp; Maintenance</t>
        </is>
      </c>
      <c r="B1067" s="46">
        <f>'Warranty &amp; Maintenance'!N52</f>
        <v/>
      </c>
      <c r="C1067" s="84">
        <f>'Warranty &amp; Maintenance'!L52</f>
        <v/>
      </c>
      <c r="D1067" s="46">
        <f>'Warranty &amp; Maintenance'!M52</f>
        <v/>
      </c>
      <c r="E1067" s="46">
        <f>IF(OR(B1067="",C1067="",D1067=""),"",D1067*100000+(C1067-DATE(2000,1,1))+ROW()/100000)</f>
        <v/>
      </c>
      <c r="F1067" s="46">
        <f>IF(E1067="","",IF(C1067&gt;WeekEndDate,"",E1067))</f>
        <v/>
      </c>
    </row>
    <row r="1068">
      <c r="A1068" t="inlineStr">
        <is>
          <t>Warranty &amp; Maintenance</t>
        </is>
      </c>
      <c r="B1068" s="46">
        <f>'Warranty &amp; Maintenance'!N53</f>
        <v/>
      </c>
      <c r="C1068" s="84">
        <f>'Warranty &amp; Maintenance'!L53</f>
        <v/>
      </c>
      <c r="D1068" s="46">
        <f>'Warranty &amp; Maintenance'!M53</f>
        <v/>
      </c>
      <c r="E1068" s="46">
        <f>IF(OR(B1068="",C1068="",D1068=""),"",D1068*100000+(C1068-DATE(2000,1,1))+ROW()/100000)</f>
        <v/>
      </c>
      <c r="F1068" s="46">
        <f>IF(E1068="","",IF(C1068&gt;WeekEndDate,"",E1068))</f>
        <v/>
      </c>
    </row>
    <row r="1069">
      <c r="A1069" t="inlineStr">
        <is>
          <t>Warranty &amp; Maintenance</t>
        </is>
      </c>
      <c r="B1069" s="46">
        <f>'Warranty &amp; Maintenance'!N54</f>
        <v/>
      </c>
      <c r="C1069" s="84">
        <f>'Warranty &amp; Maintenance'!L54</f>
        <v/>
      </c>
      <c r="D1069" s="46">
        <f>'Warranty &amp; Maintenance'!M54</f>
        <v/>
      </c>
      <c r="E1069" s="46">
        <f>IF(OR(B1069="",C1069="",D1069=""),"",D1069*100000+(C1069-DATE(2000,1,1))+ROW()/100000)</f>
        <v/>
      </c>
      <c r="F1069" s="46">
        <f>IF(E1069="","",IF(C1069&gt;WeekEndDate,"",E1069))</f>
        <v/>
      </c>
    </row>
    <row r="1070">
      <c r="A1070" t="inlineStr">
        <is>
          <t>Warranty &amp; Maintenance</t>
        </is>
      </c>
      <c r="B1070" s="46">
        <f>'Warranty &amp; Maintenance'!N55</f>
        <v/>
      </c>
      <c r="C1070" s="84">
        <f>'Warranty &amp; Maintenance'!L55</f>
        <v/>
      </c>
      <c r="D1070" s="46">
        <f>'Warranty &amp; Maintenance'!M55</f>
        <v/>
      </c>
      <c r="E1070" s="46">
        <f>IF(OR(B1070="",C1070="",D1070=""),"",D1070*100000+(C1070-DATE(2000,1,1))+ROW()/100000)</f>
        <v/>
      </c>
      <c r="F1070" s="46">
        <f>IF(E1070="","",IF(C1070&gt;WeekEndDate,"",E1070))</f>
        <v/>
      </c>
    </row>
    <row r="1071">
      <c r="A1071" t="inlineStr">
        <is>
          <t>Warranty &amp; Maintenance</t>
        </is>
      </c>
      <c r="B1071" s="46">
        <f>'Warranty &amp; Maintenance'!N56</f>
        <v/>
      </c>
      <c r="C1071" s="84">
        <f>'Warranty &amp; Maintenance'!L56</f>
        <v/>
      </c>
      <c r="D1071" s="46">
        <f>'Warranty &amp; Maintenance'!M56</f>
        <v/>
      </c>
      <c r="E1071" s="46">
        <f>IF(OR(B1071="",C1071="",D1071=""),"",D1071*100000+(C1071-DATE(2000,1,1))+ROW()/100000)</f>
        <v/>
      </c>
      <c r="F1071" s="46">
        <f>IF(E1071="","",IF(C1071&gt;WeekEndDate,"",E1071))</f>
        <v/>
      </c>
    </row>
    <row r="1072">
      <c r="A1072" t="inlineStr">
        <is>
          <t>Warranty &amp; Maintenance</t>
        </is>
      </c>
      <c r="B1072" s="46">
        <f>'Warranty &amp; Maintenance'!N57</f>
        <v/>
      </c>
      <c r="C1072" s="84">
        <f>'Warranty &amp; Maintenance'!L57</f>
        <v/>
      </c>
      <c r="D1072" s="46">
        <f>'Warranty &amp; Maintenance'!M57</f>
        <v/>
      </c>
      <c r="E1072" s="46">
        <f>IF(OR(B1072="",C1072="",D1072=""),"",D1072*100000+(C1072-DATE(2000,1,1))+ROW()/100000)</f>
        <v/>
      </c>
      <c r="F1072" s="46">
        <f>IF(E1072="","",IF(C1072&gt;WeekEndDate,"",E1072))</f>
        <v/>
      </c>
    </row>
    <row r="1073">
      <c r="A1073" t="inlineStr">
        <is>
          <t>Warranty &amp; Maintenance</t>
        </is>
      </c>
      <c r="B1073" s="46">
        <f>'Warranty &amp; Maintenance'!N58</f>
        <v/>
      </c>
      <c r="C1073" s="84">
        <f>'Warranty &amp; Maintenance'!L58</f>
        <v/>
      </c>
      <c r="D1073" s="46">
        <f>'Warranty &amp; Maintenance'!M58</f>
        <v/>
      </c>
      <c r="E1073" s="46">
        <f>IF(OR(B1073="",C1073="",D1073=""),"",D1073*100000+(C1073-DATE(2000,1,1))+ROW()/100000)</f>
        <v/>
      </c>
      <c r="F1073" s="46">
        <f>IF(E1073="","",IF(C1073&gt;WeekEndDate,"",E1073))</f>
        <v/>
      </c>
    </row>
    <row r="1074">
      <c r="A1074" t="inlineStr">
        <is>
          <t>Warranty &amp; Maintenance</t>
        </is>
      </c>
      <c r="B1074" s="46">
        <f>'Warranty &amp; Maintenance'!N59</f>
        <v/>
      </c>
      <c r="C1074" s="84">
        <f>'Warranty &amp; Maintenance'!L59</f>
        <v/>
      </c>
      <c r="D1074" s="46">
        <f>'Warranty &amp; Maintenance'!M59</f>
        <v/>
      </c>
      <c r="E1074" s="46">
        <f>IF(OR(B1074="",C1074="",D1074=""),"",D1074*100000+(C1074-DATE(2000,1,1))+ROW()/100000)</f>
        <v/>
      </c>
      <c r="F1074" s="46">
        <f>IF(E1074="","",IF(C1074&gt;WeekEndDate,"",E1074))</f>
        <v/>
      </c>
    </row>
    <row r="1075">
      <c r="A1075" t="inlineStr">
        <is>
          <t>Warranty &amp; Maintenance</t>
        </is>
      </c>
      <c r="B1075" s="46">
        <f>'Warranty &amp; Maintenance'!N60</f>
        <v/>
      </c>
      <c r="C1075" s="84">
        <f>'Warranty &amp; Maintenance'!L60</f>
        <v/>
      </c>
      <c r="D1075" s="46">
        <f>'Warranty &amp; Maintenance'!M60</f>
        <v/>
      </c>
      <c r="E1075" s="46">
        <f>IF(OR(B1075="",C1075="",D1075=""),"",D1075*100000+(C1075-DATE(2000,1,1))+ROW()/100000)</f>
        <v/>
      </c>
      <c r="F1075" s="46">
        <f>IF(E1075="","",IF(C1075&gt;WeekEndDate,"",E1075))</f>
        <v/>
      </c>
    </row>
    <row r="1076">
      <c r="A1076" t="inlineStr">
        <is>
          <t>Warranty &amp; Maintenance</t>
        </is>
      </c>
      <c r="B1076" s="46">
        <f>'Warranty &amp; Maintenance'!N61</f>
        <v/>
      </c>
      <c r="C1076" s="84">
        <f>'Warranty &amp; Maintenance'!L61</f>
        <v/>
      </c>
      <c r="D1076" s="46">
        <f>'Warranty &amp; Maintenance'!M61</f>
        <v/>
      </c>
      <c r="E1076" s="46">
        <f>IF(OR(B1076="",C1076="",D1076=""),"",D1076*100000+(C1076-DATE(2000,1,1))+ROW()/100000)</f>
        <v/>
      </c>
      <c r="F1076" s="46">
        <f>IF(E1076="","",IF(C1076&gt;WeekEndDate,"",E1076))</f>
        <v/>
      </c>
    </row>
    <row r="1077">
      <c r="A1077" t="inlineStr">
        <is>
          <t>Warranty &amp; Maintenance</t>
        </is>
      </c>
      <c r="B1077" s="46">
        <f>'Warranty &amp; Maintenance'!N62</f>
        <v/>
      </c>
      <c r="C1077" s="84">
        <f>'Warranty &amp; Maintenance'!L62</f>
        <v/>
      </c>
      <c r="D1077" s="46">
        <f>'Warranty &amp; Maintenance'!M62</f>
        <v/>
      </c>
      <c r="E1077" s="46">
        <f>IF(OR(B1077="",C1077="",D1077=""),"",D1077*100000+(C1077-DATE(2000,1,1))+ROW()/100000)</f>
        <v/>
      </c>
      <c r="F1077" s="46">
        <f>IF(E1077="","",IF(C1077&gt;WeekEndDate,"",E1077))</f>
        <v/>
      </c>
    </row>
    <row r="1078">
      <c r="A1078" t="inlineStr">
        <is>
          <t>Warranty &amp; Maintenance</t>
        </is>
      </c>
      <c r="B1078" s="46">
        <f>'Warranty &amp; Maintenance'!N63</f>
        <v/>
      </c>
      <c r="C1078" s="84">
        <f>'Warranty &amp; Maintenance'!L63</f>
        <v/>
      </c>
      <c r="D1078" s="46">
        <f>'Warranty &amp; Maintenance'!M63</f>
        <v/>
      </c>
      <c r="E1078" s="46">
        <f>IF(OR(B1078="",C1078="",D1078=""),"",D1078*100000+(C1078-DATE(2000,1,1))+ROW()/100000)</f>
        <v/>
      </c>
      <c r="F1078" s="46">
        <f>IF(E1078="","",IF(C1078&gt;WeekEndDate,"",E1078))</f>
        <v/>
      </c>
    </row>
    <row r="1079">
      <c r="A1079" t="inlineStr">
        <is>
          <t>Warranty &amp; Maintenance</t>
        </is>
      </c>
      <c r="B1079" s="46">
        <f>'Warranty &amp; Maintenance'!N64</f>
        <v/>
      </c>
      <c r="C1079" s="84">
        <f>'Warranty &amp; Maintenance'!L64</f>
        <v/>
      </c>
      <c r="D1079" s="46">
        <f>'Warranty &amp; Maintenance'!M64</f>
        <v/>
      </c>
      <c r="E1079" s="46">
        <f>IF(OR(B1079="",C1079="",D1079=""),"",D1079*100000+(C1079-DATE(2000,1,1))+ROW()/100000)</f>
        <v/>
      </c>
      <c r="F1079" s="46">
        <f>IF(E1079="","",IF(C1079&gt;WeekEndDate,"",E1079))</f>
        <v/>
      </c>
    </row>
    <row r="1080">
      <c r="A1080" t="inlineStr">
        <is>
          <t>Warranty &amp; Maintenance</t>
        </is>
      </c>
      <c r="B1080" s="46">
        <f>'Warranty &amp; Maintenance'!N65</f>
        <v/>
      </c>
      <c r="C1080" s="84">
        <f>'Warranty &amp; Maintenance'!L65</f>
        <v/>
      </c>
      <c r="D1080" s="46">
        <f>'Warranty &amp; Maintenance'!M65</f>
        <v/>
      </c>
      <c r="E1080" s="46">
        <f>IF(OR(B1080="",C1080="",D1080=""),"",D1080*100000+(C1080-DATE(2000,1,1))+ROW()/100000)</f>
        <v/>
      </c>
      <c r="F1080" s="46">
        <f>IF(E1080="","",IF(C1080&gt;WeekEndDate,"",E1080))</f>
        <v/>
      </c>
    </row>
    <row r="1081">
      <c r="A1081" t="inlineStr">
        <is>
          <t>Warranty &amp; Maintenance</t>
        </is>
      </c>
      <c r="B1081" s="46">
        <f>'Warranty &amp; Maintenance'!N66</f>
        <v/>
      </c>
      <c r="C1081" s="84">
        <f>'Warranty &amp; Maintenance'!L66</f>
        <v/>
      </c>
      <c r="D1081" s="46">
        <f>'Warranty &amp; Maintenance'!M66</f>
        <v/>
      </c>
      <c r="E1081" s="46">
        <f>IF(OR(B1081="",C1081="",D1081=""),"",D1081*100000+(C1081-DATE(2000,1,1))+ROW()/100000)</f>
        <v/>
      </c>
      <c r="F1081" s="46">
        <f>IF(E1081="","",IF(C1081&gt;WeekEndDate,"",E1081))</f>
        <v/>
      </c>
    </row>
    <row r="1082">
      <c r="A1082" t="inlineStr">
        <is>
          <t>Warranty &amp; Maintenance</t>
        </is>
      </c>
      <c r="B1082" s="46">
        <f>'Warranty &amp; Maintenance'!N72</f>
        <v/>
      </c>
      <c r="C1082" s="84">
        <f>'Warranty &amp; Maintenance'!L72</f>
        <v/>
      </c>
      <c r="D1082" s="46">
        <f>'Warranty &amp; Maintenance'!M72</f>
        <v/>
      </c>
      <c r="E1082" s="46">
        <f>IF(OR(B1082="",C1082="",D1082=""),"",D1082*100000+(C1082-DATE(2000,1,1))+ROW()/100000)</f>
        <v/>
      </c>
      <c r="F1082" s="46">
        <f>IF(E1082="","",IF(C1082&gt;WeekEndDate,"",E1082))</f>
        <v/>
      </c>
    </row>
    <row r="1083">
      <c r="A1083" t="inlineStr">
        <is>
          <t>Warranty &amp; Maintenance</t>
        </is>
      </c>
      <c r="B1083" s="46">
        <f>'Warranty &amp; Maintenance'!N73</f>
        <v/>
      </c>
      <c r="C1083" s="84">
        <f>'Warranty &amp; Maintenance'!L73</f>
        <v/>
      </c>
      <c r="D1083" s="46">
        <f>'Warranty &amp; Maintenance'!M73</f>
        <v/>
      </c>
      <c r="E1083" s="46">
        <f>IF(OR(B1083="",C1083="",D1083=""),"",D1083*100000+(C1083-DATE(2000,1,1))+ROW()/100000)</f>
        <v/>
      </c>
      <c r="F1083" s="46">
        <f>IF(E1083="","",IF(C1083&gt;WeekEndDate,"",E1083))</f>
        <v/>
      </c>
    </row>
    <row r="1084">
      <c r="A1084" t="inlineStr">
        <is>
          <t>Warranty &amp; Maintenance</t>
        </is>
      </c>
      <c r="B1084" s="46">
        <f>'Warranty &amp; Maintenance'!N74</f>
        <v/>
      </c>
      <c r="C1084" s="84">
        <f>'Warranty &amp; Maintenance'!L74</f>
        <v/>
      </c>
      <c r="D1084" s="46">
        <f>'Warranty &amp; Maintenance'!M74</f>
        <v/>
      </c>
      <c r="E1084" s="46">
        <f>IF(OR(B1084="",C1084="",D1084=""),"",D1084*100000+(C1084-DATE(2000,1,1))+ROW()/100000)</f>
        <v/>
      </c>
      <c r="F1084" s="46">
        <f>IF(E1084="","",IF(C1084&gt;WeekEndDate,"",E1084))</f>
        <v/>
      </c>
    </row>
    <row r="1085">
      <c r="A1085" t="inlineStr">
        <is>
          <t>Warranty &amp; Maintenance</t>
        </is>
      </c>
      <c r="B1085" s="46">
        <f>'Warranty &amp; Maintenance'!N75</f>
        <v/>
      </c>
      <c r="C1085" s="84">
        <f>'Warranty &amp; Maintenance'!L75</f>
        <v/>
      </c>
      <c r="D1085" s="46">
        <f>'Warranty &amp; Maintenance'!M75</f>
        <v/>
      </c>
      <c r="E1085" s="46">
        <f>IF(OR(B1085="",C1085="",D1085=""),"",D1085*100000+(C1085-DATE(2000,1,1))+ROW()/100000)</f>
        <v/>
      </c>
      <c r="F1085" s="46">
        <f>IF(E1085="","",IF(C1085&gt;WeekEndDate,"",E1085))</f>
        <v/>
      </c>
    </row>
    <row r="1086">
      <c r="A1086" t="inlineStr">
        <is>
          <t>Warranty &amp; Maintenance</t>
        </is>
      </c>
      <c r="B1086" s="46">
        <f>'Warranty &amp; Maintenance'!N76</f>
        <v/>
      </c>
      <c r="C1086" s="84">
        <f>'Warranty &amp; Maintenance'!L76</f>
        <v/>
      </c>
      <c r="D1086" s="46">
        <f>'Warranty &amp; Maintenance'!M76</f>
        <v/>
      </c>
      <c r="E1086" s="46">
        <f>IF(OR(B1086="",C1086="",D1086=""),"",D1086*100000+(C1086-DATE(2000,1,1))+ROW()/100000)</f>
        <v/>
      </c>
      <c r="F1086" s="46">
        <f>IF(E1086="","",IF(C1086&gt;WeekEndDate,"",E1086))</f>
        <v/>
      </c>
    </row>
    <row r="1087">
      <c r="A1087" t="inlineStr">
        <is>
          <t>Warranty &amp; Maintenance</t>
        </is>
      </c>
      <c r="B1087" s="46">
        <f>'Warranty &amp; Maintenance'!N77</f>
        <v/>
      </c>
      <c r="C1087" s="84">
        <f>'Warranty &amp; Maintenance'!L77</f>
        <v/>
      </c>
      <c r="D1087" s="46">
        <f>'Warranty &amp; Maintenance'!M77</f>
        <v/>
      </c>
      <c r="E1087" s="46">
        <f>IF(OR(B1087="",C1087="",D1087=""),"",D1087*100000+(C1087-DATE(2000,1,1))+ROW()/100000)</f>
        <v/>
      </c>
      <c r="F1087" s="46">
        <f>IF(E1087="","",IF(C1087&gt;WeekEndDate,"",E1087))</f>
        <v/>
      </c>
    </row>
    <row r="1088">
      <c r="A1088" t="inlineStr">
        <is>
          <t>Warranty &amp; Maintenance</t>
        </is>
      </c>
      <c r="B1088" s="46">
        <f>'Warranty &amp; Maintenance'!N78</f>
        <v/>
      </c>
      <c r="C1088" s="84">
        <f>'Warranty &amp; Maintenance'!L78</f>
        <v/>
      </c>
      <c r="D1088" s="46">
        <f>'Warranty &amp; Maintenance'!M78</f>
        <v/>
      </c>
      <c r="E1088" s="46">
        <f>IF(OR(B1088="",C1088="",D1088=""),"",D1088*100000+(C1088-DATE(2000,1,1))+ROW()/100000)</f>
        <v/>
      </c>
      <c r="F1088" s="46">
        <f>IF(E1088="","",IF(C1088&gt;WeekEndDate,"",E1088))</f>
        <v/>
      </c>
    </row>
    <row r="1089">
      <c r="A1089" t="inlineStr">
        <is>
          <t>Warranty &amp; Maintenance</t>
        </is>
      </c>
      <c r="B1089" s="46">
        <f>'Warranty &amp; Maintenance'!N79</f>
        <v/>
      </c>
      <c r="C1089" s="84">
        <f>'Warranty &amp; Maintenance'!L79</f>
        <v/>
      </c>
      <c r="D1089" s="46">
        <f>'Warranty &amp; Maintenance'!M79</f>
        <v/>
      </c>
      <c r="E1089" s="46">
        <f>IF(OR(B1089="",C1089="",D1089=""),"",D1089*100000+(C1089-DATE(2000,1,1))+ROW()/100000)</f>
        <v/>
      </c>
      <c r="F1089" s="46">
        <f>IF(E1089="","",IF(C1089&gt;WeekEndDate,"",E1089))</f>
        <v/>
      </c>
    </row>
    <row r="1090">
      <c r="A1090" t="inlineStr">
        <is>
          <t>Warranty &amp; Maintenance</t>
        </is>
      </c>
      <c r="B1090" s="46">
        <f>'Warranty &amp; Maintenance'!N80</f>
        <v/>
      </c>
      <c r="C1090" s="84">
        <f>'Warranty &amp; Maintenance'!L80</f>
        <v/>
      </c>
      <c r="D1090" s="46">
        <f>'Warranty &amp; Maintenance'!M80</f>
        <v/>
      </c>
      <c r="E1090" s="46">
        <f>IF(OR(B1090="",C1090="",D1090=""),"",D1090*100000+(C1090-DATE(2000,1,1))+ROW()/100000)</f>
        <v/>
      </c>
      <c r="F1090" s="46">
        <f>IF(E1090="","",IF(C1090&gt;WeekEndDate,"",E1090))</f>
        <v/>
      </c>
    </row>
    <row r="1091">
      <c r="A1091" t="inlineStr">
        <is>
          <t>Warranty &amp; Maintenance</t>
        </is>
      </c>
      <c r="B1091" s="46">
        <f>'Warranty &amp; Maintenance'!N81</f>
        <v/>
      </c>
      <c r="C1091" s="84">
        <f>'Warranty &amp; Maintenance'!L81</f>
        <v/>
      </c>
      <c r="D1091" s="46">
        <f>'Warranty &amp; Maintenance'!M81</f>
        <v/>
      </c>
      <c r="E1091" s="46">
        <f>IF(OR(B1091="",C1091="",D1091=""),"",D1091*100000+(C1091-DATE(2000,1,1))+ROW()/100000)</f>
        <v/>
      </c>
      <c r="F1091" s="46">
        <f>IF(E1091="","",IF(C1091&gt;WeekEndDate,"",E1091))</f>
        <v/>
      </c>
    </row>
    <row r="1092">
      <c r="A1092" t="inlineStr">
        <is>
          <t>Warranty &amp; Maintenance</t>
        </is>
      </c>
      <c r="B1092" s="46">
        <f>'Warranty &amp; Maintenance'!N82</f>
        <v/>
      </c>
      <c r="C1092" s="84">
        <f>'Warranty &amp; Maintenance'!L82</f>
        <v/>
      </c>
      <c r="D1092" s="46">
        <f>'Warranty &amp; Maintenance'!M82</f>
        <v/>
      </c>
      <c r="E1092" s="46">
        <f>IF(OR(B1092="",C1092="",D1092=""),"",D1092*100000+(C1092-DATE(2000,1,1))+ROW()/100000)</f>
        <v/>
      </c>
      <c r="F1092" s="46">
        <f>IF(E1092="","",IF(C1092&gt;WeekEndDate,"",E1092))</f>
        <v/>
      </c>
    </row>
    <row r="1093">
      <c r="A1093" t="inlineStr">
        <is>
          <t>Warranty &amp; Maintenance</t>
        </is>
      </c>
      <c r="B1093" s="46">
        <f>'Warranty &amp; Maintenance'!N83</f>
        <v/>
      </c>
      <c r="C1093" s="84">
        <f>'Warranty &amp; Maintenance'!L83</f>
        <v/>
      </c>
      <c r="D1093" s="46">
        <f>'Warranty &amp; Maintenance'!M83</f>
        <v/>
      </c>
      <c r="E1093" s="46">
        <f>IF(OR(B1093="",C1093="",D1093=""),"",D1093*100000+(C1093-DATE(2000,1,1))+ROW()/100000)</f>
        <v/>
      </c>
      <c r="F1093" s="46">
        <f>IF(E1093="","",IF(C1093&gt;WeekEndDate,"",E1093))</f>
        <v/>
      </c>
    </row>
    <row r="1094">
      <c r="A1094" t="inlineStr">
        <is>
          <t>Warranty &amp; Maintenance</t>
        </is>
      </c>
      <c r="B1094" s="46">
        <f>'Warranty &amp; Maintenance'!N84</f>
        <v/>
      </c>
      <c r="C1094" s="84">
        <f>'Warranty &amp; Maintenance'!L84</f>
        <v/>
      </c>
      <c r="D1094" s="46">
        <f>'Warranty &amp; Maintenance'!M84</f>
        <v/>
      </c>
      <c r="E1094" s="46">
        <f>IF(OR(B1094="",C1094="",D1094=""),"",D1094*100000+(C1094-DATE(2000,1,1))+ROW()/100000)</f>
        <v/>
      </c>
      <c r="F1094" s="46">
        <f>IF(E1094="","",IF(C1094&gt;WeekEndDate,"",E1094))</f>
        <v/>
      </c>
    </row>
    <row r="1095">
      <c r="A1095" t="inlineStr">
        <is>
          <t>Warranty &amp; Maintenance</t>
        </is>
      </c>
      <c r="B1095" s="46">
        <f>'Warranty &amp; Maintenance'!N85</f>
        <v/>
      </c>
      <c r="C1095" s="84">
        <f>'Warranty &amp; Maintenance'!L85</f>
        <v/>
      </c>
      <c r="D1095" s="46">
        <f>'Warranty &amp; Maintenance'!M85</f>
        <v/>
      </c>
      <c r="E1095" s="46">
        <f>IF(OR(B1095="",C1095="",D1095=""),"",D1095*100000+(C1095-DATE(2000,1,1))+ROW()/100000)</f>
        <v/>
      </c>
      <c r="F1095" s="46">
        <f>IF(E1095="","",IF(C1095&gt;WeekEndDate,"",E1095))</f>
        <v/>
      </c>
    </row>
    <row r="1096">
      <c r="A1096" t="inlineStr">
        <is>
          <t>Warranty &amp; Maintenance</t>
        </is>
      </c>
      <c r="B1096" s="46">
        <f>'Warranty &amp; Maintenance'!N86</f>
        <v/>
      </c>
      <c r="C1096" s="84">
        <f>'Warranty &amp; Maintenance'!L86</f>
        <v/>
      </c>
      <c r="D1096" s="46">
        <f>'Warranty &amp; Maintenance'!M86</f>
        <v/>
      </c>
      <c r="E1096" s="46">
        <f>IF(OR(B1096="",C1096="",D1096=""),"",D1096*100000+(C1096-DATE(2000,1,1))+ROW()/100000)</f>
        <v/>
      </c>
      <c r="F1096" s="46">
        <f>IF(E1096="","",IF(C1096&gt;WeekEndDate,"",E1096))</f>
        <v/>
      </c>
    </row>
    <row r="1097">
      <c r="A1097" t="inlineStr">
        <is>
          <t>Warranty &amp; Maintenance</t>
        </is>
      </c>
      <c r="B1097" s="46">
        <f>'Warranty &amp; Maintenance'!N87</f>
        <v/>
      </c>
      <c r="C1097" s="84">
        <f>'Warranty &amp; Maintenance'!L87</f>
        <v/>
      </c>
      <c r="D1097" s="46">
        <f>'Warranty &amp; Maintenance'!M87</f>
        <v/>
      </c>
      <c r="E1097" s="46">
        <f>IF(OR(B1097="",C1097="",D1097=""),"",D1097*100000+(C1097-DATE(2000,1,1))+ROW()/100000)</f>
        <v/>
      </c>
      <c r="F1097" s="46">
        <f>IF(E1097="","",IF(C1097&gt;WeekEndDate,"",E1097))</f>
        <v/>
      </c>
    </row>
    <row r="1098">
      <c r="A1098" t="inlineStr">
        <is>
          <t>Warranty &amp; Maintenance</t>
        </is>
      </c>
      <c r="B1098" s="46">
        <f>'Warranty &amp; Maintenance'!N88</f>
        <v/>
      </c>
      <c r="C1098" s="84">
        <f>'Warranty &amp; Maintenance'!L88</f>
        <v/>
      </c>
      <c r="D1098" s="46">
        <f>'Warranty &amp; Maintenance'!M88</f>
        <v/>
      </c>
      <c r="E1098" s="46">
        <f>IF(OR(B1098="",C1098="",D1098=""),"",D1098*100000+(C1098-DATE(2000,1,1))+ROW()/100000)</f>
        <v/>
      </c>
      <c r="F1098" s="46">
        <f>IF(E1098="","",IF(C1098&gt;WeekEndDate,"",E1098))</f>
        <v/>
      </c>
    </row>
    <row r="1099">
      <c r="A1099" t="inlineStr">
        <is>
          <t>Warranty &amp; Maintenance</t>
        </is>
      </c>
      <c r="B1099" s="46">
        <f>'Warranty &amp; Maintenance'!N89</f>
        <v/>
      </c>
      <c r="C1099" s="84">
        <f>'Warranty &amp; Maintenance'!L89</f>
        <v/>
      </c>
      <c r="D1099" s="46">
        <f>'Warranty &amp; Maintenance'!M89</f>
        <v/>
      </c>
      <c r="E1099" s="46">
        <f>IF(OR(B1099="",C1099="",D1099=""),"",D1099*100000+(C1099-DATE(2000,1,1))+ROW()/100000)</f>
        <v/>
      </c>
      <c r="F1099" s="46">
        <f>IF(E1099="","",IF(C1099&gt;WeekEndDate,"",E1099))</f>
        <v/>
      </c>
    </row>
    <row r="1100">
      <c r="A1100" t="inlineStr">
        <is>
          <t>Warranty &amp; Maintenance</t>
        </is>
      </c>
      <c r="B1100" s="46">
        <f>'Warranty &amp; Maintenance'!N90</f>
        <v/>
      </c>
      <c r="C1100" s="84">
        <f>'Warranty &amp; Maintenance'!L90</f>
        <v/>
      </c>
      <c r="D1100" s="46">
        <f>'Warranty &amp; Maintenance'!M90</f>
        <v/>
      </c>
      <c r="E1100" s="46">
        <f>IF(OR(B1100="",C1100="",D1100=""),"",D1100*100000+(C1100-DATE(2000,1,1))+ROW()/100000)</f>
        <v/>
      </c>
      <c r="F1100" s="46">
        <f>IF(E1100="","",IF(C1100&gt;WeekEndDate,"",E1100))</f>
        <v/>
      </c>
    </row>
    <row r="1101">
      <c r="A1101" t="inlineStr">
        <is>
          <t>Warranty &amp; Maintenance</t>
        </is>
      </c>
      <c r="B1101" s="46">
        <f>'Warranty &amp; Maintenance'!N91</f>
        <v/>
      </c>
      <c r="C1101" s="84">
        <f>'Warranty &amp; Maintenance'!L91</f>
        <v/>
      </c>
      <c r="D1101" s="46">
        <f>'Warranty &amp; Maintenance'!M91</f>
        <v/>
      </c>
      <c r="E1101" s="46">
        <f>IF(OR(B1101="",C1101="",D1101=""),"",D1101*100000+(C1101-DATE(2000,1,1))+ROW()/100000)</f>
        <v/>
      </c>
      <c r="F1101" s="46">
        <f>IF(E1101="","",IF(C1101&gt;WeekEndDate,"",E1101))</f>
        <v/>
      </c>
    </row>
    <row r="1102">
      <c r="A1102" t="inlineStr">
        <is>
          <t>Warranty &amp; Maintenance</t>
        </is>
      </c>
      <c r="B1102" s="46">
        <f>'Warranty &amp; Maintenance'!N92</f>
        <v/>
      </c>
      <c r="C1102" s="84">
        <f>'Warranty &amp; Maintenance'!L92</f>
        <v/>
      </c>
      <c r="D1102" s="46">
        <f>'Warranty &amp; Maintenance'!M92</f>
        <v/>
      </c>
      <c r="E1102" s="46">
        <f>IF(OR(B1102="",C1102="",D1102=""),"",D1102*100000+(C1102-DATE(2000,1,1))+ROW()/100000)</f>
        <v/>
      </c>
      <c r="F1102" s="46">
        <f>IF(E1102="","",IF(C1102&gt;WeekEndDate,"",E1102))</f>
        <v/>
      </c>
    </row>
    <row r="1103">
      <c r="A1103" t="inlineStr">
        <is>
          <t>Warranty &amp; Maintenance</t>
        </is>
      </c>
      <c r="B1103" s="46">
        <f>'Warranty &amp; Maintenance'!N93</f>
        <v/>
      </c>
      <c r="C1103" s="84">
        <f>'Warranty &amp; Maintenance'!L93</f>
        <v/>
      </c>
      <c r="D1103" s="46">
        <f>'Warranty &amp; Maintenance'!M93</f>
        <v/>
      </c>
      <c r="E1103" s="46">
        <f>IF(OR(B1103="",C1103="",D1103=""),"",D1103*100000+(C1103-DATE(2000,1,1))+ROW()/100000)</f>
        <v/>
      </c>
      <c r="F1103" s="46">
        <f>IF(E1103="","",IF(C1103&gt;WeekEndDate,"",E1103))</f>
        <v/>
      </c>
    </row>
    <row r="1104">
      <c r="A1104" t="inlineStr">
        <is>
          <t>Warranty &amp; Maintenance</t>
        </is>
      </c>
      <c r="B1104" s="46">
        <f>'Warranty &amp; Maintenance'!N94</f>
        <v/>
      </c>
      <c r="C1104" s="84">
        <f>'Warranty &amp; Maintenance'!L94</f>
        <v/>
      </c>
      <c r="D1104" s="46">
        <f>'Warranty &amp; Maintenance'!M94</f>
        <v/>
      </c>
      <c r="E1104" s="46">
        <f>IF(OR(B1104="",C1104="",D1104=""),"",D1104*100000+(C1104-DATE(2000,1,1))+ROW()/100000)</f>
        <v/>
      </c>
      <c r="F1104" s="46">
        <f>IF(E1104="","",IF(C1104&gt;WeekEndDate,"",E1104))</f>
        <v/>
      </c>
    </row>
    <row r="1105">
      <c r="A1105" t="inlineStr">
        <is>
          <t>Warranty &amp; Maintenance</t>
        </is>
      </c>
      <c r="B1105" s="46">
        <f>'Warranty &amp; Maintenance'!N95</f>
        <v/>
      </c>
      <c r="C1105" s="84">
        <f>'Warranty &amp; Maintenance'!L95</f>
        <v/>
      </c>
      <c r="D1105" s="46">
        <f>'Warranty &amp; Maintenance'!M95</f>
        <v/>
      </c>
      <c r="E1105" s="46">
        <f>IF(OR(B1105="",C1105="",D1105=""),"",D1105*100000+(C1105-DATE(2000,1,1))+ROW()/100000)</f>
        <v/>
      </c>
      <c r="F1105" s="46">
        <f>IF(E1105="","",IF(C1105&gt;WeekEndDate,"",E1105))</f>
        <v/>
      </c>
    </row>
    <row r="1106">
      <c r="A1106" t="inlineStr">
        <is>
          <t>Warranty &amp; Maintenance</t>
        </is>
      </c>
      <c r="B1106" s="46">
        <f>'Warranty &amp; Maintenance'!N96</f>
        <v/>
      </c>
      <c r="C1106" s="84">
        <f>'Warranty &amp; Maintenance'!L96</f>
        <v/>
      </c>
      <c r="D1106" s="46">
        <f>'Warranty &amp; Maintenance'!M96</f>
        <v/>
      </c>
      <c r="E1106" s="46">
        <f>IF(OR(B1106="",C1106="",D1106=""),"",D1106*100000+(C1106-DATE(2000,1,1))+ROW()/100000)</f>
        <v/>
      </c>
      <c r="F1106" s="46">
        <f>IF(E1106="","",IF(C1106&gt;WeekEndDate,"",E1106))</f>
        <v/>
      </c>
    </row>
    <row r="1107">
      <c r="A1107" t="inlineStr">
        <is>
          <t>Warranty &amp; Maintenance</t>
        </is>
      </c>
      <c r="B1107" s="46">
        <f>'Warranty &amp; Maintenance'!N97</f>
        <v/>
      </c>
      <c r="C1107" s="84">
        <f>'Warranty &amp; Maintenance'!L97</f>
        <v/>
      </c>
      <c r="D1107" s="46">
        <f>'Warranty &amp; Maintenance'!M97</f>
        <v/>
      </c>
      <c r="E1107" s="46">
        <f>IF(OR(B1107="",C1107="",D1107=""),"",D1107*100000+(C1107-DATE(2000,1,1))+ROW()/100000)</f>
        <v/>
      </c>
      <c r="F1107" s="46">
        <f>IF(E1107="","",IF(C1107&gt;WeekEndDate,"",E1107))</f>
        <v/>
      </c>
    </row>
    <row r="1108">
      <c r="A1108" t="inlineStr">
        <is>
          <t>Warranty &amp; Maintenance</t>
        </is>
      </c>
      <c r="B1108" s="46">
        <f>'Warranty &amp; Maintenance'!N98</f>
        <v/>
      </c>
      <c r="C1108" s="84">
        <f>'Warranty &amp; Maintenance'!L98</f>
        <v/>
      </c>
      <c r="D1108" s="46">
        <f>'Warranty &amp; Maintenance'!M98</f>
        <v/>
      </c>
      <c r="E1108" s="46">
        <f>IF(OR(B1108="",C1108="",D1108=""),"",D1108*100000+(C1108-DATE(2000,1,1))+ROW()/100000)</f>
        <v/>
      </c>
      <c r="F1108" s="46">
        <f>IF(E1108="","",IF(C1108&gt;WeekEndDate,"",E1108))</f>
        <v/>
      </c>
    </row>
    <row r="1109">
      <c r="A1109" t="inlineStr">
        <is>
          <t>Warranty &amp; Maintenance</t>
        </is>
      </c>
      <c r="B1109" s="46">
        <f>'Warranty &amp; Maintenance'!N99</f>
        <v/>
      </c>
      <c r="C1109" s="84">
        <f>'Warranty &amp; Maintenance'!L99</f>
        <v/>
      </c>
      <c r="D1109" s="46">
        <f>'Warranty &amp; Maintenance'!M99</f>
        <v/>
      </c>
      <c r="E1109" s="46">
        <f>IF(OR(B1109="",C1109="",D1109=""),"",D1109*100000+(C1109-DATE(2000,1,1))+ROW()/100000)</f>
        <v/>
      </c>
      <c r="F1109" s="46">
        <f>IF(E1109="","",IF(C1109&gt;WeekEndDate,"",E1109))</f>
        <v/>
      </c>
    </row>
    <row r="1110">
      <c r="A1110" t="inlineStr">
        <is>
          <t>Warranty &amp; Maintenance</t>
        </is>
      </c>
      <c r="B1110" s="46">
        <f>'Warranty &amp; Maintenance'!N100</f>
        <v/>
      </c>
      <c r="C1110" s="84">
        <f>'Warranty &amp; Maintenance'!L100</f>
        <v/>
      </c>
      <c r="D1110" s="46">
        <f>'Warranty &amp; Maintenance'!M100</f>
        <v/>
      </c>
      <c r="E1110" s="46">
        <f>IF(OR(B1110="",C1110="",D1110=""),"",D1110*100000+(C1110-DATE(2000,1,1))+ROW()/100000)</f>
        <v/>
      </c>
      <c r="F1110" s="46">
        <f>IF(E1110="","",IF(C1110&gt;WeekEndDate,"",E1110))</f>
        <v/>
      </c>
    </row>
    <row r="1111">
      <c r="A1111" t="inlineStr">
        <is>
          <t>Warranty &amp; Maintenance</t>
        </is>
      </c>
      <c r="B1111" s="46">
        <f>'Warranty &amp; Maintenance'!N101</f>
        <v/>
      </c>
      <c r="C1111" s="84">
        <f>'Warranty &amp; Maintenance'!L101</f>
        <v/>
      </c>
      <c r="D1111" s="46">
        <f>'Warranty &amp; Maintenance'!M101</f>
        <v/>
      </c>
      <c r="E1111" s="46">
        <f>IF(OR(B1111="",C1111="",D1111=""),"",D1111*100000+(C1111-DATE(2000,1,1))+ROW()/100000)</f>
        <v/>
      </c>
      <c r="F1111" s="46">
        <f>IF(E1111="","",IF(C1111&gt;WeekEndDate,"",E1111))</f>
        <v/>
      </c>
    </row>
    <row r="1112">
      <c r="A1112" t="inlineStr">
        <is>
          <t>Warranty &amp; Maintenance</t>
        </is>
      </c>
      <c r="B1112" s="46">
        <f>'Warranty &amp; Maintenance'!N102</f>
        <v/>
      </c>
      <c r="C1112" s="84">
        <f>'Warranty &amp; Maintenance'!L102</f>
        <v/>
      </c>
      <c r="D1112" s="46">
        <f>'Warranty &amp; Maintenance'!M102</f>
        <v/>
      </c>
      <c r="E1112" s="46">
        <f>IF(OR(B1112="",C1112="",D1112=""),"",D1112*100000+(C1112-DATE(2000,1,1))+ROW()/100000)</f>
        <v/>
      </c>
      <c r="F1112" s="46">
        <f>IF(E1112="","",IF(C1112&gt;WeekEndDate,"",E1112))</f>
        <v/>
      </c>
    </row>
    <row r="1113">
      <c r="A1113" t="inlineStr">
        <is>
          <t>Warranty &amp; Maintenance</t>
        </is>
      </c>
      <c r="B1113" s="46">
        <f>'Warranty &amp; Maintenance'!N103</f>
        <v/>
      </c>
      <c r="C1113" s="84">
        <f>'Warranty &amp; Maintenance'!L103</f>
        <v/>
      </c>
      <c r="D1113" s="46">
        <f>'Warranty &amp; Maintenance'!M103</f>
        <v/>
      </c>
      <c r="E1113" s="46">
        <f>IF(OR(B1113="",C1113="",D1113=""),"",D1113*100000+(C1113-DATE(2000,1,1))+ROW()/100000)</f>
        <v/>
      </c>
      <c r="F1113" s="46">
        <f>IF(E1113="","",IF(C1113&gt;WeekEndDate,"",E1113))</f>
        <v/>
      </c>
    </row>
    <row r="1114">
      <c r="A1114" t="inlineStr">
        <is>
          <t>Warranty &amp; Maintenance</t>
        </is>
      </c>
      <c r="B1114" s="46">
        <f>'Warranty &amp; Maintenance'!N104</f>
        <v/>
      </c>
      <c r="C1114" s="84">
        <f>'Warranty &amp; Maintenance'!L104</f>
        <v/>
      </c>
      <c r="D1114" s="46">
        <f>'Warranty &amp; Maintenance'!M104</f>
        <v/>
      </c>
      <c r="E1114" s="46">
        <f>IF(OR(B1114="",C1114="",D1114=""),"",D1114*100000+(C1114-DATE(2000,1,1))+ROW()/100000)</f>
        <v/>
      </c>
      <c r="F1114" s="46">
        <f>IF(E1114="","",IF(C1114&gt;WeekEndDate,"",E1114))</f>
        <v/>
      </c>
    </row>
    <row r="1115">
      <c r="A1115" t="inlineStr">
        <is>
          <t>Warranty &amp; Maintenance</t>
        </is>
      </c>
      <c r="B1115" s="46">
        <f>'Warranty &amp; Maintenance'!N105</f>
        <v/>
      </c>
      <c r="C1115" s="84">
        <f>'Warranty &amp; Maintenance'!L105</f>
        <v/>
      </c>
      <c r="D1115" s="46">
        <f>'Warranty &amp; Maintenance'!M105</f>
        <v/>
      </c>
      <c r="E1115" s="46">
        <f>IF(OR(B1115="",C1115="",D1115=""),"",D1115*100000+(C1115-DATE(2000,1,1))+ROW()/100000)</f>
        <v/>
      </c>
      <c r="F1115" s="46">
        <f>IF(E1115="","",IF(C1115&gt;WeekEndDate,"",E1115))</f>
        <v/>
      </c>
    </row>
    <row r="1116">
      <c r="A1116" t="inlineStr">
        <is>
          <t>Warranty &amp; Maintenance</t>
        </is>
      </c>
      <c r="B1116" s="46">
        <f>'Warranty &amp; Maintenance'!N106</f>
        <v/>
      </c>
      <c r="C1116" s="84">
        <f>'Warranty &amp; Maintenance'!L106</f>
        <v/>
      </c>
      <c r="D1116" s="46">
        <f>'Warranty &amp; Maintenance'!M106</f>
        <v/>
      </c>
      <c r="E1116" s="46">
        <f>IF(OR(B1116="",C1116="",D1116=""),"",D1116*100000+(C1116-DATE(2000,1,1))+ROW()/100000)</f>
        <v/>
      </c>
      <c r="F1116" s="46">
        <f>IF(E1116="","",IF(C1116&gt;WeekEndDate,"",E1116))</f>
        <v/>
      </c>
    </row>
    <row r="1117">
      <c r="A1117" t="inlineStr">
        <is>
          <t>Warranty &amp; Maintenance</t>
        </is>
      </c>
      <c r="B1117" s="46">
        <f>'Warranty &amp; Maintenance'!N107</f>
        <v/>
      </c>
      <c r="C1117" s="84">
        <f>'Warranty &amp; Maintenance'!L107</f>
        <v/>
      </c>
      <c r="D1117" s="46">
        <f>'Warranty &amp; Maintenance'!M107</f>
        <v/>
      </c>
      <c r="E1117" s="46">
        <f>IF(OR(B1117="",C1117="",D1117=""),"",D1117*100000+(C1117-DATE(2000,1,1))+ROW()/100000)</f>
        <v/>
      </c>
      <c r="F1117" s="46">
        <f>IF(E1117="","",IF(C1117&gt;WeekEndDate,"",E1117))</f>
        <v/>
      </c>
    </row>
    <row r="1118">
      <c r="A1118" t="inlineStr">
        <is>
          <t>Warranty &amp; Maintenance</t>
        </is>
      </c>
      <c r="B1118" s="46">
        <f>'Warranty &amp; Maintenance'!N108</f>
        <v/>
      </c>
      <c r="C1118" s="84">
        <f>'Warranty &amp; Maintenance'!L108</f>
        <v/>
      </c>
      <c r="D1118" s="46">
        <f>'Warranty &amp; Maintenance'!M108</f>
        <v/>
      </c>
      <c r="E1118" s="46">
        <f>IF(OR(B1118="",C1118="",D1118=""),"",D1118*100000+(C1118-DATE(2000,1,1))+ROW()/100000)</f>
        <v/>
      </c>
      <c r="F1118" s="46">
        <f>IF(E1118="","",IF(C1118&gt;WeekEndDate,"",E1118))</f>
        <v/>
      </c>
    </row>
    <row r="1119">
      <c r="A1119" t="inlineStr">
        <is>
          <t>Warranty &amp; Maintenance</t>
        </is>
      </c>
      <c r="B1119" s="46">
        <f>'Warranty &amp; Maintenance'!N109</f>
        <v/>
      </c>
      <c r="C1119" s="84">
        <f>'Warranty &amp; Maintenance'!L109</f>
        <v/>
      </c>
      <c r="D1119" s="46">
        <f>'Warranty &amp; Maintenance'!M109</f>
        <v/>
      </c>
      <c r="E1119" s="46">
        <f>IF(OR(B1119="",C1119="",D1119=""),"",D1119*100000+(C1119-DATE(2000,1,1))+ROW()/100000)</f>
        <v/>
      </c>
      <c r="F1119" s="46">
        <f>IF(E1119="","",IF(C1119&gt;WeekEndDate,"",E1119))</f>
        <v/>
      </c>
    </row>
    <row r="1120">
      <c r="A1120" t="inlineStr">
        <is>
          <t>Warranty &amp; Maintenance</t>
        </is>
      </c>
      <c r="B1120" s="46">
        <f>'Warranty &amp; Maintenance'!N110</f>
        <v/>
      </c>
      <c r="C1120" s="84">
        <f>'Warranty &amp; Maintenance'!L110</f>
        <v/>
      </c>
      <c r="D1120" s="46">
        <f>'Warranty &amp; Maintenance'!M110</f>
        <v/>
      </c>
      <c r="E1120" s="46">
        <f>IF(OR(B1120="",C1120="",D1120=""),"",D1120*100000+(C1120-DATE(2000,1,1))+ROW()/100000)</f>
        <v/>
      </c>
      <c r="F1120" s="46">
        <f>IF(E1120="","",IF(C1120&gt;WeekEndDate,"",E1120))</f>
        <v/>
      </c>
    </row>
    <row r="1121">
      <c r="A1121" t="inlineStr">
        <is>
          <t>Warranty &amp; Maintenance</t>
        </is>
      </c>
      <c r="B1121" s="46">
        <f>'Warranty &amp; Maintenance'!N111</f>
        <v/>
      </c>
      <c r="C1121" s="84">
        <f>'Warranty &amp; Maintenance'!L111</f>
        <v/>
      </c>
      <c r="D1121" s="46">
        <f>'Warranty &amp; Maintenance'!M111</f>
        <v/>
      </c>
      <c r="E1121" s="46">
        <f>IF(OR(B1121="",C1121="",D1121=""),"",D1121*100000+(C1121-DATE(2000,1,1))+ROW()/100000)</f>
        <v/>
      </c>
      <c r="F1121" s="46">
        <f>IF(E1121="","",IF(C1121&gt;WeekEndDate,"",E1121))</f>
        <v/>
      </c>
    </row>
    <row r="1122">
      <c r="A1122" t="inlineStr">
        <is>
          <t>Budget</t>
        </is>
      </c>
      <c r="B1122" s="46">
        <f>'Budget'!S40</f>
        <v/>
      </c>
      <c r="C1122" s="84">
        <f>'Budget'!Q40</f>
        <v/>
      </c>
      <c r="D1122" s="46">
        <f>'Budget'!R40</f>
        <v/>
      </c>
      <c r="E1122" s="46">
        <f>IF(OR(B1122="",C1122="",D1122=""),"",D1122*100000+(C1122-DATE(2000,1,1))+ROW()/100000)</f>
        <v/>
      </c>
      <c r="F1122" s="46">
        <f>IF(E1122="","",IF(C1122&gt;WeekEndDate,"",E1122))</f>
        <v/>
      </c>
    </row>
    <row r="1123">
      <c r="A1123" t="inlineStr">
        <is>
          <t>Budget</t>
        </is>
      </c>
      <c r="B1123" s="46">
        <f>'Budget'!S41</f>
        <v/>
      </c>
      <c r="C1123" s="84">
        <f>'Budget'!Q41</f>
        <v/>
      </c>
      <c r="D1123" s="46">
        <f>'Budget'!R41</f>
        <v/>
      </c>
      <c r="E1123" s="46">
        <f>IF(OR(B1123="",C1123="",D1123=""),"",D1123*100000+(C1123-DATE(2000,1,1))+ROW()/100000)</f>
        <v/>
      </c>
      <c r="F1123" s="46">
        <f>IF(E1123="","",IF(C1123&gt;WeekEndDate,"",E1123))</f>
        <v/>
      </c>
    </row>
  </sheetData>
  <sheetProtection selectLockedCells="1" selectUnlockedCells="0" sheet="1" objects="0" insertRows="1" insertHyperlinks="1" autoFilter="1" scenarios="0" formatColumns="0" deleteColumns="1" insertColumns="1" pivotTables="1" deleteRows="1" formatCells="1" formatRows="0" sort="1" password="CD61"/>
  <pageMargins left="0.75" right="0.75" top="1" bottom="1" header="0.5" footer="0.5"/>
</worksheet>
</file>

<file path=xl/worksheets/sheet16.xml><?xml version="1.0" encoding="utf-8"?>
<worksheet xmlns="http://schemas.openxmlformats.org/spreadsheetml/2006/main">
  <sheetPr>
    <tabColor rgb="009CA3AF"/>
    <outlinePr summaryBelow="1" summaryRight="1"/>
    <pageSetUpPr/>
  </sheetPr>
  <dimension ref="A1:X3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46" t="inlineStr">
        <is>
          <t>YesNo</t>
        </is>
      </c>
      <c r="B1" s="146" t="inlineStr">
        <is>
          <t>Stage</t>
        </is>
      </c>
      <c r="C1" s="146" t="inlineStr">
        <is>
          <t>Incl</t>
        </is>
      </c>
      <c r="D1" s="146" t="inlineStr">
        <is>
          <t>COStatus</t>
        </is>
      </c>
      <c r="E1" s="146" t="inlineStr">
        <is>
          <t>COReason</t>
        </is>
      </c>
      <c r="F1" s="146" t="inlineStr">
        <is>
          <t>ReqBy</t>
        </is>
      </c>
      <c r="G1" s="146" t="inlineStr">
        <is>
          <t>Phase</t>
        </is>
      </c>
      <c r="H1" s="146" t="inlineStr">
        <is>
          <t>TaskStatus</t>
        </is>
      </c>
      <c r="I1" s="146" t="inlineStr">
        <is>
          <t>IssueType</t>
        </is>
      </c>
      <c r="J1" s="146" t="inlineStr">
        <is>
          <t>Severity</t>
        </is>
      </c>
      <c r="K1" s="146" t="inlineStr">
        <is>
          <t>IssueStatus</t>
        </is>
      </c>
      <c r="L1" s="146" t="inlineStr">
        <is>
          <t>DocType</t>
        </is>
      </c>
      <c r="M1" s="146" t="inlineStr">
        <is>
          <t>PhotoStage</t>
        </is>
      </c>
      <c r="N1" s="146" t="inlineStr">
        <is>
          <t>ABC</t>
        </is>
      </c>
      <c r="O1" s="146" t="inlineStr">
        <is>
          <t>Gut</t>
        </is>
      </c>
      <c r="P1" s="146" t="inlineStr">
        <is>
          <t>CurLabel</t>
        </is>
      </c>
      <c r="Q1" s="146" t="inlineStr">
        <is>
          <t>CurSym</t>
        </is>
      </c>
      <c r="R1" s="146" t="inlineStr">
        <is>
          <t>TaxName</t>
        </is>
      </c>
      <c r="S1" s="146" t="inlineStr">
        <is>
          <t>AreaUnit</t>
        </is>
      </c>
      <c r="T1" s="146" t="inlineStr">
        <is>
          <t>WeekStart</t>
        </is>
      </c>
      <c r="U1" s="146" t="inlineStr">
        <is>
          <t>WarnBand</t>
        </is>
      </c>
      <c r="V1" s="146" t="inlineStr">
        <is>
          <t>Categories</t>
        </is>
      </c>
      <c r="W1" s="146" t="inlineStr">
        <is>
          <t>Rooms</t>
        </is>
      </c>
      <c r="X1" s="146" t="inlineStr">
        <is>
          <t>Contractors</t>
        </is>
      </c>
    </row>
    <row r="2">
      <c r="A2" s="147" t="inlineStr">
        <is>
          <t>Yes</t>
        </is>
      </c>
      <c r="B2" s="147" t="inlineStr">
        <is>
          <t>Estimating</t>
        </is>
      </c>
      <c r="C2" s="147" t="inlineStr">
        <is>
          <t>Included</t>
        </is>
      </c>
      <c r="D2" s="147" t="inlineStr">
        <is>
          <t>Pending</t>
        </is>
      </c>
      <c r="E2" s="147" t="inlineStr">
        <is>
          <t>Client choice</t>
        </is>
      </c>
      <c r="F2" s="147" t="inlineStr">
        <is>
          <t>Owner</t>
        </is>
      </c>
      <c r="G2" s="147" t="inlineStr">
        <is>
          <t>Pre-construction</t>
        </is>
      </c>
      <c r="H2" s="147" t="inlineStr">
        <is>
          <t>Not started</t>
        </is>
      </c>
      <c r="I2" s="147" t="inlineStr">
        <is>
          <t>Issue</t>
        </is>
      </c>
      <c r="J2" s="147" t="inlineStr">
        <is>
          <t>Low</t>
        </is>
      </c>
      <c r="K2" s="147" t="inlineStr">
        <is>
          <t>Open</t>
        </is>
      </c>
      <c r="L2" s="147" t="inlineStr">
        <is>
          <t>Contract</t>
        </is>
      </c>
      <c r="M2" s="147" t="inlineStr">
        <is>
          <t>Before</t>
        </is>
      </c>
      <c r="N2" s="147" t="inlineStr">
        <is>
          <t>A</t>
        </is>
      </c>
      <c r="O2" s="147" t="n">
        <v>1</v>
      </c>
      <c r="P2" s="147" t="inlineStr">
        <is>
          <t>EUR €</t>
        </is>
      </c>
      <c r="Q2" s="147" t="inlineStr">
        <is>
          <t>€</t>
        </is>
      </c>
      <c r="R2" s="147" t="inlineStr">
        <is>
          <t>VAT</t>
        </is>
      </c>
      <c r="S2" s="147" t="inlineStr">
        <is>
          <t>m²</t>
        </is>
      </c>
      <c r="T2" s="147" t="inlineStr">
        <is>
          <t>Monday</t>
        </is>
      </c>
      <c r="U2" s="148" t="n">
        <v>0</v>
      </c>
      <c r="V2" s="149">
        <f>IF('Budget'!B8="","",'Budget'!B8)</f>
        <v/>
      </c>
      <c r="W2" s="149">
        <f>IF('Rooms'!Q6="","",'Rooms'!Q6)</f>
        <v/>
      </c>
      <c r="X2" s="149">
        <f>IF('Contractors'!B6="","",'Contractors'!B6)</f>
        <v/>
      </c>
    </row>
    <row r="3">
      <c r="A3" s="147" t="inlineStr">
        <is>
          <t>No</t>
        </is>
      </c>
      <c r="B3" s="147" t="inlineStr">
        <is>
          <t>Contracted</t>
        </is>
      </c>
      <c r="C3" s="147" t="inlineStr">
        <is>
          <t>Not included</t>
        </is>
      </c>
      <c r="D3" s="147" t="inlineStr">
        <is>
          <t>Approved</t>
        </is>
      </c>
      <c r="E3" s="147" t="inlineStr">
        <is>
          <t>Unforeseen condition</t>
        </is>
      </c>
      <c r="F3" s="147" t="inlineStr">
        <is>
          <t>Contractor</t>
        </is>
      </c>
      <c r="G3" s="147" t="inlineStr">
        <is>
          <t>Construction</t>
        </is>
      </c>
      <c r="H3" s="147" t="inlineStr">
        <is>
          <t>In progress</t>
        </is>
      </c>
      <c r="I3" s="147" t="inlineStr">
        <is>
          <t>Punch item</t>
        </is>
      </c>
      <c r="J3" s="147" t="inlineStr">
        <is>
          <t>Medium</t>
        </is>
      </c>
      <c r="K3" s="147" t="inlineStr">
        <is>
          <t>In progress</t>
        </is>
      </c>
      <c r="L3" s="147" t="inlineStr">
        <is>
          <t>Quote</t>
        </is>
      </c>
      <c r="M3" s="147" t="inlineStr">
        <is>
          <t>Demolition</t>
        </is>
      </c>
      <c r="N3" s="147" t="inlineStr">
        <is>
          <t>B</t>
        </is>
      </c>
      <c r="O3" s="147" t="n">
        <v>2</v>
      </c>
      <c r="P3" s="147" t="inlineStr">
        <is>
          <t>USD $</t>
        </is>
      </c>
      <c r="Q3" s="147" t="inlineStr">
        <is>
          <t>$</t>
        </is>
      </c>
      <c r="R3" s="147" t="inlineStr">
        <is>
          <t>Sales tax</t>
        </is>
      </c>
      <c r="S3" s="147" t="inlineStr">
        <is>
          <t>ft²</t>
        </is>
      </c>
      <c r="T3" s="147" t="inlineStr">
        <is>
          <t>Sunday</t>
        </is>
      </c>
      <c r="U3" s="148" t="n">
        <v>0.05</v>
      </c>
      <c r="V3" s="149">
        <f>IF('Budget'!B9="","",'Budget'!B9)</f>
        <v/>
      </c>
      <c r="W3" s="149">
        <f>IF('Rooms'!Q7="","",'Rooms'!Q7)</f>
        <v/>
      </c>
      <c r="X3" s="149">
        <f>IF('Contractors'!B7="","",'Contractors'!B7)</f>
        <v/>
      </c>
    </row>
    <row r="4">
      <c r="B4" s="147" t="inlineStr">
        <is>
          <t>Complete</t>
        </is>
      </c>
      <c r="C4" s="147" t="inlineStr">
        <is>
          <t>Unclear</t>
        </is>
      </c>
      <c r="D4" s="147" t="inlineStr">
        <is>
          <t>Rejected</t>
        </is>
      </c>
      <c r="E4" s="147" t="inlineStr">
        <is>
          <t>Design change</t>
        </is>
      </c>
      <c r="F4" s="147" t="inlineStr">
        <is>
          <t>Architect / designer</t>
        </is>
      </c>
      <c r="G4" s="147" t="inlineStr">
        <is>
          <t>Final</t>
        </is>
      </c>
      <c r="H4" s="147" t="inlineStr">
        <is>
          <t>Done</t>
        </is>
      </c>
      <c r="J4" s="147" t="inlineStr">
        <is>
          <t>High</t>
        </is>
      </c>
      <c r="K4" s="147" t="inlineStr">
        <is>
          <t>Resolved</t>
        </is>
      </c>
      <c r="L4" s="147" t="inlineStr">
        <is>
          <t>Invoice</t>
        </is>
      </c>
      <c r="M4" s="147" t="inlineStr">
        <is>
          <t>Rough-in</t>
        </is>
      </c>
      <c r="N4" s="147" t="inlineStr">
        <is>
          <t>C</t>
        </is>
      </c>
      <c r="O4" s="147" t="n">
        <v>3</v>
      </c>
      <c r="P4" s="147" t="inlineStr">
        <is>
          <t>GBP £</t>
        </is>
      </c>
      <c r="Q4" s="147" t="inlineStr">
        <is>
          <t>£</t>
        </is>
      </c>
      <c r="R4" s="147" t="inlineStr">
        <is>
          <t>GST</t>
        </is>
      </c>
      <c r="U4" s="148" t="n">
        <v>0.1</v>
      </c>
      <c r="V4" s="149">
        <f>IF('Budget'!B10="","",'Budget'!B10)</f>
        <v/>
      </c>
      <c r="W4" s="149">
        <f>IF('Rooms'!Q8="","",'Rooms'!Q8)</f>
        <v/>
      </c>
      <c r="X4" s="149">
        <f>IF('Contractors'!B8="","",'Contractors'!B8)</f>
        <v/>
      </c>
    </row>
    <row r="5">
      <c r="E5" s="147" t="inlineStr">
        <is>
          <t>Code requirement</t>
        </is>
      </c>
      <c r="F5" s="147" t="inlineStr">
        <is>
          <t>Inspector</t>
        </is>
      </c>
      <c r="L5" s="147" t="inlineStr">
        <is>
          <t>Permit</t>
        </is>
      </c>
      <c r="M5" s="147" t="inlineStr">
        <is>
          <t>Walls</t>
        </is>
      </c>
      <c r="O5" s="147" t="n">
        <v>4</v>
      </c>
      <c r="P5" s="147" t="inlineStr">
        <is>
          <t>CHF</t>
        </is>
      </c>
      <c r="Q5" s="147" t="inlineStr">
        <is>
          <t>CHF</t>
        </is>
      </c>
      <c r="R5" s="147" t="inlineStr">
        <is>
          <t>HST</t>
        </is>
      </c>
      <c r="V5" s="149">
        <f>IF('Budget'!B11="","",'Budget'!B11)</f>
        <v/>
      </c>
      <c r="W5" s="149">
        <f>IF('Rooms'!Q9="","",'Rooms'!Q9)</f>
        <v/>
      </c>
      <c r="X5" s="149">
        <f>IF('Contractors'!B9="","",'Contractors'!B9)</f>
        <v/>
      </c>
    </row>
    <row r="6">
      <c r="E6" s="147" t="inlineStr">
        <is>
          <t>Contractor error</t>
        </is>
      </c>
      <c r="F6" s="147" t="inlineStr">
        <is>
          <t>Other</t>
        </is>
      </c>
      <c r="L6" s="147" t="inlineStr">
        <is>
          <t>Plan</t>
        </is>
      </c>
      <c r="M6" s="147" t="inlineStr">
        <is>
          <t>Finishing</t>
        </is>
      </c>
      <c r="O6" s="147" t="n">
        <v>5</v>
      </c>
      <c r="P6" s="147" t="inlineStr">
        <is>
          <t>CAD $</t>
        </is>
      </c>
      <c r="Q6" s="147" t="inlineStr">
        <is>
          <t>C$</t>
        </is>
      </c>
      <c r="R6" s="147" t="inlineStr">
        <is>
          <t>TVA</t>
        </is>
      </c>
      <c r="V6" s="149">
        <f>IF('Budget'!B12="","",'Budget'!B12)</f>
        <v/>
      </c>
      <c r="W6" s="149">
        <f>IF('Rooms'!Q10="","",'Rooms'!Q10)</f>
        <v/>
      </c>
      <c r="X6" s="149">
        <f>IF('Contractors'!B10="","",'Contractors'!B10)</f>
        <v/>
      </c>
    </row>
    <row r="7">
      <c r="L7" s="147" t="inlineStr">
        <is>
          <t>Insurance</t>
        </is>
      </c>
      <c r="M7" s="147" t="inlineStr">
        <is>
          <t>Final</t>
        </is>
      </c>
      <c r="P7" s="147" t="inlineStr">
        <is>
          <t>AUD $</t>
        </is>
      </c>
      <c r="Q7" s="147" t="inlineStr">
        <is>
          <t>A$</t>
        </is>
      </c>
      <c r="R7" s="147" t="inlineStr">
        <is>
          <t>MwSt</t>
        </is>
      </c>
      <c r="V7" s="149">
        <f>IF('Budget'!B13="","",'Budget'!B13)</f>
        <v/>
      </c>
      <c r="W7" s="149">
        <f>IF('Rooms'!Q11="","",'Rooms'!Q11)</f>
        <v/>
      </c>
      <c r="X7" s="149">
        <f>IF('Contractors'!B11="","",'Contractors'!B11)</f>
        <v/>
      </c>
    </row>
    <row r="8">
      <c r="L8" s="147" t="inlineStr">
        <is>
          <t>Warranty</t>
        </is>
      </c>
      <c r="P8" s="147" t="inlineStr">
        <is>
          <t>NZD $</t>
        </is>
      </c>
      <c r="Q8" s="147" t="inlineStr">
        <is>
          <t>NZ$</t>
        </is>
      </c>
      <c r="R8" s="147" t="inlineStr">
        <is>
          <t>BTW</t>
        </is>
      </c>
      <c r="V8" s="149">
        <f>IF('Budget'!B14="","",'Budget'!B14)</f>
        <v/>
      </c>
      <c r="W8" s="149">
        <f>IF('Rooms'!Q12="","",'Rooms'!Q12)</f>
        <v/>
      </c>
      <c r="X8" s="149">
        <f>IF('Contractors'!B12="","",'Contractors'!B12)</f>
        <v/>
      </c>
    </row>
    <row r="9">
      <c r="L9" s="147" t="inlineStr">
        <is>
          <t>Receipt</t>
        </is>
      </c>
      <c r="P9" s="147" t="inlineStr">
        <is>
          <t>SEK kr</t>
        </is>
      </c>
      <c r="Q9" s="147" t="inlineStr">
        <is>
          <t>kr</t>
        </is>
      </c>
      <c r="R9" s="147" t="inlineStr">
        <is>
          <t>IVA</t>
        </is>
      </c>
      <c r="V9" s="149">
        <f>IF('Budget'!B15="","",'Budget'!B15)</f>
        <v/>
      </c>
      <c r="W9" s="149">
        <f>IF('Rooms'!Q13="","",'Rooms'!Q13)</f>
        <v/>
      </c>
      <c r="X9" s="149">
        <f>IF('Contractors'!B13="","",'Contractors'!B13)</f>
        <v/>
      </c>
    </row>
    <row r="10">
      <c r="L10" s="147" t="inlineStr">
        <is>
          <t>Photo</t>
        </is>
      </c>
      <c r="P10" s="147" t="inlineStr">
        <is>
          <t>NOK kr</t>
        </is>
      </c>
      <c r="Q10" s="147" t="inlineStr">
        <is>
          <t>kr</t>
        </is>
      </c>
      <c r="R10" s="147" t="inlineStr">
        <is>
          <t>None</t>
        </is>
      </c>
      <c r="V10" s="149">
        <f>IF('Budget'!B16="","",'Budget'!B16)</f>
        <v/>
      </c>
      <c r="W10" s="149">
        <f>IF('Rooms'!Q14="","",'Rooms'!Q14)</f>
        <v/>
      </c>
      <c r="X10" s="149">
        <f>IF('Contractors'!B14="","",'Contractors'!B14)</f>
        <v/>
      </c>
    </row>
    <row r="11">
      <c r="L11" s="147" t="inlineStr">
        <is>
          <t>Inspection</t>
        </is>
      </c>
      <c r="P11" s="147" t="inlineStr">
        <is>
          <t>DKK kr</t>
        </is>
      </c>
      <c r="Q11" s="147" t="inlineStr">
        <is>
          <t>kr</t>
        </is>
      </c>
      <c r="V11" s="149">
        <f>IF('Budget'!B17="","",'Budget'!B17)</f>
        <v/>
      </c>
      <c r="W11" s="149">
        <f>IF('Rooms'!Q15="","",'Rooms'!Q15)</f>
        <v/>
      </c>
      <c r="X11" s="149">
        <f>IF('Contractors'!B15="","",'Contractors'!B15)</f>
        <v/>
      </c>
    </row>
    <row r="12">
      <c r="L12" s="147" t="inlineStr">
        <is>
          <t>Other</t>
        </is>
      </c>
      <c r="P12" s="147" t="inlineStr">
        <is>
          <t>PLN zł</t>
        </is>
      </c>
      <c r="Q12" s="147" t="inlineStr">
        <is>
          <t>zł</t>
        </is>
      </c>
      <c r="V12" s="149">
        <f>IF('Budget'!B18="","",'Budget'!B18)</f>
        <v/>
      </c>
      <c r="W12" s="147" t="inlineStr">
        <is>
          <t>Whole house</t>
        </is>
      </c>
      <c r="X12" s="149">
        <f>IF('Contractors'!B16="","",'Contractors'!B16)</f>
        <v/>
      </c>
    </row>
    <row r="13">
      <c r="P13" s="147" t="inlineStr">
        <is>
          <t>CZK Kč</t>
        </is>
      </c>
      <c r="Q13" s="147" t="inlineStr">
        <is>
          <t>Kč</t>
        </is>
      </c>
      <c r="V13" s="149">
        <f>IF('Budget'!B19="","",'Budget'!B19)</f>
        <v/>
      </c>
      <c r="X13" s="149">
        <f>IF('Contractors'!B17="","",'Contractors'!B17)</f>
        <v/>
      </c>
    </row>
    <row r="14">
      <c r="P14" s="147" t="inlineStr">
        <is>
          <t>Other</t>
        </is>
      </c>
      <c r="Q14" s="147" t="inlineStr"/>
      <c r="V14" s="149">
        <f>IF('Budget'!B20="","",'Budget'!B20)</f>
        <v/>
      </c>
      <c r="X14" s="149">
        <f>IF('Contractors'!B18="","",'Contractors'!B18)</f>
        <v/>
      </c>
    </row>
    <row r="15">
      <c r="V15" s="149">
        <f>IF('Budget'!B21="","",'Budget'!B21)</f>
        <v/>
      </c>
      <c r="X15" s="149">
        <f>IF('Contractors'!B19="","",'Contractors'!B19)</f>
        <v/>
      </c>
    </row>
    <row r="16">
      <c r="V16" s="149">
        <f>IF('Budget'!B22="","",'Budget'!B22)</f>
        <v/>
      </c>
      <c r="X16" s="149">
        <f>IF('Contractors'!B20="","",'Contractors'!B20)</f>
        <v/>
      </c>
    </row>
    <row r="17">
      <c r="V17" s="149">
        <f>IF('Budget'!B23="","",'Budget'!B23)</f>
        <v/>
      </c>
      <c r="X17" s="149">
        <f>IF('Contractors'!B21="","",'Contractors'!B21)</f>
        <v/>
      </c>
    </row>
    <row r="18">
      <c r="V18" s="149">
        <f>IF('Budget'!B24="","",'Budget'!B24)</f>
        <v/>
      </c>
      <c r="X18" s="149">
        <f>IF('Contractors'!B22="","",'Contractors'!B22)</f>
        <v/>
      </c>
    </row>
    <row r="19">
      <c r="V19" s="149">
        <f>IF('Budget'!B25="","",'Budget'!B25)</f>
        <v/>
      </c>
      <c r="X19" s="149">
        <f>IF('Contractors'!B23="","",'Contractors'!B23)</f>
        <v/>
      </c>
    </row>
    <row r="20">
      <c r="V20" s="149">
        <f>IF('Budget'!B26="","",'Budget'!B26)</f>
        <v/>
      </c>
      <c r="X20" s="149">
        <f>IF('Contractors'!B24="","",'Contractors'!B24)</f>
        <v/>
      </c>
    </row>
    <row r="21">
      <c r="V21" s="149">
        <f>IF('Budget'!B27="","",'Budget'!B27)</f>
        <v/>
      </c>
      <c r="X21" s="149">
        <f>IF('Contractors'!B25="","",'Contractors'!B25)</f>
        <v/>
      </c>
    </row>
    <row r="22">
      <c r="V22" s="149">
        <f>IF('Budget'!B28="","",'Budget'!B28)</f>
        <v/>
      </c>
      <c r="X22" s="149">
        <f>IF('Contractors'!B26="","",'Contractors'!B26)</f>
        <v/>
      </c>
    </row>
    <row r="23">
      <c r="V23" s="149">
        <f>IF('Budget'!B29="","",'Budget'!B29)</f>
        <v/>
      </c>
      <c r="X23" s="149">
        <f>IF('Contractors'!B27="","",'Contractors'!B27)</f>
        <v/>
      </c>
    </row>
    <row r="24">
      <c r="V24" s="149">
        <f>IF('Budget'!B30="","",'Budget'!B30)</f>
        <v/>
      </c>
      <c r="X24" s="149">
        <f>IF('Contractors'!B28="","",'Contractors'!B28)</f>
        <v/>
      </c>
    </row>
    <row r="25">
      <c r="V25" s="149">
        <f>IF('Budget'!B31="","",'Budget'!B31)</f>
        <v/>
      </c>
      <c r="X25" s="149">
        <f>IF('Contractors'!B29="","",'Contractors'!B29)</f>
        <v/>
      </c>
    </row>
    <row r="26">
      <c r="V26" s="149">
        <f>IF('Budget'!B32="","",'Budget'!B32)</f>
        <v/>
      </c>
      <c r="X26" s="149">
        <f>IF('Contractors'!B30="","",'Contractors'!B30)</f>
        <v/>
      </c>
    </row>
    <row r="27">
      <c r="V27" s="149">
        <f>IF('Budget'!B33="","",'Budget'!B33)</f>
        <v/>
      </c>
      <c r="X27" s="149">
        <f>IF('Contractors'!B31="","",'Contractors'!B31)</f>
        <v/>
      </c>
    </row>
    <row r="28">
      <c r="V28" s="149">
        <f>IF('Budget'!B34="","",'Budget'!B34)</f>
        <v/>
      </c>
      <c r="X28" s="149">
        <f>IF('Contractors'!B32="","",'Contractors'!B32)</f>
        <v/>
      </c>
    </row>
    <row r="29">
      <c r="V29" s="149">
        <f>IF('Budget'!B35="","",'Budget'!B35)</f>
        <v/>
      </c>
      <c r="X29" s="149">
        <f>IF('Contractors'!B33="","",'Contractors'!B33)</f>
        <v/>
      </c>
    </row>
    <row r="30">
      <c r="V30" s="149">
        <f>IF('Budget'!B36="","",'Budget'!B36)</f>
        <v/>
      </c>
      <c r="X30" s="149">
        <f>IF('Contractors'!B34="","",'Contractors'!B34)</f>
        <v/>
      </c>
    </row>
    <row r="31">
      <c r="V31" s="149">
        <f>IF('Budget'!B37="","",'Budget'!B37)</f>
        <v/>
      </c>
      <c r="X31" s="149">
        <f>IF('Contractors'!B35="","",'Contractors'!B35)</f>
        <v/>
      </c>
    </row>
  </sheetData>
  <sheetProtection selectLockedCells="1" selectUnlockedCells="0" sheet="1" objects="0" insertRows="1" insertHyperlinks="1" autoFilter="1" scenarios="0" formatColumns="0" deleteColumns="1" insertColumns="1" pivotTables="1" deleteRows="1" formatCells="1" formatRows="0" sort="1" password="CD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Hang Nguyen</dc:creator>
  <dc:title>Renovation OS</dc:title>
  <dc:description>© 2026 Hang Nguyen — Renovation OS. Licensed to the original purchaser for personal use only. Do not share, copy, resell or redistribute.</dc:description>
  <dc:subject>Home renovation management workbook</dc:subject>
  <dcterms:created xsi:type="dcterms:W3CDTF">2026-09-30T15:57:29Z</dcterms:created>
  <dcterms:modified xsi:type="dcterms:W3CDTF">2026-09-30T15:57:33Z</dcterms:modified>
  <cp:lastModifiedBy>Hang Nguyen</cp:lastModifiedBy>
  <cp:keywords>Renovation OS; Hang Nguyen; personal licence</cp:keywords>
</cp:coreProperties>
</file>